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4B10365-11C8-499D-86DD-1DC989E8C592}"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15" i="20" l="1"/>
  <c r="Z15" i="20"/>
  <c r="AB15" i="20"/>
  <c r="X16" i="20"/>
  <c r="Z16" i="20"/>
  <c r="AB16" i="20"/>
  <c r="AB14" i="20"/>
  <c r="Z14" i="20"/>
  <c r="X14" i="20"/>
  <c r="B126" i="31"/>
  <c r="D126" i="31"/>
  <c r="B127" i="31"/>
  <c r="D127" i="31"/>
  <c r="D125" i="31"/>
  <c r="B125" i="31"/>
  <c r="Q127" i="31"/>
  <c r="Q126" i="31"/>
  <c r="Q125" i="31"/>
  <c r="X7" i="20"/>
  <c r="Z7" i="20"/>
  <c r="AB7" i="20"/>
  <c r="X8" i="20"/>
  <c r="Z8" i="20"/>
  <c r="AB8" i="20"/>
  <c r="AB6" i="20"/>
  <c r="Z6" i="20"/>
  <c r="X6" i="20"/>
  <c r="B117" i="31"/>
  <c r="D117" i="31"/>
  <c r="B118" i="31"/>
  <c r="D118" i="31"/>
  <c r="D116" i="31"/>
  <c r="B116" i="31"/>
  <c r="Q118" i="31"/>
  <c r="Q117" i="31"/>
  <c r="Q116" i="31"/>
  <c r="D103" i="31"/>
  <c r="D104" i="31"/>
  <c r="D102" i="31"/>
  <c r="J24" i="20"/>
  <c r="J104" i="31" s="1"/>
  <c r="H24" i="20"/>
  <c r="H104" i="31" s="1"/>
  <c r="F24" i="20"/>
  <c r="F104" i="31" s="1"/>
  <c r="J23" i="20"/>
  <c r="J103" i="31" s="1"/>
  <c r="H23" i="20"/>
  <c r="H103" i="31" s="1"/>
  <c r="F23" i="20"/>
  <c r="F103" i="31" s="1"/>
  <c r="J22" i="20"/>
  <c r="J102" i="31" s="1"/>
  <c r="H22" i="20"/>
  <c r="H102" i="31" s="1"/>
  <c r="F22" i="20"/>
  <c r="F102" i="31" s="1"/>
  <c r="J16" i="20"/>
  <c r="H16" i="20"/>
  <c r="F16" i="20"/>
  <c r="J15" i="20"/>
  <c r="H15" i="20"/>
  <c r="F15" i="20"/>
  <c r="J14" i="20"/>
  <c r="H14" i="20"/>
  <c r="F14" i="20"/>
  <c r="B103" i="31"/>
  <c r="B104" i="31"/>
  <c r="B102" i="31"/>
  <c r="Q104" i="31"/>
  <c r="Q103" i="31"/>
  <c r="Q102" i="31"/>
  <c r="D94" i="31" l="1"/>
  <c r="D95" i="31"/>
  <c r="D93" i="31"/>
  <c r="B94" i="31"/>
  <c r="B95" i="31"/>
  <c r="B93" i="31"/>
  <c r="Q95" i="31"/>
  <c r="Q94" i="31"/>
  <c r="Q93" i="31"/>
  <c r="F7" i="20"/>
  <c r="H7" i="20"/>
  <c r="J7" i="20"/>
  <c r="F8" i="20"/>
  <c r="H8" i="20"/>
  <c r="J8" i="20"/>
  <c r="J6" i="20"/>
  <c r="H6" i="20"/>
  <c r="F6" i="20"/>
  <c r="F93" i="31" l="1"/>
  <c r="H93" i="31"/>
  <c r="J93" i="31"/>
  <c r="F125" i="31"/>
  <c r="H125" i="31"/>
  <c r="J125" i="31"/>
  <c r="F94" i="31"/>
  <c r="H94" i="31"/>
  <c r="J94" i="31"/>
  <c r="F126" i="31"/>
  <c r="H126" i="31"/>
  <c r="J126" i="31"/>
  <c r="F95" i="31"/>
  <c r="H95" i="31"/>
  <c r="J95" i="31"/>
  <c r="F127" i="31"/>
  <c r="H127" i="31"/>
  <c r="J127" i="31"/>
  <c r="J118" i="31"/>
  <c r="H118" i="31"/>
  <c r="F118" i="31"/>
  <c r="J117" i="31"/>
  <c r="H117" i="31"/>
  <c r="F117" i="31"/>
  <c r="J116" i="31"/>
  <c r="H116" i="31"/>
  <c r="F116" i="31"/>
  <c r="AD14" i="20" l="1"/>
  <c r="L125" i="31" s="1"/>
  <c r="L16" i="20"/>
  <c r="L95" i="31" s="1"/>
  <c r="L24" i="20"/>
  <c r="L104" i="31" s="1"/>
  <c r="L14" i="20"/>
  <c r="L23" i="20"/>
  <c r="L103" i="31" s="1"/>
  <c r="AD15" i="20"/>
  <c r="L126" i="31" s="1"/>
  <c r="AD16" i="20"/>
  <c r="L127" i="31" s="1"/>
  <c r="L15" i="20"/>
  <c r="L94" i="31" s="1"/>
  <c r="L22" i="20"/>
  <c r="L102" i="31" s="1"/>
  <c r="AD8" i="20"/>
  <c r="L118" i="31" s="1"/>
  <c r="AD7" i="20"/>
  <c r="L117" i="31" s="1"/>
  <c r="AD6" i="20"/>
  <c r="L116" i="31" s="1"/>
  <c r="L93" i="31" l="1"/>
  <c r="N46" i="31" l="1"/>
  <c r="K46" i="31"/>
  <c r="I46" i="31"/>
  <c r="F46" i="31"/>
  <c r="M32" i="31"/>
  <c r="M31" i="31"/>
  <c r="I18" i="31"/>
  <c r="I19" i="31"/>
  <c r="I20" i="31"/>
  <c r="I21" i="31"/>
  <c r="I17" i="31"/>
  <c r="I13" i="31"/>
  <c r="I12" i="31"/>
  <c r="I11" i="31"/>
  <c r="I10" i="31"/>
  <c r="I9" i="31"/>
  <c r="I8" i="31"/>
  <c r="I7" i="31"/>
  <c r="I6" i="31"/>
  <c r="I5" i="31"/>
  <c r="R1" i="31"/>
  <c r="B10" i="23"/>
  <c r="B9" i="23"/>
  <c r="R76" i="31" l="1"/>
  <c r="R110" i="31" s="1"/>
  <c r="H5" i="21"/>
  <c r="I5" i="21" s="1"/>
  <c r="J5" i="21" s="1"/>
  <c r="K5" i="21" s="1"/>
  <c r="S85" i="31" s="1"/>
  <c r="H6" i="21"/>
  <c r="I6" i="21" s="1"/>
  <c r="J6" i="21" s="1"/>
  <c r="K6" i="21" s="1"/>
  <c r="L6" i="21" s="1"/>
  <c r="H7" i="21"/>
  <c r="I7" i="21" s="1"/>
  <c r="H8" i="21"/>
  <c r="I8" i="21" s="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110" i="31" s="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J7" i="21"/>
  <c r="K7" i="21" s="1"/>
  <c r="L86" i="31"/>
  <c r="A83" i="29"/>
  <c r="S86" i="31"/>
  <c r="N7" i="20"/>
  <c r="N85" i="31" s="1"/>
  <c r="L5" i="21"/>
  <c r="L4" i="21"/>
  <c r="A3" i="29" l="1"/>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2" i="29" l="1"/>
  <c r="J21" i="29"/>
  <c r="C21" i="29"/>
  <c r="C22" i="29" s="1"/>
  <c r="C23" i="29" s="1"/>
  <c r="E21" i="29"/>
  <c r="F24" i="29" s="1"/>
  <c r="G21" i="29" s="1"/>
  <c r="H21" i="29" s="1"/>
  <c r="C27" i="29"/>
  <c r="D27" i="29" s="1"/>
  <c r="E27" i="29" s="1"/>
  <c r="E101" i="29"/>
  <c r="F104" i="29" s="1"/>
  <c r="C107" i="29"/>
  <c r="D107" i="29" s="1"/>
  <c r="E107" i="29" s="1"/>
  <c r="J101" i="29"/>
  <c r="C101" i="29"/>
  <c r="D101" i="29" s="1"/>
  <c r="E104" i="29"/>
  <c r="K134" i="29"/>
  <c r="A140" i="29" s="1"/>
  <c r="E145" i="29" s="1"/>
  <c r="H134" i="29"/>
  <c r="F134" i="29"/>
  <c r="D21" i="29" l="1"/>
  <c r="D24" i="29" s="1"/>
  <c r="K21" i="29" s="1"/>
  <c r="G101" i="29"/>
  <c r="H101" i="29" s="1"/>
  <c r="C102" i="29"/>
  <c r="C103" i="29" s="1"/>
  <c r="J143" i="29"/>
  <c r="E142" i="29"/>
  <c r="F145" i="29" s="1"/>
  <c r="G142" i="29" s="1"/>
  <c r="H142" i="29" s="1"/>
  <c r="C148" i="29"/>
  <c r="D148" i="29" s="1"/>
  <c r="E148" i="29" s="1"/>
  <c r="J142" i="29"/>
  <c r="C142" i="29"/>
  <c r="D142" i="29" s="1"/>
  <c r="D143" i="29" s="1"/>
  <c r="F21" i="29"/>
  <c r="D104" i="29"/>
  <c r="D102" i="29"/>
  <c r="D22" i="29" l="1"/>
  <c r="A27" i="29"/>
  <c r="E32" i="29" s="1"/>
  <c r="B3" i="29"/>
  <c r="F101" i="29"/>
  <c r="K101" i="29"/>
  <c r="B83" i="29" s="1"/>
  <c r="D145" i="29"/>
  <c r="F142" i="29"/>
  <c r="C143" i="29"/>
  <c r="C144" i="29" s="1"/>
  <c r="E29" i="29" l="1"/>
  <c r="F32" i="29" s="1"/>
  <c r="G29" i="29" s="1"/>
  <c r="H29" i="29" s="1"/>
  <c r="J29" i="29"/>
  <c r="C35" i="29"/>
  <c r="D35" i="29" s="1"/>
  <c r="E35" i="29" s="1"/>
  <c r="C29" i="29"/>
  <c r="D29" i="29" s="1"/>
  <c r="D32" i="29" s="1"/>
  <c r="J30" i="29"/>
  <c r="A107" i="29"/>
  <c r="C115" i="29" s="1"/>
  <c r="D115" i="29" s="1"/>
  <c r="E115" i="29" s="1"/>
  <c r="K142" i="29"/>
  <c r="A148" i="29" s="1"/>
  <c r="J151" i="29" s="1"/>
  <c r="F29" i="29" l="1"/>
  <c r="D30" i="29"/>
  <c r="C30" i="29"/>
  <c r="C31" i="29" s="1"/>
  <c r="K29" i="29" s="1"/>
  <c r="A35" i="29" s="1"/>
  <c r="J109" i="29"/>
  <c r="E109" i="29"/>
  <c r="F112" i="29" s="1"/>
  <c r="C109" i="29"/>
  <c r="C110" i="29" s="1"/>
  <c r="C111" i="29" s="1"/>
  <c r="J110" i="29"/>
  <c r="E112" i="29"/>
  <c r="E153" i="29"/>
  <c r="E150" i="29"/>
  <c r="F153" i="29" s="1"/>
  <c r="B124" i="29"/>
  <c r="C150" i="29"/>
  <c r="D150" i="29" s="1"/>
  <c r="D153" i="29" s="1"/>
  <c r="J150" i="29"/>
  <c r="C156" i="29"/>
  <c r="D156" i="29" s="1"/>
  <c r="E156" i="29" s="1"/>
  <c r="E40" i="29" l="1"/>
  <c r="C37" i="29"/>
  <c r="C38" i="29" s="1"/>
  <c r="C39" i="29" s="1"/>
  <c r="E37" i="29"/>
  <c r="D37" i="29" s="1"/>
  <c r="D40" i="29" s="1"/>
  <c r="J38" i="29"/>
  <c r="J37" i="29"/>
  <c r="G109" i="29"/>
  <c r="H109" i="29" s="1"/>
  <c r="D109" i="29"/>
  <c r="D110" i="29" s="1"/>
  <c r="G150" i="29"/>
  <c r="H150" i="29" s="1"/>
  <c r="D151" i="29"/>
  <c r="C151" i="29"/>
  <c r="C152" i="29" s="1"/>
  <c r="K150" i="29" s="1"/>
  <c r="A156" i="29" s="1"/>
  <c r="E161" i="29" s="1"/>
  <c r="K37" i="29" l="1"/>
  <c r="D38" i="29"/>
  <c r="F40" i="29"/>
  <c r="G37" i="29" s="1"/>
  <c r="H37" i="29" s="1"/>
  <c r="F109" i="29"/>
  <c r="D112" i="29"/>
  <c r="K109" i="29" s="1"/>
  <c r="A115" i="29" s="1"/>
  <c r="E120" i="29" s="1"/>
  <c r="F150" i="29"/>
  <c r="C158" i="29"/>
  <c r="C159" i="29" s="1"/>
  <c r="C160" i="29" s="1"/>
  <c r="J158" i="29"/>
  <c r="J159" i="29"/>
  <c r="E158" i="29"/>
  <c r="F161" i="29" s="1"/>
  <c r="G158" i="29" s="1"/>
  <c r="H158" i="29" s="1"/>
  <c r="C117" i="29" l="1"/>
  <c r="C118" i="29" s="1"/>
  <c r="C119" i="29" s="1"/>
  <c r="J118" i="29"/>
  <c r="J117" i="29"/>
  <c r="E117" i="29"/>
  <c r="D117" i="29" s="1"/>
  <c r="D118" i="29" s="1"/>
  <c r="F37" i="29"/>
  <c r="D158" i="29"/>
  <c r="D159" i="29" s="1"/>
  <c r="F158" i="29"/>
  <c r="K158" i="29"/>
  <c r="K117" i="29" l="1"/>
  <c r="F120" i="29"/>
  <c r="G117" i="29" s="1"/>
  <c r="H117" i="29" s="1"/>
  <c r="D120" i="29"/>
  <c r="D161" i="29"/>
  <c r="F117"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<sst xmlns="http://schemas.openxmlformats.org/spreadsheetml/2006/main" count="1070" uniqueCount="214">
  <si>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</si>
  <si>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</si>
  <si>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</si>
  <si>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</si>
  <si>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</si>
  <si>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</si>
  <si>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</si>
  <si>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</si>
  <si>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</si>
  <si>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</si>
  <si>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</si>
  <si>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</si>
  <si>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</si>
  <si>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</si>
  <si>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</si>
  <si>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</si>
  <si>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</si>
  <si>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</si>
  <si>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</si>
  <si>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</si>
  <si>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</si>
  <si>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</si>
  <si>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</si>
  <si>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</si>
  <si>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</si>
  <si>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</si>
  <si>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</si>
  <si>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</si>
  <si>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</si>
  <si>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</si>
  <si>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</si>
  <si>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</si>
  <si>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</si>
  <si>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</si>
  <si>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</si>
  <si>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</si>
  <si>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</si>
  <si>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</si>
  <si>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</si>
  <si>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</si>
  <si>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</si>
  <si>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</si>
  <si>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</si>
  <si>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</si>
  <si>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</si>
  <si>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</si>
  <si>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</si>
  <si>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</si>
  <si>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</si>
  <si>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</si>
  <si>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</si>
  <si>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</si>
  <si>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</si>
  <si>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</si>
  <si>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</si>
  <si>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</si>
  <si>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</si>
  <si>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</si>
  <si>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</si>
  <si>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</si>
  <si>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</si>
  <si>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</si>
  <si>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</si>
  <si>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</si>
  <si>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</si>
  <si>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</si>
  <si>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</si>
  <si>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</si>
  <si>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</si>
  <si>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</si>
  <si>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</si>
  <si>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</si>
  <si>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</si>
  <si>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</si>
  <si>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</si>
  <si>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</si>
  <si>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</si>
  <si>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</si>
  <si>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</si>
  <si>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</si>
  <si>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</si>
  <si>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</si>
  <si>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</si>
  <si>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</si>
  <si>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</si>
  <si>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</si>
  <si>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</si>
  <si>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</si>
  <si>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</si>
  <si>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</si>
  <si>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</si>
  <si>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</si>
  <si>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</si>
  <si>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</si>
  <si>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</si>
  <si>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</si>
  <si>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</si>
  <si>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</si>
  <si>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</si>
  <si>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</si>
  <si>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</si>
  <si>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</si>
  <si>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</si>
  <si>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</si>
  <si>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</si>
  <si>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</si>
  <si>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</si>
  <si>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</si>
  <si>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</si>
  <si>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</si>
  <si>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</si>
  <si>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</si>
  <si>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</si>
  <si>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</si>
  <si>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</si>
  <si>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</si>
  <si>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</si>
  <si>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</si>
  <si>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</si>
  <si>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</si>
  <si>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</si>
  <si>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</si>
  <si>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</si>
  <si>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</si>
  <si>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</si>
  <si>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</si>
  <si>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</si>
  <si>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</si>
  <si>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</si>
  <si>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</si>
  <si>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</si>
  <si>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</si>
  <si>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</si>
  <si>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</si>
  <si>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</si>
  <si>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</si>
  <si>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</si>
  <si>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</si>
  <si>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</si>
  <si>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</si>
  <si>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</si>
  <si>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</si>
  <si>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</si>
  <si>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Analizador de rayos X</t>
  </si>
  <si>
    <t>o10203823i30007226-A-1</t>
  </si>
  <si>
    <t>CALIBRACIÓN DE VOLTAJE</t>
  </si>
  <si>
    <t>CALIBRACIÓN DE DOSIMETRÍA</t>
  </si>
  <si>
    <t>TASA DE DOSIMETRIA</t>
  </si>
  <si>
    <t>TIEMPO DE EXPOSICIÓN</t>
  </si>
  <si>
    <t>HVL</t>
  </si>
  <si>
    <t xml:space="preserve">Equipo bajo prueba              </t>
  </si>
  <si>
    <t xml:space="preserve">Lectura 1         </t>
  </si>
  <si>
    <t xml:space="preserve">Lectura 2      </t>
  </si>
  <si>
    <t xml:space="preserve">Lectura 3         </t>
  </si>
  <si>
    <t xml:space="preserve">Lectura 4 </t>
  </si>
  <si>
    <t xml:space="preserve">Promedio       </t>
  </si>
  <si>
    <t xml:space="preserve">Error         </t>
  </si>
  <si>
    <t>Calibración de voltaje</t>
  </si>
  <si>
    <t>Intervalo de medición (kVp):</t>
  </si>
  <si>
    <t>50 a 125</t>
  </si>
  <si>
    <t>Resolución (kVp):</t>
  </si>
  <si>
    <t>Equipo bajo prueba     (kVp)</t>
  </si>
  <si>
    <t>Lectura 1 (kVp)</t>
  </si>
  <si>
    <t>Lectura 2 (kVp)</t>
  </si>
  <si>
    <t>Lectura 3  (kVp)</t>
  </si>
  <si>
    <t>Lectura 4 (kVp)</t>
  </si>
  <si>
    <t>Promedio (kVp)</t>
  </si>
  <si>
    <t>Error           (kVp)</t>
  </si>
  <si>
    <t>0,6 %</t>
  </si>
  <si>
    <t>*kVp= Kilovoltios pico</t>
  </si>
  <si>
    <t>Calibración de dosimetria</t>
  </si>
  <si>
    <t>Lectura 1 (mGy)</t>
  </si>
  <si>
    <t>Lectura 2 (mGy)</t>
  </si>
  <si>
    <t>Lectura 3  (mGy)</t>
  </si>
  <si>
    <t>Lectura 4 (mGy)</t>
  </si>
  <si>
    <t>Promedio (mGy)</t>
  </si>
  <si>
    <t>Intervalo de medición (mGy):</t>
  </si>
  <si>
    <t>Resolución (mGy):</t>
  </si>
  <si>
    <t>N.A</t>
  </si>
  <si>
    <t>1,5 %</t>
  </si>
  <si>
    <t>Calibración tasa de dosimetría</t>
  </si>
  <si>
    <t>Intervalo de medición (mGy/s):</t>
  </si>
  <si>
    <t>Resolución (mGy/s):</t>
  </si>
  <si>
    <t>Lectura 1 (mGy/s)</t>
  </si>
  <si>
    <t>Lectura 2 (mGy/s)</t>
  </si>
  <si>
    <t>Lectura 3  (mGy/s)</t>
  </si>
  <si>
    <t>Lectura 4 (mGy/s)</t>
  </si>
  <si>
    <t>Promedio (mGy/s)</t>
  </si>
  <si>
    <t>Calibración tiempo de exposición</t>
  </si>
  <si>
    <t>Intervalo de medición (ms):</t>
  </si>
  <si>
    <t>Resolución (ms):</t>
  </si>
  <si>
    <t>Lectura 1 (ms)</t>
  </si>
  <si>
    <t>Lectura 2 (m/s)</t>
  </si>
  <si>
    <t>Lectura 3  (ms)</t>
  </si>
  <si>
    <t>Lectura 4 (ms)</t>
  </si>
  <si>
    <t>Promedio (ms)</t>
  </si>
  <si>
    <t>0,4 %</t>
  </si>
  <si>
    <t>Calibración de HVL</t>
  </si>
  <si>
    <t>Intervalo de medición (mmAl):</t>
  </si>
  <si>
    <t>Resolución (mmAl):</t>
  </si>
  <si>
    <t>Lectura 1 (mmAl)</t>
  </si>
  <si>
    <t>Lectura 2 (mmAl)</t>
  </si>
  <si>
    <t>Lectura 3  (mmAl)</t>
  </si>
  <si>
    <t>Lectura 4 (mmAl)</t>
  </si>
  <si>
    <t>Promedio (mmAl)</t>
  </si>
  <si>
    <t>0,3 %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</si>
  <si>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</si>
  <si>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</si>
  <si>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</si>
  <si>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</si>
  <si>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</si>
  <si>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Rayos X BTM-P-060.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</si>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</sst>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9">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49" fontId="11" fillId="0" borderId="0" xfId="0" applyNumberFormat="1" applyFont="1" applyAlignment="1">
      <alignment horizontal="center" vertical="center"/>
    </xf>
    <xf numFmtId="49" fontId="11" fillId="0" borderId="5" xfId="0" applyNumberFormat="1" applyFont="1" applyBorder="1" applyAlignment="1">
      <alignment horizontal="center" vertical="center"/>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wrapText="1"/>
    </xf>
    <xf numFmtId="0" fontId="1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5" xfId="0" applyFont="1" applyBorder="1" applyAlignment="1">
      <alignment horizontal="center" vertical="center" wrapText="1"/>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0" xfId="0" applyFont="1" applyAlignment="1">
      <alignment horizontal="left"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164" fontId="27" fillId="13" borderId="5" xfId="0" applyNumberFormat="1" applyFont="1" applyFill="1" applyBorder="1" applyAlignment="1">
      <alignment horizontal="center"/>
    </xf>
    <xf numFmtId="164" fontId="27" fillId="13" borderId="1" xfId="0" applyNumberFormat="1" applyFont="1" applyFill="1" applyBorder="1" applyAlignment="1">
      <alignment horizontal="center"/>
    </xf>
    <xf numFmtId="164" fontId="27" fillId="13" borderId="3" xfId="0" applyNumberFormat="1" applyFont="1" applyFill="1" applyBorder="1" applyAlignment="1">
      <alignment horizontal="center"/>
    </xf>
    <xf numFmtId="164" fontId="27" fillId="0" borderId="1" xfId="0" applyNumberFormat="1" applyFont="1" applyBorder="1" applyAlignment="1">
      <alignment horizontal="center"/>
    </xf>
    <xf numFmtId="164" fontId="27" fillId="0" borderId="3" xfId="0" applyNumberFormat="1" applyFont="1" applyBorder="1" applyAlignment="1">
      <alignment horizontal="center"/>
    </xf>
    <xf numFmtId="0" fontId="6" fillId="4" borderId="0" xfId="0" applyFont="1" applyFill="1" applyAlignment="1">
      <alignment horizontal="center" vertical="center"/>
    </xf>
    <xf numFmtId="1" fontId="27" fillId="0" borderId="5" xfId="0" applyNumberFormat="1" applyFont="1" applyBorder="1" applyAlignment="1">
      <alignment horizontal="center"/>
    </xf>
    <xf numFmtId="1" fontId="27" fillId="13" borderId="5" xfId="0" applyNumberFormat="1" applyFont="1" applyFill="1" applyBorder="1" applyAlignment="1">
      <alignment horizontal="center"/>
    </xf>
    <xf numFmtId="0" fontId="15" fillId="0" borderId="31" xfId="0" applyFont="1" applyBorder="1" applyAlignment="1">
      <alignment horizontal="center" wrapText="1"/>
    </xf>
    <xf numFmtId="0" fontId="15" fillId="0" borderId="32" xfId="0" applyFont="1" applyBorder="1" applyAlignment="1">
      <alignment horizontal="center" wrapText="1"/>
    </xf>
    <xf numFmtId="0" fontId="15" fillId="0" borderId="4" xfId="0" applyFont="1" applyBorder="1" applyAlignment="1">
      <alignment horizontal="center" wrapText="1"/>
    </xf>
    <xf numFmtId="0" fontId="15" fillId="0" borderId="6" xfId="0" applyFont="1" applyBorder="1" applyAlignment="1">
      <alignment horizontal="center" wrapText="1"/>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2" t="s">
        <v>104</v>
      </c>
      <c r="B1" s="163"/>
      <c r="C1" s="163"/>
      <c r="D1" s="163"/>
      <c r="E1" s="163"/>
      <c r="F1" s="163"/>
      <c r="G1" s="163"/>
      <c r="H1" s="164"/>
      <c r="I1"/>
      <c r="J1"/>
      <c r="K1"/>
      <c r="L1"/>
      <c r="M1"/>
      <c r="N1"/>
      <c r="O1" t="s">
        <v>116</v>
      </c>
      <c r="P1"/>
      <c r="Q1"/>
      <c r="R1"/>
      <c r="S1"/>
      <c r="T1"/>
      <c r="U1"/>
      <c r="V1"/>
      <c r="W1"/>
      <c r="X1"/>
      <c r="Y1"/>
      <c r="Z1"/>
      <c r="AA1"/>
      <c r="AB1"/>
      <c r="AC1"/>
      <c r="AD1"/>
      <c r="AE1"/>
    </row>
    <row r="2" spans="1:31" ht="14.4" x14ac:dyDescent="0.3">
      <c r="A2" s="98" t="s">
        <v>129</v>
      </c>
      <c r="B2" s="98" t="s">
        <v>130</v>
      </c>
      <c r="C2" s="98" t="s">
        <v>131</v>
      </c>
      <c r="D2" s="98" t="s">
        <v>132</v>
      </c>
      <c r="E2" s="98" t="s">
        <v>133</v>
      </c>
      <c r="F2" s="98" t="s">
        <v>134</v>
      </c>
      <c r="G2" s="98" t="s">
        <v>135</v>
      </c>
      <c r="H2" s="98" t="s">
        <v>136</v>
      </c>
      <c r="I2"/>
      <c r="J2"/>
      <c r="K2"/>
      <c r="L2"/>
      <c r="M2"/>
      <c r="N2"/>
      <c r="O2" t="s">
        <v>117</v>
      </c>
      <c r="P2"/>
      <c r="Q2"/>
      <c r="R2"/>
      <c r="S2"/>
      <c r="T2"/>
      <c r="U2"/>
      <c r="V2"/>
      <c r="W2"/>
      <c r="X2"/>
      <c r="Y2"/>
      <c r="Z2"/>
      <c r="AA2"/>
      <c r="AB2"/>
      <c r="AC2"/>
      <c r="AD2"/>
      <c r="AE2"/>
    </row>
    <row r="3" spans="1:31" ht="12.75" customHeight="1" x14ac:dyDescent="0.3">
      <c r="A3" s="99"/>
      <c r="B3" s="99"/>
      <c r="C3" s="100"/>
      <c r="D3" s="101"/>
      <c r="E3" s="102"/>
      <c r="F3" s="103"/>
      <c r="G3" s="104"/>
      <c r="H3" s="105"/>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5" t="s">
        <v>105</v>
      </c>
      <c r="B6" s="165"/>
      <c r="C6"/>
      <c r="D6" s="97" t="s">
        <v>103</v>
      </c>
      <c r="E6" s="97"/>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5" t="s">
        <v>137</v>
      </c>
      <c r="H7"/>
      <c r="I7"/>
      <c r="J7"/>
      <c r="K7"/>
      <c r="L7"/>
      <c r="M7"/>
      <c r="N7"/>
      <c r="O7"/>
      <c r="P7"/>
      <c r="Q7"/>
      <c r="R7"/>
      <c r="S7"/>
      <c r="T7"/>
      <c r="U7"/>
      <c r="V7"/>
      <c r="W7"/>
      <c r="X7"/>
      <c r="Y7"/>
      <c r="Z7"/>
      <c r="AA7"/>
      <c r="AB7"/>
      <c r="AC7"/>
      <c r="AD7"/>
      <c r="AE7"/>
    </row>
    <row r="8" spans="1:31" ht="12.75" customHeight="1" x14ac:dyDescent="0.3">
      <c r="A8" s="20" t="s">
        <v>138</v>
      </c>
      <c r="B8" s="89" t="s">
        <v>68</v>
      </c>
      <c r="C8"/>
      <c r="D8" s="20" t="s">
        <v>8</v>
      </c>
      <c r="E8" s="89" t="s">
        <v>139</v>
      </c>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6" t="s">
        <v>140</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6" t="s">
        <v>141</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142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9" t="s">
        <v>57</v>
      </c>
      <c r="B1" s="170"/>
      <c r="C1" s="170"/>
      <c r="D1" s="170"/>
      <c r="E1" s="170"/>
      <c r="F1" s="170"/>
      <c r="G1" s="170"/>
      <c r="H1" s="170"/>
      <c r="I1" s="170"/>
      <c r="J1" s="170"/>
      <c r="K1" s="171"/>
    </row>
    <row r="2" spans="1:11" ht="15" thickBot="1" x14ac:dyDescent="0.35">
      <c r="A2" s="31" t="s">
        <v>30</v>
      </c>
      <c r="B2" s="18" t="s">
        <v>29</v>
      </c>
      <c r="C2" t="str">
        <f ca="1">FIXED(A3,6)</f>
        <v>0,630920</v>
      </c>
      <c r="D2" t="str">
        <f ca="1">RIGHT(C2,1)</f>
        <v>0</v>
      </c>
      <c r="E2">
        <f ca="1">D2/1000000</f>
        <v>0</v>
      </c>
      <c r="F2" s="30">
        <f ca="1">A3-E2</f>
        <v>0.63091998228594004</v>
      </c>
      <c r="H2" t="str">
        <f ca="1">IF(C7=5,IF(AND(D3=0,D8=FALSE),J5,J6),J6)</f>
        <v>0,6309</v>
      </c>
      <c r="K2" s="27"/>
    </row>
    <row r="3" spans="1:11" ht="18.600000000000001" thickBot="1" x14ac:dyDescent="0.4">
      <c r="A3" s="29">
        <f ca="1">INCERTIDUMBRE!L5</f>
        <v>0.63091998228594004</v>
      </c>
      <c r="B3" s="28" t="str">
        <f ca="1">IF(A3&gt;=10,K37,IF(A3&gt;=1,K29,IF(A3&gt;=0.1,K21,IF(A3&gt;=0.01,K13,IF(A3&gt;=0.001,K5)))))</f>
        <v>0,63</v>
      </c>
      <c r="C3" t="s">
        <v>28</v>
      </c>
      <c r="D3">
        <f ca="1">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94</v>
      </c>
      <c r="D5" t="str">
        <f ca="1">LEFT(C5,1)</f>
        <v>9</v>
      </c>
      <c r="E5" s="30">
        <f ca="1">TRUNC(A3)</f>
        <v>0</v>
      </c>
      <c r="F5" s="14" t="str">
        <f ca="1">FIXED(A3-E5,G5)</f>
        <v>0,63091998228594</v>
      </c>
      <c r="G5">
        <f ca="1">ABS(E8-F8)</f>
        <v>14</v>
      </c>
      <c r="H5" t="str">
        <f ca="1">RIGHT(A3,G5)</f>
        <v>63091998228594</v>
      </c>
      <c r="I5">
        <v>5.0000000000000002E-5</v>
      </c>
      <c r="J5" s="14">
        <f ca="1">(A3-I5)</f>
        <v>0.63086998228594005</v>
      </c>
      <c r="K5" s="45" t="str">
        <f ca="1">IF(C7=5,IF(AND(D3=0,D8=FALSE),J5,J6),J6)</f>
        <v>0,6309</v>
      </c>
    </row>
    <row r="6" spans="1:11" hidden="1" x14ac:dyDescent="0.3">
      <c r="A6" s="31"/>
      <c r="C6" t="str">
        <f ca="1">RIGHT(C5,1)</f>
        <v>4</v>
      </c>
      <c r="D6">
        <f ca="1">D5+0</f>
        <v>9</v>
      </c>
      <c r="J6" t="str">
        <f ca="1">FIXED(A3,4)</f>
        <v>0,6309</v>
      </c>
      <c r="K6" s="27"/>
    </row>
    <row r="7" spans="1:11" hidden="1" x14ac:dyDescent="0.3">
      <c r="A7" s="31"/>
      <c r="C7">
        <f ca="1">C6+0</f>
        <v>4</v>
      </c>
      <c r="D7" t="s">
        <v>34</v>
      </c>
      <c r="E7" t="s">
        <v>33</v>
      </c>
      <c r="F7" t="s">
        <v>32</v>
      </c>
      <c r="K7" s="27"/>
    </row>
    <row r="8" spans="1:11" hidden="1" x14ac:dyDescent="0.3">
      <c r="A8" s="31"/>
      <c r="D8" t="b">
        <f ca="1">ISODD(D5)</f>
        <v>1</v>
      </c>
      <c r="E8">
        <f ca="1">LEN(A3)</f>
        <v>16</v>
      </c>
      <c r="F8">
        <f ca="1">LEN(E5)+1</f>
        <v>2</v>
      </c>
      <c r="K8" s="27"/>
    </row>
    <row r="9" spans="1:11" hidden="1" x14ac:dyDescent="0.3">
      <c r="A9" s="31"/>
      <c r="K9" s="27"/>
    </row>
    <row r="10" spans="1:11" hidden="1" x14ac:dyDescent="0.3">
      <c r="A10" s="166" t="s">
        <v>47</v>
      </c>
      <c r="B10" s="167"/>
      <c r="C10" s="167"/>
      <c r="D10" s="167"/>
      <c r="E10" s="167"/>
      <c r="F10" s="167"/>
      <c r="G10" s="167"/>
      <c r="H10" s="167"/>
      <c r="I10" s="167"/>
      <c r="J10" s="167"/>
      <c r="K10" s="168"/>
    </row>
    <row r="11" spans="1:11" hidden="1" x14ac:dyDescent="0.3">
      <c r="A11" s="42" t="str">
        <f ca="1">K5</f>
        <v>0,6309</v>
      </c>
      <c r="C11" t="str">
        <f ca="1">FIXED(A3,5)</f>
        <v>0,63092</v>
      </c>
      <c r="D11" t="str">
        <f ca="1">RIGHT(C11,1)</f>
        <v>2</v>
      </c>
      <c r="E11">
        <f ca="1">D11+0</f>
        <v>2</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09</v>
      </c>
      <c r="D13" t="str">
        <f ca="1">LEFT(C13,1)</f>
        <v>0</v>
      </c>
      <c r="E13" s="36">
        <f ca="1">TRUNC(A11)</f>
        <v>0</v>
      </c>
      <c r="F13" s="14" t="str">
        <f ca="1">FIXED(A11-E13,G13)</f>
        <v>0,6309</v>
      </c>
      <c r="G13">
        <f ca="1">ABS(E16-F16)</f>
        <v>4</v>
      </c>
      <c r="H13" t="str">
        <f ca="1">RIGHT(A11,G13)</f>
        <v>6309</v>
      </c>
      <c r="I13">
        <v>5.0000000000000001E-4</v>
      </c>
      <c r="J13" s="44">
        <f ca="1">(A11-I13)</f>
        <v>0.63040000000000007</v>
      </c>
      <c r="K13" s="43" t="str">
        <f ca="1">IF(C15=5,IF(AND(E11=0,D16=FALSE),J13,J14),J14)</f>
        <v>0,631</v>
      </c>
    </row>
    <row r="14" spans="1:11" hidden="1" x14ac:dyDescent="0.3">
      <c r="A14" s="31"/>
      <c r="C14" t="str">
        <f ca="1">RIGHT(C13,1)</f>
        <v>9</v>
      </c>
      <c r="D14">
        <f ca="1">D13+0</f>
        <v>0</v>
      </c>
      <c r="J14" t="str">
        <f ca="1">FIXED(A11,3)</f>
        <v>0,631</v>
      </c>
      <c r="K14" s="27"/>
    </row>
    <row r="15" spans="1:11" hidden="1" x14ac:dyDescent="0.3">
      <c r="A15" s="31"/>
      <c r="C15">
        <f ca="1">C14+0</f>
        <v>9</v>
      </c>
      <c r="D15" t="s">
        <v>34</v>
      </c>
      <c r="E15" t="s">
        <v>33</v>
      </c>
      <c r="F15" t="s">
        <v>32</v>
      </c>
      <c r="K15" s="27"/>
    </row>
    <row r="16" spans="1:11" hidden="1" x14ac:dyDescent="0.3">
      <c r="A16" s="31"/>
      <c r="D16" t="b">
        <f ca="1">ISODD(D13)</f>
        <v>0</v>
      </c>
      <c r="E16">
        <f ca="1">LEN(A11)</f>
        <v>6</v>
      </c>
      <c r="F16">
        <f ca="1">LEN(E13)+1</f>
        <v>2</v>
      </c>
      <c r="K16" s="27"/>
    </row>
    <row r="17" spans="1:11" hidden="1" x14ac:dyDescent="0.3">
      <c r="A17" s="31"/>
      <c r="K17" s="27"/>
    </row>
    <row r="18" spans="1:11" hidden="1" x14ac:dyDescent="0.3">
      <c r="A18" s="166" t="s">
        <v>46</v>
      </c>
      <c r="B18" s="167"/>
      <c r="C18" s="167"/>
      <c r="D18" s="167"/>
      <c r="E18" s="167"/>
      <c r="F18" s="167"/>
      <c r="G18" s="167"/>
      <c r="H18" s="167"/>
      <c r="I18" s="167"/>
      <c r="J18" s="167"/>
      <c r="K18" s="168"/>
    </row>
    <row r="19" spans="1:11" hidden="1" x14ac:dyDescent="0.3">
      <c r="A19" s="42" t="str">
        <f ca="1">K13</f>
        <v>0,631</v>
      </c>
      <c r="C19" t="str">
        <f ca="1">FIXED(A11,4)</f>
        <v>0,6309</v>
      </c>
      <c r="D19" t="str">
        <f ca="1">RIGHT(C19,1)</f>
        <v>9</v>
      </c>
      <c r="E19">
        <f ca="1">D19+0</f>
        <v>9</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31</v>
      </c>
      <c r="D21" t="str">
        <f ca="1">LEFT(C21,1)</f>
        <v>3</v>
      </c>
      <c r="E21" s="36">
        <f ca="1">TRUNC(A19)</f>
        <v>0</v>
      </c>
      <c r="F21" s="14" t="str">
        <f ca="1">FIXED(A19-E21,G21)</f>
        <v>0,631</v>
      </c>
      <c r="G21">
        <f ca="1">ABS(E24-F24)</f>
        <v>3</v>
      </c>
      <c r="H21" t="str">
        <f ca="1">RIGHT(A19,G21)</f>
        <v>631</v>
      </c>
      <c r="I21">
        <v>5.0000000000000001E-3</v>
      </c>
      <c r="J21" s="2">
        <f ca="1">(A19-I21)</f>
        <v>0.626</v>
      </c>
      <c r="K21" s="41" t="str">
        <f ca="1">IF(C23=5,IF(AND(E19=0,D24=FALSE),J21,J22),J22)</f>
        <v>0,63</v>
      </c>
    </row>
    <row r="22" spans="1:11" ht="18" hidden="1" x14ac:dyDescent="0.35">
      <c r="A22" s="31"/>
      <c r="C22" t="str">
        <f ca="1">RIGHT(C21,1)</f>
        <v>1</v>
      </c>
      <c r="D22">
        <f ca="1">D21+0</f>
        <v>3</v>
      </c>
      <c r="J22" t="str">
        <f ca="1">FIXED(A19,2)</f>
        <v>0,63</v>
      </c>
      <c r="K22" s="41"/>
    </row>
    <row r="23" spans="1:11" hidden="1" x14ac:dyDescent="0.3">
      <c r="A23" s="31"/>
      <c r="C23">
        <f ca="1">C22+0</f>
        <v>1</v>
      </c>
      <c r="D23" t="s">
        <v>34</v>
      </c>
      <c r="E23" t="s">
        <v>33</v>
      </c>
      <c r="F23" t="s">
        <v>32</v>
      </c>
      <c r="K23" s="27"/>
    </row>
    <row r="24" spans="1:11" hidden="1" x14ac:dyDescent="0.3">
      <c r="A24" s="31"/>
      <c r="D24" t="b">
        <f ca="1">ISODD(D21)</f>
        <v>1</v>
      </c>
      <c r="E24">
        <f ca="1">LEN(A19)</f>
        <v>5</v>
      </c>
      <c r="F24">
        <f ca="1">LEN(E21)+1</f>
        <v>2</v>
      </c>
      <c r="K24" s="27"/>
    </row>
    <row r="25" spans="1:11" hidden="1" x14ac:dyDescent="0.3">
      <c r="A25" s="31"/>
      <c r="K25" s="27"/>
    </row>
    <row r="26" spans="1:11" hidden="1" x14ac:dyDescent="0.3">
      <c r="A26" s="166" t="s">
        <v>45</v>
      </c>
      <c r="B26" s="167"/>
      <c r="C26" s="167"/>
      <c r="D26" s="167"/>
      <c r="E26" s="167"/>
      <c r="F26" s="167"/>
      <c r="G26" s="167"/>
      <c r="H26" s="167"/>
      <c r="I26" s="167"/>
      <c r="J26" s="167"/>
      <c r="K26" s="168"/>
    </row>
    <row r="27" spans="1:11" hidden="1" x14ac:dyDescent="0.3">
      <c r="A27" s="39" t="str">
        <f ca="1">K21</f>
        <v>0,63</v>
      </c>
      <c r="C27" t="str">
        <f ca="1">FIXED(A19,3)</f>
        <v>0,631</v>
      </c>
      <c r="D27" t="str">
        <f ca="1">RIGHT(C27,1)</f>
        <v>1</v>
      </c>
      <c r="E27">
        <f ca="1">D27+0</f>
        <v>1</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63</v>
      </c>
      <c r="D29" t="str">
        <f ca="1">LEFT(C29,1)</f>
        <v>6</v>
      </c>
      <c r="E29" s="36">
        <f ca="1">TRUNC(A27)</f>
        <v>0</v>
      </c>
      <c r="F29" s="14" t="str">
        <f ca="1">FIXED(A27-E29,G29)</f>
        <v>0,63</v>
      </c>
      <c r="G29">
        <f ca="1">ABS(E32-F32)</f>
        <v>2</v>
      </c>
      <c r="H29" t="str">
        <f ca="1">RIGHT(A27,G29)</f>
        <v>63</v>
      </c>
      <c r="I29">
        <v>0.05</v>
      </c>
      <c r="J29" s="2">
        <f ca="1">(A27-I29)</f>
        <v>0.57999999999999996</v>
      </c>
      <c r="K29" s="41" t="str">
        <f ca="1">IF(C31=5,IF(AND(E27=0,D32=FALSE),J29,J30),J30)</f>
        <v>0,6</v>
      </c>
    </row>
    <row r="30" spans="1:11" hidden="1" x14ac:dyDescent="0.3">
      <c r="A30" s="31"/>
      <c r="C30" t="str">
        <f ca="1">RIGHT(C29,1)</f>
        <v>3</v>
      </c>
      <c r="D30">
        <f ca="1">D29+0</f>
        <v>6</v>
      </c>
      <c r="J30" t="str">
        <f ca="1">FIXED(A27,1)</f>
        <v>0,6</v>
      </c>
      <c r="K30" s="40"/>
    </row>
    <row r="31" spans="1:11" hidden="1" x14ac:dyDescent="0.3">
      <c r="A31" s="31"/>
      <c r="C31">
        <f ca="1">C30+0</f>
        <v>3</v>
      </c>
      <c r="D31" t="s">
        <v>34</v>
      </c>
      <c r="E31" t="s">
        <v>33</v>
      </c>
      <c r="F31" t="s">
        <v>32</v>
      </c>
      <c r="K31" s="27"/>
    </row>
    <row r="32" spans="1:11" hidden="1" x14ac:dyDescent="0.3">
      <c r="A32" s="31"/>
      <c r="D32" t="b">
        <f ca="1">ISODD(D29)</f>
        <v>0</v>
      </c>
      <c r="E32">
        <f ca="1">LEN(A27)</f>
        <v>4</v>
      </c>
      <c r="F32">
        <f ca="1">LEN(E29)+1</f>
        <v>2</v>
      </c>
      <c r="K32" s="27"/>
    </row>
    <row r="33" spans="1:11" hidden="1" x14ac:dyDescent="0.3">
      <c r="A33" s="31"/>
      <c r="K33" s="27"/>
    </row>
    <row r="34" spans="1:11" hidden="1" x14ac:dyDescent="0.3">
      <c r="A34" s="166" t="s">
        <v>44</v>
      </c>
      <c r="B34" s="167"/>
      <c r="C34" s="167"/>
      <c r="D34" s="167"/>
      <c r="E34" s="167"/>
      <c r="F34" s="167"/>
      <c r="G34" s="167"/>
      <c r="H34" s="167"/>
      <c r="I34" s="167"/>
      <c r="J34" s="167"/>
      <c r="K34" s="168"/>
    </row>
    <row r="35" spans="1:11" hidden="1" x14ac:dyDescent="0.3">
      <c r="A35" s="39" t="str">
        <f ca="1">K29</f>
        <v>0,6</v>
      </c>
      <c r="C35" t="str">
        <f ca="1">FIXED(A27,2)</f>
        <v>0,63</v>
      </c>
      <c r="D35" t="str">
        <f ca="1">RIGHT(C35,1)</f>
        <v>3</v>
      </c>
      <c r="E35">
        <f ca="1">D35+0</f>
        <v>3</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,6</v>
      </c>
      <c r="D37" t="str">
        <f ca="1">RIGHT(E37,1)</f>
        <v>0</v>
      </c>
      <c r="E37" s="36">
        <f ca="1">TRUNC(A35)</f>
        <v>0</v>
      </c>
      <c r="F37" s="14" t="str">
        <f ca="1">FIXED(A35-E37,G37)</f>
        <v>0,6</v>
      </c>
      <c r="G37">
        <f ca="1">ABS(E40-F40)</f>
        <v>1</v>
      </c>
      <c r="H37" t="str">
        <f ca="1">RIGHT(A35,G37)</f>
        <v>6</v>
      </c>
      <c r="I37">
        <v>0.5</v>
      </c>
      <c r="J37" s="12">
        <f ca="1">(A35-I37)</f>
        <v>9.9999999999999978E-2</v>
      </c>
      <c r="K37" s="35" t="str">
        <f ca="1">IF(C39=5,IF(AND(E35=0,D40=FALSE),J37,J38),J38)</f>
        <v>1</v>
      </c>
    </row>
    <row r="38" spans="1:11" hidden="1" x14ac:dyDescent="0.3">
      <c r="A38" s="31"/>
      <c r="C38" t="str">
        <f ca="1">RIGHT(C37,1)</f>
        <v>6</v>
      </c>
      <c r="D38">
        <f ca="1">D37+0</f>
        <v>0</v>
      </c>
      <c r="J38" t="str">
        <f ca="1">FIXED(A35,0)</f>
        <v>1</v>
      </c>
      <c r="K38" s="34"/>
    </row>
    <row r="39" spans="1:11" hidden="1" x14ac:dyDescent="0.3">
      <c r="A39" s="31"/>
      <c r="C39">
        <f ca="1">C38+0</f>
        <v>6</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69" t="s">
        <v>56</v>
      </c>
      <c r="B41" s="170"/>
      <c r="C41" s="170"/>
      <c r="D41" s="170"/>
      <c r="E41" s="170"/>
      <c r="F41" s="170"/>
      <c r="G41" s="170"/>
      <c r="H41" s="170"/>
      <c r="I41" s="170"/>
      <c r="J41" s="170"/>
      <c r="K41" s="171"/>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6" t="s">
        <v>47</v>
      </c>
      <c r="B50" s="167"/>
      <c r="C50" s="167"/>
      <c r="D50" s="167"/>
      <c r="E50" s="167"/>
      <c r="F50" s="167"/>
      <c r="G50" s="167"/>
      <c r="H50" s="167"/>
      <c r="I50" s="167"/>
      <c r="J50" s="167"/>
      <c r="K50" s="168"/>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6" t="s">
        <v>46</v>
      </c>
      <c r="B58" s="167"/>
      <c r="C58" s="167"/>
      <c r="D58" s="167"/>
      <c r="E58" s="167"/>
      <c r="F58" s="167"/>
      <c r="G58" s="167"/>
      <c r="H58" s="167"/>
      <c r="I58" s="167"/>
      <c r="J58" s="167"/>
      <c r="K58" s="168"/>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6" t="s">
        <v>45</v>
      </c>
      <c r="B66" s="167"/>
      <c r="C66" s="167"/>
      <c r="D66" s="167"/>
      <c r="E66" s="167"/>
      <c r="F66" s="167"/>
      <c r="G66" s="167"/>
      <c r="H66" s="167"/>
      <c r="I66" s="167"/>
      <c r="J66" s="167"/>
      <c r="K66" s="168"/>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6" t="s">
        <v>44</v>
      </c>
      <c r="B74" s="167"/>
      <c r="C74" s="167"/>
      <c r="D74" s="167"/>
      <c r="E74" s="167"/>
      <c r="F74" s="167"/>
      <c r="G74" s="167"/>
      <c r="H74" s="167"/>
      <c r="I74" s="167"/>
      <c r="J74" s="167"/>
      <c r="K74" s="168"/>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9" t="s">
        <v>55</v>
      </c>
      <c r="B81" s="170"/>
      <c r="C81" s="170"/>
      <c r="D81" s="170"/>
      <c r="E81" s="170"/>
      <c r="F81" s="170"/>
      <c r="G81" s="170"/>
      <c r="H81" s="170"/>
      <c r="I81" s="170"/>
      <c r="J81" s="170"/>
      <c r="K81" s="171"/>
    </row>
    <row r="82" spans="1:11" ht="15" thickBot="1" x14ac:dyDescent="0.35">
      <c r="A82" s="31" t="s">
        <v>30</v>
      </c>
      <c r="B82" s="18" t="s">
        <v>29</v>
      </c>
      <c r="C82" t="str">
        <f ca="1">FIXED(A83,6)</f>
        <v>0,663034</v>
      </c>
      <c r="D82" t="str">
        <f ca="1">RIGHT(C82,1)</f>
        <v>4</v>
      </c>
      <c r="E82">
        <f ca="1">D82/1000000</f>
        <v>3.9999999999999998E-6</v>
      </c>
      <c r="F82" s="30">
        <f ca="1">A83-E82</f>
        <v>0.6630303387473172</v>
      </c>
      <c r="H82" t="str">
        <f ca="1">IF(C87=5,IF(AND(D83=0,D88=FALSE),J85,J86),J86)</f>
        <v>0,6630</v>
      </c>
      <c r="K82" s="27"/>
    </row>
    <row r="83" spans="1:11" ht="18.600000000000001" thickBot="1" x14ac:dyDescent="0.4">
      <c r="A83" s="29">
        <f ca="1">INCERTIDUMBRE!L6</f>
        <v>0.66303433874731721</v>
      </c>
      <c r="B83" s="28" t="str">
        <f ca="1">IF(A83&gt;=10,K117,IF(A83&gt;=1,K109,IF(A83&gt;=0.1,K101,IF(A83&gt;=0.01,K93,IF(A83&gt;=0.001,K85)))))</f>
        <v>0,66</v>
      </c>
      <c r="C83" t="s">
        <v>28</v>
      </c>
      <c r="D83">
        <f ca="1">D82+0</f>
        <v>4</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17</v>
      </c>
      <c r="D85" t="str">
        <f ca="1">LEFT(C85,1)</f>
        <v>1</v>
      </c>
      <c r="E85" s="30">
        <f ca="1">TRUNC(A83)</f>
        <v>0</v>
      </c>
      <c r="F85" s="14" t="str">
        <f ca="1">FIXED(A83-E85,G85)</f>
        <v>0,663034338747317</v>
      </c>
      <c r="G85">
        <f ca="1">ABS(E88-F88)</f>
        <v>15</v>
      </c>
      <c r="H85" t="str">
        <f ca="1">RIGHT(A83,G85)</f>
        <v>663034338747317</v>
      </c>
      <c r="I85">
        <v>5.0000000000000002E-5</v>
      </c>
      <c r="J85" s="14">
        <f ca="1">(A83-I85)</f>
        <v>0.66298433874731721</v>
      </c>
      <c r="K85" s="45" t="str">
        <f ca="1">IF(C87=5,IF(AND(D83=0,D88=FALSE),J85,J86),J86)</f>
        <v>0,6630</v>
      </c>
    </row>
    <row r="86" spans="1:11" hidden="1" x14ac:dyDescent="0.3">
      <c r="A86" s="31"/>
      <c r="C86" t="str">
        <f ca="1">RIGHT(C85,1)</f>
        <v>7</v>
      </c>
      <c r="D86">
        <f ca="1">D85+0</f>
        <v>1</v>
      </c>
      <c r="J86" t="str">
        <f ca="1">FIXED(A83,4)</f>
        <v>0,6630</v>
      </c>
      <c r="K86" s="27"/>
    </row>
    <row r="87" spans="1:11" hidden="1" x14ac:dyDescent="0.3">
      <c r="A87" s="31"/>
      <c r="C87">
        <f ca="1">C86+0</f>
        <v>7</v>
      </c>
      <c r="D87" t="s">
        <v>34</v>
      </c>
      <c r="E87" t="s">
        <v>33</v>
      </c>
      <c r="F87" t="s">
        <v>32</v>
      </c>
      <c r="K87" s="27"/>
    </row>
    <row r="88" spans="1:11" hidden="1" x14ac:dyDescent="0.3">
      <c r="A88" s="31"/>
      <c r="D88" t="b">
        <f ca="1">ISODD(D85)</f>
        <v>1</v>
      </c>
      <c r="E88">
        <f ca="1">LEN(A83)</f>
        <v>17</v>
      </c>
      <c r="F88">
        <f ca="1">LEN(E85)+1</f>
        <v>2</v>
      </c>
      <c r="K88" s="27"/>
    </row>
    <row r="89" spans="1:11" hidden="1" x14ac:dyDescent="0.3">
      <c r="A89" s="31"/>
      <c r="K89" s="27"/>
    </row>
    <row r="90" spans="1:11" hidden="1" x14ac:dyDescent="0.3">
      <c r="A90" s="166" t="s">
        <v>47</v>
      </c>
      <c r="B90" s="167"/>
      <c r="C90" s="167"/>
      <c r="D90" s="167"/>
      <c r="E90" s="167"/>
      <c r="F90" s="167"/>
      <c r="G90" s="167"/>
      <c r="H90" s="167"/>
      <c r="I90" s="167"/>
      <c r="J90" s="167"/>
      <c r="K90" s="168"/>
    </row>
    <row r="91" spans="1:11" hidden="1" x14ac:dyDescent="0.3">
      <c r="A91" s="42" t="str">
        <f ca="1">K85</f>
        <v>0,6630</v>
      </c>
      <c r="C91" t="str">
        <f ca="1">FIXED(A83,5)</f>
        <v>0,66303</v>
      </c>
      <c r="D91" t="str">
        <f ca="1">RIGHT(C91,1)</f>
        <v>3</v>
      </c>
      <c r="E91">
        <f ca="1">D91+0</f>
        <v>3</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30</v>
      </c>
      <c r="D93" t="str">
        <f ca="1">LEFT(C93,1)</f>
        <v>3</v>
      </c>
      <c r="E93" s="36">
        <f ca="1">TRUNC(A91)</f>
        <v>0</v>
      </c>
      <c r="F93" s="14" t="str">
        <f ca="1">FIXED(A91-E93,G93)</f>
        <v>0,6630</v>
      </c>
      <c r="G93">
        <f ca="1">ABS(E96-F96)</f>
        <v>4</v>
      </c>
      <c r="H93" t="str">
        <f ca="1">RIGHT(A91,G93)</f>
        <v>6630</v>
      </c>
      <c r="I93">
        <v>5.0000000000000001E-4</v>
      </c>
      <c r="J93" s="44">
        <f ca="1">(A91-I93)</f>
        <v>0.66250000000000009</v>
      </c>
      <c r="K93" s="43" t="str">
        <f ca="1">IF(C95=5,IF(AND(E91=0,D96=FALSE),J93,J94),J94)</f>
        <v>0,663</v>
      </c>
    </row>
    <row r="94" spans="1:11" hidden="1" x14ac:dyDescent="0.3">
      <c r="A94" s="31"/>
      <c r="C94" t="str">
        <f ca="1">RIGHT(C93,1)</f>
        <v>0</v>
      </c>
      <c r="D94">
        <f ca="1">D93+0</f>
        <v>3</v>
      </c>
      <c r="J94" t="str">
        <f ca="1">FIXED(A91,3)</f>
        <v>0,663</v>
      </c>
      <c r="K94" s="27"/>
    </row>
    <row r="95" spans="1:11" hidden="1" x14ac:dyDescent="0.3">
      <c r="A95" s="31"/>
      <c r="C95">
        <f ca="1">C94+0</f>
        <v>0</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66" t="s">
        <v>46</v>
      </c>
      <c r="B98" s="167"/>
      <c r="C98" s="167"/>
      <c r="D98" s="167"/>
      <c r="E98" s="167"/>
      <c r="F98" s="167"/>
      <c r="G98" s="167"/>
      <c r="H98" s="167"/>
      <c r="I98" s="167"/>
      <c r="J98" s="167"/>
      <c r="K98" s="168"/>
    </row>
    <row r="99" spans="1:11" hidden="1" x14ac:dyDescent="0.3">
      <c r="A99" s="42" t="str">
        <f ca="1">K93</f>
        <v>0,663</v>
      </c>
      <c r="C99" t="str">
        <f ca="1">FIXED(A91,4)</f>
        <v>0,6630</v>
      </c>
      <c r="D99" t="str">
        <f ca="1">RIGHT(C99,1)</f>
        <v>0</v>
      </c>
      <c r="E99">
        <f ca="1">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63</v>
      </c>
      <c r="D101" t="str">
        <f ca="1">LEFT(C101,1)</f>
        <v>6</v>
      </c>
      <c r="E101" s="36">
        <f ca="1">TRUNC(A99)</f>
        <v>0</v>
      </c>
      <c r="F101" s="14" t="str">
        <f ca="1">FIXED(A99-E101,G101)</f>
        <v>0,663</v>
      </c>
      <c r="G101">
        <f ca="1">ABS(E104-F104)</f>
        <v>3</v>
      </c>
      <c r="H101" t="str">
        <f ca="1">RIGHT(A99,G101)</f>
        <v>663</v>
      </c>
      <c r="I101">
        <v>5.0000000000000001E-3</v>
      </c>
      <c r="J101" s="2">
        <f ca="1">(A99-I101)</f>
        <v>0.65800000000000003</v>
      </c>
      <c r="K101" s="41" t="str">
        <f ca="1">IF(C103=5,IF(AND(E99=0,D104=FALSE),J101,J102),J102)</f>
        <v>0,66</v>
      </c>
    </row>
    <row r="102" spans="1:11" ht="18" hidden="1" x14ac:dyDescent="0.35">
      <c r="A102" s="31"/>
      <c r="C102" t="str">
        <f ca="1">RIGHT(C101,1)</f>
        <v>3</v>
      </c>
      <c r="D102">
        <f ca="1">D101+0</f>
        <v>6</v>
      </c>
      <c r="J102" t="str">
        <f ca="1">FIXED(A99,2)</f>
        <v>0,66</v>
      </c>
      <c r="K102" s="41"/>
    </row>
    <row r="103" spans="1:11" hidden="1" x14ac:dyDescent="0.3">
      <c r="A103" s="31"/>
      <c r="C103">
        <f ca="1">C102+0</f>
        <v>3</v>
      </c>
      <c r="D103" t="s">
        <v>34</v>
      </c>
      <c r="E103" t="s">
        <v>33</v>
      </c>
      <c r="F103" t="s">
        <v>32</v>
      </c>
      <c r="K103" s="27"/>
    </row>
    <row r="104" spans="1:11" hidden="1" x14ac:dyDescent="0.3">
      <c r="A104" s="31"/>
      <c r="D104" t="b">
        <f ca="1">ISODD(D101)</f>
        <v>0</v>
      </c>
      <c r="E104">
        <f ca="1">LEN(A99)</f>
        <v>5</v>
      </c>
      <c r="F104">
        <f ca="1">LEN(E101)+1</f>
        <v>2</v>
      </c>
      <c r="K104" s="27"/>
    </row>
    <row r="105" spans="1:11" hidden="1" x14ac:dyDescent="0.3">
      <c r="A105" s="31"/>
      <c r="K105" s="27"/>
    </row>
    <row r="106" spans="1:11" hidden="1" x14ac:dyDescent="0.3">
      <c r="A106" s="166" t="s">
        <v>45</v>
      </c>
      <c r="B106" s="167"/>
      <c r="C106" s="167"/>
      <c r="D106" s="167"/>
      <c r="E106" s="167"/>
      <c r="F106" s="167"/>
      <c r="G106" s="167"/>
      <c r="H106" s="167"/>
      <c r="I106" s="167"/>
      <c r="J106" s="167"/>
      <c r="K106" s="168"/>
    </row>
    <row r="107" spans="1:11" hidden="1" x14ac:dyDescent="0.3">
      <c r="A107" s="39" t="str">
        <f ca="1">K101</f>
        <v>0,66</v>
      </c>
      <c r="C107" t="str">
        <f ca="1">FIXED(A99,3)</f>
        <v>0,663</v>
      </c>
      <c r="D107" t="str">
        <f ca="1">RIGHT(C107,1)</f>
        <v>3</v>
      </c>
      <c r="E107">
        <f ca="1">D107+0</f>
        <v>3</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66</v>
      </c>
      <c r="D109" t="str">
        <f ca="1">LEFT(C109,1)</f>
        <v>6</v>
      </c>
      <c r="E109" s="36">
        <f ca="1">TRUNC(A107)</f>
        <v>0</v>
      </c>
      <c r="F109" s="14" t="str">
        <f ca="1">FIXED(A107-E109,G109)</f>
        <v>0,66</v>
      </c>
      <c r="G109">
        <f ca="1">ABS(E112-F112)</f>
        <v>2</v>
      </c>
      <c r="H109" t="str">
        <f ca="1">RIGHT(A107,G109)</f>
        <v>66</v>
      </c>
      <c r="I109">
        <v>0.05</v>
      </c>
      <c r="J109" s="2">
        <f ca="1">(A107-I109)</f>
        <v>0.61</v>
      </c>
      <c r="K109" s="41" t="str">
        <f ca="1">IF(C111=5,IF(AND(E107=0,D112=FALSE),J109,J110),J110)</f>
        <v>0,7</v>
      </c>
    </row>
    <row r="110" spans="1:11" hidden="1" x14ac:dyDescent="0.3">
      <c r="A110" s="31"/>
      <c r="C110" t="str">
        <f ca="1">RIGHT(C109,1)</f>
        <v>6</v>
      </c>
      <c r="D110">
        <f ca="1">D109+0</f>
        <v>6</v>
      </c>
      <c r="J110" t="str">
        <f ca="1">FIXED(A107,1)</f>
        <v>0,7</v>
      </c>
      <c r="K110" s="40"/>
    </row>
    <row r="111" spans="1:11" hidden="1" x14ac:dyDescent="0.3">
      <c r="A111" s="31"/>
      <c r="C111">
        <f ca="1">C110+0</f>
        <v>6</v>
      </c>
      <c r="D111" t="s">
        <v>34</v>
      </c>
      <c r="E111" t="s">
        <v>33</v>
      </c>
      <c r="F111" t="s">
        <v>32</v>
      </c>
      <c r="K111" s="27"/>
    </row>
    <row r="112" spans="1:11" hidden="1" x14ac:dyDescent="0.3">
      <c r="A112" s="31"/>
      <c r="D112" t="b">
        <f ca="1">ISODD(D109)</f>
        <v>0</v>
      </c>
      <c r="E112">
        <f ca="1">LEN(A107)</f>
        <v>4</v>
      </c>
      <c r="F112">
        <f ca="1">LEN(E109)+1</f>
        <v>2</v>
      </c>
      <c r="K112" s="27"/>
    </row>
    <row r="113" spans="1:11" hidden="1" x14ac:dyDescent="0.3">
      <c r="A113" s="31"/>
      <c r="K113" s="27"/>
    </row>
    <row r="114" spans="1:11" hidden="1" x14ac:dyDescent="0.3">
      <c r="A114" s="166" t="s">
        <v>44</v>
      </c>
      <c r="B114" s="167"/>
      <c r="C114" s="167"/>
      <c r="D114" s="167"/>
      <c r="E114" s="167"/>
      <c r="F114" s="167"/>
      <c r="G114" s="167"/>
      <c r="H114" s="167"/>
      <c r="I114" s="167"/>
      <c r="J114" s="167"/>
      <c r="K114" s="168"/>
    </row>
    <row r="115" spans="1:11" hidden="1" x14ac:dyDescent="0.3">
      <c r="A115" s="39" t="str">
        <f ca="1">K109</f>
        <v>0,7</v>
      </c>
      <c r="C115" t="str">
        <f ca="1">FIXED(A107,2)</f>
        <v>0,66</v>
      </c>
      <c r="D115" t="str">
        <f ca="1">RIGHT(C115,1)</f>
        <v>6</v>
      </c>
      <c r="E115">
        <f ca="1">D115+0</f>
        <v>6</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,7</v>
      </c>
      <c r="D117" t="str">
        <f ca="1">RIGHT(E117,1)</f>
        <v>0</v>
      </c>
      <c r="E117" s="36">
        <f ca="1">TRUNC(A115)</f>
        <v>0</v>
      </c>
      <c r="F117" s="14" t="str">
        <f ca="1">FIXED(A115-E117,G117)</f>
        <v>0,7</v>
      </c>
      <c r="G117">
        <f ca="1">ABS(E120-F120)</f>
        <v>1</v>
      </c>
      <c r="H117" t="str">
        <f ca="1">RIGHT(A115,G117)</f>
        <v>7</v>
      </c>
      <c r="I117">
        <v>0.5</v>
      </c>
      <c r="J117" s="12">
        <f ca="1">(A115-I117)</f>
        <v>0.19999999999999996</v>
      </c>
      <c r="K117" s="35" t="str">
        <f ca="1">IF(C119=5,IF(AND(E115=0,D120=FALSE),J117,J118),J118)</f>
        <v>1</v>
      </c>
    </row>
    <row r="118" spans="1:11" hidden="1" x14ac:dyDescent="0.3">
      <c r="A118" s="31"/>
      <c r="C118" t="str">
        <f ca="1">RIGHT(C117,1)</f>
        <v>7</v>
      </c>
      <c r="D118">
        <f ca="1">D117+0</f>
        <v>0</v>
      </c>
      <c r="J118" t="str">
        <f ca="1">FIXED(A115,0)</f>
        <v>1</v>
      </c>
      <c r="K118" s="34"/>
    </row>
    <row r="119" spans="1:11" hidden="1" x14ac:dyDescent="0.3">
      <c r="A119" s="31"/>
      <c r="C119">
        <f ca="1">C118+0</f>
        <v>7</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69" t="s">
        <v>54</v>
      </c>
      <c r="B122" s="170"/>
      <c r="C122" s="170"/>
      <c r="D122" s="170"/>
      <c r="E122" s="170"/>
      <c r="F122" s="170"/>
      <c r="G122" s="170"/>
      <c r="H122" s="170"/>
      <c r="I122" s="170"/>
      <c r="J122" s="170"/>
      <c r="K122" s="171"/>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6" t="s">
        <v>47</v>
      </c>
      <c r="B131" s="167"/>
      <c r="C131" s="167"/>
      <c r="D131" s="167"/>
      <c r="E131" s="167"/>
      <c r="F131" s="167"/>
      <c r="G131" s="167"/>
      <c r="H131" s="167"/>
      <c r="I131" s="167"/>
      <c r="J131" s="167"/>
      <c r="K131" s="168"/>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6" t="s">
        <v>46</v>
      </c>
      <c r="B139" s="167"/>
      <c r="C139" s="167"/>
      <c r="D139" s="167"/>
      <c r="E139" s="167"/>
      <c r="F139" s="167"/>
      <c r="G139" s="167"/>
      <c r="H139" s="167"/>
      <c r="I139" s="167"/>
      <c r="J139" s="167"/>
      <c r="K139" s="168"/>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6" t="s">
        <v>45</v>
      </c>
      <c r="B147" s="167"/>
      <c r="C147" s="167"/>
      <c r="D147" s="167"/>
      <c r="E147" s="167"/>
      <c r="F147" s="167"/>
      <c r="G147" s="167"/>
      <c r="H147" s="167"/>
      <c r="I147" s="167"/>
      <c r="J147" s="167"/>
      <c r="K147" s="168"/>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6" t="s">
        <v>44</v>
      </c>
      <c r="B155" s="167"/>
      <c r="C155" s="167"/>
      <c r="D155" s="167"/>
      <c r="E155" s="167"/>
      <c r="F155" s="167"/>
      <c r="G155" s="167"/>
      <c r="H155" s="167"/>
      <c r="I155" s="167"/>
      <c r="J155" s="167"/>
      <c r="K155" s="168"/>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9" t="s">
        <v>53</v>
      </c>
      <c r="B162" s="170"/>
      <c r="C162" s="170"/>
      <c r="D162" s="170"/>
      <c r="E162" s="170"/>
      <c r="F162" s="170"/>
      <c r="G162" s="170"/>
      <c r="H162" s="170"/>
      <c r="I162" s="170"/>
      <c r="J162" s="170"/>
      <c r="K162" s="171"/>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6" t="s">
        <v>47</v>
      </c>
      <c r="B171" s="167"/>
      <c r="C171" s="167"/>
      <c r="D171" s="167"/>
      <c r="E171" s="167"/>
      <c r="F171" s="167"/>
      <c r="G171" s="167"/>
      <c r="H171" s="167"/>
      <c r="I171" s="167"/>
      <c r="J171" s="167"/>
      <c r="K171" s="168"/>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6" t="s">
        <v>46</v>
      </c>
      <c r="B179" s="167"/>
      <c r="C179" s="167"/>
      <c r="D179" s="167"/>
      <c r="E179" s="167"/>
      <c r="F179" s="167"/>
      <c r="G179" s="167"/>
      <c r="H179" s="167"/>
      <c r="I179" s="167"/>
      <c r="J179" s="167"/>
      <c r="K179" s="168"/>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6" t="s">
        <v>45</v>
      </c>
      <c r="B187" s="167"/>
      <c r="C187" s="167"/>
      <c r="D187" s="167"/>
      <c r="E187" s="167"/>
      <c r="F187" s="167"/>
      <c r="G187" s="167"/>
      <c r="H187" s="167"/>
      <c r="I187" s="167"/>
      <c r="J187" s="167"/>
      <c r="K187" s="168"/>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6" t="s">
        <v>44</v>
      </c>
      <c r="B195" s="167"/>
      <c r="C195" s="167"/>
      <c r="D195" s="167"/>
      <c r="E195" s="167"/>
      <c r="F195" s="167"/>
      <c r="G195" s="167"/>
      <c r="H195" s="167"/>
      <c r="I195" s="167"/>
      <c r="J195" s="167"/>
      <c r="K195" s="168"/>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9" t="s">
        <v>53</v>
      </c>
      <c r="B202" s="170"/>
      <c r="C202" s="170"/>
      <c r="D202" s="170"/>
      <c r="E202" s="170"/>
      <c r="F202" s="170"/>
      <c r="G202" s="170"/>
      <c r="H202" s="170"/>
      <c r="I202" s="170"/>
      <c r="J202" s="170"/>
      <c r="K202" s="171"/>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6" t="s">
        <v>47</v>
      </c>
      <c r="B211" s="167"/>
      <c r="C211" s="167"/>
      <c r="D211" s="167"/>
      <c r="E211" s="167"/>
      <c r="F211" s="167"/>
      <c r="G211" s="167"/>
      <c r="H211" s="167"/>
      <c r="I211" s="167"/>
      <c r="J211" s="167"/>
      <c r="K211" s="168"/>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6" t="s">
        <v>46</v>
      </c>
      <c r="B219" s="167"/>
      <c r="C219" s="167"/>
      <c r="D219" s="167"/>
      <c r="E219" s="167"/>
      <c r="F219" s="167"/>
      <c r="G219" s="167"/>
      <c r="H219" s="167"/>
      <c r="I219" s="167"/>
      <c r="J219" s="167"/>
      <c r="K219" s="168"/>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6" t="s">
        <v>45</v>
      </c>
      <c r="B227" s="167"/>
      <c r="C227" s="167"/>
      <c r="D227" s="167"/>
      <c r="E227" s="167"/>
      <c r="F227" s="167"/>
      <c r="G227" s="167"/>
      <c r="H227" s="167"/>
      <c r="I227" s="167"/>
      <c r="J227" s="167"/>
      <c r="K227" s="168"/>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6" t="s">
        <v>44</v>
      </c>
      <c r="B235" s="167"/>
      <c r="C235" s="167"/>
      <c r="D235" s="167"/>
      <c r="E235" s="167"/>
      <c r="F235" s="167"/>
      <c r="G235" s="167"/>
      <c r="H235" s="167"/>
      <c r="I235" s="167"/>
      <c r="J235" s="167"/>
      <c r="K235" s="168"/>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9" t="s">
        <v>52</v>
      </c>
      <c r="B242" s="170"/>
      <c r="C242" s="170"/>
      <c r="D242" s="170"/>
      <c r="E242" s="170"/>
      <c r="F242" s="170"/>
      <c r="G242" s="170"/>
      <c r="H242" s="170"/>
      <c r="I242" s="170"/>
      <c r="J242" s="170"/>
      <c r="K242" s="171"/>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6" t="s">
        <v>47</v>
      </c>
      <c r="B251" s="167"/>
      <c r="C251" s="167"/>
      <c r="D251" s="167"/>
      <c r="E251" s="167"/>
      <c r="F251" s="167"/>
      <c r="G251" s="167"/>
      <c r="H251" s="167"/>
      <c r="I251" s="167"/>
      <c r="J251" s="167"/>
      <c r="K251" s="168"/>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6" t="s">
        <v>46</v>
      </c>
      <c r="B259" s="167"/>
      <c r="C259" s="167"/>
      <c r="D259" s="167"/>
      <c r="E259" s="167"/>
      <c r="F259" s="167"/>
      <c r="G259" s="167"/>
      <c r="H259" s="167"/>
      <c r="I259" s="167"/>
      <c r="J259" s="167"/>
      <c r="K259" s="168"/>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6" t="s">
        <v>45</v>
      </c>
      <c r="B267" s="167"/>
      <c r="C267" s="167"/>
      <c r="D267" s="167"/>
      <c r="E267" s="167"/>
      <c r="F267" s="167"/>
      <c r="G267" s="167"/>
      <c r="H267" s="167"/>
      <c r="I267" s="167"/>
      <c r="J267" s="167"/>
      <c r="K267" s="168"/>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6" t="s">
        <v>44</v>
      </c>
      <c r="B275" s="167"/>
      <c r="C275" s="167"/>
      <c r="D275" s="167"/>
      <c r="E275" s="167"/>
      <c r="F275" s="167"/>
      <c r="G275" s="167"/>
      <c r="H275" s="167"/>
      <c r="I275" s="167"/>
      <c r="J275" s="167"/>
      <c r="K275" s="168"/>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9" t="s">
        <v>51</v>
      </c>
      <c r="B282" s="170"/>
      <c r="C282" s="170"/>
      <c r="D282" s="170"/>
      <c r="E282" s="170"/>
      <c r="F282" s="170"/>
      <c r="G282" s="170"/>
      <c r="H282" s="170"/>
      <c r="I282" s="170"/>
      <c r="J282" s="170"/>
      <c r="K282" s="171"/>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6" t="s">
        <v>47</v>
      </c>
      <c r="B291" s="167"/>
      <c r="C291" s="167"/>
      <c r="D291" s="167"/>
      <c r="E291" s="167"/>
      <c r="F291" s="167"/>
      <c r="G291" s="167"/>
      <c r="H291" s="167"/>
      <c r="I291" s="167"/>
      <c r="J291" s="167"/>
      <c r="K291" s="168"/>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6" t="s">
        <v>46</v>
      </c>
      <c r="B299" s="167"/>
      <c r="C299" s="167"/>
      <c r="D299" s="167"/>
      <c r="E299" s="167"/>
      <c r="F299" s="167"/>
      <c r="G299" s="167"/>
      <c r="H299" s="167"/>
      <c r="I299" s="167"/>
      <c r="J299" s="167"/>
      <c r="K299" s="168"/>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6" t="s">
        <v>45</v>
      </c>
      <c r="B307" s="167"/>
      <c r="C307" s="167"/>
      <c r="D307" s="167"/>
      <c r="E307" s="167"/>
      <c r="F307" s="167"/>
      <c r="G307" s="167"/>
      <c r="H307" s="167"/>
      <c r="I307" s="167"/>
      <c r="J307" s="167"/>
      <c r="K307" s="168"/>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6" t="s">
        <v>44</v>
      </c>
      <c r="B315" s="167"/>
      <c r="C315" s="167"/>
      <c r="D315" s="167"/>
      <c r="E315" s="167"/>
      <c r="F315" s="167"/>
      <c r="G315" s="167"/>
      <c r="H315" s="167"/>
      <c r="I315" s="167"/>
      <c r="J315" s="167"/>
      <c r="K315" s="168"/>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9" t="s">
        <v>50</v>
      </c>
      <c r="B322" s="170"/>
      <c r="C322" s="170"/>
      <c r="D322" s="170"/>
      <c r="E322" s="170"/>
      <c r="F322" s="170"/>
      <c r="G322" s="170"/>
      <c r="H322" s="170"/>
      <c r="I322" s="170"/>
      <c r="J322" s="170"/>
      <c r="K322" s="171"/>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6" t="s">
        <v>47</v>
      </c>
      <c r="B331" s="167"/>
      <c r="C331" s="167"/>
      <c r="D331" s="167"/>
      <c r="E331" s="167"/>
      <c r="F331" s="167"/>
      <c r="G331" s="167"/>
      <c r="H331" s="167"/>
      <c r="I331" s="167"/>
      <c r="J331" s="167"/>
      <c r="K331" s="168"/>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6" t="s">
        <v>46</v>
      </c>
      <c r="B339" s="167"/>
      <c r="C339" s="167"/>
      <c r="D339" s="167"/>
      <c r="E339" s="167"/>
      <c r="F339" s="167"/>
      <c r="G339" s="167"/>
      <c r="H339" s="167"/>
      <c r="I339" s="167"/>
      <c r="J339" s="167"/>
      <c r="K339" s="168"/>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6" t="s">
        <v>45</v>
      </c>
      <c r="B347" s="167"/>
      <c r="C347" s="167"/>
      <c r="D347" s="167"/>
      <c r="E347" s="167"/>
      <c r="F347" s="167"/>
      <c r="G347" s="167"/>
      <c r="H347" s="167"/>
      <c r="I347" s="167"/>
      <c r="J347" s="167"/>
      <c r="K347" s="168"/>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6" t="s">
        <v>44</v>
      </c>
      <c r="B355" s="167"/>
      <c r="C355" s="167"/>
      <c r="D355" s="167"/>
      <c r="E355" s="167"/>
      <c r="F355" s="167"/>
      <c r="G355" s="167"/>
      <c r="H355" s="167"/>
      <c r="I355" s="167"/>
      <c r="J355" s="167"/>
      <c r="K355" s="168"/>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9" t="s">
        <v>49</v>
      </c>
      <c r="B362" s="170"/>
      <c r="C362" s="170"/>
      <c r="D362" s="170"/>
      <c r="E362" s="170"/>
      <c r="F362" s="170"/>
      <c r="G362" s="170"/>
      <c r="H362" s="170"/>
      <c r="I362" s="170"/>
      <c r="J362" s="170"/>
      <c r="K362" s="171"/>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6" t="s">
        <v>47</v>
      </c>
      <c r="B371" s="167"/>
      <c r="C371" s="167"/>
      <c r="D371" s="167"/>
      <c r="E371" s="167"/>
      <c r="F371" s="167"/>
      <c r="G371" s="167"/>
      <c r="H371" s="167"/>
      <c r="I371" s="167"/>
      <c r="J371" s="167"/>
      <c r="K371" s="168"/>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6" t="s">
        <v>46</v>
      </c>
      <c r="B379" s="167"/>
      <c r="C379" s="167"/>
      <c r="D379" s="167"/>
      <c r="E379" s="167"/>
      <c r="F379" s="167"/>
      <c r="G379" s="167"/>
      <c r="H379" s="167"/>
      <c r="I379" s="167"/>
      <c r="J379" s="167"/>
      <c r="K379" s="168"/>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6" t="s">
        <v>45</v>
      </c>
      <c r="B387" s="167"/>
      <c r="C387" s="167"/>
      <c r="D387" s="167"/>
      <c r="E387" s="167"/>
      <c r="F387" s="167"/>
      <c r="G387" s="167"/>
      <c r="H387" s="167"/>
      <c r="I387" s="167"/>
      <c r="J387" s="167"/>
      <c r="K387" s="168"/>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6" t="s">
        <v>44</v>
      </c>
      <c r="B395" s="167"/>
      <c r="C395" s="167"/>
      <c r="D395" s="167"/>
      <c r="E395" s="167"/>
      <c r="F395" s="167"/>
      <c r="G395" s="167"/>
      <c r="H395" s="167"/>
      <c r="I395" s="167"/>
      <c r="J395" s="167"/>
      <c r="K395" s="168"/>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9" t="s">
        <v>48</v>
      </c>
      <c r="B402" s="170"/>
      <c r="C402" s="170"/>
      <c r="D402" s="170"/>
      <c r="E402" s="170"/>
      <c r="F402" s="170"/>
      <c r="G402" s="170"/>
      <c r="H402" s="170"/>
      <c r="I402" s="170"/>
      <c r="J402" s="170"/>
      <c r="K402" s="171"/>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6" t="s">
        <v>47</v>
      </c>
      <c r="B411" s="167"/>
      <c r="C411" s="167"/>
      <c r="D411" s="167"/>
      <c r="E411" s="167"/>
      <c r="F411" s="167"/>
      <c r="G411" s="167"/>
      <c r="H411" s="167"/>
      <c r="I411" s="167"/>
      <c r="J411" s="167"/>
      <c r="K411" s="168"/>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6" t="s">
        <v>46</v>
      </c>
      <c r="B419" s="167"/>
      <c r="C419" s="167"/>
      <c r="D419" s="167"/>
      <c r="E419" s="167"/>
      <c r="F419" s="167"/>
      <c r="G419" s="167"/>
      <c r="H419" s="167"/>
      <c r="I419" s="167"/>
      <c r="J419" s="167"/>
      <c r="K419" s="168"/>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6" t="s">
        <v>45</v>
      </c>
      <c r="B427" s="167"/>
      <c r="C427" s="167"/>
      <c r="D427" s="167"/>
      <c r="E427" s="167"/>
      <c r="F427" s="167"/>
      <c r="G427" s="167"/>
      <c r="H427" s="167"/>
      <c r="I427" s="167"/>
      <c r="J427" s="167"/>
      <c r="K427" s="168"/>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6" t="s">
        <v>44</v>
      </c>
      <c r="B435" s="167"/>
      <c r="C435" s="167"/>
      <c r="D435" s="167"/>
      <c r="E435" s="167"/>
      <c r="F435" s="167"/>
      <c r="G435" s="167"/>
      <c r="H435" s="167"/>
      <c r="I435" s="167"/>
      <c r="J435" s="167"/>
      <c r="K435" s="168"/>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9" t="s">
        <v>31</v>
      </c>
      <c r="B442" s="170"/>
      <c r="C442" s="170"/>
      <c r="D442" s="170"/>
      <c r="E442" s="170"/>
      <c r="F442" s="170"/>
      <c r="G442" s="170"/>
      <c r="H442" s="170"/>
      <c r="I442" s="170"/>
      <c r="J442" s="170"/>
      <c r="K442" s="171"/>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6" t="s">
        <v>47</v>
      </c>
      <c r="D451" s="167"/>
      <c r="E451" s="167"/>
      <c r="F451" s="167"/>
      <c r="G451" s="167"/>
      <c r="H451" s="167"/>
      <c r="I451" s="167"/>
      <c r="J451" s="167"/>
      <c r="K451" s="167"/>
      <c r="L451" s="167"/>
      <c r="M451" s="168"/>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6" t="s">
        <v>46</v>
      </c>
      <c r="D459" s="167"/>
      <c r="E459" s="167"/>
      <c r="F459" s="167"/>
      <c r="G459" s="167"/>
      <c r="H459" s="167"/>
      <c r="I459" s="167"/>
      <c r="J459" s="167"/>
      <c r="K459" s="167"/>
      <c r="L459" s="167"/>
      <c r="M459" s="168"/>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6" t="s">
        <v>45</v>
      </c>
      <c r="D467" s="167"/>
      <c r="E467" s="167"/>
      <c r="F467" s="167"/>
      <c r="G467" s="167"/>
      <c r="H467" s="167"/>
      <c r="I467" s="167"/>
      <c r="J467" s="167"/>
      <c r="K467" s="167"/>
      <c r="L467" s="167"/>
      <c r="M467" s="168"/>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6" t="s">
        <v>44</v>
      </c>
      <c r="D475" s="167"/>
      <c r="E475" s="167"/>
      <c r="F475" s="167"/>
      <c r="G475" s="167"/>
      <c r="H475" s="167"/>
      <c r="I475" s="167"/>
      <c r="J475" s="167"/>
      <c r="K475" s="167"/>
      <c r="L475" s="167"/>
      <c r="M475" s="168"/>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8"/>
  <sheetViews>
    <sheetView zoomScaleNormal="100" workbookViewId="0">
      <selection activeCell="AD14" sqref="AD14:AE16"/>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3" x14ac:dyDescent="0.3">
      <c r="A1"/>
      <c r="B1"/>
      <c r="C1"/>
      <c r="D1"/>
      <c r="E1"/>
      <c r="F1"/>
      <c r="G1"/>
      <c r="H1"/>
      <c r="I1"/>
      <c r="J1"/>
      <c r="K1"/>
      <c r="L1"/>
      <c r="M1"/>
      <c r="N1"/>
      <c r="O1"/>
      <c r="P1"/>
      <c r="Q1"/>
      <c r="R1"/>
      <c r="S1"/>
      <c r="T1"/>
      <c r="U1"/>
      <c r="V1"/>
      <c r="W1"/>
      <c r="X1"/>
      <c r="Y1"/>
      <c r="Z1"/>
      <c r="AA1"/>
      <c r="AB1"/>
      <c r="AC1"/>
    </row>
    <row r="2" spans="1:33" hidden="1" x14ac:dyDescent="0.3">
      <c r="A2"/>
      <c r="B2"/>
      <c r="C2"/>
      <c r="D2"/>
      <c r="E2"/>
      <c r="F2"/>
      <c r="G2"/>
      <c r="H2"/>
      <c r="I2"/>
      <c r="J2"/>
      <c r="K2"/>
      <c r="L2"/>
      <c r="M2"/>
      <c r="N2"/>
      <c r="O2"/>
      <c r="P2"/>
      <c r="Q2"/>
      <c r="R2"/>
      <c r="S2"/>
      <c r="T2"/>
      <c r="U2"/>
      <c r="V2"/>
      <c r="W2"/>
      <c r="X2"/>
      <c r="Y2"/>
      <c r="Z2"/>
      <c r="AA2"/>
      <c r="AB2"/>
      <c r="AC2"/>
      <c r="AD2"/>
      <c r="AE2"/>
      <c r="AF2"/>
    </row>
    <row r="3" spans="1:33" x14ac:dyDescent="0.3">
      <c r="A3"/>
      <c r="B3" s="172" t="s">
        <v>145</v>
      </c>
      <c r="C3" s="172"/>
      <c r="D3" s="172"/>
      <c r="E3" s="172"/>
      <c r="F3" s="172"/>
      <c r="G3" s="172"/>
      <c r="H3" s="172"/>
      <c r="I3" s="172"/>
      <c r="J3" s="172"/>
      <c r="K3" s="172"/>
      <c r="L3" s="172"/>
      <c r="M3" s="172"/>
      <c r="N3" s="172"/>
      <c r="O3" s="172"/>
      <c r="P3"/>
      <c r="Q3"/>
      <c r="R3"/>
      <c r="S3"/>
      <c r="T3" s="180" t="s">
        <v>148</v>
      </c>
      <c r="U3" s="180"/>
      <c r="V3" s="180"/>
      <c r="W3" s="180"/>
      <c r="X3" s="180"/>
      <c r="Y3" s="180"/>
      <c r="Z3" s="180"/>
      <c r="AA3" s="180"/>
      <c r="AB3" s="180"/>
      <c r="AC3" s="180"/>
      <c r="AD3" s="180"/>
      <c r="AE3" s="180"/>
      <c r="AF3" s="180"/>
      <c r="AG3" s="180"/>
    </row>
    <row r="4" spans="1:33" ht="14.4" customHeight="1" x14ac:dyDescent="0.3">
      <c r="A4"/>
      <c r="B4" s="112" t="s">
        <v>150</v>
      </c>
      <c r="C4" s="112"/>
      <c r="D4" s="113" t="s">
        <v>120</v>
      </c>
      <c r="E4" s="113"/>
      <c r="F4" s="113"/>
      <c r="G4" s="113"/>
      <c r="H4" s="113"/>
      <c r="I4" s="113"/>
      <c r="J4" s="113"/>
      <c r="K4" s="113"/>
      <c r="L4" s="91"/>
      <c r="M4" s="92"/>
      <c r="N4" s="92"/>
      <c r="O4" s="92"/>
      <c r="P4"/>
      <c r="Q4"/>
      <c r="R4"/>
      <c r="S4"/>
      <c r="T4" s="112" t="s">
        <v>150</v>
      </c>
      <c r="U4" s="112"/>
      <c r="V4" s="113" t="s">
        <v>120</v>
      </c>
      <c r="W4" s="113"/>
      <c r="X4" s="113"/>
      <c r="Y4" s="113"/>
      <c r="Z4" s="113"/>
      <c r="AA4" s="113"/>
      <c r="AB4" s="113"/>
      <c r="AC4" s="113"/>
      <c r="AD4" s="91"/>
      <c r="AE4" s="92"/>
      <c r="AF4" s="92"/>
      <c r="AG4" s="92"/>
    </row>
    <row r="5" spans="1:33" ht="25.95" customHeight="1" x14ac:dyDescent="0.3">
      <c r="A5"/>
      <c r="B5" s="112"/>
      <c r="C5" s="112"/>
      <c r="D5" s="116" t="s">
        <v>151</v>
      </c>
      <c r="E5" s="116"/>
      <c r="F5" s="116" t="s">
        <v>152</v>
      </c>
      <c r="G5" s="116"/>
      <c r="H5" s="116" t="s">
        <v>153</v>
      </c>
      <c r="I5" s="116"/>
      <c r="J5" s="116" t="s">
        <v>154</v>
      </c>
      <c r="K5" s="116"/>
      <c r="L5" s="112" t="s">
        <v>155</v>
      </c>
      <c r="M5" s="112"/>
      <c r="N5" s="112" t="s">
        <v>156</v>
      </c>
      <c r="O5" s="112"/>
      <c r="P5"/>
      <c r="Q5"/>
      <c r="R5"/>
      <c r="S5"/>
      <c r="T5" s="112"/>
      <c r="U5" s="112"/>
      <c r="V5" s="116" t="s">
        <v>151</v>
      </c>
      <c r="W5" s="116"/>
      <c r="X5" s="116" t="s">
        <v>152</v>
      </c>
      <c r="Y5" s="116"/>
      <c r="Z5" s="116" t="s">
        <v>153</v>
      </c>
      <c r="AA5" s="116"/>
      <c r="AB5" s="116" t="s">
        <v>154</v>
      </c>
      <c r="AC5" s="116"/>
      <c r="AD5" s="112" t="s">
        <v>155</v>
      </c>
      <c r="AE5" s="112"/>
      <c r="AF5"/>
      <c r="AG5"/>
    </row>
    <row r="6" spans="1:33" x14ac:dyDescent="0.3">
      <c r="A6"/>
      <c r="B6" s="173">
        <v>50</v>
      </c>
      <c r="C6" s="173"/>
      <c r="D6" s="174">
        <v>51</v>
      </c>
      <c r="E6" s="174"/>
      <c r="F6" s="175">
        <f ca="1">D6+((RAND()*(0.3-0.1)+0.1)*RANDBETWEEN(-1,1))</f>
        <v>51.231122443514053</v>
      </c>
      <c r="G6" s="175"/>
      <c r="H6" s="175">
        <f ca="1">D6+((RAND()*(0.3-0.1)+0.1)*RANDBETWEEN(-1,1))</f>
        <v>51</v>
      </c>
      <c r="I6" s="175"/>
      <c r="J6" s="175">
        <f ca="1">D6+((RAND()*(0.3-0.1)+0.1)*RANDBETWEEN(-1,1))</f>
        <v>51</v>
      </c>
      <c r="K6" s="175"/>
      <c r="L6" s="175">
        <f ca="1">AVERAGE(D6:K6)</f>
        <v>51.05778061087851</v>
      </c>
      <c r="M6" s="175"/>
      <c r="N6" s="175">
        <f ca="1">B6-L6</f>
        <v>-1.0577806108785097</v>
      </c>
      <c r="O6" s="175"/>
      <c r="P6"/>
      <c r="Q6"/>
      <c r="R6"/>
      <c r="S6"/>
      <c r="T6" s="173">
        <v>50</v>
      </c>
      <c r="U6" s="173"/>
      <c r="V6" s="181">
        <v>19</v>
      </c>
      <c r="W6" s="181"/>
      <c r="X6" s="182">
        <f ca="1">V6+((RAND()*(0.9-0.1)+0.7)*RANDBETWEEN(-1,1))</f>
        <v>19.786881240629192</v>
      </c>
      <c r="Y6" s="182"/>
      <c r="Z6" s="182">
        <f ca="1">V6+((RAND()*(0.9-0.1)+0.7)*RANDBETWEEN(-1,1))</f>
        <v>19.798918370948009</v>
      </c>
      <c r="AA6" s="182"/>
      <c r="AB6" s="182">
        <f ca="1">V6+((RAND()*(0.9-0.1)+0.7)*RANDBETWEEN(-1,1))</f>
        <v>19.97628658934849</v>
      </c>
      <c r="AC6" s="182"/>
      <c r="AD6" s="182">
        <f ca="1">AVERAGE(V6:AC6)</f>
        <v>19.640521550231423</v>
      </c>
      <c r="AE6" s="182"/>
      <c r="AF6"/>
      <c r="AG6"/>
    </row>
    <row r="7" spans="1:33" x14ac:dyDescent="0.3">
      <c r="A7"/>
      <c r="B7" s="173">
        <v>100</v>
      </c>
      <c r="C7" s="173"/>
      <c r="D7" s="174">
        <v>100.3</v>
      </c>
      <c r="E7" s="174"/>
      <c r="F7" s="175">
        <f t="shared" ref="F7:F8" ca="1" si="0">D7+((RAND()*(0.3-0.1)+0.1)*RANDBETWEEN(-1,1))</f>
        <v>100.3</v>
      </c>
      <c r="G7" s="175"/>
      <c r="H7" s="175">
        <f t="shared" ref="H7:H8" ca="1" si="1">D7+((RAND()*(0.3-0.1)+0.1)*RANDBETWEEN(-1,1))</f>
        <v>100.46651563110377</v>
      </c>
      <c r="I7" s="175"/>
      <c r="J7" s="175">
        <f t="shared" ref="J7:J8" ca="1" si="2">D7+((RAND()*(0.3-0.1)+0.1)*RANDBETWEEN(-1,1))</f>
        <v>100.41047216351934</v>
      </c>
      <c r="K7" s="175"/>
      <c r="L7" s="175">
        <f t="shared" ref="L7:L8" ca="1" si="3">AVERAGE(D7:K7)</f>
        <v>100.36924694865577</v>
      </c>
      <c r="M7" s="175"/>
      <c r="N7" s="175">
        <f t="shared" ref="N7:N8" ca="1" si="4">B7-L7</f>
        <v>-0.36924694865577123</v>
      </c>
      <c r="O7" s="175"/>
      <c r="P7"/>
      <c r="Q7"/>
      <c r="R7"/>
      <c r="S7"/>
      <c r="T7" s="173">
        <v>100</v>
      </c>
      <c r="U7" s="173"/>
      <c r="V7" s="181">
        <v>102</v>
      </c>
      <c r="W7" s="181"/>
      <c r="X7" s="182">
        <f t="shared" ref="X7:X8" ca="1" si="5">V7+((RAND()*(0.9-0.1)+0.7)*RANDBETWEEN(-1,1))</f>
        <v>101.18074393424774</v>
      </c>
      <c r="Y7" s="182"/>
      <c r="Z7" s="182">
        <f t="shared" ref="Z7:Z8" ca="1" si="6">V7+((RAND()*(0.9-0.1)+0.7)*RANDBETWEEN(-1,1))</f>
        <v>103.2773940917842</v>
      </c>
      <c r="AA7" s="182"/>
      <c r="AB7" s="182">
        <f t="shared" ref="AB7:AB8" ca="1" si="7">V7+((RAND()*(0.9-0.1)+0.7)*RANDBETWEEN(-1,1))</f>
        <v>100.86050563031719</v>
      </c>
      <c r="AC7" s="182"/>
      <c r="AD7" s="182">
        <f t="shared" ref="AD7:AD8" ca="1" si="8">AVERAGE(V7:AC7)</f>
        <v>101.8296609140873</v>
      </c>
      <c r="AE7" s="182"/>
      <c r="AF7"/>
      <c r="AG7"/>
    </row>
    <row r="8" spans="1:33" x14ac:dyDescent="0.3">
      <c r="A8"/>
      <c r="B8" s="173">
        <v>125</v>
      </c>
      <c r="C8" s="173"/>
      <c r="D8" s="174">
        <v>123.5</v>
      </c>
      <c r="E8" s="174"/>
      <c r="F8" s="175">
        <f t="shared" ca="1" si="0"/>
        <v>123.5</v>
      </c>
      <c r="G8" s="175"/>
      <c r="H8" s="175">
        <f t="shared" ca="1" si="1"/>
        <v>123.26093715081208</v>
      </c>
      <c r="I8" s="175"/>
      <c r="J8" s="175">
        <f t="shared" ca="1" si="2"/>
        <v>123.77932312192029</v>
      </c>
      <c r="K8" s="175"/>
      <c r="L8" s="175">
        <f t="shared" ca="1" si="3"/>
        <v>123.5100650681831</v>
      </c>
      <c r="M8" s="175"/>
      <c r="N8" s="175">
        <f t="shared" ca="1" si="4"/>
        <v>1.4899349318169044</v>
      </c>
      <c r="O8" s="175"/>
      <c r="P8"/>
      <c r="Q8"/>
      <c r="R8"/>
      <c r="S8"/>
      <c r="T8" s="173">
        <v>125</v>
      </c>
      <c r="U8" s="173"/>
      <c r="V8" s="181">
        <v>343</v>
      </c>
      <c r="W8" s="181"/>
      <c r="X8" s="182">
        <f t="shared" ca="1" si="5"/>
        <v>341.63065640046727</v>
      </c>
      <c r="Y8" s="182"/>
      <c r="Z8" s="182">
        <f t="shared" ca="1" si="6"/>
        <v>341.73412383886892</v>
      </c>
      <c r="AA8" s="182"/>
      <c r="AB8" s="182">
        <f t="shared" ca="1" si="7"/>
        <v>342.1648037308679</v>
      </c>
      <c r="AC8" s="182"/>
      <c r="AD8" s="182">
        <f t="shared" ca="1" si="8"/>
        <v>342.13239599255098</v>
      </c>
      <c r="AE8" s="182"/>
      <c r="AF8"/>
      <c r="AG8"/>
    </row>
    <row r="9" spans="1:33" x14ac:dyDescent="0.3">
      <c r="A9"/>
      <c r="B9"/>
      <c r="C9"/>
      <c r="D9"/>
      <c r="E9"/>
      <c r="F9"/>
      <c r="G9"/>
      <c r="H9"/>
      <c r="I9"/>
      <c r="J9"/>
      <c r="K9"/>
      <c r="L9"/>
      <c r="M9"/>
      <c r="N9"/>
      <c r="O9"/>
      <c r="P9"/>
      <c r="Q9"/>
      <c r="R9"/>
      <c r="S9"/>
      <c r="T9"/>
      <c r="U9"/>
      <c r="V9"/>
      <c r="W9"/>
      <c r="X9"/>
      <c r="Y9"/>
      <c r="Z9"/>
      <c r="AA9"/>
      <c r="AB9"/>
      <c r="AC9"/>
      <c r="AD9"/>
      <c r="AE9"/>
      <c r="AF9"/>
    </row>
    <row r="10" spans="1:33" x14ac:dyDescent="0.3">
      <c r="A10"/>
      <c r="B10"/>
      <c r="C10"/>
      <c r="D10"/>
      <c r="E10"/>
      <c r="F10"/>
      <c r="G10"/>
      <c r="H10"/>
      <c r="I10"/>
      <c r="J10"/>
      <c r="K10"/>
      <c r="L10"/>
      <c r="M10"/>
      <c r="N10"/>
      <c r="O10"/>
      <c r="P10"/>
      <c r="Q10"/>
      <c r="R10"/>
      <c r="S10"/>
      <c r="T10"/>
      <c r="U10"/>
      <c r="V10"/>
      <c r="W10"/>
      <c r="X10"/>
      <c r="Y10"/>
      <c r="Z10"/>
      <c r="AA10"/>
      <c r="AB10"/>
      <c r="AC10"/>
      <c r="AD10"/>
      <c r="AE10"/>
      <c r="AF10"/>
    </row>
    <row r="11" spans="1:33" customFormat="1" x14ac:dyDescent="0.3">
      <c r="B11" s="180" t="s">
        <v>146</v>
      </c>
      <c r="C11" s="180"/>
      <c r="D11" s="180"/>
      <c r="E11" s="180"/>
      <c r="F11" s="180"/>
      <c r="G11" s="180"/>
      <c r="H11" s="180"/>
      <c r="I11" s="180"/>
      <c r="J11" s="180"/>
      <c r="K11" s="180"/>
      <c r="L11" s="180"/>
      <c r="M11" s="180"/>
      <c r="N11" s="180"/>
      <c r="O11" s="180"/>
      <c r="T11" s="180" t="s">
        <v>149</v>
      </c>
      <c r="U11" s="180"/>
      <c r="V11" s="180"/>
      <c r="W11" s="180"/>
      <c r="X11" s="180"/>
      <c r="Y11" s="180"/>
      <c r="Z11" s="180"/>
      <c r="AA11" s="180"/>
      <c r="AB11" s="180"/>
      <c r="AC11" s="180"/>
      <c r="AD11" s="180"/>
      <c r="AE11" s="180"/>
      <c r="AF11" s="180"/>
      <c r="AG11" s="180"/>
    </row>
    <row r="12" spans="1:33" customFormat="1" ht="14.4" customHeight="1" x14ac:dyDescent="0.3">
      <c r="B12" s="112" t="s">
        <v>150</v>
      </c>
      <c r="C12" s="112"/>
      <c r="D12" s="113" t="s">
        <v>120</v>
      </c>
      <c r="E12" s="113"/>
      <c r="F12" s="113"/>
      <c r="G12" s="113"/>
      <c r="H12" s="113"/>
      <c r="I12" s="113"/>
      <c r="J12" s="113"/>
      <c r="K12" s="113"/>
      <c r="L12" s="91"/>
      <c r="M12" s="92"/>
      <c r="N12" s="92"/>
      <c r="O12" s="92"/>
      <c r="T12" s="183" t="s">
        <v>150</v>
      </c>
      <c r="U12" s="184"/>
      <c r="V12" s="113" t="s">
        <v>120</v>
      </c>
      <c r="W12" s="113"/>
      <c r="X12" s="113"/>
      <c r="Y12" s="113"/>
      <c r="Z12" s="113"/>
      <c r="AA12" s="113"/>
      <c r="AB12" s="113"/>
      <c r="AC12" s="113"/>
      <c r="AD12" s="91"/>
      <c r="AE12" s="92"/>
      <c r="AF12" s="92"/>
      <c r="AG12" s="92"/>
    </row>
    <row r="13" spans="1:33" customFormat="1" ht="25.2" customHeight="1" x14ac:dyDescent="0.3">
      <c r="B13" s="112"/>
      <c r="C13" s="112"/>
      <c r="D13" s="116" t="s">
        <v>151</v>
      </c>
      <c r="E13" s="116"/>
      <c r="F13" s="116" t="s">
        <v>152</v>
      </c>
      <c r="G13" s="116"/>
      <c r="H13" s="116" t="s">
        <v>153</v>
      </c>
      <c r="I13" s="116"/>
      <c r="J13" s="116" t="s">
        <v>154</v>
      </c>
      <c r="K13" s="116"/>
      <c r="L13" s="112" t="s">
        <v>155</v>
      </c>
      <c r="M13" s="112"/>
      <c r="T13" s="185"/>
      <c r="U13" s="186"/>
      <c r="V13" s="116" t="s">
        <v>151</v>
      </c>
      <c r="W13" s="116"/>
      <c r="X13" s="116" t="s">
        <v>152</v>
      </c>
      <c r="Y13" s="116"/>
      <c r="Z13" s="116" t="s">
        <v>153</v>
      </c>
      <c r="AA13" s="116"/>
      <c r="AB13" s="116" t="s">
        <v>154</v>
      </c>
      <c r="AC13" s="116"/>
      <c r="AD13" s="112" t="s">
        <v>155</v>
      </c>
      <c r="AE13" s="112"/>
    </row>
    <row r="14" spans="1:33" customFormat="1" x14ac:dyDescent="0.3">
      <c r="B14" s="173">
        <v>50</v>
      </c>
      <c r="C14" s="173"/>
      <c r="D14" s="178">
        <v>1.54</v>
      </c>
      <c r="E14" s="179"/>
      <c r="F14" s="175">
        <f ca="1">D14+((RAND()*(0.3-0.1)+0.1)*RANDBETWEEN(-1,1))</f>
        <v>1.6951216430289096</v>
      </c>
      <c r="G14" s="175"/>
      <c r="H14" s="175">
        <f ca="1">D14+((RAND()*(0.3-0.1)+0.1)*RANDBETWEEN(-1,1))</f>
        <v>1.3925602842325753</v>
      </c>
      <c r="I14" s="175"/>
      <c r="J14" s="175">
        <f ca="1">D14+((RAND()*(0.3-0.1)+0.1)*RANDBETWEEN(-1,1))</f>
        <v>1.8274477393680078</v>
      </c>
      <c r="K14" s="175"/>
      <c r="L14" s="176">
        <f ca="1">AVERAGE(D14:K14)</f>
        <v>1.6137824166573731</v>
      </c>
      <c r="M14" s="177"/>
      <c r="T14" s="173">
        <v>50</v>
      </c>
      <c r="U14" s="173"/>
      <c r="V14" s="178">
        <v>2.2999999999999998</v>
      </c>
      <c r="W14" s="179"/>
      <c r="X14" s="176">
        <f ca="1">V14+((RAND()*(0.2-0.1)+0.1)*RANDBETWEEN(-1,1))</f>
        <v>2.467706581078565</v>
      </c>
      <c r="Y14" s="177"/>
      <c r="Z14" s="176">
        <f ca="1">V14+((RAND()*(0.2-0.1)+0.1)*RANDBETWEEN(-1,1))</f>
        <v>2.43941022846814</v>
      </c>
      <c r="AA14" s="177"/>
      <c r="AB14" s="176">
        <f ca="1">V14+((RAND()*(0.2-0.1)+0.1)*RANDBETWEEN(-1,1))</f>
        <v>2.4733623981384469</v>
      </c>
      <c r="AC14" s="177"/>
      <c r="AD14" s="176">
        <f ca="1">AVERAGE(V14:AC14)</f>
        <v>2.4201198019212882</v>
      </c>
      <c r="AE14" s="177"/>
    </row>
    <row r="15" spans="1:33" customFormat="1" x14ac:dyDescent="0.3">
      <c r="B15" s="173">
        <v>100</v>
      </c>
      <c r="C15" s="173"/>
      <c r="D15" s="178">
        <v>16.760000000000002</v>
      </c>
      <c r="E15" s="179"/>
      <c r="F15" s="175">
        <f t="shared" ref="F15:F16" ca="1" si="9">D15+((RAND()*(0.3-0.1)+0.1)*RANDBETWEEN(-1,1))</f>
        <v>16.478976121967921</v>
      </c>
      <c r="G15" s="175"/>
      <c r="H15" s="175">
        <f t="shared" ref="H15:H16" ca="1" si="10">D15+((RAND()*(0.3-0.1)+0.1)*RANDBETWEEN(-1,1))</f>
        <v>16.541167908301517</v>
      </c>
      <c r="I15" s="175"/>
      <c r="J15" s="175">
        <f t="shared" ref="J15:J16" ca="1" si="11">D15+((RAND()*(0.3-0.1)+0.1)*RANDBETWEEN(-1,1))</f>
        <v>16.932756248904184</v>
      </c>
      <c r="K15" s="175"/>
      <c r="L15" s="176">
        <f t="shared" ref="L15:L16" ca="1" si="12">AVERAGE(D15:K15)</f>
        <v>16.678225069793406</v>
      </c>
      <c r="M15" s="177"/>
      <c r="T15" s="173">
        <v>100</v>
      </c>
      <c r="U15" s="173"/>
      <c r="V15" s="178">
        <v>4.5999999999999996</v>
      </c>
      <c r="W15" s="179"/>
      <c r="X15" s="176">
        <f t="shared" ref="X15:X16" ca="1" si="13">V15+((RAND()*(0.2-0.1)+0.1)*RANDBETWEEN(-1,1))</f>
        <v>4.485677878495518</v>
      </c>
      <c r="Y15" s="177"/>
      <c r="Z15" s="176">
        <f t="shared" ref="Z15:Z16" ca="1" si="14">V15+((RAND()*(0.2-0.1)+0.1)*RANDBETWEEN(-1,1))</f>
        <v>4.7849558804360486</v>
      </c>
      <c r="AA15" s="177"/>
      <c r="AB15" s="176">
        <f t="shared" ref="AB15:AB16" ca="1" si="15">V15+((RAND()*(0.2-0.1)+0.1)*RANDBETWEEN(-1,1))</f>
        <v>4.7022447121048678</v>
      </c>
      <c r="AC15" s="177"/>
      <c r="AD15" s="176">
        <f t="shared" ref="AD15:AD16" ca="1" si="16">AVERAGE(V15:AC15)</f>
        <v>4.6432196177591081</v>
      </c>
      <c r="AE15" s="177"/>
    </row>
    <row r="16" spans="1:33" customFormat="1" x14ac:dyDescent="0.3">
      <c r="B16" s="173">
        <v>125</v>
      </c>
      <c r="C16" s="173"/>
      <c r="D16" s="178">
        <v>23.21</v>
      </c>
      <c r="E16" s="179"/>
      <c r="F16" s="175">
        <f t="shared" ca="1" si="9"/>
        <v>22.939978675256601</v>
      </c>
      <c r="G16" s="175"/>
      <c r="H16" s="175">
        <f t="shared" ca="1" si="10"/>
        <v>23.21</v>
      </c>
      <c r="I16" s="175"/>
      <c r="J16" s="175">
        <f t="shared" ca="1" si="11"/>
        <v>23.384548728671835</v>
      </c>
      <c r="K16" s="175"/>
      <c r="L16" s="176">
        <f t="shared" ca="1" si="12"/>
        <v>23.186131850982107</v>
      </c>
      <c r="M16" s="177"/>
      <c r="T16" s="173">
        <v>125</v>
      </c>
      <c r="U16" s="173"/>
      <c r="V16" s="178">
        <v>6</v>
      </c>
      <c r="W16" s="179"/>
      <c r="X16" s="176">
        <f t="shared" ca="1" si="13"/>
        <v>6</v>
      </c>
      <c r="Y16" s="177"/>
      <c r="Z16" s="176">
        <f t="shared" ca="1" si="14"/>
        <v>5.8948780701911474</v>
      </c>
      <c r="AA16" s="177"/>
      <c r="AB16" s="176">
        <f t="shared" ca="1" si="15"/>
        <v>6</v>
      </c>
      <c r="AC16" s="177"/>
      <c r="AD16" s="176">
        <f t="shared" ca="1" si="16"/>
        <v>5.9737195175477869</v>
      </c>
      <c r="AE16" s="177"/>
    </row>
    <row r="17" spans="1:32" customFormat="1" x14ac:dyDescent="0.3"/>
    <row r="18" spans="1:32" customFormat="1" x14ac:dyDescent="0.3"/>
    <row r="19" spans="1:32" customFormat="1" ht="14.4" customHeight="1" x14ac:dyDescent="0.3">
      <c r="B19" s="180" t="s">
        <v>147</v>
      </c>
      <c r="C19" s="180"/>
      <c r="D19" s="180"/>
      <c r="E19" s="180"/>
      <c r="F19" s="180"/>
      <c r="G19" s="180"/>
      <c r="H19" s="180"/>
      <c r="I19" s="180"/>
      <c r="J19" s="180"/>
      <c r="K19" s="180"/>
      <c r="L19" s="180"/>
      <c r="M19" s="180"/>
      <c r="N19" s="180"/>
      <c r="O19" s="180"/>
    </row>
    <row r="20" spans="1:32" customFormat="1" ht="27.6" customHeight="1" x14ac:dyDescent="0.3">
      <c r="B20" s="112" t="s">
        <v>150</v>
      </c>
      <c r="C20" s="112"/>
      <c r="D20" s="113" t="s">
        <v>120</v>
      </c>
      <c r="E20" s="113"/>
      <c r="F20" s="113"/>
      <c r="G20" s="113"/>
      <c r="H20" s="113"/>
      <c r="I20" s="113"/>
      <c r="J20" s="113"/>
      <c r="K20" s="113"/>
      <c r="L20" s="91"/>
      <c r="M20" s="92"/>
      <c r="N20" s="92"/>
      <c r="O20" s="92"/>
    </row>
    <row r="21" spans="1:32" customFormat="1" ht="24.6" customHeight="1" x14ac:dyDescent="0.3">
      <c r="B21" s="112"/>
      <c r="C21" s="112"/>
      <c r="D21" s="116" t="s">
        <v>151</v>
      </c>
      <c r="E21" s="116"/>
      <c r="F21" s="116" t="s">
        <v>152</v>
      </c>
      <c r="G21" s="116"/>
      <c r="H21" s="116" t="s">
        <v>153</v>
      </c>
      <c r="I21" s="116"/>
      <c r="J21" s="116" t="s">
        <v>154</v>
      </c>
      <c r="K21" s="116"/>
      <c r="L21" s="112" t="s">
        <v>155</v>
      </c>
      <c r="M21" s="112"/>
    </row>
    <row r="22" spans="1:32" x14ac:dyDescent="0.3">
      <c r="A22"/>
      <c r="B22" s="173">
        <v>50</v>
      </c>
      <c r="C22" s="173"/>
      <c r="D22" s="178">
        <v>23.2</v>
      </c>
      <c r="E22" s="179"/>
      <c r="F22" s="175">
        <f ca="1">D22+((RAND()*(0.3-0.1)+0.1)*RANDBETWEEN(-1,1))</f>
        <v>23.2</v>
      </c>
      <c r="G22" s="175"/>
      <c r="H22" s="175">
        <f ca="1">D22+((RAND()*(0.3-0.1)+0.1)*RANDBETWEEN(-1,1))</f>
        <v>23.383456171706072</v>
      </c>
      <c r="I22" s="175"/>
      <c r="J22" s="175">
        <f ca="1">D22+((RAND()*(0.3-0.1)+0.1)*RANDBETWEEN(-1,1))</f>
        <v>23.2</v>
      </c>
      <c r="K22" s="175"/>
      <c r="L22" s="176">
        <f ca="1">AVERAGE(D22:K22)</f>
        <v>23.245864042926517</v>
      </c>
      <c r="M22" s="177"/>
      <c r="N22"/>
      <c r="O22"/>
      <c r="P22"/>
      <c r="R22"/>
      <c r="S22"/>
      <c r="T22"/>
      <c r="U22"/>
      <c r="V22"/>
      <c r="W22"/>
      <c r="X22"/>
      <c r="Y22"/>
      <c r="Z22"/>
      <c r="AA22"/>
      <c r="AB22"/>
      <c r="AC22"/>
      <c r="AD22"/>
      <c r="AE22"/>
      <c r="AF22"/>
    </row>
    <row r="23" spans="1:32" customFormat="1" x14ac:dyDescent="0.3">
      <c r="B23" s="173">
        <v>100</v>
      </c>
      <c r="C23" s="173"/>
      <c r="D23" s="178">
        <v>67.8</v>
      </c>
      <c r="E23" s="179"/>
      <c r="F23" s="175">
        <f t="shared" ref="F23:F24" ca="1" si="17">D23+((RAND()*(0.3-0.1)+0.1)*RANDBETWEEN(-1,1))</f>
        <v>68.03504545356202</v>
      </c>
      <c r="G23" s="175"/>
      <c r="H23" s="175">
        <f t="shared" ref="H23:H24" ca="1" si="18">D23+((RAND()*(0.3-0.1)+0.1)*RANDBETWEEN(-1,1))</f>
        <v>67.613521289054844</v>
      </c>
      <c r="I23" s="175"/>
      <c r="J23" s="175">
        <f t="shared" ref="J23:J24" ca="1" si="19">D23+((RAND()*(0.3-0.1)+0.1)*RANDBETWEEN(-1,1))</f>
        <v>67.673581323274092</v>
      </c>
      <c r="K23" s="175"/>
      <c r="L23" s="176">
        <f t="shared" ref="L23:L24" ca="1" si="20">AVERAGE(D23:K23)</f>
        <v>67.780537016472749</v>
      </c>
      <c r="M23" s="177"/>
    </row>
    <row r="24" spans="1:32" customFormat="1" x14ac:dyDescent="0.3">
      <c r="B24" s="173">
        <v>125</v>
      </c>
      <c r="C24" s="173"/>
      <c r="D24" s="178">
        <v>31.2</v>
      </c>
      <c r="E24" s="179"/>
      <c r="F24" s="175">
        <f t="shared" ca="1" si="17"/>
        <v>31.475955611443549</v>
      </c>
      <c r="G24" s="175"/>
      <c r="H24" s="175">
        <f t="shared" ca="1" si="18"/>
        <v>31.329093843172132</v>
      </c>
      <c r="I24" s="175"/>
      <c r="J24" s="175">
        <f t="shared" ca="1" si="19"/>
        <v>31.494713760130992</v>
      </c>
      <c r="K24" s="175"/>
      <c r="L24" s="176">
        <f t="shared" ca="1" si="20"/>
        <v>31.37494080368667</v>
      </c>
      <c r="M24" s="177"/>
    </row>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134">
    <mergeCell ref="AD16:AE16"/>
    <mergeCell ref="AD13:AE13"/>
    <mergeCell ref="AB13:AC13"/>
    <mergeCell ref="T16:U16"/>
    <mergeCell ref="V16:W16"/>
    <mergeCell ref="X16:Y16"/>
    <mergeCell ref="Z16:AA16"/>
    <mergeCell ref="AB16:AC16"/>
    <mergeCell ref="AD14:AE14"/>
    <mergeCell ref="T15:U15"/>
    <mergeCell ref="V15:W15"/>
    <mergeCell ref="X15:Y15"/>
    <mergeCell ref="Z15:AA15"/>
    <mergeCell ref="AB15:AC15"/>
    <mergeCell ref="AD15:AE15"/>
    <mergeCell ref="T14:U14"/>
    <mergeCell ref="V14:W14"/>
    <mergeCell ref="X14:Y14"/>
    <mergeCell ref="Z14:AA14"/>
    <mergeCell ref="AB14:AC14"/>
    <mergeCell ref="AD8:AE8"/>
    <mergeCell ref="T8:U8"/>
    <mergeCell ref="V8:W8"/>
    <mergeCell ref="X8:Y8"/>
    <mergeCell ref="Z8:AA8"/>
    <mergeCell ref="AB8:AC8"/>
    <mergeCell ref="AD6:AE6"/>
    <mergeCell ref="T7:U7"/>
    <mergeCell ref="V7:W7"/>
    <mergeCell ref="X7:Y7"/>
    <mergeCell ref="Z7:AA7"/>
    <mergeCell ref="AB7:AC7"/>
    <mergeCell ref="AD7:AE7"/>
    <mergeCell ref="T11:AG11"/>
    <mergeCell ref="Z13:AA13"/>
    <mergeCell ref="X13:Y13"/>
    <mergeCell ref="V13:W13"/>
    <mergeCell ref="V12:AC12"/>
    <mergeCell ref="T12:U13"/>
    <mergeCell ref="B19:O19"/>
    <mergeCell ref="B20:C21"/>
    <mergeCell ref="D20:K20"/>
    <mergeCell ref="D21:E21"/>
    <mergeCell ref="F21:G21"/>
    <mergeCell ref="H21:I21"/>
    <mergeCell ref="J21:K21"/>
    <mergeCell ref="L21:M21"/>
    <mergeCell ref="B16:C16"/>
    <mergeCell ref="D16:E16"/>
    <mergeCell ref="F16:G16"/>
    <mergeCell ref="H16:I16"/>
    <mergeCell ref="J16:K16"/>
    <mergeCell ref="L14:M14"/>
    <mergeCell ref="B15:C15"/>
    <mergeCell ref="D15:E15"/>
    <mergeCell ref="F15:G15"/>
    <mergeCell ref="H15:I15"/>
    <mergeCell ref="T3:AG3"/>
    <mergeCell ref="T4:U5"/>
    <mergeCell ref="V4:AC4"/>
    <mergeCell ref="V5:W5"/>
    <mergeCell ref="X5:Y5"/>
    <mergeCell ref="Z5:AA5"/>
    <mergeCell ref="AB5:AC5"/>
    <mergeCell ref="AD5:AE5"/>
    <mergeCell ref="T6:U6"/>
    <mergeCell ref="V6:W6"/>
    <mergeCell ref="X6:Y6"/>
    <mergeCell ref="Z6:AA6"/>
    <mergeCell ref="AB6:AC6"/>
    <mergeCell ref="B24:C24"/>
    <mergeCell ref="D24:E24"/>
    <mergeCell ref="F24:G24"/>
    <mergeCell ref="H24:I24"/>
    <mergeCell ref="J24:K24"/>
    <mergeCell ref="L22:M22"/>
    <mergeCell ref="B23:C23"/>
    <mergeCell ref="D23:E23"/>
    <mergeCell ref="F23:G23"/>
    <mergeCell ref="H23:I23"/>
    <mergeCell ref="J23:K23"/>
    <mergeCell ref="L23:M23"/>
    <mergeCell ref="B22:C22"/>
    <mergeCell ref="D22:E22"/>
    <mergeCell ref="F22:G22"/>
    <mergeCell ref="H22:I22"/>
    <mergeCell ref="J22:K22"/>
    <mergeCell ref="L24:M24"/>
    <mergeCell ref="L16:M16"/>
    <mergeCell ref="B11:O11"/>
    <mergeCell ref="B12:C13"/>
    <mergeCell ref="D12:K12"/>
    <mergeCell ref="D13:E13"/>
    <mergeCell ref="F13:G13"/>
    <mergeCell ref="H13:I13"/>
    <mergeCell ref="J13:K13"/>
    <mergeCell ref="L13:M13"/>
    <mergeCell ref="B4:C5"/>
    <mergeCell ref="D4:K4"/>
    <mergeCell ref="D5:E5"/>
    <mergeCell ref="F5:G5"/>
    <mergeCell ref="H5:I5"/>
    <mergeCell ref="J5:K5"/>
    <mergeCell ref="J15:K15"/>
    <mergeCell ref="L15:M15"/>
    <mergeCell ref="B14:C14"/>
    <mergeCell ref="D14:E14"/>
    <mergeCell ref="F14:G14"/>
    <mergeCell ref="H14:I14"/>
    <mergeCell ref="J14:K14"/>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24"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87" t="s">
        <v>121</v>
      </c>
      <c r="D2" s="187"/>
      <c r="E2" s="187"/>
      <c r="F2" s="187"/>
      <c r="G2" s="187"/>
      <c r="H2" s="187"/>
      <c r="I2" s="187"/>
      <c r="J2" s="187"/>
      <c r="K2" s="18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93" t="s">
        <v>13</v>
      </c>
      <c r="C34" s="193"/>
      <c r="D34" s="193"/>
      <c r="E34" s="193"/>
      <c r="F34" s="193"/>
      <c r="G34" s="193"/>
      <c r="H34" s="193"/>
      <c r="I34" s="193"/>
      <c r="J34" s="193"/>
      <c r="K34" s="193"/>
      <c r="L34" s="193"/>
      <c r="M34" s="193"/>
      <c r="N34" s="3"/>
      <c r="O34" s="3"/>
      <c r="P34" s="3"/>
      <c r="Q34" s="3"/>
    </row>
    <row r="35" spans="2:17" x14ac:dyDescent="0.3">
      <c r="B35" s="188" t="s">
        <v>12</v>
      </c>
      <c r="C35" s="188"/>
      <c r="D35" s="188"/>
      <c r="E35" s="188"/>
      <c r="F35" s="188"/>
      <c r="G35" s="190" t="s">
        <v>122</v>
      </c>
      <c r="H35" s="191"/>
      <c r="I35" s="191"/>
      <c r="J35" s="191"/>
      <c r="K35" s="191"/>
      <c r="L35" s="191"/>
      <c r="M35" s="192"/>
      <c r="N35" s="9"/>
      <c r="O35" s="9"/>
      <c r="P35" s="9"/>
      <c r="Q35" s="9"/>
    </row>
    <row r="36" spans="2:17" x14ac:dyDescent="0.3">
      <c r="B36" s="188" t="s">
        <v>7</v>
      </c>
      <c r="C36" s="188"/>
      <c r="D36" s="188"/>
      <c r="E36" s="188"/>
      <c r="F36" s="188"/>
      <c r="G36" s="190" t="s">
        <v>123</v>
      </c>
      <c r="H36" s="191"/>
      <c r="I36" s="191"/>
      <c r="J36" s="191"/>
      <c r="K36" s="191"/>
      <c r="L36" s="191"/>
      <c r="M36" s="192"/>
      <c r="N36" s="9"/>
      <c r="O36" s="9"/>
      <c r="P36" s="9"/>
      <c r="Q36" s="9"/>
    </row>
    <row r="37" spans="2:17" x14ac:dyDescent="0.3">
      <c r="B37" s="188" t="s">
        <v>6</v>
      </c>
      <c r="C37" s="188"/>
      <c r="D37" s="188"/>
      <c r="E37" s="188"/>
      <c r="F37" s="188"/>
      <c r="G37" s="190">
        <v>4070</v>
      </c>
      <c r="H37" s="191"/>
      <c r="I37" s="191"/>
      <c r="J37" s="191"/>
      <c r="K37" s="191"/>
      <c r="L37" s="191"/>
      <c r="M37" s="192"/>
      <c r="N37" s="9"/>
      <c r="O37" s="9"/>
      <c r="P37" s="9"/>
      <c r="Q37" s="9"/>
    </row>
    <row r="38" spans="2:17" x14ac:dyDescent="0.3">
      <c r="B38" s="188" t="s">
        <v>4</v>
      </c>
      <c r="C38" s="188"/>
      <c r="D38" s="188"/>
      <c r="E38" s="188"/>
      <c r="F38" s="188"/>
      <c r="G38" s="190">
        <v>40712037006</v>
      </c>
      <c r="H38" s="191"/>
      <c r="I38" s="191"/>
      <c r="J38" s="191"/>
      <c r="K38" s="191"/>
      <c r="L38" s="191"/>
      <c r="M38" s="192"/>
      <c r="N38" s="9"/>
      <c r="O38" s="9"/>
      <c r="P38" s="9"/>
      <c r="Q38" s="9"/>
    </row>
    <row r="39" spans="2:17" x14ac:dyDescent="0.3">
      <c r="B39" s="188" t="s">
        <v>11</v>
      </c>
      <c r="C39" s="188"/>
      <c r="D39" s="188"/>
      <c r="E39" s="188"/>
      <c r="F39" s="189"/>
      <c r="G39" s="194">
        <v>44970</v>
      </c>
      <c r="H39" s="194"/>
      <c r="I39" s="194"/>
      <c r="J39" s="194"/>
      <c r="K39" s="194"/>
      <c r="L39" s="194"/>
      <c r="M39" s="194"/>
      <c r="N39" s="10"/>
      <c r="O39" s="10"/>
      <c r="P39" s="10"/>
      <c r="Q39" s="10"/>
    </row>
    <row r="40" spans="2:17" x14ac:dyDescent="0.3">
      <c r="B40" s="188" t="s">
        <v>10</v>
      </c>
      <c r="C40" s="188"/>
      <c r="D40" s="188"/>
      <c r="E40" s="188"/>
      <c r="F40" s="188"/>
      <c r="G40" s="195" t="s">
        <v>124</v>
      </c>
      <c r="H40" s="195"/>
      <c r="I40" s="195"/>
      <c r="J40" s="195"/>
      <c r="K40" s="195"/>
      <c r="L40" s="195"/>
      <c r="M40" s="195"/>
      <c r="N40" s="9"/>
      <c r="O40" s="9"/>
      <c r="P40" s="9"/>
      <c r="Q40" s="9"/>
    </row>
    <row r="41" spans="2:17" x14ac:dyDescent="0.3">
      <c r="B41" s="188" t="s">
        <v>126</v>
      </c>
      <c r="C41" s="188"/>
      <c r="D41" s="188"/>
      <c r="E41" s="188"/>
      <c r="F41" s="188"/>
      <c r="G41" s="190">
        <v>2.7E-2</v>
      </c>
      <c r="H41" s="191"/>
      <c r="I41" s="191"/>
      <c r="J41" s="191"/>
      <c r="K41" s="191"/>
      <c r="L41" s="191"/>
      <c r="M41" s="192"/>
      <c r="N41" s="4"/>
      <c r="O41" s="4"/>
      <c r="P41" s="4"/>
      <c r="Q41" s="4"/>
    </row>
    <row r="42" spans="2:17" x14ac:dyDescent="0.3">
      <c r="B42" s="188" t="s">
        <v>127</v>
      </c>
      <c r="C42" s="188"/>
      <c r="D42" s="188"/>
      <c r="E42" s="188"/>
      <c r="F42" s="189"/>
      <c r="G42" s="190">
        <v>0.2</v>
      </c>
      <c r="H42" s="191"/>
      <c r="I42" s="191"/>
      <c r="J42" s="191"/>
      <c r="K42" s="191"/>
      <c r="L42" s="191"/>
      <c r="M42" s="192"/>
      <c r="N42" s="4"/>
      <c r="O42" s="4"/>
      <c r="P42" s="4"/>
      <c r="Q42" s="4"/>
    </row>
    <row r="43" spans="2:17" x14ac:dyDescent="0.3">
      <c r="B43" s="188" t="s">
        <v>128</v>
      </c>
      <c r="C43" s="188"/>
      <c r="D43" s="188"/>
      <c r="E43" s="188"/>
      <c r="F43" s="189"/>
      <c r="G43" s="190">
        <v>1E-3</v>
      </c>
      <c r="H43" s="191"/>
      <c r="I43" s="191"/>
      <c r="J43" s="191"/>
      <c r="K43" s="191"/>
      <c r="L43" s="191"/>
      <c r="M43" s="192"/>
    </row>
    <row r="44" spans="2:17" x14ac:dyDescent="0.3">
      <c r="B44" s="188" t="s">
        <v>9</v>
      </c>
      <c r="C44" s="188"/>
      <c r="D44" s="188"/>
      <c r="E44" s="188"/>
      <c r="F44" s="189"/>
      <c r="G44" s="190">
        <v>2</v>
      </c>
      <c r="H44" s="191"/>
      <c r="I44" s="191"/>
      <c r="J44" s="191"/>
      <c r="K44" s="191"/>
      <c r="L44" s="191"/>
      <c r="M44" s="192"/>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3"/>
      <c r="D92" s="133"/>
      <c r="E92" s="133"/>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96" t="s">
        <v>125</v>
      </c>
      <c r="C2" s="197"/>
      <c r="D2" s="197"/>
      <c r="E2" s="197"/>
      <c r="F2" s="197"/>
      <c r="G2" s="197"/>
      <c r="H2" s="197"/>
      <c r="I2" s="197"/>
      <c r="J2" s="197"/>
      <c r="K2" s="197"/>
      <c r="L2" s="198"/>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50</v>
      </c>
      <c r="C4" s="8">
        <f>PATRON!G$41/2</f>
        <v>1.35E-2</v>
      </c>
      <c r="D4" s="8">
        <f>PATRON!G$42/SQRT(3)</f>
        <v>0.11547005383792516</v>
      </c>
      <c r="E4" s="8">
        <v>0</v>
      </c>
      <c r="F4" s="8">
        <f>1/SQRT(12)</f>
        <v>0.28867513459481292</v>
      </c>
      <c r="G4" s="94">
        <f>PATRON!G$43/SQRT(12)</f>
        <v>2.886751345948129E-4</v>
      </c>
      <c r="H4" s="7">
        <f ca="1">STDEVA(MEDIDA!D6:K6)/SQRT(4)</f>
        <v>5.7780610878513272E-2</v>
      </c>
      <c r="I4" s="8">
        <f ca="1">SQRT(SUMSQ(C4:H4))</f>
        <v>0.31652424708621324</v>
      </c>
      <c r="J4" s="15">
        <f ca="1">I4^4/(C4^4/200+D4^4/200+E4^4/200+F4^4/200+G4^4/200+H4^4/3)</f>
        <v>255.235174478516</v>
      </c>
      <c r="K4" s="11">
        <f ca="1">TINV(0.0455,J4)</f>
        <v>2.0098536670023397</v>
      </c>
      <c r="L4" s="7">
        <f ca="1">I4*K4</f>
        <v>0.63616741870138027</v>
      </c>
    </row>
    <row r="5" spans="1:12" x14ac:dyDescent="0.3">
      <c r="A5" s="52"/>
      <c r="B5" s="6">
        <f>MEDIDA!B7</f>
        <v>100</v>
      </c>
      <c r="C5" s="8">
        <f>PATRON!G$41/2</f>
        <v>1.35E-2</v>
      </c>
      <c r="D5" s="8">
        <f>PATRON!G$42/SQRT(3)</f>
        <v>0.11547005383792516</v>
      </c>
      <c r="E5" s="8">
        <v>0</v>
      </c>
      <c r="F5" s="8">
        <f t="shared" ref="F5:F8" si="0">1/SQRT(12)</f>
        <v>0.28867513459481292</v>
      </c>
      <c r="G5" s="94">
        <f>PATRON!G$43/SQRT(12)</f>
        <v>2.886751345948129E-4</v>
      </c>
      <c r="H5" s="7">
        <f ca="1">STDEVA(MEDIDA!D7:K7)/SQRT(4)</f>
        <v>4.1584246538391934E-2</v>
      </c>
      <c r="I5" s="8">
        <f ca="1">SQRT(SUMSQ(C5:H5))</f>
        <v>0.31397173369614945</v>
      </c>
      <c r="J5" s="15">
        <f ca="1">I5^4/(C5^4/200+D5^4/200+E5^4/200+F5^4/200+G5^4/200+H5^4/3)</f>
        <v>265.45179435813282</v>
      </c>
      <c r="K5" s="11">
        <f ca="1">TINV(0.0455,J5)</f>
        <v>2.0094802002033778</v>
      </c>
      <c r="L5" s="7">
        <f ca="1">I5*K5</f>
        <v>0.63091998228594004</v>
      </c>
    </row>
    <row r="6" spans="1:12" x14ac:dyDescent="0.3">
      <c r="A6" s="52"/>
      <c r="B6" s="6">
        <f>MEDIDA!B8</f>
        <v>125</v>
      </c>
      <c r="C6" s="8">
        <f>PATRON!G$41/2</f>
        <v>1.35E-2</v>
      </c>
      <c r="D6" s="8">
        <f>PATRON!G$42/SQRT(3)</f>
        <v>0.11547005383792516</v>
      </c>
      <c r="E6" s="8">
        <v>0</v>
      </c>
      <c r="F6" s="8">
        <f t="shared" si="0"/>
        <v>0.28867513459481292</v>
      </c>
      <c r="G6" s="94">
        <f>PATRON!G$43/SQRT(12)</f>
        <v>2.886751345948129E-4</v>
      </c>
      <c r="H6" s="7">
        <f ca="1">STDEVA(MEDIDA!D8:K8)/SQRT(4)</f>
        <v>0.1059745370010402</v>
      </c>
      <c r="I6" s="8">
        <f ca="1">SQRT(SUMSQ(C6:H6))</f>
        <v>0.32875462353035412</v>
      </c>
      <c r="J6" s="15">
        <f ca="1">I6^4/(C6^4/200+D6^4/200+E6^4/200+F6^4/200+G6^4/200+H6^4/3)</f>
        <v>150.42737691536757</v>
      </c>
      <c r="K6" s="11">
        <f t="shared" ref="K6:K7" ca="1" si="1">TINV(0.0455,J6)</f>
        <v>2.0168061261839525</v>
      </c>
      <c r="L6" s="7">
        <f t="shared" ref="L6:L7" ca="1" si="2">I6*K6</f>
        <v>0.66303433874731721</v>
      </c>
    </row>
    <row r="7" spans="1:12" x14ac:dyDescent="0.3">
      <c r="A7" s="52"/>
      <c r="B7" s="6" t="e">
        <f>MEDIDA!#REF!</f>
        <v>#REF!</v>
      </c>
      <c r="C7" s="8">
        <f>PATRON!G$41/2</f>
        <v>1.35E-2</v>
      </c>
      <c r="D7" s="8">
        <f>PATRON!G$42/SQRT(3)</f>
        <v>0.11547005383792516</v>
      </c>
      <c r="E7" s="8">
        <v>0</v>
      </c>
      <c r="F7" s="8">
        <f t="shared" si="0"/>
        <v>0.28867513459481292</v>
      </c>
      <c r="G7" s="94">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205"/>
  <sheetViews>
    <sheetView tabSelected="1" view="pageLayout" zoomScaleNormal="100" workbookViewId="0">
      <selection activeCell="S123" sqref="S123"/>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54"/>
      <c r="J1" s="154"/>
      <c r="K1" s="154"/>
      <c r="M1" s="63"/>
      <c r="O1" s="117" t="s">
        <v>79</v>
      </c>
      <c r="P1" s="117"/>
      <c r="Q1" s="117"/>
      <c r="R1" s="118">
        <f>INFORMACIÓN!G3</f>
        <v>0</v>
      </c>
      <c r="S1" s="118"/>
    </row>
    <row r="2" spans="1:30" ht="16.95" customHeight="1" x14ac:dyDescent="0.3">
      <c r="G2" s="156"/>
      <c r="H2" s="156"/>
      <c r="I2" s="156"/>
      <c r="J2" s="155"/>
      <c r="K2" s="155"/>
    </row>
    <row r="3" spans="1:30" ht="16.95" customHeight="1" x14ac:dyDescent="0.3">
      <c r="B3" s="82"/>
      <c r="C3" s="157" t="s">
        <v>70</v>
      </c>
      <c r="D3" s="157"/>
      <c r="E3" s="157"/>
      <c r="F3" s="157"/>
      <c r="G3" s="157"/>
      <c r="H3" s="157"/>
      <c r="I3" s="157"/>
      <c r="J3" s="157"/>
      <c r="K3" s="157"/>
      <c r="L3" s="157"/>
      <c r="M3" s="157"/>
      <c r="N3" s="157"/>
      <c r="O3" s="157"/>
      <c r="P3" s="157"/>
      <c r="Q3" s="157"/>
      <c r="R3" s="157"/>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7" t="s">
        <v>61</v>
      </c>
      <c r="D5" s="117"/>
      <c r="E5" s="117"/>
      <c r="F5" s="117"/>
      <c r="G5" s="117"/>
      <c r="H5" s="51"/>
      <c r="I5" s="153">
        <f>INFORMACIÓN!A3</f>
        <v>0</v>
      </c>
      <c r="J5" s="153"/>
      <c r="K5" s="153"/>
      <c r="L5" s="153"/>
      <c r="M5" s="153"/>
      <c r="N5" s="153"/>
      <c r="O5" s="153"/>
      <c r="P5" s="153"/>
      <c r="Q5" s="153"/>
      <c r="R5" s="153"/>
      <c r="S5"/>
      <c r="T5"/>
      <c r="U5"/>
      <c r="V5"/>
      <c r="W5"/>
      <c r="X5"/>
      <c r="Y5"/>
      <c r="Z5"/>
      <c r="AA5"/>
      <c r="AB5"/>
      <c r="AC5"/>
      <c r="AD5"/>
    </row>
    <row r="6" spans="1:30" s="53" customFormat="1" ht="16.95" customHeight="1" x14ac:dyDescent="0.3">
      <c r="B6" s="77"/>
      <c r="C6" s="117" t="s">
        <v>62</v>
      </c>
      <c r="D6" s="117"/>
      <c r="E6" s="117"/>
      <c r="F6" s="117"/>
      <c r="G6" s="117"/>
      <c r="H6" s="51"/>
      <c r="I6" s="153">
        <f>INFORMACIÓN!B3</f>
        <v>0</v>
      </c>
      <c r="J6" s="153"/>
      <c r="K6" s="153"/>
      <c r="L6" s="153"/>
      <c r="M6" s="153"/>
      <c r="N6" s="153"/>
      <c r="O6" s="153"/>
      <c r="P6" s="153"/>
      <c r="Q6" s="153"/>
      <c r="R6" s="153"/>
      <c r="S6"/>
      <c r="T6"/>
      <c r="U6"/>
      <c r="V6"/>
      <c r="W6"/>
      <c r="X6"/>
      <c r="Y6"/>
      <c r="Z6"/>
      <c r="AA6"/>
      <c r="AB6"/>
      <c r="AC6"/>
      <c r="AD6"/>
    </row>
    <row r="7" spans="1:30" s="53" customFormat="1" ht="16.95" customHeight="1" x14ac:dyDescent="0.3">
      <c r="B7" s="77"/>
      <c r="C7" s="117" t="s">
        <v>63</v>
      </c>
      <c r="D7" s="117"/>
      <c r="E7" s="117"/>
      <c r="F7" s="117"/>
      <c r="G7" s="117"/>
      <c r="H7" s="51"/>
      <c r="I7" s="153">
        <f>INFORMACIÓN!C3</f>
        <v>0</v>
      </c>
      <c r="J7" s="153"/>
      <c r="K7" s="153"/>
      <c r="L7" s="153"/>
      <c r="M7" s="153"/>
      <c r="N7" s="153"/>
      <c r="O7" s="153"/>
      <c r="P7" s="153"/>
      <c r="Q7" s="153"/>
      <c r="R7" s="153"/>
      <c r="S7"/>
      <c r="T7"/>
      <c r="U7"/>
      <c r="V7"/>
      <c r="W7"/>
      <c r="X7"/>
      <c r="Y7"/>
      <c r="Z7"/>
      <c r="AA7"/>
      <c r="AB7"/>
      <c r="AC7"/>
      <c r="AD7"/>
    </row>
    <row r="8" spans="1:30" s="53" customFormat="1" ht="16.95" customHeight="1" x14ac:dyDescent="0.3">
      <c r="B8" s="77"/>
      <c r="C8" s="117" t="s">
        <v>64</v>
      </c>
      <c r="D8" s="117"/>
      <c r="E8" s="117"/>
      <c r="F8" s="117"/>
      <c r="G8" s="117"/>
      <c r="H8" s="51"/>
      <c r="I8" s="158">
        <f>INFORMACIÓN!D3</f>
        <v>0</v>
      </c>
      <c r="J8" s="153"/>
      <c r="K8" s="153"/>
      <c r="L8" s="153"/>
      <c r="M8" s="153"/>
      <c r="N8" s="153"/>
      <c r="O8" s="153"/>
      <c r="P8" s="153"/>
      <c r="Q8" s="153"/>
      <c r="R8" s="153"/>
      <c r="S8"/>
      <c r="T8"/>
      <c r="U8"/>
      <c r="V8"/>
      <c r="W8"/>
      <c r="X8"/>
      <c r="Y8"/>
      <c r="Z8"/>
      <c r="AA8"/>
      <c r="AB8"/>
      <c r="AC8"/>
      <c r="AD8"/>
    </row>
    <row r="9" spans="1:30" s="53" customFormat="1" ht="16.95" customHeight="1" x14ac:dyDescent="0.3">
      <c r="B9" s="77"/>
      <c r="C9" s="117" t="s">
        <v>65</v>
      </c>
      <c r="D9" s="117"/>
      <c r="E9" s="117"/>
      <c r="F9" s="117"/>
      <c r="G9" s="117"/>
      <c r="H9" s="51"/>
      <c r="I9" s="158">
        <f>INFORMACIÓN!F3</f>
        <v>0</v>
      </c>
      <c r="J9" s="153"/>
      <c r="K9" s="153"/>
      <c r="L9" s="153"/>
      <c r="M9" s="153"/>
      <c r="N9" s="153"/>
      <c r="O9" s="153"/>
      <c r="P9" s="153"/>
      <c r="Q9" s="153"/>
      <c r="R9" s="153"/>
      <c r="S9"/>
      <c r="T9"/>
      <c r="U9"/>
      <c r="V9"/>
      <c r="W9"/>
      <c r="X9"/>
      <c r="Y9"/>
      <c r="Z9"/>
      <c r="AA9"/>
      <c r="AB9"/>
      <c r="AC9"/>
      <c r="AD9"/>
    </row>
    <row r="10" spans="1:30" s="53" customFormat="1" ht="16.95" customHeight="1" x14ac:dyDescent="0.3">
      <c r="B10" s="77"/>
      <c r="C10" s="117" t="s">
        <v>67</v>
      </c>
      <c r="D10" s="117"/>
      <c r="E10" s="117"/>
      <c r="F10" s="117"/>
      <c r="G10" s="117"/>
      <c r="H10" s="51"/>
      <c r="I10" s="159">
        <f>INFORMACIÓN!E3</f>
        <v>0</v>
      </c>
      <c r="J10" s="153"/>
      <c r="K10" s="153"/>
      <c r="L10" s="153"/>
      <c r="M10" s="153"/>
      <c r="N10" s="153"/>
      <c r="O10" s="153"/>
      <c r="P10" s="153"/>
      <c r="Q10" s="153"/>
      <c r="R10" s="153"/>
      <c r="S10"/>
      <c r="T10"/>
      <c r="U10"/>
      <c r="V10"/>
      <c r="W10"/>
      <c r="X10"/>
      <c r="Y10"/>
      <c r="Z10"/>
      <c r="AA10"/>
      <c r="AB10"/>
      <c r="AC10"/>
      <c r="AD10"/>
    </row>
    <row r="11" spans="1:30" s="53" customFormat="1" ht="16.95" customHeight="1" x14ac:dyDescent="0.3">
      <c r="B11" s="77"/>
      <c r="C11" s="117" t="s">
        <v>66</v>
      </c>
      <c r="D11" s="117"/>
      <c r="E11" s="117"/>
      <c r="F11" s="117"/>
      <c r="G11" s="117"/>
      <c r="H11" s="51"/>
      <c r="I11" s="153" t="str">
        <f>INFORMACIÓN!B8</f>
        <v>BUEN ESTADO</v>
      </c>
      <c r="J11" s="153"/>
      <c r="K11" s="153"/>
      <c r="L11" s="153"/>
      <c r="M11" s="153"/>
      <c r="N11" s="153"/>
      <c r="O11" s="153"/>
      <c r="P11" s="153"/>
      <c r="Q11" s="153"/>
      <c r="R11" s="153"/>
      <c r="S11"/>
      <c r="T11"/>
      <c r="U11"/>
      <c r="V11"/>
      <c r="W11"/>
      <c r="X11"/>
      <c r="Y11"/>
      <c r="Z11"/>
      <c r="AA11"/>
      <c r="AB11"/>
      <c r="AC11"/>
      <c r="AD11"/>
    </row>
    <row r="12" spans="1:30" s="53" customFormat="1" ht="16.95" customHeight="1" x14ac:dyDescent="0.3">
      <c r="B12" s="77"/>
      <c r="C12" s="117" t="s">
        <v>76</v>
      </c>
      <c r="D12" s="117"/>
      <c r="E12" s="117"/>
      <c r="F12" s="117"/>
      <c r="G12" s="117"/>
      <c r="H12" s="78"/>
      <c r="I12" s="160">
        <f>INFORMACIÓN!H3</f>
        <v>0</v>
      </c>
      <c r="J12" s="160"/>
      <c r="K12" s="160"/>
      <c r="L12" s="160"/>
      <c r="M12" s="160"/>
      <c r="N12" s="160"/>
      <c r="O12" s="160"/>
      <c r="P12" s="160"/>
      <c r="Q12" s="160"/>
      <c r="R12" s="160"/>
      <c r="S12"/>
      <c r="T12"/>
      <c r="U12"/>
      <c r="V12"/>
      <c r="W12"/>
      <c r="X12"/>
      <c r="Y12"/>
      <c r="Z12"/>
      <c r="AA12"/>
      <c r="AB12"/>
      <c r="AC12"/>
      <c r="AD12"/>
    </row>
    <row r="13" spans="1:30" s="53" customFormat="1" ht="16.95" customHeight="1" x14ac:dyDescent="0.3">
      <c r="B13" s="77"/>
      <c r="C13" s="117" t="s">
        <v>75</v>
      </c>
      <c r="D13" s="117"/>
      <c r="E13" s="117"/>
      <c r="F13" s="117"/>
      <c r="G13" s="117"/>
      <c r="H13" s="78"/>
      <c r="I13" s="160">
        <f>INFORMACIÓN!B9</f>
        <v>0</v>
      </c>
      <c r="J13" s="160"/>
      <c r="K13" s="160"/>
      <c r="L13" s="160"/>
      <c r="M13" s="160"/>
      <c r="N13" s="160"/>
      <c r="O13" s="160"/>
      <c r="P13" s="160"/>
      <c r="Q13" s="160"/>
      <c r="R13" s="160"/>
      <c r="S13"/>
      <c r="T13"/>
      <c r="U13"/>
      <c r="V13"/>
      <c r="W13"/>
      <c r="X13"/>
      <c r="Y13"/>
      <c r="Z13"/>
      <c r="AA13"/>
      <c r="AB13"/>
      <c r="AC13"/>
      <c r="AD13"/>
    </row>
    <row r="14" spans="1:30" ht="16.95" customHeight="1" x14ac:dyDescent="0.3"/>
    <row r="15" spans="1:30" ht="16.95" customHeight="1" x14ac:dyDescent="0.3">
      <c r="B15" s="63"/>
      <c r="C15" s="124" t="s">
        <v>69</v>
      </c>
      <c r="D15" s="124"/>
      <c r="E15" s="124"/>
      <c r="F15" s="124"/>
      <c r="G15" s="124"/>
      <c r="H15" s="124"/>
      <c r="I15" s="124"/>
      <c r="J15" s="124"/>
      <c r="K15" s="124"/>
      <c r="L15" s="124"/>
      <c r="M15" s="124"/>
      <c r="N15" s="124"/>
      <c r="O15" s="124"/>
      <c r="P15" s="124"/>
      <c r="Q15" s="124"/>
      <c r="R15" s="124"/>
    </row>
    <row r="16" spans="1:30" ht="16.95" customHeight="1" x14ac:dyDescent="0.3"/>
    <row r="17" spans="1:18" ht="16.95" customHeight="1" x14ac:dyDescent="0.3">
      <c r="B17" s="50"/>
      <c r="C17" s="132" t="s">
        <v>71</v>
      </c>
      <c r="D17" s="132"/>
      <c r="E17" s="132"/>
      <c r="F17" s="132"/>
      <c r="G17" s="132"/>
      <c r="H17" s="49"/>
      <c r="I17" s="148" t="str">
        <f>INFORMACIÓN!E7</f>
        <v xml:space="preserve">HOSPITAL DE ALTA COMPLEJIDAD DEL MAGDALENA CENTRO </v>
      </c>
      <c r="J17" s="148"/>
      <c r="K17" s="148"/>
      <c r="L17" s="148"/>
      <c r="M17" s="148"/>
      <c r="N17" s="148"/>
      <c r="O17" s="148"/>
      <c r="P17" s="148"/>
      <c r="Q17" s="148"/>
      <c r="R17" s="148"/>
    </row>
    <row r="18" spans="1:18" ht="16.95" customHeight="1" x14ac:dyDescent="0.3">
      <c r="B18" s="50"/>
      <c r="C18" s="132" t="s">
        <v>72</v>
      </c>
      <c r="D18" s="132"/>
      <c r="E18" s="132"/>
      <c r="F18" s="132"/>
      <c r="G18" s="132"/>
      <c r="H18" s="49"/>
      <c r="I18" s="148" t="str">
        <f>INFORMACIÓN!E8</f>
        <v>901.532.463-8</v>
      </c>
      <c r="J18" s="148"/>
      <c r="K18" s="148"/>
      <c r="L18" s="148"/>
      <c r="M18" s="148"/>
      <c r="N18" s="148"/>
      <c r="O18" s="148"/>
      <c r="P18" s="148"/>
      <c r="Q18" s="148"/>
      <c r="R18" s="148"/>
    </row>
    <row r="19" spans="1:18" ht="16.95" customHeight="1" x14ac:dyDescent="0.3">
      <c r="B19" s="50"/>
      <c r="C19" s="132" t="s">
        <v>89</v>
      </c>
      <c r="D19" s="132"/>
      <c r="E19" s="132"/>
      <c r="F19" s="132"/>
      <c r="G19" s="132"/>
      <c r="H19" s="49"/>
      <c r="I19" s="148">
        <f>INFORMACIÓN!E9</f>
        <v>3007835072</v>
      </c>
      <c r="J19" s="148"/>
      <c r="K19" s="148"/>
      <c r="L19" s="148"/>
      <c r="M19" s="148"/>
      <c r="N19" s="148"/>
      <c r="O19" s="148"/>
      <c r="P19" s="148"/>
      <c r="Q19" s="148"/>
      <c r="R19" s="148"/>
    </row>
    <row r="20" spans="1:18" ht="16.95" customHeight="1" x14ac:dyDescent="0.3">
      <c r="B20" s="50"/>
      <c r="C20" s="132" t="s">
        <v>73</v>
      </c>
      <c r="D20" s="132"/>
      <c r="E20" s="132"/>
      <c r="F20" s="132"/>
      <c r="G20" s="132"/>
      <c r="H20" s="49"/>
      <c r="I20" s="148" t="str">
        <f>INFORMACIÓN!E10</f>
        <v>CARRERA 15 ENTRE CALLE 18 y 19</v>
      </c>
      <c r="J20" s="148"/>
      <c r="K20" s="148"/>
      <c r="L20" s="148"/>
      <c r="M20" s="148"/>
      <c r="N20" s="148"/>
      <c r="O20" s="148"/>
      <c r="P20" s="148"/>
      <c r="Q20" s="148"/>
      <c r="R20" s="148"/>
    </row>
    <row r="21" spans="1:18" ht="16.95" customHeight="1" x14ac:dyDescent="0.3">
      <c r="B21" s="50"/>
      <c r="C21" s="132" t="s">
        <v>74</v>
      </c>
      <c r="D21" s="132"/>
      <c r="E21" s="132"/>
      <c r="F21" s="132"/>
      <c r="G21" s="132"/>
      <c r="H21" s="49"/>
      <c r="I21" s="148" t="str">
        <f>INFORMACIÓN!E11</f>
        <v>LA DORADA - CALDAS</v>
      </c>
      <c r="J21" s="148"/>
      <c r="K21" s="148"/>
      <c r="L21" s="148"/>
      <c r="M21" s="148"/>
      <c r="N21" s="148"/>
      <c r="O21" s="148"/>
      <c r="P21" s="148"/>
      <c r="Q21" s="148"/>
      <c r="R21" s="14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9" t="s">
        <v>206</v>
      </c>
      <c r="D23" s="149"/>
      <c r="E23" s="149"/>
      <c r="F23" s="149"/>
      <c r="G23" s="149"/>
      <c r="H23" s="149"/>
      <c r="I23" s="149"/>
      <c r="J23" s="149"/>
      <c r="K23" s="149"/>
      <c r="L23" s="149"/>
      <c r="M23" s="149"/>
      <c r="N23" s="149"/>
      <c r="O23" s="149"/>
      <c r="P23" s="149"/>
      <c r="Q23" s="149"/>
      <c r="R23" s="149"/>
    </row>
    <row r="24" spans="1:18" ht="16.95" customHeight="1" x14ac:dyDescent="0.3">
      <c r="A24" s="76"/>
      <c r="B24" s="76"/>
      <c r="C24" s="150"/>
      <c r="D24" s="150"/>
      <c r="E24" s="150"/>
      <c r="F24" s="150"/>
      <c r="G24" s="150"/>
      <c r="H24" s="150"/>
      <c r="I24" s="150"/>
      <c r="J24" s="150"/>
      <c r="K24" s="150"/>
      <c r="L24" s="150"/>
      <c r="M24" s="150"/>
      <c r="N24" s="150"/>
      <c r="O24" s="150"/>
      <c r="P24" s="150"/>
      <c r="Q24" s="150"/>
      <c r="R24" s="150"/>
    </row>
    <row r="25" spans="1:18" ht="16.95" customHeight="1" x14ac:dyDescent="0.3">
      <c r="A25" s="76"/>
      <c r="B25" s="76"/>
      <c r="C25" s="150"/>
      <c r="D25" s="150"/>
      <c r="E25" s="150"/>
      <c r="F25" s="150"/>
      <c r="G25" s="150"/>
      <c r="H25" s="150"/>
      <c r="I25" s="150"/>
      <c r="J25" s="150"/>
      <c r="K25" s="150"/>
      <c r="L25" s="150"/>
      <c r="M25" s="150"/>
      <c r="N25" s="150"/>
      <c r="O25" s="150"/>
      <c r="P25" s="150"/>
      <c r="Q25" s="150"/>
      <c r="R25" s="150"/>
    </row>
    <row r="26" spans="1:18" ht="16.95" customHeight="1" x14ac:dyDescent="0.3">
      <c r="A26" s="76"/>
      <c r="B26" s="76"/>
      <c r="C26" s="150"/>
      <c r="D26" s="150"/>
      <c r="E26" s="150"/>
      <c r="F26" s="150"/>
      <c r="G26" s="150"/>
      <c r="H26" s="150"/>
      <c r="I26" s="150"/>
      <c r="J26" s="150"/>
      <c r="K26" s="150"/>
      <c r="L26" s="150"/>
      <c r="M26" s="150"/>
      <c r="N26" s="150"/>
      <c r="O26" s="150"/>
      <c r="P26" s="150"/>
      <c r="Q26" s="150"/>
      <c r="R26" s="150"/>
    </row>
    <row r="27" spans="1:18" ht="16.95" customHeight="1" x14ac:dyDescent="0.3">
      <c r="A27" s="76"/>
      <c r="B27" s="76"/>
      <c r="C27" s="150"/>
      <c r="D27" s="150"/>
      <c r="E27" s="150"/>
      <c r="F27" s="150"/>
      <c r="G27" s="150"/>
      <c r="H27" s="150"/>
      <c r="I27" s="150"/>
      <c r="J27" s="150"/>
      <c r="K27" s="150"/>
      <c r="L27" s="150"/>
      <c r="M27" s="150"/>
      <c r="N27" s="150"/>
      <c r="O27" s="150"/>
      <c r="P27" s="150"/>
      <c r="Q27" s="150"/>
      <c r="R27" s="150"/>
    </row>
    <row r="28" spans="1:18" ht="16.95" customHeight="1" x14ac:dyDescent="0.3">
      <c r="A28" s="76"/>
      <c r="B28" s="76"/>
      <c r="C28" s="151"/>
      <c r="D28" s="151"/>
      <c r="E28" s="151"/>
      <c r="F28" s="151"/>
      <c r="G28" s="151"/>
      <c r="H28" s="151"/>
      <c r="I28" s="151"/>
      <c r="J28" s="151"/>
      <c r="K28" s="151"/>
      <c r="L28" s="151"/>
      <c r="M28" s="151"/>
      <c r="N28" s="151"/>
      <c r="O28" s="151"/>
      <c r="P28" s="151"/>
      <c r="Q28" s="151"/>
      <c r="R28" s="15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2" t="s">
        <v>77</v>
      </c>
      <c r="J31" s="132"/>
      <c r="K31" s="132"/>
      <c r="L31" s="132"/>
      <c r="M31" s="148" t="str">
        <f>INFORMACIÓN!B15</f>
        <v>ING. GABRIEL DURÁN</v>
      </c>
      <c r="N31" s="148"/>
      <c r="O31" s="148"/>
      <c r="P31" s="148"/>
      <c r="Q31" s="148"/>
      <c r="R31" s="148"/>
    </row>
    <row r="32" spans="1:18" ht="16.95" customHeight="1" x14ac:dyDescent="0.3">
      <c r="F32" s="50"/>
      <c r="G32" s="50"/>
      <c r="H32" s="50"/>
      <c r="I32" s="132" t="s">
        <v>78</v>
      </c>
      <c r="J32" s="132"/>
      <c r="K32" s="132"/>
      <c r="L32" s="132"/>
      <c r="M32" s="152">
        <f>INFORMACIÓN!B10</f>
        <v>0</v>
      </c>
      <c r="N32" s="152"/>
      <c r="O32" s="152"/>
      <c r="P32" s="62"/>
      <c r="Q32" s="62"/>
      <c r="R32" s="50"/>
    </row>
    <row r="33" spans="1:19" ht="16.95" customHeight="1" x14ac:dyDescent="0.3">
      <c r="I33" s="132" t="s">
        <v>82</v>
      </c>
      <c r="J33" s="132"/>
      <c r="K33" s="132"/>
      <c r="L33" s="132"/>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2" t="str">
        <f>O1</f>
        <v>CERTIFICADO N°:</v>
      </c>
      <c r="P38" s="132"/>
      <c r="Q38" s="132"/>
      <c r="R38" s="147">
        <f>R1</f>
        <v>0</v>
      </c>
      <c r="S38" s="147"/>
    </row>
    <row r="39" spans="1:19" ht="16.95" customHeight="1" x14ac:dyDescent="0.3"/>
    <row r="40" spans="1:19" ht="16.95" customHeight="1" x14ac:dyDescent="0.3">
      <c r="B40" s="134" t="s">
        <v>83</v>
      </c>
      <c r="C40" s="134"/>
      <c r="D40" s="134"/>
      <c r="E40" s="134"/>
      <c r="F40" s="134"/>
      <c r="G40" s="134"/>
      <c r="H40" s="134"/>
      <c r="I40" s="134"/>
      <c r="J40" s="134"/>
      <c r="K40" s="134"/>
      <c r="L40" s="134"/>
      <c r="M40" s="134"/>
      <c r="N40" s="134"/>
      <c r="O40" s="134"/>
      <c r="P40" s="134"/>
      <c r="Q40" s="134"/>
      <c r="R40" s="134"/>
      <c r="S40" s="134"/>
    </row>
    <row r="41" spans="1:19" ht="16.95" customHeight="1" x14ac:dyDescent="0.3">
      <c r="B41" s="128" t="s">
        <v>207</v>
      </c>
      <c r="C41" s="128"/>
      <c r="D41" s="128"/>
      <c r="E41" s="128"/>
      <c r="F41" s="128"/>
      <c r="G41" s="128"/>
      <c r="H41" s="128"/>
      <c r="I41" s="128"/>
      <c r="J41" s="128"/>
      <c r="K41" s="128"/>
      <c r="L41" s="128"/>
      <c r="M41" s="128"/>
      <c r="N41" s="128"/>
      <c r="O41" s="128"/>
      <c r="P41" s="128"/>
      <c r="Q41" s="128"/>
      <c r="R41" s="128"/>
      <c r="S41" s="128"/>
    </row>
    <row r="42" spans="1:19" ht="16.95" customHeight="1" x14ac:dyDescent="0.3">
      <c r="A42" s="85"/>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5"/>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5" t="s">
        <v>84</v>
      </c>
      <c r="G45" s="136"/>
      <c r="H45" s="136"/>
      <c r="I45" s="136"/>
      <c r="J45" s="137"/>
      <c r="K45" s="144" t="s">
        <v>85</v>
      </c>
      <c r="L45" s="145"/>
      <c r="M45" s="145"/>
      <c r="N45" s="145"/>
      <c r="O45" s="146"/>
    </row>
    <row r="46" spans="1:19" ht="16.95" customHeight="1" x14ac:dyDescent="0.3">
      <c r="E46" s="74"/>
      <c r="F46" s="139">
        <f>AVERAGE(INFORMACIÓN!B11:B12)</f>
        <v>24.3</v>
      </c>
      <c r="G46" s="140"/>
      <c r="H46" s="70" t="s">
        <v>86</v>
      </c>
      <c r="I46" s="71">
        <f>ABS(INFORMACIÓN!B11-INFORMACIÓN!B12)</f>
        <v>0.39999999999999858</v>
      </c>
      <c r="J46" s="75"/>
      <c r="K46" s="141">
        <f>AVERAGE(INFORMACIÓN!B13:B14)</f>
        <v>61.5</v>
      </c>
      <c r="L46" s="14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8" t="s">
        <v>208</v>
      </c>
      <c r="G48" s="138"/>
      <c r="H48" s="138"/>
      <c r="I48" s="138"/>
      <c r="J48" s="138"/>
      <c r="K48" s="143" t="s">
        <v>209</v>
      </c>
      <c r="L48" s="143"/>
      <c r="M48" s="143"/>
      <c r="N48" s="143"/>
      <c r="O48" s="143"/>
      <c r="P48" s="143"/>
    </row>
    <row r="49" spans="1:19" ht="13.2" customHeight="1" x14ac:dyDescent="0.3"/>
    <row r="50" spans="1:19" ht="16.95" customHeight="1" x14ac:dyDescent="0.3">
      <c r="B50" s="133" t="s">
        <v>87</v>
      </c>
      <c r="C50" s="133"/>
      <c r="D50" s="133"/>
      <c r="E50" s="133"/>
      <c r="F50" s="133"/>
      <c r="G50" s="133"/>
      <c r="H50" s="133"/>
      <c r="I50" s="133"/>
      <c r="J50" s="133"/>
      <c r="K50" s="133"/>
      <c r="L50" s="133"/>
      <c r="M50" s="133"/>
      <c r="N50" s="133"/>
      <c r="O50" s="133"/>
      <c r="P50" s="133"/>
      <c r="Q50" s="133"/>
      <c r="R50" s="133"/>
      <c r="S50" s="133"/>
    </row>
    <row r="51" spans="1:19" ht="16.95" customHeight="1" x14ac:dyDescent="0.3">
      <c r="B51" s="128" t="s">
        <v>210</v>
      </c>
      <c r="C51" s="128"/>
      <c r="D51" s="128"/>
      <c r="E51" s="128"/>
      <c r="F51" s="128"/>
      <c r="G51" s="128"/>
      <c r="H51" s="128"/>
      <c r="I51" s="128"/>
      <c r="J51" s="128"/>
      <c r="K51" s="128"/>
      <c r="L51" s="128"/>
      <c r="M51" s="128"/>
      <c r="N51" s="128"/>
      <c r="O51" s="128"/>
      <c r="P51" s="128"/>
      <c r="Q51" s="128"/>
      <c r="R51" s="128"/>
      <c r="S51" s="128"/>
    </row>
    <row r="52" spans="1:19" ht="16.95" customHeight="1" x14ac:dyDescent="0.3">
      <c r="A52" s="85"/>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5"/>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5"/>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5"/>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5"/>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5"/>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5"/>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4" t="s">
        <v>88</v>
      </c>
      <c r="C60" s="134"/>
      <c r="D60" s="134"/>
      <c r="E60" s="134"/>
      <c r="F60" s="134"/>
      <c r="G60" s="134"/>
      <c r="H60" s="134"/>
      <c r="I60" s="134"/>
      <c r="J60" s="134"/>
      <c r="K60" s="134"/>
      <c r="L60" s="134"/>
      <c r="M60" s="134"/>
      <c r="N60" s="134"/>
      <c r="O60" s="134"/>
      <c r="P60" s="134"/>
      <c r="Q60" s="134"/>
      <c r="R60" s="134"/>
      <c r="S60" s="134"/>
    </row>
    <row r="61" spans="1:19" ht="16.95" customHeight="1" x14ac:dyDescent="0.3">
      <c r="B61" s="128" t="s">
        <v>211</v>
      </c>
      <c r="C61" s="128"/>
      <c r="D61" s="128"/>
      <c r="E61" s="128"/>
      <c r="F61" s="128"/>
      <c r="G61" s="128"/>
      <c r="H61" s="128"/>
      <c r="I61" s="128"/>
      <c r="J61" s="128"/>
      <c r="K61" s="128"/>
      <c r="L61" s="128"/>
      <c r="M61" s="128"/>
      <c r="N61" s="128"/>
      <c r="O61" s="128"/>
      <c r="P61" s="128"/>
      <c r="Q61" s="128"/>
      <c r="R61" s="128"/>
      <c r="S61" s="128"/>
    </row>
    <row r="62" spans="1:19" ht="16.95" customHeight="1" x14ac:dyDescent="0.3">
      <c r="A62" s="85"/>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4" t="s">
        <v>94</v>
      </c>
      <c r="C64" s="134"/>
      <c r="D64" s="134"/>
      <c r="E64" s="134"/>
      <c r="F64" s="134"/>
      <c r="G64" s="134"/>
      <c r="H64" s="134"/>
      <c r="I64" s="134"/>
      <c r="J64" s="134"/>
      <c r="K64" s="134"/>
      <c r="L64" s="134"/>
      <c r="M64" s="134"/>
      <c r="N64" s="134"/>
      <c r="O64" s="134"/>
      <c r="P64" s="134"/>
      <c r="Q64" s="134"/>
      <c r="R64" s="134"/>
      <c r="S64" s="134"/>
    </row>
    <row r="65" spans="1:19" ht="19.2" customHeight="1" x14ac:dyDescent="0.3">
      <c r="B65" s="128" t="s">
        <v>212</v>
      </c>
      <c r="C65" s="128"/>
      <c r="D65" s="128"/>
      <c r="E65" s="128"/>
      <c r="F65" s="128"/>
      <c r="G65" s="128"/>
      <c r="H65" s="128"/>
      <c r="I65" s="128"/>
      <c r="J65" s="128"/>
      <c r="K65" s="128"/>
      <c r="L65" s="128"/>
      <c r="M65" s="128"/>
      <c r="N65" s="128"/>
      <c r="O65" s="128"/>
      <c r="P65" s="128"/>
      <c r="Q65" s="128"/>
      <c r="R65" s="128"/>
      <c r="S65" s="128"/>
    </row>
    <row r="66" spans="1:19" ht="16.95" customHeight="1" x14ac:dyDescent="0.3">
      <c r="A66" s="85"/>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5"/>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5"/>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26" t="s">
        <v>90</v>
      </c>
      <c r="C70" s="126"/>
      <c r="D70" s="126"/>
      <c r="E70" s="126"/>
      <c r="F70" s="126"/>
      <c r="G70" s="126"/>
      <c r="H70" s="126" t="s">
        <v>91</v>
      </c>
      <c r="I70" s="126"/>
      <c r="J70" s="126"/>
      <c r="K70" s="126"/>
      <c r="L70" s="126"/>
      <c r="M70" s="126" t="s">
        <v>92</v>
      </c>
      <c r="N70" s="126"/>
      <c r="O70" s="126"/>
      <c r="P70" s="126" t="s">
        <v>93</v>
      </c>
      <c r="Q70" s="126"/>
      <c r="R70" s="126"/>
      <c r="S70" s="126"/>
    </row>
    <row r="71" spans="1:19" ht="16.95" customHeight="1" x14ac:dyDescent="0.3">
      <c r="B71" s="127" t="s">
        <v>143</v>
      </c>
      <c r="C71" s="127"/>
      <c r="D71" s="127"/>
      <c r="E71" s="127"/>
      <c r="F71" s="127"/>
      <c r="G71" s="127"/>
      <c r="H71" s="130">
        <v>30007226</v>
      </c>
      <c r="I71" s="130"/>
      <c r="J71" s="130"/>
      <c r="K71" s="130"/>
      <c r="L71" s="130"/>
      <c r="M71" s="131">
        <v>45808</v>
      </c>
      <c r="N71" s="131"/>
      <c r="O71" s="131"/>
      <c r="P71" s="130" t="s">
        <v>144</v>
      </c>
      <c r="Q71" s="130"/>
      <c r="R71" s="130"/>
      <c r="S71" s="13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2" t="str">
        <f>O1</f>
        <v>CERTIFICADO N°:</v>
      </c>
      <c r="P76" s="132"/>
      <c r="Q76" s="132"/>
      <c r="R76" s="147">
        <f>R1</f>
        <v>0</v>
      </c>
      <c r="S76" s="147"/>
    </row>
    <row r="77" spans="1:19" ht="16.95" customHeight="1" x14ac:dyDescent="0.3"/>
    <row r="78" spans="1:19" ht="16.95" customHeight="1" x14ac:dyDescent="0.3">
      <c r="B78" s="125" t="s">
        <v>95</v>
      </c>
      <c r="C78" s="125"/>
      <c r="D78" s="125"/>
      <c r="E78" s="125"/>
      <c r="F78" s="125"/>
      <c r="G78" s="125"/>
      <c r="H78" s="125"/>
      <c r="I78" s="125"/>
      <c r="J78" s="125"/>
      <c r="K78" s="125"/>
      <c r="L78" s="125"/>
      <c r="M78" s="125"/>
      <c r="N78" s="125"/>
      <c r="O78" s="125"/>
      <c r="P78" s="125"/>
      <c r="Q78" s="125"/>
      <c r="R78" s="125"/>
      <c r="S78" s="125"/>
    </row>
    <row r="79" spans="1:19" ht="16.649999999999999" customHeight="1" x14ac:dyDescent="0.3"/>
    <row r="80" spans="1:19" ht="16.649999999999999" customHeight="1" x14ac:dyDescent="0.3">
      <c r="B80" s="50" t="s">
        <v>157</v>
      </c>
      <c r="C80" s="50"/>
      <c r="D80" s="50"/>
      <c r="E80" s="50"/>
      <c r="F80" s="50"/>
      <c r="G80" s="50"/>
      <c r="H80" s="50"/>
      <c r="I80" s="110" t="s">
        <v>158</v>
      </c>
      <c r="J80" s="110"/>
      <c r="K80" s="110"/>
      <c r="L80" s="110"/>
      <c r="M80" s="110"/>
      <c r="N80" s="111" t="s">
        <v>159</v>
      </c>
      <c r="O80" s="111"/>
      <c r="P80" s="110" t="s">
        <v>160</v>
      </c>
      <c r="Q80" s="110"/>
      <c r="R80" s="110"/>
      <c r="S80" s="88">
        <v>1</v>
      </c>
    </row>
    <row r="81" spans="2:19" ht="16.95" customHeight="1" x14ac:dyDescent="0.3"/>
    <row r="82" spans="2:19" ht="16.649999999999999" customHeight="1" x14ac:dyDescent="0.3">
      <c r="B82" s="112" t="s">
        <v>161</v>
      </c>
      <c r="C82" s="112"/>
      <c r="D82" s="113" t="s">
        <v>120</v>
      </c>
      <c r="E82" s="113"/>
      <c r="F82" s="113"/>
      <c r="G82" s="113"/>
      <c r="H82" s="113"/>
      <c r="I82" s="113"/>
      <c r="J82" s="113"/>
      <c r="K82" s="113"/>
      <c r="L82" s="114" t="s">
        <v>169</v>
      </c>
      <c r="M82" s="115"/>
      <c r="N82" s="115"/>
      <c r="O82" s="115"/>
      <c r="P82" s="115"/>
      <c r="Q82" s="115"/>
      <c r="R82" s="115"/>
      <c r="S82" s="115"/>
    </row>
    <row r="83" spans="2:19" ht="24" customHeight="1" x14ac:dyDescent="0.3">
      <c r="B83" s="112"/>
      <c r="C83" s="112"/>
      <c r="D83" s="116" t="s">
        <v>162</v>
      </c>
      <c r="E83" s="116"/>
      <c r="F83" s="116" t="s">
        <v>163</v>
      </c>
      <c r="G83" s="116"/>
      <c r="H83" s="116" t="s">
        <v>164</v>
      </c>
      <c r="I83" s="116"/>
      <c r="J83" s="116" t="s">
        <v>165</v>
      </c>
      <c r="K83" s="116"/>
      <c r="L83" s="112" t="s">
        <v>166</v>
      </c>
      <c r="M83" s="112"/>
      <c r="N83" s="112" t="s">
        <v>167</v>
      </c>
      <c r="O83" s="112"/>
      <c r="P83" s="116" t="s">
        <v>96</v>
      </c>
      <c r="Q83" s="116"/>
      <c r="R83" s="116"/>
      <c r="S83" s="87" t="s">
        <v>14</v>
      </c>
    </row>
    <row r="84" spans="2:19" ht="16.95" customHeight="1" x14ac:dyDescent="0.3">
      <c r="B84" s="122">
        <f>MEDIDA!B6</f>
        <v>50</v>
      </c>
      <c r="C84" s="122"/>
      <c r="D84" s="121">
        <f>MEDIDA!D6</f>
        <v>51</v>
      </c>
      <c r="E84" s="121"/>
      <c r="F84" s="121">
        <f ca="1">MEDIDA!F6</f>
        <v>51.231122443514053</v>
      </c>
      <c r="G84" s="121"/>
      <c r="H84" s="121">
        <f ca="1">MEDIDA!H6</f>
        <v>51</v>
      </c>
      <c r="I84" s="121"/>
      <c r="J84" s="121">
        <f ca="1">MEDIDA!J6</f>
        <v>51</v>
      </c>
      <c r="K84" s="121"/>
      <c r="L84" s="121">
        <f ca="1">MEDIDA!L6</f>
        <v>51.05778061087851</v>
      </c>
      <c r="M84" s="121"/>
      <c r="N84" s="121">
        <f ca="1">MEDIDA!N6</f>
        <v>-1.0577806108785097</v>
      </c>
      <c r="O84" s="121"/>
      <c r="P84" s="109" t="s">
        <v>168</v>
      </c>
      <c r="Q84" s="109"/>
      <c r="R84" s="109"/>
      <c r="S84" s="93">
        <f ca="1">INCERTIDUMBRE!K4</f>
        <v>2.0098536670023397</v>
      </c>
    </row>
    <row r="85" spans="2:19" ht="16.95" customHeight="1" x14ac:dyDescent="0.3">
      <c r="B85" s="122">
        <f>MEDIDA!B7</f>
        <v>100</v>
      </c>
      <c r="C85" s="122"/>
      <c r="D85" s="121">
        <f>MEDIDA!D7</f>
        <v>100.3</v>
      </c>
      <c r="E85" s="121"/>
      <c r="F85" s="121">
        <f ca="1">MEDIDA!F7</f>
        <v>100.3</v>
      </c>
      <c r="G85" s="121"/>
      <c r="H85" s="121">
        <f ca="1">MEDIDA!H7</f>
        <v>100.46651563110377</v>
      </c>
      <c r="I85" s="121"/>
      <c r="J85" s="121">
        <f ca="1">MEDIDA!J7</f>
        <v>100.41047216351934</v>
      </c>
      <c r="K85" s="121"/>
      <c r="L85" s="121">
        <f ca="1">MEDIDA!L7</f>
        <v>100.36924694865577</v>
      </c>
      <c r="M85" s="121"/>
      <c r="N85" s="121">
        <f ca="1">MEDIDA!N7</f>
        <v>-0.36924694865577123</v>
      </c>
      <c r="O85" s="121"/>
      <c r="P85" s="109" t="s">
        <v>168</v>
      </c>
      <c r="Q85" s="109"/>
      <c r="R85" s="109"/>
      <c r="S85" s="93">
        <f ca="1">INCERTIDUMBRE!K5</f>
        <v>2.0094802002033778</v>
      </c>
    </row>
    <row r="86" spans="2:19" ht="16.95" customHeight="1" x14ac:dyDescent="0.3">
      <c r="B86" s="122">
        <f>MEDIDA!B8</f>
        <v>125</v>
      </c>
      <c r="C86" s="122"/>
      <c r="D86" s="121">
        <f>MEDIDA!D8</f>
        <v>123.5</v>
      </c>
      <c r="E86" s="121"/>
      <c r="F86" s="121">
        <f ca="1">MEDIDA!F8</f>
        <v>123.5</v>
      </c>
      <c r="G86" s="121"/>
      <c r="H86" s="121">
        <f ca="1">MEDIDA!H8</f>
        <v>123.26093715081208</v>
      </c>
      <c r="I86" s="121"/>
      <c r="J86" s="121">
        <f ca="1">MEDIDA!J8</f>
        <v>123.77932312192029</v>
      </c>
      <c r="K86" s="121"/>
      <c r="L86" s="121">
        <f ca="1">MEDIDA!L8</f>
        <v>123.5100650681831</v>
      </c>
      <c r="M86" s="121"/>
      <c r="N86" s="121">
        <f ca="1">MEDIDA!N8</f>
        <v>1.4899349318169044</v>
      </c>
      <c r="O86" s="121"/>
      <c r="P86" s="109" t="s">
        <v>168</v>
      </c>
      <c r="Q86" s="109"/>
      <c r="R86" s="109"/>
      <c r="S86" s="93">
        <f ca="1">INCERTIDUMBRE!K6</f>
        <v>2.0168061261839525</v>
      </c>
    </row>
    <row r="87" spans="2:19" ht="16.2" customHeight="1" x14ac:dyDescent="0.3"/>
    <row r="88" spans="2:19" ht="16.95" customHeight="1" x14ac:dyDescent="0.3"/>
    <row r="89" spans="2:19" ht="16.95" customHeight="1" x14ac:dyDescent="0.3">
      <c r="B89" s="50" t="s">
        <v>170</v>
      </c>
      <c r="C89" s="50"/>
      <c r="D89" s="50"/>
      <c r="E89" s="50"/>
      <c r="F89" s="50"/>
      <c r="G89" s="50"/>
      <c r="H89" s="50"/>
      <c r="I89" s="110" t="s">
        <v>176</v>
      </c>
      <c r="J89" s="110"/>
      <c r="K89" s="110"/>
      <c r="L89" s="110"/>
      <c r="M89" s="110"/>
      <c r="N89" s="111" t="s">
        <v>178</v>
      </c>
      <c r="O89" s="111"/>
      <c r="P89" s="110" t="s">
        <v>177</v>
      </c>
      <c r="Q89" s="110"/>
      <c r="R89" s="110"/>
      <c r="S89" s="88" t="s">
        <v>178</v>
      </c>
    </row>
    <row r="90" spans="2:19" ht="16.95" customHeight="1" x14ac:dyDescent="0.3"/>
    <row r="91" spans="2:19" ht="24" customHeight="1" x14ac:dyDescent="0.3">
      <c r="B91" s="112" t="s">
        <v>161</v>
      </c>
      <c r="C91" s="112"/>
      <c r="D91" s="113" t="s">
        <v>120</v>
      </c>
      <c r="E91" s="113"/>
      <c r="F91" s="113"/>
      <c r="G91" s="113"/>
      <c r="H91" s="113"/>
      <c r="I91" s="113"/>
      <c r="J91" s="113"/>
      <c r="K91" s="113"/>
      <c r="L91" s="114"/>
      <c r="M91" s="115"/>
      <c r="N91" s="115"/>
      <c r="O91" s="115"/>
      <c r="P91" s="115"/>
      <c r="Q91" s="115"/>
    </row>
    <row r="92" spans="2:19" ht="28.2" customHeight="1" x14ac:dyDescent="0.3">
      <c r="B92" s="112"/>
      <c r="C92" s="112"/>
      <c r="D92" s="116" t="s">
        <v>171</v>
      </c>
      <c r="E92" s="116"/>
      <c r="F92" s="116" t="s">
        <v>172</v>
      </c>
      <c r="G92" s="116"/>
      <c r="H92" s="116" t="s">
        <v>173</v>
      </c>
      <c r="I92" s="116"/>
      <c r="J92" s="116" t="s">
        <v>174</v>
      </c>
      <c r="K92" s="116"/>
      <c r="L92" s="112" t="s">
        <v>175</v>
      </c>
      <c r="M92" s="112"/>
      <c r="N92" s="116" t="s">
        <v>96</v>
      </c>
      <c r="O92" s="116"/>
      <c r="P92" s="116"/>
      <c r="Q92" s="87" t="s">
        <v>14</v>
      </c>
    </row>
    <row r="93" spans="2:19" ht="16.95" customHeight="1" x14ac:dyDescent="0.3">
      <c r="B93" s="122">
        <f>MEDIDA!B14</f>
        <v>50</v>
      </c>
      <c r="C93" s="122"/>
      <c r="D93" s="121">
        <f>MEDIDA!D14</f>
        <v>1.54</v>
      </c>
      <c r="E93" s="121"/>
      <c r="F93" s="121">
        <f ca="1">MEDIDA!F14</f>
        <v>1.6951216430289096</v>
      </c>
      <c r="G93" s="121"/>
      <c r="H93" s="121">
        <f ca="1">MEDIDA!H14</f>
        <v>1.3925602842325753</v>
      </c>
      <c r="I93" s="121"/>
      <c r="J93" s="121">
        <f ca="1">MEDIDA!J14</f>
        <v>1.8274477393680078</v>
      </c>
      <c r="K93" s="121"/>
      <c r="L93" s="121">
        <f ca="1">MEDIDA!L14</f>
        <v>1.6137824166573731</v>
      </c>
      <c r="M93" s="121"/>
      <c r="N93" s="109" t="s">
        <v>179</v>
      </c>
      <c r="O93" s="109"/>
      <c r="P93" s="109"/>
      <c r="Q93" s="93">
        <f>INCERTIDUMBRE!K13</f>
        <v>0</v>
      </c>
    </row>
    <row r="94" spans="2:19" ht="16.95" customHeight="1" x14ac:dyDescent="0.3">
      <c r="B94" s="122">
        <f>MEDIDA!B15</f>
        <v>100</v>
      </c>
      <c r="C94" s="122"/>
      <c r="D94" s="121">
        <f>MEDIDA!D15</f>
        <v>16.760000000000002</v>
      </c>
      <c r="E94" s="121"/>
      <c r="F94" s="121">
        <f ca="1">MEDIDA!F15</f>
        <v>16.478976121967921</v>
      </c>
      <c r="G94" s="121"/>
      <c r="H94" s="121">
        <f ca="1">MEDIDA!H15</f>
        <v>16.541167908301517</v>
      </c>
      <c r="I94" s="121"/>
      <c r="J94" s="121">
        <f ca="1">MEDIDA!J15</f>
        <v>16.932756248904184</v>
      </c>
      <c r="K94" s="121"/>
      <c r="L94" s="121">
        <f ca="1">MEDIDA!L15</f>
        <v>16.678225069793406</v>
      </c>
      <c r="M94" s="121"/>
      <c r="N94" s="109" t="s">
        <v>179</v>
      </c>
      <c r="O94" s="109"/>
      <c r="P94" s="109"/>
      <c r="Q94" s="93">
        <f>INCERTIDUMBRE!K14</f>
        <v>0</v>
      </c>
    </row>
    <row r="95" spans="2:19" ht="16.95" customHeight="1" x14ac:dyDescent="0.3">
      <c r="B95" s="122">
        <f>MEDIDA!B16</f>
        <v>125</v>
      </c>
      <c r="C95" s="122"/>
      <c r="D95" s="121">
        <f>MEDIDA!D16</f>
        <v>23.21</v>
      </c>
      <c r="E95" s="121"/>
      <c r="F95" s="121">
        <f ca="1">MEDIDA!F16</f>
        <v>22.939978675256601</v>
      </c>
      <c r="G95" s="121"/>
      <c r="H95" s="121">
        <f ca="1">MEDIDA!H16</f>
        <v>23.21</v>
      </c>
      <c r="I95" s="121"/>
      <c r="J95" s="121">
        <f ca="1">MEDIDA!J16</f>
        <v>23.384548728671835</v>
      </c>
      <c r="K95" s="121"/>
      <c r="L95" s="121">
        <f ca="1">MEDIDA!L16</f>
        <v>23.186131850982107</v>
      </c>
      <c r="M95" s="121"/>
      <c r="N95" s="109" t="s">
        <v>179</v>
      </c>
      <c r="O95" s="109"/>
      <c r="P95" s="109"/>
      <c r="Q95" s="93">
        <f>INCERTIDUMBRE!K15</f>
        <v>0</v>
      </c>
    </row>
    <row r="96" spans="2:19" ht="16.95" customHeight="1" x14ac:dyDescent="0.3"/>
    <row r="97" spans="2:19" ht="16.95" customHeight="1" x14ac:dyDescent="0.3"/>
    <row r="98" spans="2:19" ht="16.95" customHeight="1" x14ac:dyDescent="0.3">
      <c r="B98" s="50" t="s">
        <v>180</v>
      </c>
      <c r="C98" s="50"/>
      <c r="D98" s="50"/>
      <c r="E98" s="50"/>
      <c r="F98" s="50"/>
      <c r="G98" s="50"/>
      <c r="H98" s="50"/>
      <c r="I98" s="110" t="s">
        <v>181</v>
      </c>
      <c r="J98" s="110"/>
      <c r="K98" s="110"/>
      <c r="L98" s="110"/>
      <c r="M98" s="110"/>
      <c r="N98" s="111" t="s">
        <v>178</v>
      </c>
      <c r="O98" s="111"/>
      <c r="P98" s="110" t="s">
        <v>182</v>
      </c>
      <c r="Q98" s="110"/>
      <c r="R98" s="110"/>
      <c r="S98" s="88" t="s">
        <v>178</v>
      </c>
    </row>
    <row r="99" spans="2:19" ht="16.95" customHeight="1" x14ac:dyDescent="0.3"/>
    <row r="100" spans="2:19" ht="16.95" customHeight="1" x14ac:dyDescent="0.3">
      <c r="B100" s="112" t="s">
        <v>161</v>
      </c>
      <c r="C100" s="112"/>
      <c r="D100" s="113" t="s">
        <v>120</v>
      </c>
      <c r="E100" s="113"/>
      <c r="F100" s="113"/>
      <c r="G100" s="113"/>
      <c r="H100" s="113"/>
      <c r="I100" s="113"/>
      <c r="J100" s="113"/>
      <c r="K100" s="113"/>
      <c r="L100" s="114"/>
      <c r="M100" s="115"/>
      <c r="N100" s="115"/>
      <c r="O100" s="115"/>
      <c r="P100" s="115"/>
      <c r="Q100" s="115"/>
    </row>
    <row r="101" spans="2:19" ht="31.8" customHeight="1" x14ac:dyDescent="0.3">
      <c r="B101" s="112"/>
      <c r="C101" s="112"/>
      <c r="D101" s="116" t="s">
        <v>183</v>
      </c>
      <c r="E101" s="116"/>
      <c r="F101" s="116" t="s">
        <v>184</v>
      </c>
      <c r="G101" s="116"/>
      <c r="H101" s="116" t="s">
        <v>185</v>
      </c>
      <c r="I101" s="116"/>
      <c r="J101" s="116" t="s">
        <v>186</v>
      </c>
      <c r="K101" s="116"/>
      <c r="L101" s="116" t="s">
        <v>187</v>
      </c>
      <c r="M101" s="116"/>
      <c r="N101" s="116" t="s">
        <v>96</v>
      </c>
      <c r="O101" s="116"/>
      <c r="P101" s="116"/>
      <c r="Q101" s="87" t="s">
        <v>14</v>
      </c>
    </row>
    <row r="102" spans="2:19" ht="16.95" customHeight="1" x14ac:dyDescent="0.3">
      <c r="B102" s="122">
        <f>MEDIDA!B22</f>
        <v>50</v>
      </c>
      <c r="C102" s="122"/>
      <c r="D102" s="121">
        <f>MEDIDA!D22</f>
        <v>23.2</v>
      </c>
      <c r="E102" s="121"/>
      <c r="F102" s="121">
        <f ca="1">MEDIDA!F22</f>
        <v>23.2</v>
      </c>
      <c r="G102" s="121"/>
      <c r="H102" s="121">
        <f ca="1">MEDIDA!H22</f>
        <v>23.383456171706072</v>
      </c>
      <c r="I102" s="121"/>
      <c r="J102" s="121">
        <f ca="1">MEDIDA!J22</f>
        <v>23.2</v>
      </c>
      <c r="K102" s="121"/>
      <c r="L102" s="121">
        <f ca="1">MEDIDA!L22</f>
        <v>23.245864042926517</v>
      </c>
      <c r="M102" s="121"/>
      <c r="N102" s="109" t="s">
        <v>179</v>
      </c>
      <c r="O102" s="109"/>
      <c r="P102" s="109"/>
      <c r="Q102" s="93">
        <f>INCERTIDUMBRE!K22</f>
        <v>0</v>
      </c>
    </row>
    <row r="103" spans="2:19" ht="16.95" customHeight="1" x14ac:dyDescent="0.3">
      <c r="B103" s="122">
        <f>MEDIDA!B23</f>
        <v>100</v>
      </c>
      <c r="C103" s="122"/>
      <c r="D103" s="121">
        <f>MEDIDA!D23</f>
        <v>67.8</v>
      </c>
      <c r="E103" s="121"/>
      <c r="F103" s="121">
        <f ca="1">MEDIDA!F23</f>
        <v>68.03504545356202</v>
      </c>
      <c r="G103" s="121"/>
      <c r="H103" s="121">
        <f ca="1">MEDIDA!H23</f>
        <v>67.613521289054844</v>
      </c>
      <c r="I103" s="121"/>
      <c r="J103" s="121">
        <f ca="1">MEDIDA!J23</f>
        <v>67.673581323274092</v>
      </c>
      <c r="K103" s="121"/>
      <c r="L103" s="121">
        <f ca="1">MEDIDA!L23</f>
        <v>67.780537016472749</v>
      </c>
      <c r="M103" s="121"/>
      <c r="N103" s="109" t="s">
        <v>179</v>
      </c>
      <c r="O103" s="109"/>
      <c r="P103" s="109"/>
      <c r="Q103" s="93">
        <f>INCERTIDUMBRE!K23</f>
        <v>0</v>
      </c>
    </row>
    <row r="104" spans="2:19" ht="16.95" customHeight="1" x14ac:dyDescent="0.3">
      <c r="B104" s="122">
        <f>MEDIDA!B24</f>
        <v>125</v>
      </c>
      <c r="C104" s="122"/>
      <c r="D104" s="121">
        <f>MEDIDA!D24</f>
        <v>31.2</v>
      </c>
      <c r="E104" s="121"/>
      <c r="F104" s="121">
        <f ca="1">MEDIDA!F24</f>
        <v>31.475955611443549</v>
      </c>
      <c r="G104" s="121"/>
      <c r="H104" s="121">
        <f ca="1">MEDIDA!H24</f>
        <v>31.329093843172132</v>
      </c>
      <c r="I104" s="121"/>
      <c r="J104" s="121">
        <f ca="1">MEDIDA!J24</f>
        <v>31.494713760130992</v>
      </c>
      <c r="K104" s="121"/>
      <c r="L104" s="121">
        <f ca="1">MEDIDA!L24</f>
        <v>31.37494080368667</v>
      </c>
      <c r="M104" s="121"/>
      <c r="N104" s="109" t="s">
        <v>179</v>
      </c>
      <c r="O104" s="109"/>
      <c r="P104" s="109"/>
      <c r="Q104" s="93">
        <f>INCERTIDUMBRE!K24</f>
        <v>0</v>
      </c>
    </row>
    <row r="105" spans="2:19" ht="16.95" customHeight="1" x14ac:dyDescent="0.3"/>
    <row r="106" spans="2:19" ht="16.95" customHeight="1" x14ac:dyDescent="0.3"/>
    <row r="107" spans="2:19" ht="16.95" customHeight="1" x14ac:dyDescent="0.3"/>
    <row r="108" spans="2:19" ht="16.95" customHeight="1" x14ac:dyDescent="0.3"/>
    <row r="109" spans="2:19" ht="16.95" customHeight="1" x14ac:dyDescent="0.3"/>
    <row r="110" spans="2:19" ht="16.95" customHeight="1" x14ac:dyDescent="0.3">
      <c r="O110" s="133" t="str">
        <f>O76</f>
        <v>CERTIFICADO N°:</v>
      </c>
      <c r="P110" s="133"/>
      <c r="Q110" s="133"/>
      <c r="R110" s="161">
        <f>R76</f>
        <v>0</v>
      </c>
      <c r="S110" s="161"/>
    </row>
    <row r="111" spans="2:19" ht="16.95" customHeight="1" x14ac:dyDescent="0.3"/>
    <row r="112" spans="2:19" ht="16.95" customHeight="1" x14ac:dyDescent="0.3">
      <c r="B112" s="50" t="s">
        <v>188</v>
      </c>
      <c r="C112" s="50"/>
      <c r="D112" s="50"/>
      <c r="E112" s="50"/>
      <c r="F112" s="50"/>
      <c r="G112" s="50"/>
      <c r="H112" s="50"/>
      <c r="I112" s="110" t="s">
        <v>189</v>
      </c>
      <c r="J112" s="110"/>
      <c r="K112" s="110"/>
      <c r="L112" s="110"/>
      <c r="M112" s="110"/>
      <c r="N112" s="111" t="s">
        <v>178</v>
      </c>
      <c r="O112" s="111"/>
      <c r="P112" s="110" t="s">
        <v>190</v>
      </c>
      <c r="Q112" s="110"/>
      <c r="R112" s="110"/>
      <c r="S112" s="88" t="s">
        <v>178</v>
      </c>
    </row>
    <row r="113" spans="2:19" ht="16.95" customHeight="1" x14ac:dyDescent="0.3"/>
    <row r="114" spans="2:19" ht="16.95" customHeight="1" x14ac:dyDescent="0.3">
      <c r="B114" s="112" t="s">
        <v>161</v>
      </c>
      <c r="C114" s="112"/>
      <c r="D114" s="113" t="s">
        <v>120</v>
      </c>
      <c r="E114" s="113"/>
      <c r="F114" s="113"/>
      <c r="G114" s="113"/>
      <c r="H114" s="113"/>
      <c r="I114" s="113"/>
      <c r="J114" s="113"/>
      <c r="K114" s="113"/>
      <c r="L114" s="114"/>
      <c r="M114" s="115"/>
      <c r="N114" s="115"/>
      <c r="O114" s="115"/>
      <c r="P114" s="115"/>
      <c r="Q114" s="115"/>
    </row>
    <row r="115" spans="2:19" ht="33" customHeight="1" x14ac:dyDescent="0.3">
      <c r="B115" s="112"/>
      <c r="C115" s="112"/>
      <c r="D115" s="116" t="s">
        <v>191</v>
      </c>
      <c r="E115" s="116"/>
      <c r="F115" s="116" t="s">
        <v>192</v>
      </c>
      <c r="G115" s="116"/>
      <c r="H115" s="116" t="s">
        <v>193</v>
      </c>
      <c r="I115" s="116"/>
      <c r="J115" s="116" t="s">
        <v>194</v>
      </c>
      <c r="K115" s="116"/>
      <c r="L115" s="116" t="s">
        <v>195</v>
      </c>
      <c r="M115" s="116"/>
      <c r="N115" s="116" t="s">
        <v>96</v>
      </c>
      <c r="O115" s="116"/>
      <c r="P115" s="116"/>
      <c r="Q115" s="87" t="s">
        <v>14</v>
      </c>
    </row>
    <row r="116" spans="2:19" ht="16.95" customHeight="1" x14ac:dyDescent="0.3">
      <c r="B116" s="123">
        <f>MEDIDA!T6</f>
        <v>50</v>
      </c>
      <c r="C116" s="123"/>
      <c r="D116" s="123">
        <f>MEDIDA!V6</f>
        <v>19</v>
      </c>
      <c r="E116" s="123"/>
      <c r="F116" s="123">
        <f ca="1">MEDIDA!X6</f>
        <v>19.786881240629192</v>
      </c>
      <c r="G116" s="123"/>
      <c r="H116" s="123">
        <f ca="1">MEDIDA!Z6</f>
        <v>19.798918370948009</v>
      </c>
      <c r="I116" s="123"/>
      <c r="J116" s="123">
        <f ca="1">MEDIDA!AB6</f>
        <v>19.97628658934849</v>
      </c>
      <c r="K116" s="123"/>
      <c r="L116" s="123">
        <f ca="1">MEDIDA!AD6</f>
        <v>19.640521550231423</v>
      </c>
      <c r="M116" s="123"/>
      <c r="N116" s="109" t="s">
        <v>196</v>
      </c>
      <c r="O116" s="109"/>
      <c r="P116" s="109"/>
      <c r="Q116" s="93">
        <f>INCERTIDUMBRE!K36</f>
        <v>0</v>
      </c>
    </row>
    <row r="117" spans="2:19" ht="16.8" customHeight="1" x14ac:dyDescent="0.3">
      <c r="B117" s="123">
        <f>MEDIDA!T7</f>
        <v>100</v>
      </c>
      <c r="C117" s="123"/>
      <c r="D117" s="123">
        <f>MEDIDA!V7</f>
        <v>102</v>
      </c>
      <c r="E117" s="123"/>
      <c r="F117" s="123">
        <f ca="1">MEDIDA!X7</f>
        <v>101.18074393424774</v>
      </c>
      <c r="G117" s="123"/>
      <c r="H117" s="123">
        <f ca="1">MEDIDA!Z7</f>
        <v>103.2773940917842</v>
      </c>
      <c r="I117" s="123"/>
      <c r="J117" s="123">
        <f ca="1">MEDIDA!AB7</f>
        <v>100.86050563031719</v>
      </c>
      <c r="K117" s="123"/>
      <c r="L117" s="123">
        <f ca="1">MEDIDA!AD7</f>
        <v>101.8296609140873</v>
      </c>
      <c r="M117" s="123"/>
      <c r="N117" s="109" t="s">
        <v>196</v>
      </c>
      <c r="O117" s="109"/>
      <c r="P117" s="109"/>
      <c r="Q117" s="93">
        <f>INCERTIDUMBRE!K37</f>
        <v>0</v>
      </c>
    </row>
    <row r="118" spans="2:19" ht="16.95" customHeight="1" x14ac:dyDescent="0.3">
      <c r="B118" s="123">
        <f>MEDIDA!T8</f>
        <v>125</v>
      </c>
      <c r="C118" s="123"/>
      <c r="D118" s="123">
        <f>MEDIDA!V8</f>
        <v>343</v>
      </c>
      <c r="E118" s="123"/>
      <c r="F118" s="123">
        <f ca="1">MEDIDA!X8</f>
        <v>341.63065640046727</v>
      </c>
      <c r="G118" s="123"/>
      <c r="H118" s="123">
        <f ca="1">MEDIDA!Z8</f>
        <v>341.73412383886892</v>
      </c>
      <c r="I118" s="123"/>
      <c r="J118" s="123">
        <f ca="1">MEDIDA!AB8</f>
        <v>342.1648037308679</v>
      </c>
      <c r="K118" s="123"/>
      <c r="L118" s="123">
        <f ca="1">MEDIDA!AD8</f>
        <v>342.13239599255098</v>
      </c>
      <c r="M118" s="123"/>
      <c r="N118" s="109" t="s">
        <v>196</v>
      </c>
      <c r="O118" s="109"/>
      <c r="P118" s="109"/>
      <c r="Q118" s="93">
        <f>INCERTIDUMBRE!K38</f>
        <v>0</v>
      </c>
    </row>
    <row r="119" spans="2:19" ht="16.95" customHeight="1" x14ac:dyDescent="0.3">
      <c r="B119" s="106"/>
      <c r="C119" s="106"/>
      <c r="D119" s="107"/>
      <c r="E119" s="107"/>
      <c r="F119" s="107"/>
      <c r="G119" s="107"/>
      <c r="H119" s="107"/>
      <c r="I119" s="107"/>
      <c r="J119" s="107"/>
      <c r="K119" s="107"/>
      <c r="L119" s="107"/>
      <c r="M119" s="107"/>
      <c r="N119" s="108"/>
      <c r="O119" s="108"/>
      <c r="P119" s="108"/>
      <c r="Q119" s="107"/>
    </row>
    <row r="120" spans="2:19" ht="16.95" customHeight="1" x14ac:dyDescent="0.3">
      <c r="B120" s="106"/>
      <c r="C120" s="106"/>
      <c r="D120" s="107"/>
      <c r="E120" s="107"/>
      <c r="F120" s="107"/>
      <c r="G120" s="107"/>
      <c r="H120" s="107"/>
      <c r="I120" s="107"/>
      <c r="J120" s="107"/>
      <c r="K120" s="107"/>
      <c r="L120" s="107"/>
      <c r="M120" s="107"/>
      <c r="N120" s="108"/>
      <c r="O120" s="108"/>
      <c r="P120" s="108"/>
      <c r="Q120" s="107"/>
    </row>
    <row r="121" spans="2:19" ht="16.95" customHeight="1" x14ac:dyDescent="0.3">
      <c r="B121" s="50" t="s">
        <v>197</v>
      </c>
      <c r="C121" s="50"/>
      <c r="D121" s="50"/>
      <c r="E121" s="50"/>
      <c r="F121" s="50"/>
      <c r="G121" s="50"/>
      <c r="H121" s="50"/>
      <c r="I121" s="110" t="s">
        <v>198</v>
      </c>
      <c r="J121" s="110"/>
      <c r="K121" s="110"/>
      <c r="L121" s="110"/>
      <c r="M121" s="110"/>
      <c r="N121" s="111" t="s">
        <v>178</v>
      </c>
      <c r="O121" s="111"/>
      <c r="P121" s="110" t="s">
        <v>199</v>
      </c>
      <c r="Q121" s="110"/>
      <c r="R121" s="110"/>
      <c r="S121" s="88" t="s">
        <v>178</v>
      </c>
    </row>
    <row r="122" spans="2:19" ht="16.95" customHeight="1" x14ac:dyDescent="0.3"/>
    <row r="123" spans="2:19" ht="16.95" customHeight="1" x14ac:dyDescent="0.3">
      <c r="B123" s="112" t="s">
        <v>161</v>
      </c>
      <c r="C123" s="112"/>
      <c r="D123" s="113" t="s">
        <v>120</v>
      </c>
      <c r="E123" s="113"/>
      <c r="F123" s="113"/>
      <c r="G123" s="113"/>
      <c r="H123" s="113"/>
      <c r="I123" s="113"/>
      <c r="J123" s="113"/>
      <c r="K123" s="113"/>
      <c r="L123" s="114"/>
      <c r="M123" s="115"/>
      <c r="N123" s="115"/>
      <c r="O123" s="115"/>
      <c r="P123" s="115"/>
      <c r="Q123" s="115"/>
    </row>
    <row r="124" spans="2:19" ht="36" customHeight="1" x14ac:dyDescent="0.3">
      <c r="B124" s="112"/>
      <c r="C124" s="112"/>
      <c r="D124" s="116" t="s">
        <v>200</v>
      </c>
      <c r="E124" s="116"/>
      <c r="F124" s="116" t="s">
        <v>201</v>
      </c>
      <c r="G124" s="116"/>
      <c r="H124" s="116" t="s">
        <v>202</v>
      </c>
      <c r="I124" s="116"/>
      <c r="J124" s="116" t="s">
        <v>203</v>
      </c>
      <c r="K124" s="116"/>
      <c r="L124" s="116" t="s">
        <v>204</v>
      </c>
      <c r="M124" s="116"/>
      <c r="N124" s="116" t="s">
        <v>96</v>
      </c>
      <c r="O124" s="116"/>
      <c r="P124" s="116"/>
      <c r="Q124" s="87" t="s">
        <v>14</v>
      </c>
    </row>
    <row r="125" spans="2:19" ht="16.95" customHeight="1" x14ac:dyDescent="0.3">
      <c r="B125" s="123">
        <f>MEDIDA!T14</f>
        <v>50</v>
      </c>
      <c r="C125" s="123"/>
      <c r="D125" s="121">
        <f>MEDIDA!V14</f>
        <v>2.2999999999999998</v>
      </c>
      <c r="E125" s="121"/>
      <c r="F125" s="121">
        <f ca="1">MEDIDA!X14</f>
        <v>2.467706581078565</v>
      </c>
      <c r="G125" s="121"/>
      <c r="H125" s="121">
        <f ca="1">MEDIDA!Z14</f>
        <v>2.43941022846814</v>
      </c>
      <c r="I125" s="121"/>
      <c r="J125" s="121">
        <f ca="1">MEDIDA!AB14</f>
        <v>2.4733623981384469</v>
      </c>
      <c r="K125" s="121"/>
      <c r="L125" s="121">
        <f ca="1">MEDIDA!AD14</f>
        <v>2.4201198019212882</v>
      </c>
      <c r="M125" s="121"/>
      <c r="N125" s="109" t="s">
        <v>205</v>
      </c>
      <c r="O125" s="109"/>
      <c r="P125" s="109"/>
      <c r="Q125" s="93">
        <f>INCERTIDUMBRE!K45</f>
        <v>0</v>
      </c>
    </row>
    <row r="126" spans="2:19" ht="16.95" customHeight="1" x14ac:dyDescent="0.3">
      <c r="B126" s="123">
        <f>MEDIDA!T15</f>
        <v>100</v>
      </c>
      <c r="C126" s="123"/>
      <c r="D126" s="121">
        <f>MEDIDA!V15</f>
        <v>4.5999999999999996</v>
      </c>
      <c r="E126" s="121"/>
      <c r="F126" s="121">
        <f ca="1">MEDIDA!X15</f>
        <v>4.485677878495518</v>
      </c>
      <c r="G126" s="121"/>
      <c r="H126" s="121">
        <f ca="1">MEDIDA!Z15</f>
        <v>4.7849558804360486</v>
      </c>
      <c r="I126" s="121"/>
      <c r="J126" s="121">
        <f ca="1">MEDIDA!AB15</f>
        <v>4.7022447121048678</v>
      </c>
      <c r="K126" s="121"/>
      <c r="L126" s="121">
        <f ca="1">MEDIDA!AD15</f>
        <v>4.6432196177591081</v>
      </c>
      <c r="M126" s="121"/>
      <c r="N126" s="109" t="s">
        <v>205</v>
      </c>
      <c r="O126" s="109"/>
      <c r="P126" s="109"/>
      <c r="Q126" s="93">
        <f>INCERTIDUMBRE!K46</f>
        <v>0</v>
      </c>
    </row>
    <row r="127" spans="2:19" ht="16.95" customHeight="1" x14ac:dyDescent="0.3">
      <c r="B127" s="123">
        <f>MEDIDA!T16</f>
        <v>125</v>
      </c>
      <c r="C127" s="123"/>
      <c r="D127" s="121">
        <f>MEDIDA!V16</f>
        <v>6</v>
      </c>
      <c r="E127" s="121"/>
      <c r="F127" s="121">
        <f ca="1">MEDIDA!X16</f>
        <v>6</v>
      </c>
      <c r="G127" s="121"/>
      <c r="H127" s="121">
        <f ca="1">MEDIDA!Z16</f>
        <v>5.8948780701911474</v>
      </c>
      <c r="I127" s="121"/>
      <c r="J127" s="121">
        <f ca="1">MEDIDA!AB16</f>
        <v>6</v>
      </c>
      <c r="K127" s="121"/>
      <c r="L127" s="121">
        <f ca="1">MEDIDA!AD16</f>
        <v>5.9737195175477869</v>
      </c>
      <c r="M127" s="121"/>
      <c r="N127" s="109" t="s">
        <v>205</v>
      </c>
      <c r="O127" s="109"/>
      <c r="P127" s="109"/>
      <c r="Q127" s="93">
        <f>INCERTIDUMBRE!K47</f>
        <v>0</v>
      </c>
    </row>
    <row r="128" spans="2:19" ht="16.95" customHeight="1" x14ac:dyDescent="0.3">
      <c r="B128" s="106"/>
      <c r="C128" s="106"/>
      <c r="D128" s="107"/>
      <c r="E128" s="107"/>
      <c r="F128" s="107"/>
      <c r="G128" s="107"/>
      <c r="H128" s="107"/>
      <c r="I128" s="107"/>
      <c r="J128" s="107"/>
      <c r="K128" s="107"/>
      <c r="L128" s="107"/>
      <c r="M128" s="107"/>
      <c r="N128" s="108"/>
      <c r="O128" s="108"/>
      <c r="P128" s="108"/>
      <c r="Q128" s="107"/>
    </row>
    <row r="129" spans="2:19" ht="16.95" customHeight="1" x14ac:dyDescent="0.3">
      <c r="B129" s="106"/>
      <c r="C129" s="106"/>
      <c r="D129" s="107"/>
      <c r="E129" s="107"/>
      <c r="F129" s="107"/>
      <c r="G129" s="107"/>
      <c r="H129" s="107"/>
      <c r="I129" s="107"/>
      <c r="J129" s="107"/>
      <c r="K129" s="107"/>
      <c r="L129" s="107"/>
      <c r="M129" s="107"/>
      <c r="N129" s="108"/>
      <c r="O129" s="108"/>
      <c r="P129" s="108"/>
      <c r="Q129" s="107"/>
    </row>
    <row r="130" spans="2:19" ht="16.95" customHeight="1" x14ac:dyDescent="0.3"/>
    <row r="131" spans="2:19" ht="16.95" customHeight="1" x14ac:dyDescent="0.3">
      <c r="B131" s="125" t="s">
        <v>97</v>
      </c>
      <c r="C131" s="125"/>
      <c r="D131" s="125"/>
      <c r="E131" s="125"/>
      <c r="F131" s="125"/>
      <c r="G131" s="125"/>
      <c r="H131" s="125"/>
      <c r="I131" s="125"/>
      <c r="J131" s="125"/>
      <c r="K131" s="125"/>
      <c r="L131" s="125"/>
      <c r="M131" s="125"/>
      <c r="N131" s="125"/>
      <c r="O131" s="125"/>
      <c r="P131" s="125"/>
      <c r="Q131" s="125"/>
      <c r="R131" s="125"/>
      <c r="S131" s="125"/>
    </row>
    <row r="132" spans="2:19" ht="16.95" customHeight="1" x14ac:dyDescent="0.3"/>
    <row r="133" spans="2:19" ht="16.95" customHeight="1" x14ac:dyDescent="0.3">
      <c r="B133" s="117" t="s">
        <v>98</v>
      </c>
      <c r="C133" s="117"/>
      <c r="D133" s="117"/>
      <c r="E133" s="117"/>
      <c r="F133" s="117"/>
      <c r="G133" s="117"/>
      <c r="I133" s="76" t="s">
        <v>99</v>
      </c>
      <c r="J133" s="76"/>
      <c r="K133" s="76"/>
      <c r="L133" s="76"/>
      <c r="M133" s="76"/>
      <c r="N133" s="76"/>
      <c r="O133" s="76"/>
      <c r="P133" s="76"/>
      <c r="Q133" s="76"/>
      <c r="R133" s="76"/>
      <c r="S133" s="76"/>
    </row>
    <row r="134" spans="2:19" ht="19.95" customHeight="1" x14ac:dyDescent="0.3">
      <c r="B134" s="118" t="s">
        <v>100</v>
      </c>
      <c r="C134" s="118"/>
      <c r="D134" s="118"/>
      <c r="E134" s="118"/>
      <c r="F134" s="118"/>
      <c r="G134" s="118"/>
      <c r="I134" s="76" t="s">
        <v>99</v>
      </c>
    </row>
    <row r="135" spans="2:19" x14ac:dyDescent="0.3">
      <c r="B135" s="117" t="s">
        <v>101</v>
      </c>
      <c r="C135" s="117"/>
      <c r="D135" s="117"/>
      <c r="E135" s="117"/>
      <c r="F135" s="117"/>
      <c r="G135" s="117"/>
      <c r="I135" s="76" t="s">
        <v>99</v>
      </c>
      <c r="J135" s="76"/>
      <c r="K135" s="76"/>
      <c r="L135" s="76"/>
      <c r="M135" s="76"/>
      <c r="N135" s="76"/>
      <c r="O135" s="76"/>
      <c r="P135" s="76"/>
      <c r="Q135" s="76"/>
      <c r="R135" s="76"/>
      <c r="S135" s="76"/>
    </row>
    <row r="136" spans="2:19" x14ac:dyDescent="0.3">
      <c r="B136" s="119" t="s">
        <v>102</v>
      </c>
      <c r="C136" s="119"/>
      <c r="D136" s="119"/>
      <c r="E136" s="119"/>
      <c r="F136" s="119"/>
      <c r="G136" s="119"/>
      <c r="I136" s="120" t="s">
        <v>99</v>
      </c>
      <c r="J136" s="120"/>
      <c r="K136" s="120"/>
      <c r="L136" s="120"/>
      <c r="M136" s="86"/>
      <c r="N136" s="86"/>
      <c r="O136" s="86"/>
      <c r="P136" s="86"/>
      <c r="Q136" s="86"/>
      <c r="R136" s="86"/>
      <c r="S136" s="86"/>
    </row>
    <row r="137" spans="2:19" ht="16.649999999999999" customHeight="1" x14ac:dyDescent="0.3"/>
    <row r="138" spans="2:19" ht="16.95" customHeight="1" x14ac:dyDescent="0.3"/>
    <row r="139" spans="2:19" ht="16.95" customHeight="1" x14ac:dyDescent="0.3">
      <c r="B139" s="124" t="s">
        <v>213</v>
      </c>
      <c r="C139" s="124"/>
      <c r="D139" s="124"/>
      <c r="E139" s="124"/>
      <c r="F139" s="124"/>
      <c r="G139" s="124"/>
      <c r="H139" s="124"/>
      <c r="I139" s="124"/>
      <c r="J139" s="124"/>
      <c r="K139" s="124"/>
      <c r="L139" s="124"/>
      <c r="M139" s="124"/>
      <c r="N139" s="124"/>
      <c r="O139" s="124"/>
      <c r="P139" s="124"/>
      <c r="Q139" s="124"/>
      <c r="R139" s="124"/>
      <c r="S139" s="124"/>
    </row>
    <row r="140" spans="2:19" ht="16.95" customHeight="1" x14ac:dyDescent="0.3"/>
    <row r="141" spans="2:19" ht="16.95" customHeight="1" x14ac:dyDescent="0.3"/>
    <row r="145" ht="16.649999999999999" customHeight="1" x14ac:dyDescent="0.3"/>
    <row r="146" ht="16.649999999999999" customHeight="1" x14ac:dyDescent="0.3"/>
    <row r="147" ht="16.649999999999999" customHeight="1" x14ac:dyDescent="0.3"/>
    <row r="148" ht="16.95" customHeight="1" x14ac:dyDescent="0.3"/>
    <row r="149" ht="16.95" customHeight="1" x14ac:dyDescent="0.3"/>
    <row r="150" ht="24" customHeight="1" x14ac:dyDescent="0.3"/>
    <row r="151" ht="16.95" customHeight="1" x14ac:dyDescent="0.3"/>
    <row r="152" ht="16.95" customHeight="1" x14ac:dyDescent="0.3"/>
    <row r="153" ht="16.95" customHeight="1" x14ac:dyDescent="0.3"/>
    <row r="154" ht="16.95" customHeight="1" x14ac:dyDescent="0.3"/>
    <row r="155" ht="16.95" customHeight="1" x14ac:dyDescent="0.3"/>
    <row r="159" ht="24" customHeight="1" x14ac:dyDescent="0.3"/>
    <row r="160" ht="16.95" customHeight="1" x14ac:dyDescent="0.3"/>
    <row r="161" ht="16.95" customHeight="1" x14ac:dyDescent="0.3"/>
    <row r="162" ht="16.95" customHeight="1" x14ac:dyDescent="0.3"/>
    <row r="163" ht="16.95" customHeight="1" x14ac:dyDescent="0.3"/>
    <row r="164" ht="16.95" customHeight="1" x14ac:dyDescent="0.3"/>
    <row r="168" ht="24" customHeight="1" x14ac:dyDescent="0.3"/>
    <row r="180" spans="20:20" ht="16.2" customHeight="1" x14ac:dyDescent="0.3">
      <c r="T180" s="50"/>
    </row>
    <row r="181" spans="20:20" ht="11.4" customHeight="1" x14ac:dyDescent="0.3"/>
    <row r="185" spans="20:20" ht="16.95" customHeight="1" x14ac:dyDescent="0.3"/>
    <row r="186" spans="20:20" ht="24" customHeight="1" x14ac:dyDescent="0.3"/>
    <row r="190" spans="20:20" ht="16.95" customHeight="1" x14ac:dyDescent="0.3"/>
    <row r="194" spans="20:20" ht="24" customHeight="1" x14ac:dyDescent="0.3"/>
    <row r="205" spans="20:20" x14ac:dyDescent="0.3">
      <c r="T205" s="86"/>
    </row>
  </sheetData>
  <mergeCells count="246">
    <mergeCell ref="B127:C127"/>
    <mergeCell ref="D127:E127"/>
    <mergeCell ref="F127:G127"/>
    <mergeCell ref="H127:I127"/>
    <mergeCell ref="J127:K127"/>
    <mergeCell ref="L127:M127"/>
    <mergeCell ref="N127:P127"/>
    <mergeCell ref="B125:C125"/>
    <mergeCell ref="D125:E125"/>
    <mergeCell ref="F125:G125"/>
    <mergeCell ref="H125:I125"/>
    <mergeCell ref="J125:K125"/>
    <mergeCell ref="L125:M125"/>
    <mergeCell ref="N125:P125"/>
    <mergeCell ref="B126:C126"/>
    <mergeCell ref="D126:E126"/>
    <mergeCell ref="F126:G126"/>
    <mergeCell ref="H126:I126"/>
    <mergeCell ref="J126:K126"/>
    <mergeCell ref="L126:M126"/>
    <mergeCell ref="N126:P126"/>
    <mergeCell ref="I121:M121"/>
    <mergeCell ref="N121:O121"/>
    <mergeCell ref="P121:R121"/>
    <mergeCell ref="B123:C124"/>
    <mergeCell ref="D123:K123"/>
    <mergeCell ref="L123:Q123"/>
    <mergeCell ref="D124:E124"/>
    <mergeCell ref="F124:G124"/>
    <mergeCell ref="H124:I124"/>
    <mergeCell ref="J124:K124"/>
    <mergeCell ref="L124:M124"/>
    <mergeCell ref="N124:P124"/>
    <mergeCell ref="N116:P116"/>
    <mergeCell ref="B117:C117"/>
    <mergeCell ref="D117:E117"/>
    <mergeCell ref="F117:G117"/>
    <mergeCell ref="H117:I117"/>
    <mergeCell ref="J117:K117"/>
    <mergeCell ref="L117:M117"/>
    <mergeCell ref="N117:P117"/>
    <mergeCell ref="B118:C118"/>
    <mergeCell ref="D118:E118"/>
    <mergeCell ref="F118:G118"/>
    <mergeCell ref="H118:I118"/>
    <mergeCell ref="J118:K118"/>
    <mergeCell ref="L118:M118"/>
    <mergeCell ref="N118:P118"/>
    <mergeCell ref="O110:Q110"/>
    <mergeCell ref="R110:S110"/>
    <mergeCell ref="I112:M112"/>
    <mergeCell ref="N112:O112"/>
    <mergeCell ref="P112:R112"/>
    <mergeCell ref="B114:C115"/>
    <mergeCell ref="D114:K114"/>
    <mergeCell ref="L114:Q114"/>
    <mergeCell ref="D115:E115"/>
    <mergeCell ref="F115:G115"/>
    <mergeCell ref="H115:I115"/>
    <mergeCell ref="J115:K115"/>
    <mergeCell ref="L115:M115"/>
    <mergeCell ref="N115:P115"/>
    <mergeCell ref="N102:P102"/>
    <mergeCell ref="B103:C103"/>
    <mergeCell ref="D103:E103"/>
    <mergeCell ref="F103:G103"/>
    <mergeCell ref="H103:I103"/>
    <mergeCell ref="J103:K103"/>
    <mergeCell ref="L103:M103"/>
    <mergeCell ref="N103:P103"/>
    <mergeCell ref="B104:C104"/>
    <mergeCell ref="D104:E104"/>
    <mergeCell ref="F104:G104"/>
    <mergeCell ref="H104:I104"/>
    <mergeCell ref="J104:K104"/>
    <mergeCell ref="L104:M104"/>
    <mergeCell ref="N104:P104"/>
    <mergeCell ref="L91:Q91"/>
    <mergeCell ref="F93:G93"/>
    <mergeCell ref="H93:I93"/>
    <mergeCell ref="J93:K93"/>
    <mergeCell ref="L93:M93"/>
    <mergeCell ref="N93:P93"/>
    <mergeCell ref="B94:C94"/>
    <mergeCell ref="D94:E94"/>
    <mergeCell ref="F94:G94"/>
    <mergeCell ref="H94:I94"/>
    <mergeCell ref="J94:K94"/>
    <mergeCell ref="L94:M94"/>
    <mergeCell ref="N94:P94"/>
    <mergeCell ref="D92:E92"/>
    <mergeCell ref="F92:G92"/>
    <mergeCell ref="H92:I92"/>
    <mergeCell ref="J92:K92"/>
    <mergeCell ref="L92:M92"/>
    <mergeCell ref="N92:P92"/>
    <mergeCell ref="B93:C93"/>
    <mergeCell ref="D93:E93"/>
    <mergeCell ref="R76:S76"/>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P86:R86"/>
    <mergeCell ref="B85:C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39:S139"/>
    <mergeCell ref="P83:R83"/>
    <mergeCell ref="L85:M85"/>
    <mergeCell ref="N85:O85"/>
    <mergeCell ref="P85:R85"/>
    <mergeCell ref="B86:C86"/>
    <mergeCell ref="D86:E86"/>
    <mergeCell ref="D83:E83"/>
    <mergeCell ref="F83:G83"/>
    <mergeCell ref="H83:I83"/>
    <mergeCell ref="J83:K83"/>
    <mergeCell ref="L83:M83"/>
    <mergeCell ref="N83:O83"/>
    <mergeCell ref="B131:S131"/>
    <mergeCell ref="I89:M89"/>
    <mergeCell ref="N89:O89"/>
    <mergeCell ref="P89:R89"/>
    <mergeCell ref="B91:C92"/>
    <mergeCell ref="D91:K91"/>
    <mergeCell ref="D85:E85"/>
    <mergeCell ref="F85:G85"/>
    <mergeCell ref="H85:I85"/>
    <mergeCell ref="J85:K85"/>
    <mergeCell ref="B95:C95"/>
    <mergeCell ref="B133:G133"/>
    <mergeCell ref="B134:G134"/>
    <mergeCell ref="B135:G135"/>
    <mergeCell ref="B136:G136"/>
    <mergeCell ref="I136:L136"/>
    <mergeCell ref="D95:E95"/>
    <mergeCell ref="F95:G95"/>
    <mergeCell ref="H95:I95"/>
    <mergeCell ref="J95:K95"/>
    <mergeCell ref="L95:M95"/>
    <mergeCell ref="J101:K101"/>
    <mergeCell ref="L101:M101"/>
    <mergeCell ref="B102:C102"/>
    <mergeCell ref="D102:E102"/>
    <mergeCell ref="F102:G102"/>
    <mergeCell ref="H102:I102"/>
    <mergeCell ref="J102:K102"/>
    <mergeCell ref="L102:M102"/>
    <mergeCell ref="B116:C116"/>
    <mergeCell ref="D116:E116"/>
    <mergeCell ref="F116:G116"/>
    <mergeCell ref="H116:I116"/>
    <mergeCell ref="J116:K116"/>
    <mergeCell ref="L116:M116"/>
    <mergeCell ref="N95:P95"/>
    <mergeCell ref="I98:M98"/>
    <mergeCell ref="N98:O98"/>
    <mergeCell ref="P98:R98"/>
    <mergeCell ref="B100:C101"/>
    <mergeCell ref="D100:K100"/>
    <mergeCell ref="L100:Q100"/>
    <mergeCell ref="D101:E101"/>
    <mergeCell ref="F101:G101"/>
    <mergeCell ref="H101:I101"/>
    <mergeCell ref="N101:P101"/>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2026-05-05T02:44:31Z</dcterms:modified>
</cp:coreProperties>
</file>