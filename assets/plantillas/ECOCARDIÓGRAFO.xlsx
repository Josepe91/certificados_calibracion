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89FB4C02-4770-42BA-97D8-500F8E36DFCA}"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04" i="31" l="1"/>
  <c r="D105" i="31"/>
  <c r="D103" i="31"/>
  <c r="I94" i="31"/>
  <c r="I95" i="31"/>
  <c r="I96" i="31"/>
  <c r="I93" i="31"/>
  <c r="D15" i="20"/>
  <c r="K96" i="31" s="1"/>
  <c r="D14" i="20"/>
  <c r="K95" i="31" s="1"/>
  <c r="D13" i="20"/>
  <c r="K94" i="31" s="1"/>
  <c r="D12" i="20"/>
  <c r="K93" i="31" s="1"/>
  <c r="I86" i="31"/>
  <c r="I87" i="31"/>
  <c r="I88" i="31"/>
  <c r="I85" i="31"/>
  <c r="D6" i="20"/>
  <c r="K86" i="31" s="1"/>
  <c r="D7" i="20"/>
  <c r="K87" i="31" s="1"/>
  <c r="D8" i="20"/>
  <c r="K88" i="31" s="1"/>
  <c r="D5" i="20"/>
  <c r="K85" i="31" s="1"/>
  <c r="H104" i="31" l="1"/>
  <c r="F104" i="31"/>
  <c r="L104" i="31" s="1"/>
  <c r="N104" i="31" s="1"/>
  <c r="J104" i="31"/>
  <c r="F105" i="31"/>
  <c r="H105" i="31"/>
  <c r="J105" i="31"/>
  <c r="F103" i="31"/>
  <c r="J103" i="31"/>
  <c r="H103" i="31"/>
  <c r="L105" i="31"/>
  <c r="N105" i="31" s="1"/>
  <c r="L103" i="31"/>
  <c r="N103" i="31" s="1"/>
  <c r="S104" i="31" l="1"/>
  <c r="S103" i="31"/>
  <c r="S105" i="31"/>
  <c r="N46" i="31" l="1"/>
  <c r="K46" i="31"/>
  <c r="I46" i="31"/>
  <c r="F46" i="31"/>
  <c r="M32" i="31"/>
  <c r="M31" i="31"/>
  <c r="I18" i="31"/>
  <c r="I19" i="31"/>
  <c r="I20" i="31"/>
  <c r="I21" i="31"/>
  <c r="I17" i="31"/>
  <c r="I13" i="31"/>
  <c r="I12" i="31"/>
  <c r="I11" i="31"/>
  <c r="I10" i="31"/>
  <c r="I9" i="31"/>
  <c r="I8" i="31"/>
  <c r="I7" i="31"/>
  <c r="I6" i="31"/>
  <c r="I5" i="31"/>
  <c r="R1" i="31"/>
  <c r="B10" i="23"/>
  <c r="B9" i="23"/>
  <c r="R76" i="31" l="1"/>
  <c r="R112" i="31" s="1"/>
  <c r="H5" i="21"/>
  <c r="I5" i="21" s="1"/>
  <c r="J5" i="21" s="1"/>
  <c r="K5" i="21" s="1"/>
  <c r="H6" i="21"/>
  <c r="I6" i="21" s="1"/>
  <c r="J6" i="21" s="1"/>
  <c r="K6" i="21" s="1"/>
  <c r="L6" i="21" s="1"/>
  <c r="H7" i="21"/>
  <c r="I7" i="21" s="1"/>
  <c r="H8" i="21"/>
  <c r="I8" i="21" s="1"/>
  <c r="H4" i="21"/>
  <c r="I4" i="21" s="1"/>
  <c r="J4" i="21" s="1"/>
  <c r="K4" i="21" s="1"/>
  <c r="B8" i="21"/>
  <c r="C8" i="21"/>
  <c r="D8" i="21"/>
  <c r="F8" i="21"/>
  <c r="G8" i="21"/>
  <c r="C5" i="21"/>
  <c r="C6" i="21"/>
  <c r="C7" i="21"/>
  <c r="C4" i="21"/>
  <c r="I4" i="25"/>
  <c r="G5" i="25"/>
  <c r="G4" i="25"/>
  <c r="B7" i="21"/>
  <c r="D7" i="21"/>
  <c r="F7" i="21"/>
  <c r="G7" i="21"/>
  <c r="D5" i="21"/>
  <c r="D6" i="21"/>
  <c r="D4" i="21"/>
  <c r="G5" i="21"/>
  <c r="G6" i="21"/>
  <c r="G4" i="21"/>
  <c r="F5" i="21"/>
  <c r="F6" i="21"/>
  <c r="F4" i="21"/>
  <c r="B5" i="21"/>
  <c r="B6" i="21"/>
  <c r="B4" i="21"/>
  <c r="O76" i="31"/>
  <c r="O112" i="31" s="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R38" i="31" l="1"/>
  <c r="J8" i="21"/>
  <c r="K8" i="21" s="1"/>
  <c r="J7" i="21"/>
  <c r="K7" i="21" s="1"/>
  <c r="A83" i="29"/>
  <c r="L5" i="21"/>
  <c r="L4" i="21"/>
  <c r="A3" i="29" l="1"/>
  <c r="C11" i="29" s="1"/>
  <c r="D11" i="29" s="1"/>
  <c r="E11" i="29" s="1"/>
  <c r="L8" i="21"/>
  <c r="L7" i="21"/>
  <c r="A124" i="29" s="1"/>
  <c r="E85" i="29"/>
  <c r="F88" i="29" s="1"/>
  <c r="J86" i="29"/>
  <c r="C91" i="29"/>
  <c r="D91" i="29" s="1"/>
  <c r="E91" i="29" s="1"/>
  <c r="J85" i="29"/>
  <c r="E88" i="29"/>
  <c r="C82" i="29"/>
  <c r="D82" i="29" s="1"/>
  <c r="C2" i="29" l="1"/>
  <c r="D2" i="29" s="1"/>
  <c r="D3" i="29" s="1"/>
  <c r="E8" i="29"/>
  <c r="J6" i="29"/>
  <c r="J5" i="29"/>
  <c r="E5" i="29"/>
  <c r="F8" i="29" s="1"/>
  <c r="G85" i="29"/>
  <c r="H85" i="29" s="1"/>
  <c r="E129" i="29"/>
  <c r="C123" i="29"/>
  <c r="D123" i="29" s="1"/>
  <c r="E126" i="29"/>
  <c r="F129" i="29" s="1"/>
  <c r="J127" i="29"/>
  <c r="J126" i="29"/>
  <c r="C132" i="29"/>
  <c r="D132" i="29" s="1"/>
  <c r="E132" i="29" s="1"/>
  <c r="E82" i="29"/>
  <c r="F82" i="29" s="1"/>
  <c r="C85" i="29" s="1"/>
  <c r="D83" i="29"/>
  <c r="G5" i="29" l="1"/>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G93" i="29" s="1"/>
  <c r="H93" i="29" s="1"/>
  <c r="K126" i="29"/>
  <c r="A132" i="29" s="1"/>
  <c r="C140" i="29" s="1"/>
  <c r="D140" i="29" s="1"/>
  <c r="E140" i="29" s="1"/>
  <c r="G13" i="29" l="1"/>
  <c r="H13" i="29" s="1"/>
  <c r="C14" i="29"/>
  <c r="C15" i="29" s="1"/>
  <c r="D93" i="29"/>
  <c r="D94" i="29" s="1"/>
  <c r="F93" i="29"/>
  <c r="C134" i="29"/>
  <c r="D134" i="29" s="1"/>
  <c r="E137" i="29"/>
  <c r="J135" i="29"/>
  <c r="E134" i="29"/>
  <c r="F137" i="29" s="1"/>
  <c r="J134" i="29"/>
  <c r="D14" i="29"/>
  <c r="D16" i="29"/>
  <c r="K13" i="29" s="1"/>
  <c r="A19" i="29" s="1"/>
  <c r="F13" i="29"/>
  <c r="D96" i="29" l="1"/>
  <c r="K93" i="29" s="1"/>
  <c r="A99" i="29" s="1"/>
  <c r="J102" i="29" s="1"/>
  <c r="C135" i="29"/>
  <c r="C136" i="29" s="1"/>
  <c r="G134" i="29"/>
  <c r="E24" i="29"/>
  <c r="C21" i="29"/>
  <c r="C22" i="29" s="1"/>
  <c r="C23" i="29" s="1"/>
  <c r="J21" i="29"/>
  <c r="J22" i="29"/>
  <c r="C27" i="29"/>
  <c r="D27" i="29" s="1"/>
  <c r="E27" i="29" s="1"/>
  <c r="E21" i="29"/>
  <c r="F24" i="29" s="1"/>
  <c r="D135" i="29"/>
  <c r="D137" i="29"/>
  <c r="E101" i="29" l="1"/>
  <c r="F104" i="29" s="1"/>
  <c r="C107" i="29"/>
  <c r="D107" i="29" s="1"/>
  <c r="E107" i="29" s="1"/>
  <c r="J101" i="29"/>
  <c r="C101" i="29"/>
  <c r="D101" i="29" s="1"/>
  <c r="E104" i="29"/>
  <c r="K134" i="29"/>
  <c r="A140" i="29" s="1"/>
  <c r="E145" i="29" s="1"/>
  <c r="G21" i="29"/>
  <c r="H21" i="29" s="1"/>
  <c r="D21" i="29"/>
  <c r="D24" i="29" s="1"/>
  <c r="K21" i="29" s="1"/>
  <c r="H134" i="29"/>
  <c r="F134" i="29"/>
  <c r="G101" i="29" l="1"/>
  <c r="C102" i="29"/>
  <c r="C103" i="29" s="1"/>
  <c r="K101" i="29" s="1"/>
  <c r="J143" i="29"/>
  <c r="E142" i="29"/>
  <c r="F145" i="29" s="1"/>
  <c r="G142" i="29" s="1"/>
  <c r="H142" i="29" s="1"/>
  <c r="C148" i="29"/>
  <c r="D148" i="29" s="1"/>
  <c r="E148" i="29" s="1"/>
  <c r="J142" i="29"/>
  <c r="C142" i="29"/>
  <c r="D142" i="29" s="1"/>
  <c r="D143" i="29" s="1"/>
  <c r="F21" i="29"/>
  <c r="D22" i="29"/>
  <c r="D104" i="29"/>
  <c r="D102" i="29"/>
  <c r="A27" i="29"/>
  <c r="E32" i="29" s="1"/>
  <c r="H101" i="29" l="1"/>
  <c r="F101" i="29"/>
  <c r="A107" i="29"/>
  <c r="C115" i="29" s="1"/>
  <c r="D115" i="29" s="1"/>
  <c r="E115" i="29" s="1"/>
  <c r="D145" i="29"/>
  <c r="F142" i="29"/>
  <c r="C143" i="29"/>
  <c r="C144" i="29" s="1"/>
  <c r="J30" i="29"/>
  <c r="C29" i="29"/>
  <c r="D29" i="29" s="1"/>
  <c r="C35" i="29"/>
  <c r="D35" i="29" s="1"/>
  <c r="E35" i="29" s="1"/>
  <c r="J29" i="29"/>
  <c r="E29" i="29"/>
  <c r="F32" i="29" s="1"/>
  <c r="G29" i="29" s="1"/>
  <c r="H29" i="29" s="1"/>
  <c r="K142" i="29" l="1"/>
  <c r="A148" i="29" s="1"/>
  <c r="E153" i="29" s="1"/>
  <c r="E112" i="29"/>
  <c r="J110" i="29"/>
  <c r="C109" i="29"/>
  <c r="C110" i="29" s="1"/>
  <c r="C111" i="29" s="1"/>
  <c r="E109" i="29"/>
  <c r="F112" i="29" s="1"/>
  <c r="G109" i="29" s="1"/>
  <c r="H109" i="29" s="1"/>
  <c r="J109" i="29"/>
  <c r="C30" i="29"/>
  <c r="C31" i="29" s="1"/>
  <c r="K29" i="29" s="1"/>
  <c r="A35" i="29" s="1"/>
  <c r="E40" i="29" s="1"/>
  <c r="F29" i="29"/>
  <c r="D32" i="29"/>
  <c r="D30" i="29"/>
  <c r="J151" i="29" l="1"/>
  <c r="E150" i="29"/>
  <c r="F153" i="29" s="1"/>
  <c r="G150" i="29" s="1"/>
  <c r="H150" i="29" s="1"/>
  <c r="B124" i="29"/>
  <c r="C150" i="29"/>
  <c r="D150" i="29" s="1"/>
  <c r="D153" i="29" s="1"/>
  <c r="J150" i="29"/>
  <c r="C156" i="29"/>
  <c r="D156" i="29" s="1"/>
  <c r="E156" i="29" s="1"/>
  <c r="K109" i="29"/>
  <c r="A115" i="29" s="1"/>
  <c r="E120" i="29" s="1"/>
  <c r="D109" i="29"/>
  <c r="D110" i="29" s="1"/>
  <c r="E37" i="29"/>
  <c r="D37" i="29" s="1"/>
  <c r="J37" i="29"/>
  <c r="J38" i="29"/>
  <c r="C37" i="29"/>
  <c r="C38" i="29" s="1"/>
  <c r="C39" i="29" s="1"/>
  <c r="F109" i="29"/>
  <c r="D151" i="29" l="1"/>
  <c r="C151" i="29"/>
  <c r="C152" i="29" s="1"/>
  <c r="K150" i="29" s="1"/>
  <c r="A156" i="29" s="1"/>
  <c r="E161" i="29" s="1"/>
  <c r="J118" i="29"/>
  <c r="J117" i="29"/>
  <c r="C117" i="29"/>
  <c r="C118" i="29" s="1"/>
  <c r="C119" i="29" s="1"/>
  <c r="E117" i="29"/>
  <c r="D117" i="29" s="1"/>
  <c r="D112" i="29"/>
  <c r="F40" i="29"/>
  <c r="G37" i="29" s="1"/>
  <c r="H37" i="29" s="1"/>
  <c r="K37" i="29"/>
  <c r="B3" i="29" s="1"/>
  <c r="F150" i="29"/>
  <c r="D40" i="29"/>
  <c r="D38" i="29"/>
  <c r="F120" i="29" l="1"/>
  <c r="G117" i="29" s="1"/>
  <c r="H117" i="29" s="1"/>
  <c r="K117" i="29"/>
  <c r="B83" i="29" s="1"/>
  <c r="C158" i="29"/>
  <c r="C159" i="29" s="1"/>
  <c r="C160" i="29" s="1"/>
  <c r="J158" i="29"/>
  <c r="J159" i="29"/>
  <c r="E158" i="29"/>
  <c r="F37" i="29"/>
  <c r="F117" i="29"/>
  <c r="D118" i="29"/>
  <c r="D120" i="29"/>
  <c r="F161" i="29" l="1"/>
  <c r="G158" i="29" s="1"/>
  <c r="D158" i="29"/>
  <c r="K158" i="29"/>
  <c r="H158" i="29" l="1"/>
  <c r="F158" i="29"/>
  <c r="D159" i="29"/>
  <c r="D16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AD0F305B-A6B2-4DFB-885B-275E8E280F3E}">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<sst xmlns="http://schemas.openxmlformats.org/spreadsheetml/2006/main" count="997" uniqueCount="187">
  <si>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</si>
  <si>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</si>
  <si>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</si>
  <si>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</si>
  <si>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</si>
  <si>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</si>
  <si>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</si>
  <si>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</si>
  <si>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</si>
  <si>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</si>
  <si>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</si>
  <si>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</si>
  <si>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</si>
  <si>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</si>
  <si>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</si>
  <si>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</si>
  <si>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</si>
  <si>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</si>
  <si>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</si>
  <si>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</si>
  <si>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</si>
  <si>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</si>
  <si>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</si>
  <si>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</si>
  <si>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</si>
  <si>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</si>
  <si>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</si>
  <si>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</si>
  <si>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</si>
  <si>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</si>
  <si>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</si>
  <si>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</si>
  <si>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</si>
  <si>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</si>
  <si>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</si>
  <si>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</si>
  <si>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</si>
  <si>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</si>
  <si>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</si>
  <si>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</si>
  <si>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</si>
  <si>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</si>
  <si>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</si>
  <si>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</si>
  <si>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</si>
  <si>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</si>
  <si>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</si>
  <si>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</si>
  <si>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</si>
  <si>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</si>
  <si>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</si>
  <si>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</si>
  <si>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</si>
  <si>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</si>
  <si>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</si>
  <si>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</si>
  <si>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</si>
  <si>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</si>
  <si>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</si>
  <si>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</si>
  <si>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</si>
  <si>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</si>
  <si>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</si>
  <si>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</si>
  <si>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</si>
  <si>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</si>
  <si>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</si>
  <si>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</si>
  <si>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</si>
  <si>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</si>
  <si>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</si>
  <si>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</si>
  <si>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</si>
  <si>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</si>
  <si>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</si>
  <si>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</si>
  <si>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</si>
  <si>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</si>
  <si>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</si>
  <si>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</si>
  <si>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</si>
  <si>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</si>
  <si>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</si>
  <si>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</si>
  <si>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</si>
  <si>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</si>
  <si>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</si>
  <si>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</si>
  <si>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</si>
  <si>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</si>
  <si>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</si>
  <si>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</si>
  <si>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</si>
  <si>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</si>
  <si>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</si>
  <si>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</si>
  <si>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</si>
  <si>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</si>
  <si>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</si>
  <si>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</si>
  <si>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</si>
  <si>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</si>
  <si>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</si>
  <si>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</si>
  <si>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</si>
  <si>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</si>
  <si>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</si>
  <si>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</si>
  <si>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</si>
  <si>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</si>
  <si>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</si>
  <si>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</si>
  <si>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</si>
  <si>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</si>
  <si>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</si>
  <si>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</si>
  <si>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</si>
  <si>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</si>
  <si>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</si>
  <si>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</si>
  <si>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Volumen</t>
  </si>
  <si>
    <t>Analizador de flujo de gases</t>
  </si>
  <si>
    <t>TSI</t>
  </si>
  <si>
    <t>L4012</t>
  </si>
  <si>
    <t>FUENTES DE INCERTIDUMBRE VOLUMEN</t>
  </si>
  <si>
    <t>Incertidumbre flujo:</t>
  </si>
  <si>
    <t>Deriva flujo</t>
  </si>
  <si>
    <t>Resolución flujo</t>
  </si>
  <si>
    <t>Phaton Ultrasonido</t>
  </si>
  <si>
    <t>N.A</t>
  </si>
  <si>
    <t>Calibración dimensional</t>
  </si>
  <si>
    <t>Intervalo de medición (mm):</t>
  </si>
  <si>
    <t>Resolución (mm):</t>
  </si>
  <si>
    <t>Error           (mm)</t>
  </si>
  <si>
    <t>Parámetro</t>
  </si>
  <si>
    <t>Largo</t>
  </si>
  <si>
    <t xml:space="preserve">Ancho </t>
  </si>
  <si>
    <t>Diámetro</t>
  </si>
  <si>
    <t>Profundidad</t>
  </si>
  <si>
    <t>10 a 70</t>
  </si>
  <si>
    <t>Intrumento</t>
  </si>
  <si>
    <t>Marca</t>
  </si>
  <si>
    <t>Modelo</t>
  </si>
  <si>
    <t>Serie</t>
  </si>
  <si>
    <t>Ubicación</t>
  </si>
  <si>
    <t>Inventario</t>
  </si>
  <si>
    <t>Número de Certificado</t>
  </si>
  <si>
    <t>Fecha de Recepción</t>
  </si>
  <si>
    <t>Estado Físico:</t>
  </si>
  <si>
    <t>ING. GABRIEL DURÁN</t>
  </si>
  <si>
    <t xml:space="preserve">Transductor convexo </t>
  </si>
  <si>
    <t xml:space="preserve">Transductor Lineal </t>
  </si>
  <si>
    <t xml:space="preserve">Calibración de frecuencia cardiaca </t>
  </si>
  <si>
    <t>Intervalo de medición (Lat/min):</t>
  </si>
  <si>
    <t>Resolución (Lat/min):</t>
  </si>
  <si>
    <t xml:space="preserve">Medidas del equipo bajo prueba </t>
  </si>
  <si>
    <t>*Lat/min= Latidos por minuto</t>
  </si>
  <si>
    <t>Patrón (Lat/min)</t>
  </si>
  <si>
    <t>Lectura 1 (Lat/min)</t>
  </si>
  <si>
    <t>Lectura 2 (Lat/min)</t>
  </si>
  <si>
    <t>Lectura 3  (Lat/min)</t>
  </si>
  <si>
    <t>Lectura 4 (Lat/min)</t>
  </si>
  <si>
    <t>Promedio (Lat/min)</t>
  </si>
  <si>
    <t>Error (Lat/min)</t>
  </si>
  <si>
    <t>Simulador de signos vitales</t>
  </si>
  <si>
    <t>L5555</t>
  </si>
  <si>
    <t>Patrón  (mm)</t>
  </si>
  <si>
    <t>Item        (mm)</t>
  </si>
  <si>
    <t>Lectura 1          (mm)</t>
  </si>
  <si>
    <t>Error          (mm)</t>
  </si>
  <si>
    <t>Calibración Transductor lineal</t>
  </si>
  <si>
    <t>Calibración Transductor convexo</t>
  </si>
  <si>
    <t>CALIBRACIÓN DE ECG</t>
  </si>
  <si>
    <t>Valor nominal</t>
  </si>
  <si>
    <t>Lectura 1</t>
  </si>
  <si>
    <t>Lectura 2</t>
  </si>
  <si>
    <t>Lectura 3</t>
  </si>
  <si>
    <t>Lectura 4</t>
  </si>
  <si>
    <t>60 a 180</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</si>
  <si>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</si>
  <si>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</si>
  <si>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</si>
  <si>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</si>
  <si>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</si>
  <si>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Ecocardiógrafo BTM-P-060.</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</si>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</sst>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1"/>
      <color theme="1"/>
      <name val="Calibri"/>
      <family val="2"/>
      <scheme val="minor"/>
    </font>
    <font>
      <sz val="11"/>
      <color theme="1"/>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7">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15" fillId="0" borderId="0" xfId="0" applyFont="1" applyAlignment="1">
      <alignment horizontal="right"/>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8" fillId="12" borderId="30" xfId="0" applyFont="1" applyFill="1" applyBorder="1" applyAlignment="1">
      <alignment horizontal="center" vertical="center" wrapText="1"/>
    </xf>
    <xf numFmtId="0" fontId="28" fillId="2" borderId="30" xfId="0" applyFont="1" applyFill="1" applyBorder="1" applyAlignment="1">
      <alignment horizontal="center" vertical="center" wrapText="1"/>
    </xf>
    <xf numFmtId="49" fontId="28" fillId="2" borderId="30" xfId="0" applyNumberFormat="1" applyFont="1" applyFill="1" applyBorder="1" applyAlignment="1">
      <alignment horizontal="center" vertical="center" wrapText="1"/>
    </xf>
    <xf numFmtId="1" fontId="28" fillId="2" borderId="30" xfId="0" applyNumberFormat="1" applyFont="1" applyFill="1" applyBorder="1" applyAlignment="1">
      <alignment horizontal="center" vertical="center" shrinkToFit="1"/>
    </xf>
    <xf numFmtId="49" fontId="27" fillId="2" borderId="5" xfId="0" applyNumberFormat="1" applyFont="1" applyFill="1" applyBorder="1" applyAlignment="1">
      <alignment horizontal="center" vertical="center"/>
    </xf>
    <xf numFmtId="0" fontId="27"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1" fontId="11" fillId="0" borderId="0" xfId="0" applyNumberFormat="1" applyFont="1" applyAlignment="1">
      <alignment horizontal="center" vertic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0" fontId="16" fillId="0" borderId="5" xfId="0" applyFont="1" applyBorder="1" applyAlignment="1">
      <alignment horizontal="center" vertical="center" wrapText="1"/>
    </xf>
    <xf numFmtId="0" fontId="16" fillId="0" borderId="5" xfId="0" applyFont="1" applyBorder="1" applyAlignment="1">
      <alignment horizontal="center" wrapText="1"/>
    </xf>
    <xf numFmtId="2" fontId="10" fillId="0" borderId="5" xfId="0" applyNumberFormat="1" applyFont="1" applyBorder="1" applyAlignment="1">
      <alignment horizontal="center" vertical="center"/>
    </xf>
    <xf numFmtId="0" fontId="16" fillId="0" borderId="5" xfId="0" applyFont="1" applyBorder="1"/>
    <xf numFmtId="0" fontId="10" fillId="2" borderId="5" xfId="0" applyFont="1" applyFill="1" applyBorder="1" applyAlignment="1">
      <alignment horizontal="center"/>
    </xf>
    <xf numFmtId="0" fontId="10" fillId="0" borderId="5" xfId="0" applyFont="1" applyBorder="1" applyAlignment="1">
      <alignment horizontal="center"/>
    </xf>
    <xf numFmtId="2" fontId="10" fillId="0" borderId="5" xfId="0" applyNumberFormat="1" applyFont="1" applyBorder="1" applyAlignment="1">
      <alignment horizontal="center"/>
    </xf>
    <xf numFmtId="0" fontId="11" fillId="0" borderId="19" xfId="0" applyFont="1" applyBorder="1" applyAlignment="1">
      <alignment horizont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5" fillId="0" borderId="19" xfId="0" applyFont="1" applyBorder="1" applyAlignment="1">
      <alignment horizontal="center" vertical="center"/>
    </xf>
    <xf numFmtId="0" fontId="6" fillId="0" borderId="0" xfId="0" applyFont="1" applyAlignment="1">
      <alignment horizontal="center" vertical="center"/>
    </xf>
    <xf numFmtId="1"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164" fontId="11" fillId="0" borderId="5" xfId="0" applyNumberFormat="1" applyFont="1" applyBorder="1" applyAlignment="1">
      <alignment horizontal="center" vertical="center"/>
    </xf>
    <xf numFmtId="0" fontId="15" fillId="0" borderId="0" xfId="0" applyFont="1" applyAlignment="1">
      <alignment horizontal="right"/>
    </xf>
    <xf numFmtId="0" fontId="11" fillId="0" borderId="0" xfId="0" applyFont="1" applyAlignment="1">
      <alignment horizontal="left"/>
    </xf>
    <xf numFmtId="0" fontId="15" fillId="0" borderId="0" xfId="0" applyFont="1" applyAlignment="1">
      <alignment horizontal="center"/>
    </xf>
    <xf numFmtId="0" fontId="15" fillId="0" borderId="5" xfId="0" applyFont="1" applyBorder="1" applyAlignment="1">
      <alignment horizontal="center" vertical="center"/>
    </xf>
    <xf numFmtId="0" fontId="25" fillId="0" borderId="4" xfId="0" applyFont="1" applyBorder="1" applyAlignment="1">
      <alignment horizontal="center"/>
    </xf>
    <xf numFmtId="0" fontId="25" fillId="0" borderId="7" xfId="0" applyFont="1" applyBorder="1" applyAlignment="1">
      <alignment horizontal="center"/>
    </xf>
    <xf numFmtId="0" fontId="15" fillId="0" borderId="1" xfId="0" applyFont="1" applyBorder="1" applyAlignment="1">
      <alignment horizontal="center" wrapText="1"/>
    </xf>
    <xf numFmtId="0" fontId="15" fillId="0" borderId="3" xfId="0" applyFont="1" applyBorder="1" applyAlignment="1">
      <alignment horizontal="center" wrapText="1"/>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16" fillId="0" borderId="0" xfId="0" applyFont="1" applyAlignment="1">
      <alignment horizontal="left"/>
    </xf>
    <xf numFmtId="2" fontId="11" fillId="0" borderId="5" xfId="0" applyNumberFormat="1" applyFont="1" applyBorder="1" applyAlignment="1">
      <alignment horizontal="center" vertical="center"/>
    </xf>
    <xf numFmtId="0" fontId="16" fillId="0" borderId="0" xfId="0" applyFont="1" applyAlignment="1">
      <alignment horizontal="right"/>
    </xf>
    <xf numFmtId="0" fontId="6" fillId="0" borderId="26" xfId="0" applyFont="1" applyBorder="1" applyAlignment="1">
      <alignment horizont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6" fillId="0" borderId="0" xfId="0" applyFont="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6" fillId="0" borderId="19" xfId="0" applyFont="1" applyBorder="1" applyAlignment="1">
      <alignment horizontal="center" vertical="center"/>
    </xf>
    <xf numFmtId="0" fontId="6" fillId="0" borderId="0" xfId="0" applyFont="1" applyAlignment="1">
      <alignment horizontal="right"/>
    </xf>
    <xf numFmtId="0" fontId="11" fillId="0" borderId="0" xfId="0" applyFont="1"/>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6" fillId="10" borderId="5" xfId="0" applyFont="1" applyFill="1" applyBorder="1" applyAlignment="1">
      <alignment horizontal="center" vertical="center"/>
    </xf>
    <xf numFmtId="0" fontId="16" fillId="10" borderId="5" xfId="0" applyFont="1" applyFill="1" applyBorder="1" applyAlignment="1">
      <alignment horizontal="center"/>
    </xf>
    <xf numFmtId="0" fontId="16" fillId="10" borderId="7" xfId="0" applyFont="1" applyFill="1" applyBorder="1" applyAlignment="1">
      <alignment horizont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768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Certificados%20clientes\Certificados%20de%20Calibraci&#243;n%202024\MONITOR%20DE%20SIGNOS%20VITALES%20B&#193;SICO.xlsx" TargetMode="External"/><Relationship Id="rId1" Type="http://schemas.openxmlformats.org/officeDocument/2006/relationships/externalLinkPath" Target="MONITOR%20DE%20SIGNOS%20VITALES%20B&#193;SI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MEDIDA"/>
      <sheetName val="PATRON"/>
      <sheetName val="INCERTIDUMBRE"/>
      <sheetName val="CERTIFICADO "/>
    </sheetNames>
    <sheetDataSet>
      <sheetData sheetId="0"/>
      <sheetData sheetId="1"/>
      <sheetData sheetId="2"/>
      <sheetData sheetId="3"/>
      <sheetData sheetId="4">
        <row r="44">
          <cell r="K44">
            <v>2.007844963532889</v>
          </cell>
        </row>
        <row r="45">
          <cell r="K45">
            <v>2.007844963532889</v>
          </cell>
        </row>
        <row r="46">
          <cell r="K46">
            <v>2.007844963532889</v>
          </cell>
        </row>
      </sheetData>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B7" sqref="B7"/>
    </sheetView>
  </sheetViews>
  <sheetFormatPr baseColWidth="10" defaultColWidth="3.6640625" defaultRowHeight="12.75" customHeight="1" x14ac:dyDescent="0.3"/>
  <cols>
    <col min="1" max="1" width="32.44140625" style="1" customWidth="1"/>
    <col min="2" max="2" width="29.77734375" style="1" customWidth="1"/>
    <col min="3" max="3" width="19.21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2" t="s">
        <v>104</v>
      </c>
      <c r="B1" s="173"/>
      <c r="C1" s="173"/>
      <c r="D1" s="173"/>
      <c r="E1" s="173"/>
      <c r="F1" s="173"/>
      <c r="G1" s="173"/>
      <c r="H1" s="174"/>
      <c r="I1"/>
      <c r="J1"/>
      <c r="K1"/>
      <c r="L1"/>
      <c r="M1"/>
      <c r="N1"/>
      <c r="O1" t="s">
        <v>116</v>
      </c>
      <c r="P1"/>
      <c r="Q1"/>
      <c r="R1"/>
      <c r="S1"/>
      <c r="T1"/>
      <c r="U1"/>
      <c r="V1"/>
      <c r="W1"/>
      <c r="X1"/>
      <c r="Y1"/>
      <c r="Z1"/>
      <c r="AA1"/>
      <c r="AB1"/>
      <c r="AC1"/>
      <c r="AD1"/>
      <c r="AE1"/>
    </row>
    <row r="2" spans="1:31" ht="14.4" x14ac:dyDescent="0.3">
      <c r="A2" s="96" t="s">
        <v>140</v>
      </c>
      <c r="B2" s="96" t="s">
        <v>141</v>
      </c>
      <c r="C2" s="96" t="s">
        <v>142</v>
      </c>
      <c r="D2" s="96" t="s">
        <v>143</v>
      </c>
      <c r="E2" s="96" t="s">
        <v>144</v>
      </c>
      <c r="F2" s="96" t="s">
        <v>145</v>
      </c>
      <c r="G2" s="96" t="s">
        <v>146</v>
      </c>
      <c r="H2" s="96" t="s">
        <v>147</v>
      </c>
      <c r="I2"/>
      <c r="J2"/>
      <c r="K2"/>
      <c r="L2"/>
      <c r="M2"/>
      <c r="N2"/>
      <c r="O2" t="s">
        <v>117</v>
      </c>
      <c r="P2"/>
      <c r="Q2"/>
      <c r="R2"/>
      <c r="S2"/>
      <c r="T2"/>
      <c r="U2"/>
      <c r="V2"/>
      <c r="W2"/>
      <c r="X2"/>
      <c r="Y2"/>
      <c r="Z2"/>
      <c r="AA2"/>
      <c r="AB2"/>
      <c r="AC2"/>
      <c r="AD2"/>
      <c r="AE2"/>
    </row>
    <row r="3" spans="1:31" ht="12.75" customHeight="1" x14ac:dyDescent="0.3">
      <c r="A3" s="97"/>
      <c r="B3" s="97"/>
      <c r="C3" s="98"/>
      <c r="D3" s="99"/>
      <c r="E3" s="100"/>
      <c r="F3" s="101"/>
      <c r="G3" s="102"/>
      <c r="H3" s="103"/>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5" t="s">
        <v>105</v>
      </c>
      <c r="B6" s="175"/>
      <c r="C6"/>
      <c r="D6" s="95" t="s">
        <v>103</v>
      </c>
      <c r="E6" s="95"/>
      <c r="H6"/>
      <c r="I6"/>
      <c r="J6"/>
      <c r="K6"/>
      <c r="L6"/>
      <c r="M6"/>
      <c r="N6"/>
      <c r="O6" t="s">
        <v>119</v>
      </c>
      <c r="P6"/>
      <c r="Q6"/>
      <c r="R6"/>
      <c r="S6"/>
      <c r="T6"/>
      <c r="U6"/>
      <c r="V6"/>
      <c r="W6"/>
      <c r="X6"/>
      <c r="Y6"/>
      <c r="Z6"/>
      <c r="AA6"/>
      <c r="AB6"/>
      <c r="AC6"/>
      <c r="AD6"/>
      <c r="AE6"/>
    </row>
    <row r="7" spans="1:31" ht="12.75" customHeight="1" x14ac:dyDescent="0.3">
      <c r="A7" s="20" t="s">
        <v>107</v>
      </c>
      <c r="B7" s="90" t="s">
        <v>116</v>
      </c>
      <c r="C7"/>
      <c r="D7" s="20" t="s">
        <v>106</v>
      </c>
      <c r="E7" s="104"/>
      <c r="H7"/>
      <c r="I7"/>
      <c r="J7"/>
      <c r="K7"/>
      <c r="L7"/>
      <c r="M7"/>
      <c r="N7"/>
      <c r="O7"/>
      <c r="P7"/>
      <c r="Q7"/>
      <c r="R7"/>
      <c r="S7"/>
      <c r="T7"/>
      <c r="U7"/>
      <c r="V7"/>
      <c r="W7"/>
      <c r="X7"/>
      <c r="Y7"/>
      <c r="Z7"/>
      <c r="AA7"/>
      <c r="AB7"/>
      <c r="AC7"/>
      <c r="AD7"/>
      <c r="AE7"/>
    </row>
    <row r="8" spans="1:31" ht="12.75" customHeight="1" x14ac:dyDescent="0.3">
      <c r="A8" s="20" t="s">
        <v>148</v>
      </c>
      <c r="B8" s="90" t="s">
        <v>68</v>
      </c>
      <c r="C8"/>
      <c r="D8" s="20" t="s">
        <v>8</v>
      </c>
      <c r="E8" s="90"/>
      <c r="H8"/>
      <c r="I8"/>
      <c r="J8"/>
      <c r="K8"/>
      <c r="L8"/>
      <c r="M8"/>
      <c r="N8"/>
      <c r="O8"/>
      <c r="P8"/>
      <c r="Q8"/>
      <c r="R8"/>
      <c r="S8"/>
      <c r="T8"/>
      <c r="U8"/>
      <c r="V8"/>
      <c r="W8"/>
      <c r="X8"/>
      <c r="Y8"/>
      <c r="Z8"/>
      <c r="AA8"/>
      <c r="AB8"/>
      <c r="AC8"/>
      <c r="AD8"/>
      <c r="AE8"/>
    </row>
    <row r="9" spans="1:31" ht="12.75" customHeight="1" x14ac:dyDescent="0.3">
      <c r="A9" s="20" t="s">
        <v>109</v>
      </c>
      <c r="B9" s="91">
        <f>H3</f>
        <v>0</v>
      </c>
      <c r="C9"/>
      <c r="D9" s="20" t="s">
        <v>108</v>
      </c>
      <c r="E9" s="90"/>
      <c r="H9"/>
      <c r="I9"/>
      <c r="J9"/>
      <c r="K9"/>
      <c r="L9"/>
      <c r="M9"/>
      <c r="N9"/>
      <c r="O9"/>
      <c r="P9"/>
      <c r="Q9"/>
      <c r="R9"/>
      <c r="S9"/>
      <c r="T9"/>
      <c r="U9"/>
      <c r="V9"/>
      <c r="W9"/>
      <c r="X9"/>
      <c r="Y9"/>
      <c r="Z9"/>
      <c r="AA9"/>
      <c r="AB9"/>
      <c r="AC9"/>
      <c r="AD9"/>
      <c r="AE9"/>
    </row>
    <row r="10" spans="1:31" ht="12.75" customHeight="1" x14ac:dyDescent="0.3">
      <c r="A10" s="20" t="s">
        <v>110</v>
      </c>
      <c r="B10" s="91">
        <f>H3</f>
        <v>0</v>
      </c>
      <c r="C10"/>
      <c r="D10" s="20" t="s">
        <v>5</v>
      </c>
      <c r="E10" s="105"/>
      <c r="G10"/>
      <c r="H10"/>
      <c r="I10"/>
      <c r="J10"/>
      <c r="K10"/>
      <c r="L10"/>
      <c r="M10"/>
      <c r="N10"/>
      <c r="O10"/>
      <c r="P10"/>
      <c r="Q10"/>
      <c r="R10"/>
      <c r="S10"/>
      <c r="T10"/>
      <c r="U10"/>
      <c r="V10"/>
      <c r="W10"/>
      <c r="X10"/>
      <c r="Y10"/>
      <c r="Z10"/>
      <c r="AA10"/>
      <c r="AB10"/>
      <c r="AC10"/>
      <c r="AD10"/>
      <c r="AE10"/>
    </row>
    <row r="11" spans="1:31" ht="12.75" customHeight="1" x14ac:dyDescent="0.3">
      <c r="A11" s="20" t="s">
        <v>111</v>
      </c>
      <c r="B11" s="90">
        <v>24.1</v>
      </c>
      <c r="C11"/>
      <c r="D11" s="20" t="s">
        <v>3</v>
      </c>
      <c r="E11" s="105"/>
      <c r="G11"/>
      <c r="H11"/>
      <c r="I11"/>
      <c r="J11"/>
      <c r="K11"/>
      <c r="L11"/>
      <c r="M11"/>
      <c r="N11"/>
      <c r="O11"/>
      <c r="P11"/>
      <c r="Q11"/>
      <c r="R11"/>
      <c r="S11"/>
      <c r="T11"/>
      <c r="U11"/>
      <c r="V11"/>
      <c r="W11"/>
      <c r="X11"/>
      <c r="Y11"/>
      <c r="Z11"/>
      <c r="AA11"/>
      <c r="AB11"/>
      <c r="AC11"/>
      <c r="AD11"/>
      <c r="AE11"/>
    </row>
    <row r="12" spans="1:31" ht="12.75" customHeight="1" x14ac:dyDescent="0.3">
      <c r="A12" s="20" t="s">
        <v>112</v>
      </c>
      <c r="B12" s="90">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90">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90">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90" t="s">
        <v>149</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93F91F4F-0F94-4880-B897-5403EA7DCFFD}">
      <formula1>$O$1:$O$2</formula1>
    </dataValidation>
    <dataValidation type="list" allowBlank="1" showInputMessage="1" showErrorMessage="1" sqref="B8" xr:uid="{B98263E8-6463-48C9-AD74-6B2A349A1D46}">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9" t="s">
        <v>57</v>
      </c>
      <c r="B1" s="180"/>
      <c r="C1" s="180"/>
      <c r="D1" s="180"/>
      <c r="E1" s="180"/>
      <c r="F1" s="180"/>
      <c r="G1" s="180"/>
      <c r="H1" s="180"/>
      <c r="I1" s="180"/>
      <c r="J1" s="180"/>
      <c r="K1" s="181"/>
    </row>
    <row r="2" spans="1:11" ht="15" thickBot="1" x14ac:dyDescent="0.35">
      <c r="A2" s="31" t="s">
        <v>30</v>
      </c>
      <c r="B2" s="18" t="s">
        <v>29</v>
      </c>
      <c r="C2" t="e">
        <f>FIXED(A3,6)</f>
        <v>#DIV/0!</v>
      </c>
      <c r="D2" t="e">
        <f>RIGHT(C2,1)</f>
        <v>#DIV/0!</v>
      </c>
      <c r="E2" t="e">
        <f>D2/1000000</f>
        <v>#DIV/0!</v>
      </c>
      <c r="F2" s="30" t="e">
        <f>A3-E2</f>
        <v>#DIV/0!</v>
      </c>
      <c r="H2" t="e">
        <f>IF(C7=5,IF(AND(D3=0,D8=FALSE),J5,J6),J6)</f>
        <v>#DIV/0!</v>
      </c>
      <c r="K2" s="27"/>
    </row>
    <row r="3" spans="1:11" ht="18.600000000000001" thickBot="1" x14ac:dyDescent="0.4">
      <c r="A3" s="29" t="e">
        <f>INCERTIDUMBRE!L5</f>
        <v>#DIV/0!</v>
      </c>
      <c r="B3" s="28" t="e">
        <f>IF(A3&gt;=10,K37,IF(A3&gt;=1,K29,IF(A3&gt;=0.1,K21,IF(A3&gt;=0.01,K13,IF(A3&gt;=0.001,K5)))))</f>
        <v>#DIV/0!</v>
      </c>
      <c r="C3" t="s">
        <v>28</v>
      </c>
      <c r="D3" t="e">
        <f>D2+0</f>
        <v>#DIV/0!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e">
        <f>RIGHT(F2,2)</f>
        <v>#DIV/0!</v>
      </c>
      <c r="D5" t="e">
        <f>LEFT(C5,1)</f>
        <v>#DIV/0!</v>
      </c>
      <c r="E5" s="30" t="e">
        <f>TRUNC(A3)</f>
        <v>#DIV/0!</v>
      </c>
      <c r="F5" s="14" t="e">
        <f>FIXED(A3-E5,G5)</f>
        <v>#DIV/0!</v>
      </c>
      <c r="G5" t="e">
        <f>ABS(E8-F8)</f>
        <v>#DIV/0!</v>
      </c>
      <c r="H5" t="e">
        <f>RIGHT(A3,G5)</f>
        <v>#DIV/0!</v>
      </c>
      <c r="I5">
        <v>5.0000000000000002E-5</v>
      </c>
      <c r="J5" s="14" t="e">
        <f>(A3-I5)</f>
        <v>#DIV/0!</v>
      </c>
      <c r="K5" s="45" t="e">
        <f>IF(C7=5,IF(AND(D3=0,D8=FALSE),J5,J6),J6)</f>
        <v>#DIV/0!</v>
      </c>
    </row>
    <row r="6" spans="1:11" hidden="1" x14ac:dyDescent="0.3">
      <c r="A6" s="31"/>
      <c r="C6" t="e">
        <f>RIGHT(C5,1)</f>
        <v>#DIV/0!</v>
      </c>
      <c r="D6" t="e">
        <f>D5+0</f>
        <v>#DIV/0!</v>
      </c>
      <c r="J6" t="e">
        <f>FIXED(A3,4)</f>
        <v>#DIV/0!</v>
      </c>
      <c r="K6" s="27"/>
    </row>
    <row r="7" spans="1:11" hidden="1" x14ac:dyDescent="0.3">
      <c r="A7" s="31"/>
      <c r="C7" t="e">
        <f>C6+0</f>
        <v>#DIV/0!</v>
      </c>
      <c r="D7" t="s">
        <v>34</v>
      </c>
      <c r="E7" t="s">
        <v>33</v>
      </c>
      <c r="F7" t="s">
        <v>32</v>
      </c>
      <c r="K7" s="27"/>
    </row>
    <row r="8" spans="1:11" hidden="1" x14ac:dyDescent="0.3">
      <c r="A8" s="31"/>
      <c r="D8" t="e">
        <f>ISODD(D5)</f>
        <v>#DIV/0!</v>
      </c>
      <c r="E8" t="e">
        <f>LEN(A3)</f>
        <v>#DIV/0!</v>
      </c>
      <c r="F8" t="e">
        <f>LEN(E5)+1</f>
        <v>#DIV/0!</v>
      </c>
      <c r="K8" s="27"/>
    </row>
    <row r="9" spans="1:11" hidden="1" x14ac:dyDescent="0.3">
      <c r="A9" s="31"/>
      <c r="K9" s="27"/>
    </row>
    <row r="10" spans="1:11" hidden="1" x14ac:dyDescent="0.3">
      <c r="A10" s="176" t="s">
        <v>47</v>
      </c>
      <c r="B10" s="177"/>
      <c r="C10" s="177"/>
      <c r="D10" s="177"/>
      <c r="E10" s="177"/>
      <c r="F10" s="177"/>
      <c r="G10" s="177"/>
      <c r="H10" s="177"/>
      <c r="I10" s="177"/>
      <c r="J10" s="177"/>
      <c r="K10" s="178"/>
    </row>
    <row r="11" spans="1:11" hidden="1" x14ac:dyDescent="0.3">
      <c r="A11" s="42" t="e">
        <f>K5</f>
        <v>#DIV/0!</v>
      </c>
      <c r="C11" t="e">
        <f>FIXED(A3,5)</f>
        <v>#DIV/0!</v>
      </c>
      <c r="D11" t="e">
        <f>RIGHT(C11,1)</f>
        <v>#DIV/0!</v>
      </c>
      <c r="E11" t="e">
        <f>D11+0</f>
        <v>#DIV/0!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e">
        <f>RIGHT(A11,2)</f>
        <v>#DIV/0!</v>
      </c>
      <c r="D13" t="e">
        <f>LEFT(C13,1)</f>
        <v>#DIV/0!</v>
      </c>
      <c r="E13" s="36" t="e">
        <f>TRUNC(A11)</f>
        <v>#DIV/0!</v>
      </c>
      <c r="F13" s="14" t="e">
        <f>FIXED(A11-E13,G13)</f>
        <v>#DIV/0!</v>
      </c>
      <c r="G13" t="e">
        <f>ABS(E16-F16)</f>
        <v>#DIV/0!</v>
      </c>
      <c r="H13" t="e">
        <f>RIGHT(A11,G13)</f>
        <v>#DIV/0!</v>
      </c>
      <c r="I13">
        <v>5.0000000000000001E-4</v>
      </c>
      <c r="J13" s="44" t="e">
        <f>(A11-I13)</f>
        <v>#DIV/0!</v>
      </c>
      <c r="K13" s="43" t="e">
        <f>IF(C15=5,IF(AND(E11=0,D16=FALSE),J13,J14),J14)</f>
        <v>#DIV/0!</v>
      </c>
    </row>
    <row r="14" spans="1:11" hidden="1" x14ac:dyDescent="0.3">
      <c r="A14" s="31"/>
      <c r="C14" t="e">
        <f>RIGHT(C13,1)</f>
        <v>#DIV/0!</v>
      </c>
      <c r="D14" t="e">
        <f>D13+0</f>
        <v>#DIV/0!</v>
      </c>
      <c r="J14" t="e">
        <f>FIXED(A11,3)</f>
        <v>#DIV/0!</v>
      </c>
      <c r="K14" s="27"/>
    </row>
    <row r="15" spans="1:11" hidden="1" x14ac:dyDescent="0.3">
      <c r="A15" s="31"/>
      <c r="C15" t="e">
        <f>C14+0</f>
        <v>#DIV/0!</v>
      </c>
      <c r="D15" t="s">
        <v>34</v>
      </c>
      <c r="E15" t="s">
        <v>33</v>
      </c>
      <c r="F15" t="s">
        <v>32</v>
      </c>
      <c r="K15" s="27"/>
    </row>
    <row r="16" spans="1:11" hidden="1" x14ac:dyDescent="0.3">
      <c r="A16" s="31"/>
      <c r="D16" t="e">
        <f>ISODD(D13)</f>
        <v>#DIV/0!</v>
      </c>
      <c r="E16" t="e">
        <f>LEN(A11)</f>
        <v>#DIV/0!</v>
      </c>
      <c r="F16" t="e">
        <f>LEN(E13)+1</f>
        <v>#DIV/0!</v>
      </c>
      <c r="K16" s="27"/>
    </row>
    <row r="17" spans="1:11" hidden="1" x14ac:dyDescent="0.3">
      <c r="A17" s="31"/>
      <c r="K17" s="27"/>
    </row>
    <row r="18" spans="1:11" hidden="1" x14ac:dyDescent="0.3">
      <c r="A18" s="176" t="s">
        <v>46</v>
      </c>
      <c r="B18" s="177"/>
      <c r="C18" s="177"/>
      <c r="D18" s="177"/>
      <c r="E18" s="177"/>
      <c r="F18" s="177"/>
      <c r="G18" s="177"/>
      <c r="H18" s="177"/>
      <c r="I18" s="177"/>
      <c r="J18" s="177"/>
      <c r="K18" s="178"/>
    </row>
    <row r="19" spans="1:11" hidden="1" x14ac:dyDescent="0.3">
      <c r="A19" s="42" t="e">
        <f>K13</f>
        <v>#DIV/0!</v>
      </c>
      <c r="C19" t="e">
        <f>FIXED(A11,4)</f>
        <v>#DIV/0!</v>
      </c>
      <c r="D19" t="e">
        <f>RIGHT(C19,1)</f>
        <v>#DIV/0!</v>
      </c>
      <c r="E19" t="e">
        <f>D19+0</f>
        <v>#DIV/0!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e">
        <f>RIGHT(A19,2)</f>
        <v>#DIV/0!</v>
      </c>
      <c r="D21" t="e">
        <f>LEFT(C21,1)</f>
        <v>#DIV/0!</v>
      </c>
      <c r="E21" s="36" t="e">
        <f>TRUNC(A19)</f>
        <v>#DIV/0!</v>
      </c>
      <c r="F21" s="14" t="e">
        <f>FIXED(A19-E21,G21)</f>
        <v>#DIV/0!</v>
      </c>
      <c r="G21" t="e">
        <f>ABS(E24-F24)</f>
        <v>#DIV/0!</v>
      </c>
      <c r="H21" t="e">
        <f>RIGHT(A19,G21)</f>
        <v>#DIV/0!</v>
      </c>
      <c r="I21">
        <v>5.0000000000000001E-3</v>
      </c>
      <c r="J21" s="2" t="e">
        <f>(A19-I21)</f>
        <v>#DIV/0!</v>
      </c>
      <c r="K21" s="41" t="e">
        <f>IF(C23=5,IF(AND(E19=0,D24=FALSE),J21,J22),J22)</f>
        <v>#DIV/0!</v>
      </c>
    </row>
    <row r="22" spans="1:11" ht="18" hidden="1" x14ac:dyDescent="0.35">
      <c r="A22" s="31"/>
      <c r="C22" t="e">
        <f>RIGHT(C21,1)</f>
        <v>#DIV/0!</v>
      </c>
      <c r="D22" t="e">
        <f>D21+0</f>
        <v>#DIV/0!</v>
      </c>
      <c r="J22" t="e">
        <f>FIXED(A19,2)</f>
        <v>#DIV/0!</v>
      </c>
      <c r="K22" s="41"/>
    </row>
    <row r="23" spans="1:11" hidden="1" x14ac:dyDescent="0.3">
      <c r="A23" s="31"/>
      <c r="C23" t="e">
        <f>C22+0</f>
        <v>#DIV/0!</v>
      </c>
      <c r="D23" t="s">
        <v>34</v>
      </c>
      <c r="E23" t="s">
        <v>33</v>
      </c>
      <c r="F23" t="s">
        <v>32</v>
      </c>
      <c r="K23" s="27"/>
    </row>
    <row r="24" spans="1:11" hidden="1" x14ac:dyDescent="0.3">
      <c r="A24" s="31"/>
      <c r="D24" t="e">
        <f>ISODD(D21)</f>
        <v>#DIV/0!</v>
      </c>
      <c r="E24" t="e">
        <f>LEN(A19)</f>
        <v>#DIV/0!</v>
      </c>
      <c r="F24" t="e">
        <f>LEN(E21)+1</f>
        <v>#DIV/0!</v>
      </c>
      <c r="K24" s="27"/>
    </row>
    <row r="25" spans="1:11" hidden="1" x14ac:dyDescent="0.3">
      <c r="A25" s="31"/>
      <c r="K25" s="27"/>
    </row>
    <row r="26" spans="1:11" hidden="1" x14ac:dyDescent="0.3">
      <c r="A26" s="176" t="s">
        <v>45</v>
      </c>
      <c r="B26" s="177"/>
      <c r="C26" s="177"/>
      <c r="D26" s="177"/>
      <c r="E26" s="177"/>
      <c r="F26" s="177"/>
      <c r="G26" s="177"/>
      <c r="H26" s="177"/>
      <c r="I26" s="177"/>
      <c r="J26" s="177"/>
      <c r="K26" s="178"/>
    </row>
    <row r="27" spans="1:11" hidden="1" x14ac:dyDescent="0.3">
      <c r="A27" s="39" t="e">
        <f>K21</f>
        <v>#DIV/0!</v>
      </c>
      <c r="C27" t="e">
        <f>FIXED(A19,3)</f>
        <v>#DIV/0!</v>
      </c>
      <c r="D27" t="e">
        <f>RIGHT(C27,1)</f>
        <v>#DIV/0!</v>
      </c>
      <c r="E27" t="e">
        <f>D27+0</f>
        <v>#DIV/0!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e">
        <f>RIGHT(A27,2)</f>
        <v>#DIV/0!</v>
      </c>
      <c r="D29" t="e">
        <f>LEFT(C29,1)</f>
        <v>#DIV/0!</v>
      </c>
      <c r="E29" s="36" t="e">
        <f>TRUNC(A27)</f>
        <v>#DIV/0!</v>
      </c>
      <c r="F29" s="14" t="e">
        <f>FIXED(A27-E29,G29)</f>
        <v>#DIV/0!</v>
      </c>
      <c r="G29" t="e">
        <f>ABS(E32-F32)</f>
        <v>#DIV/0!</v>
      </c>
      <c r="H29" t="e">
        <f>RIGHT(A27,G29)</f>
        <v>#DIV/0!</v>
      </c>
      <c r="I29">
        <v>0.05</v>
      </c>
      <c r="J29" s="2" t="e">
        <f>(A27-I29)</f>
        <v>#DIV/0!</v>
      </c>
      <c r="K29" s="41" t="e">
        <f>IF(C31=5,IF(AND(E27=0,D32=FALSE),J29,J30),J30)</f>
        <v>#DIV/0!</v>
      </c>
    </row>
    <row r="30" spans="1:11" hidden="1" x14ac:dyDescent="0.3">
      <c r="A30" s="31"/>
      <c r="C30" t="e">
        <f>RIGHT(C29,1)</f>
        <v>#DIV/0!</v>
      </c>
      <c r="D30" t="e">
        <f>D29+0</f>
        <v>#DIV/0!</v>
      </c>
      <c r="J30" t="e">
        <f>FIXED(A27,1)</f>
        <v>#DIV/0!</v>
      </c>
      <c r="K30" s="40"/>
    </row>
    <row r="31" spans="1:11" hidden="1" x14ac:dyDescent="0.3">
      <c r="A31" s="31"/>
      <c r="C31" t="e">
        <f>C30+0</f>
        <v>#DIV/0!</v>
      </c>
      <c r="D31" t="s">
        <v>34</v>
      </c>
      <c r="E31" t="s">
        <v>33</v>
      </c>
      <c r="F31" t="s">
        <v>32</v>
      </c>
      <c r="K31" s="27"/>
    </row>
    <row r="32" spans="1:11" hidden="1" x14ac:dyDescent="0.3">
      <c r="A32" s="31"/>
      <c r="D32" t="e">
        <f>ISODD(D29)</f>
        <v>#DIV/0!</v>
      </c>
      <c r="E32" t="e">
        <f>LEN(A27)</f>
        <v>#DIV/0!</v>
      </c>
      <c r="F32" t="e">
        <f>LEN(E29)+1</f>
        <v>#DIV/0!</v>
      </c>
      <c r="K32" s="27"/>
    </row>
    <row r="33" spans="1:11" hidden="1" x14ac:dyDescent="0.3">
      <c r="A33" s="31"/>
      <c r="K33" s="27"/>
    </row>
    <row r="34" spans="1:11" hidden="1" x14ac:dyDescent="0.3">
      <c r="A34" s="176" t="s">
        <v>44</v>
      </c>
      <c r="B34" s="177"/>
      <c r="C34" s="177"/>
      <c r="D34" s="177"/>
      <c r="E34" s="177"/>
      <c r="F34" s="177"/>
      <c r="G34" s="177"/>
      <c r="H34" s="177"/>
      <c r="I34" s="177"/>
      <c r="J34" s="177"/>
      <c r="K34" s="178"/>
    </row>
    <row r="35" spans="1:11" hidden="1" x14ac:dyDescent="0.3">
      <c r="A35" s="39" t="e">
        <f>K29</f>
        <v>#DIV/0!</v>
      </c>
      <c r="C35" t="e">
        <f>FIXED(A27,2)</f>
        <v>#DIV/0!</v>
      </c>
      <c r="D35" t="e">
        <f>RIGHT(C35,1)</f>
        <v>#DIV/0!</v>
      </c>
      <c r="E35" t="e">
        <f>D35+0</f>
        <v>#DIV/0!</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e">
        <f>RIGHT(A35,2)</f>
        <v>#DIV/0!</v>
      </c>
      <c r="D37" t="e">
        <f>RIGHT(E37,1)</f>
        <v>#DIV/0!</v>
      </c>
      <c r="E37" s="36" t="e">
        <f>TRUNC(A35)</f>
        <v>#DIV/0!</v>
      </c>
      <c r="F37" s="14" t="e">
        <f>FIXED(A35-E37,G37)</f>
        <v>#DIV/0!</v>
      </c>
      <c r="G37" t="e">
        <f>ABS(E40-F40)</f>
        <v>#DIV/0!</v>
      </c>
      <c r="H37" t="e">
        <f>RIGHT(A35,G37)</f>
        <v>#DIV/0!</v>
      </c>
      <c r="I37">
        <v>0.5</v>
      </c>
      <c r="J37" s="12" t="e">
        <f>(A35-I37)</f>
        <v>#DIV/0!</v>
      </c>
      <c r="K37" s="35" t="e">
        <f>IF(C39=5,IF(AND(E35=0,D40=FALSE),J37,J38),J38)</f>
        <v>#DIV/0!</v>
      </c>
    </row>
    <row r="38" spans="1:11" hidden="1" x14ac:dyDescent="0.3">
      <c r="A38" s="31"/>
      <c r="C38" t="e">
        <f>RIGHT(C37,1)</f>
        <v>#DIV/0!</v>
      </c>
      <c r="D38" t="e">
        <f>D37+0</f>
        <v>#DIV/0!</v>
      </c>
      <c r="J38" t="e">
        <f>FIXED(A35,0)</f>
        <v>#DIV/0!</v>
      </c>
      <c r="K38" s="34"/>
    </row>
    <row r="39" spans="1:11" hidden="1" x14ac:dyDescent="0.3">
      <c r="A39" s="31"/>
      <c r="C39" t="e">
        <f>C38+0</f>
        <v>#DIV/0!</v>
      </c>
      <c r="D39" t="s">
        <v>34</v>
      </c>
      <c r="E39" t="s">
        <v>33</v>
      </c>
      <c r="F39" t="s">
        <v>32</v>
      </c>
      <c r="K39" s="27"/>
    </row>
    <row r="40" spans="1:11" ht="15" hidden="1" thickBot="1" x14ac:dyDescent="0.35">
      <c r="A40" s="33"/>
      <c r="B40" s="33"/>
      <c r="C40" s="33"/>
      <c r="D40" s="33" t="e">
        <f>ISODD(D37)</f>
        <v>#DIV/0!</v>
      </c>
      <c r="E40" s="33" t="e">
        <f>LEN(A35)</f>
        <v>#DIV/0!</v>
      </c>
      <c r="F40" s="33" t="e">
        <f>LEN(E37)+1</f>
        <v>#DIV/0!</v>
      </c>
      <c r="G40" s="33"/>
      <c r="H40" s="33"/>
      <c r="I40" s="33"/>
      <c r="J40" s="33"/>
      <c r="K40" s="32"/>
    </row>
    <row r="41" spans="1:11" ht="15" thickBot="1" x14ac:dyDescent="0.35">
      <c r="A41" s="179" t="s">
        <v>56</v>
      </c>
      <c r="B41" s="180"/>
      <c r="C41" s="180"/>
      <c r="D41" s="180"/>
      <c r="E41" s="180"/>
      <c r="F41" s="180"/>
      <c r="G41" s="180"/>
      <c r="H41" s="180"/>
      <c r="I41" s="180"/>
      <c r="J41" s="180"/>
      <c r="K41" s="181"/>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76" t="s">
        <v>47</v>
      </c>
      <c r="B50" s="177"/>
      <c r="C50" s="177"/>
      <c r="D50" s="177"/>
      <c r="E50" s="177"/>
      <c r="F50" s="177"/>
      <c r="G50" s="177"/>
      <c r="H50" s="177"/>
      <c r="I50" s="177"/>
      <c r="J50" s="177"/>
      <c r="K50" s="178"/>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76" t="s">
        <v>46</v>
      </c>
      <c r="B58" s="177"/>
      <c r="C58" s="177"/>
      <c r="D58" s="177"/>
      <c r="E58" s="177"/>
      <c r="F58" s="177"/>
      <c r="G58" s="177"/>
      <c r="H58" s="177"/>
      <c r="I58" s="177"/>
      <c r="J58" s="177"/>
      <c r="K58" s="178"/>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76" t="s">
        <v>45</v>
      </c>
      <c r="B66" s="177"/>
      <c r="C66" s="177"/>
      <c r="D66" s="177"/>
      <c r="E66" s="177"/>
      <c r="F66" s="177"/>
      <c r="G66" s="177"/>
      <c r="H66" s="177"/>
      <c r="I66" s="177"/>
      <c r="J66" s="177"/>
      <c r="K66" s="178"/>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76" t="s">
        <v>44</v>
      </c>
      <c r="B74" s="177"/>
      <c r="C74" s="177"/>
      <c r="D74" s="177"/>
      <c r="E74" s="177"/>
      <c r="F74" s="177"/>
      <c r="G74" s="177"/>
      <c r="H74" s="177"/>
      <c r="I74" s="177"/>
      <c r="J74" s="177"/>
      <c r="K74" s="178"/>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79" t="s">
        <v>55</v>
      </c>
      <c r="B81" s="180"/>
      <c r="C81" s="180"/>
      <c r="D81" s="180"/>
      <c r="E81" s="180"/>
      <c r="F81" s="180"/>
      <c r="G81" s="180"/>
      <c r="H81" s="180"/>
      <c r="I81" s="180"/>
      <c r="J81" s="180"/>
      <c r="K81" s="181"/>
    </row>
    <row r="82" spans="1:11" ht="15" thickBot="1" x14ac:dyDescent="0.35">
      <c r="A82" s="31" t="s">
        <v>30</v>
      </c>
      <c r="B82" s="18" t="s">
        <v>29</v>
      </c>
      <c r="C82" t="e">
        <f>FIXED(A83,6)</f>
        <v>#DIV/0!</v>
      </c>
      <c r="D82" t="e">
        <f>RIGHT(C82,1)</f>
        <v>#DIV/0!</v>
      </c>
      <c r="E82" t="e">
        <f>D82/1000000</f>
        <v>#DIV/0!</v>
      </c>
      <c r="F82" s="30" t="e">
        <f>A83-E82</f>
        <v>#DIV/0!</v>
      </c>
      <c r="H82" t="e">
        <f>IF(C87=5,IF(AND(D83=0,D88=FALSE),J85,J86),J86)</f>
        <v>#DIV/0!</v>
      </c>
      <c r="K82" s="27"/>
    </row>
    <row r="83" spans="1:11" ht="18.600000000000001" thickBot="1" x14ac:dyDescent="0.4">
      <c r="A83" s="29" t="e">
        <f>INCERTIDUMBRE!L6</f>
        <v>#DIV/0!</v>
      </c>
      <c r="B83" s="28" t="e">
        <f>IF(A83&gt;=10,K117,IF(A83&gt;=1,K109,IF(A83&gt;=0.1,K101,IF(A83&gt;=0.01,K93,IF(A83&gt;=0.001,K85)))))</f>
        <v>#DIV/0!</v>
      </c>
      <c r="C83" t="s">
        <v>28</v>
      </c>
      <c r="D83" t="e">
        <f>D82+0</f>
        <v>#DIV/0!</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e">
        <f>RIGHT(F82,2)</f>
        <v>#DIV/0!</v>
      </c>
      <c r="D85" t="e">
        <f>LEFT(C85,1)</f>
        <v>#DIV/0!</v>
      </c>
      <c r="E85" s="30" t="e">
        <f>TRUNC(A83)</f>
        <v>#DIV/0!</v>
      </c>
      <c r="F85" s="14" t="e">
        <f>FIXED(A83-E85,G85)</f>
        <v>#DIV/0!</v>
      </c>
      <c r="G85" t="e">
        <f>ABS(E88-F88)</f>
        <v>#DIV/0!</v>
      </c>
      <c r="H85" t="e">
        <f>RIGHT(A83,G85)</f>
        <v>#DIV/0!</v>
      </c>
      <c r="I85">
        <v>5.0000000000000002E-5</v>
      </c>
      <c r="J85" s="14" t="e">
        <f>(A83-I85)</f>
        <v>#DIV/0!</v>
      </c>
      <c r="K85" s="45" t="e">
        <f>IF(C87=5,IF(AND(D83=0,D88=FALSE),J85,J86),J86)</f>
        <v>#DIV/0!</v>
      </c>
    </row>
    <row r="86" spans="1:11" hidden="1" x14ac:dyDescent="0.3">
      <c r="A86" s="31"/>
      <c r="C86" t="e">
        <f>RIGHT(C85,1)</f>
        <v>#DIV/0!</v>
      </c>
      <c r="D86" t="e">
        <f>D85+0</f>
        <v>#DIV/0!</v>
      </c>
      <c r="J86" t="e">
        <f>FIXED(A83,4)</f>
        <v>#DIV/0!</v>
      </c>
      <c r="K86" s="27"/>
    </row>
    <row r="87" spans="1:11" hidden="1" x14ac:dyDescent="0.3">
      <c r="A87" s="31"/>
      <c r="C87" t="e">
        <f>C86+0</f>
        <v>#DIV/0!</v>
      </c>
      <c r="D87" t="s">
        <v>34</v>
      </c>
      <c r="E87" t="s">
        <v>33</v>
      </c>
      <c r="F87" t="s">
        <v>32</v>
      </c>
      <c r="K87" s="27"/>
    </row>
    <row r="88" spans="1:11" hidden="1" x14ac:dyDescent="0.3">
      <c r="A88" s="31"/>
      <c r="D88" t="e">
        <f>ISODD(D85)</f>
        <v>#DIV/0!</v>
      </c>
      <c r="E88" t="e">
        <f>LEN(A83)</f>
        <v>#DIV/0!</v>
      </c>
      <c r="F88" t="e">
        <f>LEN(E85)+1</f>
        <v>#DIV/0!</v>
      </c>
      <c r="K88" s="27"/>
    </row>
    <row r="89" spans="1:11" hidden="1" x14ac:dyDescent="0.3">
      <c r="A89" s="31"/>
      <c r="K89" s="27"/>
    </row>
    <row r="90" spans="1:11" hidden="1" x14ac:dyDescent="0.3">
      <c r="A90" s="176" t="s">
        <v>47</v>
      </c>
      <c r="B90" s="177"/>
      <c r="C90" s="177"/>
      <c r="D90" s="177"/>
      <c r="E90" s="177"/>
      <c r="F90" s="177"/>
      <c r="G90" s="177"/>
      <c r="H90" s="177"/>
      <c r="I90" s="177"/>
      <c r="J90" s="177"/>
      <c r="K90" s="178"/>
    </row>
    <row r="91" spans="1:11" hidden="1" x14ac:dyDescent="0.3">
      <c r="A91" s="42" t="e">
        <f>K85</f>
        <v>#DIV/0!</v>
      </c>
      <c r="C91" t="e">
        <f>FIXED(A83,5)</f>
        <v>#DIV/0!</v>
      </c>
      <c r="D91" t="e">
        <f>RIGHT(C91,1)</f>
        <v>#DIV/0!</v>
      </c>
      <c r="E91" t="e">
        <f>D91+0</f>
        <v>#DIV/0!</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RIGHT(A91,2)</f>
        <v>#DIV/0!</v>
      </c>
      <c r="D93" t="e">
        <f>LEFT(C93,1)</f>
        <v>#DIV/0!</v>
      </c>
      <c r="E93" s="36" t="e">
        <f>TRUNC(A91)</f>
        <v>#DIV/0!</v>
      </c>
      <c r="F93" s="14" t="e">
        <f>FIXED(A91-E93,G93)</f>
        <v>#DIV/0!</v>
      </c>
      <c r="G93" t="e">
        <f>ABS(E96-F96)</f>
        <v>#DIV/0!</v>
      </c>
      <c r="H93" t="e">
        <f>RIGHT(A91,G93)</f>
        <v>#DIV/0!</v>
      </c>
      <c r="I93">
        <v>5.0000000000000001E-4</v>
      </c>
      <c r="J93" s="44" t="e">
        <f>(A91-I93)</f>
        <v>#DIV/0!</v>
      </c>
      <c r="K93" s="43" t="e">
        <f>IF(C95=5,IF(AND(E91=0,D96=FALSE),J93,J94),J94)</f>
        <v>#DIV/0!</v>
      </c>
    </row>
    <row r="94" spans="1:11" hidden="1" x14ac:dyDescent="0.3">
      <c r="A94" s="31"/>
      <c r="C94" t="e">
        <f>RIGHT(C93,1)</f>
        <v>#DIV/0!</v>
      </c>
      <c r="D94" t="e">
        <f>D93+0</f>
        <v>#DIV/0!</v>
      </c>
      <c r="J94" t="e">
        <f>FIXED(A91,3)</f>
        <v>#DIV/0!</v>
      </c>
      <c r="K94" s="27"/>
    </row>
    <row r="95" spans="1:11" hidden="1" x14ac:dyDescent="0.3">
      <c r="A95" s="31"/>
      <c r="C95" t="e">
        <f>C94+0</f>
        <v>#DIV/0!</v>
      </c>
      <c r="D95" t="s">
        <v>34</v>
      </c>
      <c r="E95" t="s">
        <v>33</v>
      </c>
      <c r="F95" t="s">
        <v>32</v>
      </c>
      <c r="K95" s="27"/>
    </row>
    <row r="96" spans="1:11" hidden="1" x14ac:dyDescent="0.3">
      <c r="A96" s="31"/>
      <c r="D96" t="e">
        <f>ISODD(D93)</f>
        <v>#DIV/0!</v>
      </c>
      <c r="E96" t="e">
        <f>LEN(A91)</f>
        <v>#DIV/0!</v>
      </c>
      <c r="F96" t="e">
        <f>LEN(E93)+1</f>
        <v>#DIV/0!</v>
      </c>
      <c r="K96" s="27"/>
    </row>
    <row r="97" spans="1:11" hidden="1" x14ac:dyDescent="0.3">
      <c r="A97" s="31"/>
      <c r="K97" s="27"/>
    </row>
    <row r="98" spans="1:11" hidden="1" x14ac:dyDescent="0.3">
      <c r="A98" s="176" t="s">
        <v>46</v>
      </c>
      <c r="B98" s="177"/>
      <c r="C98" s="177"/>
      <c r="D98" s="177"/>
      <c r="E98" s="177"/>
      <c r="F98" s="177"/>
      <c r="G98" s="177"/>
      <c r="H98" s="177"/>
      <c r="I98" s="177"/>
      <c r="J98" s="177"/>
      <c r="K98" s="178"/>
    </row>
    <row r="99" spans="1:11" hidden="1" x14ac:dyDescent="0.3">
      <c r="A99" s="42" t="e">
        <f>K93</f>
        <v>#DIV/0!</v>
      </c>
      <c r="C99" t="e">
        <f>FIXED(A91,4)</f>
        <v>#DIV/0!</v>
      </c>
      <c r="D99" t="e">
        <f>RIGHT(C99,1)</f>
        <v>#DIV/0!</v>
      </c>
      <c r="E99" t="e">
        <f>D99+0</f>
        <v>#DIV/0!</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RIGHT(A99,2)</f>
        <v>#DIV/0!</v>
      </c>
      <c r="D101" t="e">
        <f>LEFT(C101,1)</f>
        <v>#DIV/0!</v>
      </c>
      <c r="E101" s="36" t="e">
        <f>TRUNC(A99)</f>
        <v>#DIV/0!</v>
      </c>
      <c r="F101" s="14" t="e">
        <f>FIXED(A99-E101,G101)</f>
        <v>#DIV/0!</v>
      </c>
      <c r="G101" t="e">
        <f>ABS(E104-F104)</f>
        <v>#DIV/0!</v>
      </c>
      <c r="H101" t="e">
        <f>RIGHT(A99,G101)</f>
        <v>#DIV/0!</v>
      </c>
      <c r="I101">
        <v>5.0000000000000001E-3</v>
      </c>
      <c r="J101" s="2" t="e">
        <f>(A99-I101)</f>
        <v>#DIV/0!</v>
      </c>
      <c r="K101" s="41" t="e">
        <f>IF(C103=5,IF(AND(E99=0,D104=FALSE),J101,J102),J102)</f>
        <v>#DIV/0!</v>
      </c>
    </row>
    <row r="102" spans="1:11" ht="18" hidden="1" x14ac:dyDescent="0.35">
      <c r="A102" s="31"/>
      <c r="C102" t="e">
        <f>RIGHT(C101,1)</f>
        <v>#DIV/0!</v>
      </c>
      <c r="D102" t="e">
        <f>D101+0</f>
        <v>#DIV/0!</v>
      </c>
      <c r="J102" t="e">
        <f>FIXED(A99,2)</f>
        <v>#DIV/0!</v>
      </c>
      <c r="K102" s="41"/>
    </row>
    <row r="103" spans="1:11" hidden="1" x14ac:dyDescent="0.3">
      <c r="A103" s="31"/>
      <c r="C103" t="e">
        <f>C102+0</f>
        <v>#DIV/0!</v>
      </c>
      <c r="D103" t="s">
        <v>34</v>
      </c>
      <c r="E103" t="s">
        <v>33</v>
      </c>
      <c r="F103" t="s">
        <v>32</v>
      </c>
      <c r="K103" s="27"/>
    </row>
    <row r="104" spans="1:11" hidden="1" x14ac:dyDescent="0.3">
      <c r="A104" s="31"/>
      <c r="D104" t="e">
        <f>ISODD(D101)</f>
        <v>#DIV/0!</v>
      </c>
      <c r="E104" t="e">
        <f>LEN(A99)</f>
        <v>#DIV/0!</v>
      </c>
      <c r="F104" t="e">
        <f>LEN(E101)+1</f>
        <v>#DIV/0!</v>
      </c>
      <c r="K104" s="27"/>
    </row>
    <row r="105" spans="1:11" hidden="1" x14ac:dyDescent="0.3">
      <c r="A105" s="31"/>
      <c r="K105" s="27"/>
    </row>
    <row r="106" spans="1:11" hidden="1" x14ac:dyDescent="0.3">
      <c r="A106" s="176" t="s">
        <v>45</v>
      </c>
      <c r="B106" s="177"/>
      <c r="C106" s="177"/>
      <c r="D106" s="177"/>
      <c r="E106" s="177"/>
      <c r="F106" s="177"/>
      <c r="G106" s="177"/>
      <c r="H106" s="177"/>
      <c r="I106" s="177"/>
      <c r="J106" s="177"/>
      <c r="K106" s="178"/>
    </row>
    <row r="107" spans="1:11" hidden="1" x14ac:dyDescent="0.3">
      <c r="A107" s="39" t="e">
        <f>K101</f>
        <v>#DIV/0!</v>
      </c>
      <c r="C107" t="e">
        <f>FIXED(A99,3)</f>
        <v>#DIV/0!</v>
      </c>
      <c r="D107" t="e">
        <f>RIGHT(C107,1)</f>
        <v>#DIV/0!</v>
      </c>
      <c r="E107" t="e">
        <f>D107+0</f>
        <v>#DIV/0!</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RIGHT(A107,2)</f>
        <v>#DIV/0!</v>
      </c>
      <c r="D109" t="e">
        <f>LEFT(C109,1)</f>
        <v>#DIV/0!</v>
      </c>
      <c r="E109" s="36" t="e">
        <f>TRUNC(A107)</f>
        <v>#DIV/0!</v>
      </c>
      <c r="F109" s="14" t="e">
        <f>FIXED(A107-E109,G109)</f>
        <v>#DIV/0!</v>
      </c>
      <c r="G109" t="e">
        <f>ABS(E112-F112)</f>
        <v>#DIV/0!</v>
      </c>
      <c r="H109" t="e">
        <f>RIGHT(A107,G109)</f>
        <v>#DIV/0!</v>
      </c>
      <c r="I109">
        <v>0.05</v>
      </c>
      <c r="J109" s="2" t="e">
        <f>(A107-I109)</f>
        <v>#DIV/0!</v>
      </c>
      <c r="K109" s="41" t="e">
        <f>IF(C111=5,IF(AND(E107=0,D112=FALSE),J109,J110),J110)</f>
        <v>#DIV/0!</v>
      </c>
    </row>
    <row r="110" spans="1:11" hidden="1" x14ac:dyDescent="0.3">
      <c r="A110" s="31"/>
      <c r="C110" t="e">
        <f>RIGHT(C109,1)</f>
        <v>#DIV/0!</v>
      </c>
      <c r="D110" t="e">
        <f>D109+0</f>
        <v>#DIV/0!</v>
      </c>
      <c r="J110" t="e">
        <f>FIXED(A107,1)</f>
        <v>#DIV/0!</v>
      </c>
      <c r="K110" s="40"/>
    </row>
    <row r="111" spans="1:11" hidden="1" x14ac:dyDescent="0.3">
      <c r="A111" s="31"/>
      <c r="C111" t="e">
        <f>C110+0</f>
        <v>#DIV/0!</v>
      </c>
      <c r="D111" t="s">
        <v>34</v>
      </c>
      <c r="E111" t="s">
        <v>33</v>
      </c>
      <c r="F111" t="s">
        <v>32</v>
      </c>
      <c r="K111" s="27"/>
    </row>
    <row r="112" spans="1:11" hidden="1" x14ac:dyDescent="0.3">
      <c r="A112" s="31"/>
      <c r="D112" t="e">
        <f>ISODD(D109)</f>
        <v>#DIV/0!</v>
      </c>
      <c r="E112" t="e">
        <f>LEN(A107)</f>
        <v>#DIV/0!</v>
      </c>
      <c r="F112" t="e">
        <f>LEN(E109)+1</f>
        <v>#DIV/0!</v>
      </c>
      <c r="K112" s="27"/>
    </row>
    <row r="113" spans="1:11" hidden="1" x14ac:dyDescent="0.3">
      <c r="A113" s="31"/>
      <c r="K113" s="27"/>
    </row>
    <row r="114" spans="1:11" hidden="1" x14ac:dyDescent="0.3">
      <c r="A114" s="176" t="s">
        <v>44</v>
      </c>
      <c r="B114" s="177"/>
      <c r="C114" s="177"/>
      <c r="D114" s="177"/>
      <c r="E114" s="177"/>
      <c r="F114" s="177"/>
      <c r="G114" s="177"/>
      <c r="H114" s="177"/>
      <c r="I114" s="177"/>
      <c r="J114" s="177"/>
      <c r="K114" s="178"/>
    </row>
    <row r="115" spans="1:11" hidden="1" x14ac:dyDescent="0.3">
      <c r="A115" s="39" t="e">
        <f>K109</f>
        <v>#DIV/0!</v>
      </c>
      <c r="C115" t="e">
        <f>FIXED(A107,2)</f>
        <v>#DIV/0!</v>
      </c>
      <c r="D115" t="e">
        <f>RIGHT(C115,1)</f>
        <v>#DIV/0!</v>
      </c>
      <c r="E115" t="e">
        <f>D115+0</f>
        <v>#DIV/0!</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RIGHT(A115,2)</f>
        <v>#DIV/0!</v>
      </c>
      <c r="D117" t="e">
        <f>RIGHT(E117,1)</f>
        <v>#DIV/0!</v>
      </c>
      <c r="E117" s="36" t="e">
        <f>TRUNC(A115)</f>
        <v>#DIV/0!</v>
      </c>
      <c r="F117" s="14" t="e">
        <f>FIXED(A115-E117,G117)</f>
        <v>#DIV/0!</v>
      </c>
      <c r="G117" t="e">
        <f>ABS(E120-F120)</f>
        <v>#DIV/0!</v>
      </c>
      <c r="H117" t="e">
        <f>RIGHT(A115,G117)</f>
        <v>#DIV/0!</v>
      </c>
      <c r="I117">
        <v>0.5</v>
      </c>
      <c r="J117" s="12" t="e">
        <f>(A115-I117)</f>
        <v>#DIV/0!</v>
      </c>
      <c r="K117" s="35" t="e">
        <f>IF(C119=5,IF(AND(E115=0,D120=FALSE),J117,J118),J118)</f>
        <v>#DIV/0!</v>
      </c>
    </row>
    <row r="118" spans="1:11" hidden="1" x14ac:dyDescent="0.3">
      <c r="A118" s="31"/>
      <c r="C118" t="e">
        <f>RIGHT(C117,1)</f>
        <v>#DIV/0!</v>
      </c>
      <c r="D118" t="e">
        <f>D117+0</f>
        <v>#DIV/0!</v>
      </c>
      <c r="J118" t="e">
        <f>FIXED(A115,0)</f>
        <v>#DIV/0!</v>
      </c>
      <c r="K118" s="34"/>
    </row>
    <row r="119" spans="1:11" hidden="1" x14ac:dyDescent="0.3">
      <c r="A119" s="31"/>
      <c r="C119" t="e">
        <f>C118+0</f>
        <v>#DIV/0!</v>
      </c>
      <c r="D119" t="s">
        <v>34</v>
      </c>
      <c r="E119" t="s">
        <v>33</v>
      </c>
      <c r="F119" t="s">
        <v>32</v>
      </c>
      <c r="K119" s="27"/>
    </row>
    <row r="120" spans="1:11" ht="15" hidden="1" thickBot="1" x14ac:dyDescent="0.35">
      <c r="A120" s="33"/>
      <c r="B120" s="33"/>
      <c r="C120" s="33"/>
      <c r="D120" s="33" t="e">
        <f>ISODD(D117)</f>
        <v>#DIV/0!</v>
      </c>
      <c r="E120" s="33" t="e">
        <f>LEN(A115)</f>
        <v>#DIV/0!</v>
      </c>
      <c r="F120" s="33" t="e">
        <f>LEN(E117)+1</f>
        <v>#DIV/0!</v>
      </c>
      <c r="G120" s="33"/>
      <c r="H120" s="33"/>
      <c r="I120" s="33"/>
      <c r="J120" s="33"/>
      <c r="K120" s="32"/>
    </row>
    <row r="121" spans="1:11" ht="15" hidden="1" thickBot="1" x14ac:dyDescent="0.35"/>
    <row r="122" spans="1:11" ht="15" thickBot="1" x14ac:dyDescent="0.35">
      <c r="A122" s="179" t="s">
        <v>54</v>
      </c>
      <c r="B122" s="180"/>
      <c r="C122" s="180"/>
      <c r="D122" s="180"/>
      <c r="E122" s="180"/>
      <c r="F122" s="180"/>
      <c r="G122" s="180"/>
      <c r="H122" s="180"/>
      <c r="I122" s="180"/>
      <c r="J122" s="180"/>
      <c r="K122" s="181"/>
    </row>
    <row r="123" spans="1:11" ht="15" thickBot="1" x14ac:dyDescent="0.35">
      <c r="A123" s="31" t="s">
        <v>30</v>
      </c>
      <c r="B123" s="18" t="s">
        <v>29</v>
      </c>
      <c r="C123" t="e">
        <f>FIXED(A124,6)</f>
        <v>#DIV/0!</v>
      </c>
      <c r="D123" t="e">
        <f>RIGHT(C123,1)</f>
        <v>#DIV/0!</v>
      </c>
      <c r="E123" t="e">
        <f>D123/1000000</f>
        <v>#DIV/0!</v>
      </c>
      <c r="F123" s="30" t="e">
        <f>A124-E123</f>
        <v>#DIV/0!</v>
      </c>
      <c r="H123" t="e">
        <f>IF(C128=5,IF(AND(D124=0,D129=FALSE),J126,J127),J127)</f>
        <v>#DIV/0!</v>
      </c>
      <c r="K123" s="27"/>
    </row>
    <row r="124" spans="1:11" ht="18.600000000000001" thickBot="1" x14ac:dyDescent="0.4">
      <c r="A124" s="29" t="e">
        <f>INCERTIDUMBRE!L7</f>
        <v>#DIV/0!</v>
      </c>
      <c r="B124" s="28" t="e">
        <f>IF(A124&gt;=10,K158,IF(A124&gt;=1,K150,IF(A124&gt;=0.1,K142,IF(A124&gt;=0.01,K134,IF(A124&gt;=0.001,K126)))))</f>
        <v>#DIV/0!</v>
      </c>
      <c r="C124" t="s">
        <v>28</v>
      </c>
      <c r="D124" t="e">
        <f>D123+0</f>
        <v>#DIV/0!</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#DIV/0!</v>
      </c>
      <c r="D126" t="e">
        <f>LEFT(C126,1)</f>
        <v>#DIV/0!</v>
      </c>
      <c r="E126" s="30" t="e">
        <f>TRUNC(A124)</f>
        <v>#DIV/0!</v>
      </c>
      <c r="F126" s="14" t="e">
        <f>FIXED(A124-E126,G126)</f>
        <v>#DIV/0!</v>
      </c>
      <c r="G126" t="e">
        <f>ABS(E129-F129)</f>
        <v>#DIV/0!</v>
      </c>
      <c r="H126" t="e">
        <f>RIGHT(A124,G126)</f>
        <v>#DIV/0!</v>
      </c>
      <c r="I126">
        <v>5.0000000000000002E-5</v>
      </c>
      <c r="J126" s="14" t="e">
        <f>(A124-I126)</f>
        <v>#DIV/0!</v>
      </c>
      <c r="K126" s="45" t="e">
        <f>IF(C128=5,IF(AND(D124=0,D129=FALSE),J126,J127),J127)</f>
        <v>#DIV/0!</v>
      </c>
    </row>
    <row r="127" spans="1:11" hidden="1" x14ac:dyDescent="0.3">
      <c r="A127" s="31"/>
      <c r="C127" t="e">
        <f>RIGHT(C126,1)</f>
        <v>#DIV/0!</v>
      </c>
      <c r="D127" t="e">
        <f>D126+0</f>
        <v>#DIV/0!</v>
      </c>
      <c r="J127" t="e">
        <f>FIXED(A124,4)</f>
        <v>#DIV/0!</v>
      </c>
      <c r="K127" s="27"/>
    </row>
    <row r="128" spans="1:11" hidden="1" x14ac:dyDescent="0.3">
      <c r="A128" s="31"/>
      <c r="C128" t="e">
        <f>C127+0</f>
        <v>#DIV/0!</v>
      </c>
      <c r="D128" t="s">
        <v>34</v>
      </c>
      <c r="E128" t="s">
        <v>33</v>
      </c>
      <c r="F128" t="s">
        <v>32</v>
      </c>
      <c r="K128" s="27"/>
    </row>
    <row r="129" spans="1:11" hidden="1" x14ac:dyDescent="0.3">
      <c r="A129" s="31"/>
      <c r="D129" t="e">
        <f>ISODD(D126)</f>
        <v>#DIV/0!</v>
      </c>
      <c r="E129" t="e">
        <f>LEN(A124)</f>
        <v>#DIV/0!</v>
      </c>
      <c r="F129" t="e">
        <f>LEN(E126)+1</f>
        <v>#DIV/0!</v>
      </c>
      <c r="K129" s="27"/>
    </row>
    <row r="130" spans="1:11" hidden="1" x14ac:dyDescent="0.3">
      <c r="A130" s="31"/>
      <c r="K130" s="27"/>
    </row>
    <row r="131" spans="1:11" hidden="1" x14ac:dyDescent="0.3">
      <c r="A131" s="176" t="s">
        <v>47</v>
      </c>
      <c r="B131" s="177"/>
      <c r="C131" s="177"/>
      <c r="D131" s="177"/>
      <c r="E131" s="177"/>
      <c r="F131" s="177"/>
      <c r="G131" s="177"/>
      <c r="H131" s="177"/>
      <c r="I131" s="177"/>
      <c r="J131" s="177"/>
      <c r="K131" s="178"/>
    </row>
    <row r="132" spans="1:11" hidden="1" x14ac:dyDescent="0.3">
      <c r="A132" s="42" t="e">
        <f>K126</f>
        <v>#DIV/0!</v>
      </c>
      <c r="C132" t="e">
        <f>FIXED(A124,5)</f>
        <v>#DIV/0!</v>
      </c>
      <c r="D132" t="e">
        <f>RIGHT(C132,1)</f>
        <v>#DIV/0!</v>
      </c>
      <c r="E132" t="e">
        <f>D132+0</f>
        <v>#DIV/0!</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#DIV/0!</v>
      </c>
      <c r="D134" t="e">
        <f>LEFT(C134,1)</f>
        <v>#DIV/0!</v>
      </c>
      <c r="E134" s="36" t="e">
        <f>TRUNC(A132)</f>
        <v>#DIV/0!</v>
      </c>
      <c r="F134" s="14" t="e">
        <f>FIXED(A132-E134,G134)</f>
        <v>#DIV/0!</v>
      </c>
      <c r="G134" t="e">
        <f>ABS(E137-F137)</f>
        <v>#DIV/0!</v>
      </c>
      <c r="H134" t="e">
        <f>RIGHT(A132,G134)</f>
        <v>#DIV/0!</v>
      </c>
      <c r="I134">
        <v>5.0000000000000001E-4</v>
      </c>
      <c r="J134" s="44" t="e">
        <f>(A132-I134)</f>
        <v>#DIV/0!</v>
      </c>
      <c r="K134" s="43" t="e">
        <f>IF(C136=5,IF(AND(E132=0,D137=FALSE),J134,J135),J135)</f>
        <v>#DIV/0!</v>
      </c>
    </row>
    <row r="135" spans="1:11" hidden="1" x14ac:dyDescent="0.3">
      <c r="A135" s="31"/>
      <c r="C135" t="e">
        <f>RIGHT(C134,1)</f>
        <v>#DIV/0!</v>
      </c>
      <c r="D135" t="e">
        <f>D134+0</f>
        <v>#DIV/0!</v>
      </c>
      <c r="J135" t="e">
        <f>FIXED(A132,3)</f>
        <v>#DIV/0!</v>
      </c>
      <c r="K135" s="27"/>
    </row>
    <row r="136" spans="1:11" hidden="1" x14ac:dyDescent="0.3">
      <c r="A136" s="31"/>
      <c r="C136" t="e">
        <f>C135+0</f>
        <v>#DIV/0!</v>
      </c>
      <c r="D136" t="s">
        <v>34</v>
      </c>
      <c r="E136" t="s">
        <v>33</v>
      </c>
      <c r="F136" t="s">
        <v>32</v>
      </c>
      <c r="K136" s="27"/>
    </row>
    <row r="137" spans="1:11" hidden="1" x14ac:dyDescent="0.3">
      <c r="A137" s="31"/>
      <c r="D137" t="e">
        <f>ISODD(D134)</f>
        <v>#DIV/0!</v>
      </c>
      <c r="E137" t="e">
        <f>LEN(A132)</f>
        <v>#DIV/0!</v>
      </c>
      <c r="F137" t="e">
        <f>LEN(E134)+1</f>
        <v>#DIV/0!</v>
      </c>
      <c r="K137" s="27"/>
    </row>
    <row r="138" spans="1:11" hidden="1" x14ac:dyDescent="0.3">
      <c r="A138" s="31"/>
      <c r="K138" s="27"/>
    </row>
    <row r="139" spans="1:11" hidden="1" x14ac:dyDescent="0.3">
      <c r="A139" s="176" t="s">
        <v>46</v>
      </c>
      <c r="B139" s="177"/>
      <c r="C139" s="177"/>
      <c r="D139" s="177"/>
      <c r="E139" s="177"/>
      <c r="F139" s="177"/>
      <c r="G139" s="177"/>
      <c r="H139" s="177"/>
      <c r="I139" s="177"/>
      <c r="J139" s="177"/>
      <c r="K139" s="178"/>
    </row>
    <row r="140" spans="1:11" hidden="1" x14ac:dyDescent="0.3">
      <c r="A140" s="42" t="e">
        <f>K134</f>
        <v>#DIV/0!</v>
      </c>
      <c r="C140" t="e">
        <f>FIXED(A132,4)</f>
        <v>#DIV/0!</v>
      </c>
      <c r="D140" t="e">
        <f>RIGHT(C140,1)</f>
        <v>#DIV/0!</v>
      </c>
      <c r="E140" t="e">
        <f>D140+0</f>
        <v>#DIV/0!</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#DIV/0!</v>
      </c>
      <c r="D142" t="e">
        <f>LEFT(C142,1)</f>
        <v>#DIV/0!</v>
      </c>
      <c r="E142" s="36" t="e">
        <f>TRUNC(A140)</f>
        <v>#DIV/0!</v>
      </c>
      <c r="F142" s="14" t="e">
        <f>FIXED(A140-E142,G142)</f>
        <v>#DIV/0!</v>
      </c>
      <c r="G142" t="e">
        <f>ABS(E145-F145)</f>
        <v>#DIV/0!</v>
      </c>
      <c r="H142" t="e">
        <f>RIGHT(A140,G142)</f>
        <v>#DIV/0!</v>
      </c>
      <c r="I142">
        <v>5.0000000000000001E-3</v>
      </c>
      <c r="J142" s="2" t="e">
        <f>(A140-I142)</f>
        <v>#DIV/0!</v>
      </c>
      <c r="K142" s="41" t="e">
        <f>IF(C144=5,IF(AND(E140=0,D145=FALSE),J142,J143),J143)</f>
        <v>#DIV/0!</v>
      </c>
    </row>
    <row r="143" spans="1:11" ht="18" hidden="1" x14ac:dyDescent="0.35">
      <c r="A143" s="31"/>
      <c r="C143" t="e">
        <f>RIGHT(C142,1)</f>
        <v>#DIV/0!</v>
      </c>
      <c r="D143" t="e">
        <f>D142+0</f>
        <v>#DIV/0!</v>
      </c>
      <c r="J143" t="e">
        <f>FIXED(A140,2)</f>
        <v>#DIV/0!</v>
      </c>
      <c r="K143" s="41"/>
    </row>
    <row r="144" spans="1:11" hidden="1" x14ac:dyDescent="0.3">
      <c r="A144" s="31"/>
      <c r="C144" t="e">
        <f>C143+0</f>
        <v>#DIV/0!</v>
      </c>
      <c r="D144" t="s">
        <v>34</v>
      </c>
      <c r="E144" t="s">
        <v>33</v>
      </c>
      <c r="F144" t="s">
        <v>32</v>
      </c>
      <c r="K144" s="27"/>
    </row>
    <row r="145" spans="1:11" hidden="1" x14ac:dyDescent="0.3">
      <c r="A145" s="31"/>
      <c r="D145" t="e">
        <f>ISODD(D142)</f>
        <v>#DIV/0!</v>
      </c>
      <c r="E145" t="e">
        <f>LEN(A140)</f>
        <v>#DIV/0!</v>
      </c>
      <c r="F145" t="e">
        <f>LEN(E142)+1</f>
        <v>#DIV/0!</v>
      </c>
      <c r="K145" s="27"/>
    </row>
    <row r="146" spans="1:11" hidden="1" x14ac:dyDescent="0.3">
      <c r="A146" s="31"/>
      <c r="K146" s="27"/>
    </row>
    <row r="147" spans="1:11" hidden="1" x14ac:dyDescent="0.3">
      <c r="A147" s="176" t="s">
        <v>45</v>
      </c>
      <c r="B147" s="177"/>
      <c r="C147" s="177"/>
      <c r="D147" s="177"/>
      <c r="E147" s="177"/>
      <c r="F147" s="177"/>
      <c r="G147" s="177"/>
      <c r="H147" s="177"/>
      <c r="I147" s="177"/>
      <c r="J147" s="177"/>
      <c r="K147" s="178"/>
    </row>
    <row r="148" spans="1:11" hidden="1" x14ac:dyDescent="0.3">
      <c r="A148" s="39" t="e">
        <f>K142</f>
        <v>#DIV/0!</v>
      </c>
      <c r="C148" t="e">
        <f>FIXED(A140,3)</f>
        <v>#DIV/0!</v>
      </c>
      <c r="D148" t="e">
        <f>RIGHT(C148,1)</f>
        <v>#DIV/0!</v>
      </c>
      <c r="E148" t="e">
        <f>D148+0</f>
        <v>#DIV/0!</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#DIV/0!</v>
      </c>
      <c r="D150" t="e">
        <f>LEFT(C150,1)</f>
        <v>#DIV/0!</v>
      </c>
      <c r="E150" s="36" t="e">
        <f>TRUNC(A148)</f>
        <v>#DIV/0!</v>
      </c>
      <c r="F150" s="14" t="e">
        <f>FIXED(A148-E150,G150)</f>
        <v>#DIV/0!</v>
      </c>
      <c r="G150" t="e">
        <f>ABS(E153-F153)</f>
        <v>#DIV/0!</v>
      </c>
      <c r="H150" t="e">
        <f>RIGHT(A148,G150)</f>
        <v>#DIV/0!</v>
      </c>
      <c r="I150">
        <v>0.05</v>
      </c>
      <c r="J150" s="2" t="e">
        <f>(A148-I150)</f>
        <v>#DIV/0!</v>
      </c>
      <c r="K150" s="41" t="e">
        <f>IF(C152=5,IF(AND(E148=0,D153=FALSE),J150,J151),J151)</f>
        <v>#DIV/0!</v>
      </c>
    </row>
    <row r="151" spans="1:11" hidden="1" x14ac:dyDescent="0.3">
      <c r="A151" s="31"/>
      <c r="C151" t="e">
        <f>RIGHT(C150,1)</f>
        <v>#DIV/0!</v>
      </c>
      <c r="D151" t="e">
        <f>D150+0</f>
        <v>#DIV/0!</v>
      </c>
      <c r="J151" t="e">
        <f>FIXED(A148,1)</f>
        <v>#DIV/0!</v>
      </c>
      <c r="K151" s="40"/>
    </row>
    <row r="152" spans="1:11" hidden="1" x14ac:dyDescent="0.3">
      <c r="A152" s="31"/>
      <c r="C152" t="e">
        <f>C151+0</f>
        <v>#DIV/0!</v>
      </c>
      <c r="D152" t="s">
        <v>34</v>
      </c>
      <c r="E152" t="s">
        <v>33</v>
      </c>
      <c r="F152" t="s">
        <v>32</v>
      </c>
      <c r="K152" s="27"/>
    </row>
    <row r="153" spans="1:11" hidden="1" x14ac:dyDescent="0.3">
      <c r="A153" s="31"/>
      <c r="D153" t="e">
        <f>ISODD(D150)</f>
        <v>#DIV/0!</v>
      </c>
      <c r="E153" t="e">
        <f>LEN(A148)</f>
        <v>#DIV/0!</v>
      </c>
      <c r="F153" t="e">
        <f>LEN(E150)+1</f>
        <v>#DIV/0!</v>
      </c>
      <c r="K153" s="27"/>
    </row>
    <row r="154" spans="1:11" hidden="1" x14ac:dyDescent="0.3">
      <c r="A154" s="31"/>
      <c r="K154" s="27"/>
    </row>
    <row r="155" spans="1:11" hidden="1" x14ac:dyDescent="0.3">
      <c r="A155" s="176" t="s">
        <v>44</v>
      </c>
      <c r="B155" s="177"/>
      <c r="C155" s="177"/>
      <c r="D155" s="177"/>
      <c r="E155" s="177"/>
      <c r="F155" s="177"/>
      <c r="G155" s="177"/>
      <c r="H155" s="177"/>
      <c r="I155" s="177"/>
      <c r="J155" s="177"/>
      <c r="K155" s="178"/>
    </row>
    <row r="156" spans="1:11" hidden="1" x14ac:dyDescent="0.3">
      <c r="A156" s="39" t="e">
        <f>K150</f>
        <v>#DIV/0!</v>
      </c>
      <c r="C156" t="e">
        <f>FIXED(A148,2)</f>
        <v>#DIV/0!</v>
      </c>
      <c r="D156" t="e">
        <f>RIGHT(C156,1)</f>
        <v>#DIV/0!</v>
      </c>
      <c r="E156" t="e">
        <f>D156+0</f>
        <v>#DIV/0!</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#DIV/0!</v>
      </c>
      <c r="D158" t="e">
        <f>RIGHT(E158,1)</f>
        <v>#DIV/0!</v>
      </c>
      <c r="E158" s="36" t="e">
        <f>TRUNC(A156)</f>
        <v>#DIV/0!</v>
      </c>
      <c r="F158" s="14" t="e">
        <f>FIXED(A156-E158,G158)</f>
        <v>#DIV/0!</v>
      </c>
      <c r="G158" t="e">
        <f>ABS(E161-F161)</f>
        <v>#DIV/0!</v>
      </c>
      <c r="H158" t="e">
        <f>RIGHT(A156,G158)</f>
        <v>#DIV/0!</v>
      </c>
      <c r="I158">
        <v>0.5</v>
      </c>
      <c r="J158" s="12" t="e">
        <f>(A156-I158)</f>
        <v>#DIV/0!</v>
      </c>
      <c r="K158" s="35" t="e">
        <f>IF(C160=5,IF(AND(E156=0,D161=FALSE),J158,J159),J159)</f>
        <v>#DIV/0!</v>
      </c>
    </row>
    <row r="159" spans="1:11" hidden="1" x14ac:dyDescent="0.3">
      <c r="A159" s="31"/>
      <c r="C159" t="e">
        <f>RIGHT(C158,1)</f>
        <v>#DIV/0!</v>
      </c>
      <c r="D159" t="e">
        <f>D158+0</f>
        <v>#DIV/0!</v>
      </c>
      <c r="J159" t="e">
        <f>FIXED(A156,0)</f>
        <v>#DIV/0!</v>
      </c>
      <c r="K159" s="34"/>
    </row>
    <row r="160" spans="1:11" hidden="1" x14ac:dyDescent="0.3">
      <c r="A160" s="31"/>
      <c r="C160" t="e">
        <f>C159+0</f>
        <v>#DIV/0!</v>
      </c>
      <c r="D160" t="s">
        <v>34</v>
      </c>
      <c r="E160" t="s">
        <v>33</v>
      </c>
      <c r="F160" t="s">
        <v>32</v>
      </c>
      <c r="K160" s="27"/>
    </row>
    <row r="161" spans="1:11" ht="15" hidden="1" thickBot="1" x14ac:dyDescent="0.35">
      <c r="A161" s="33"/>
      <c r="B161" s="33"/>
      <c r="C161" s="33"/>
      <c r="D161" s="33" t="e">
        <f>ISODD(D158)</f>
        <v>#DIV/0!</v>
      </c>
      <c r="E161" s="33" t="e">
        <f>LEN(A156)</f>
        <v>#DIV/0!</v>
      </c>
      <c r="F161" s="33" t="e">
        <f>LEN(E158)+1</f>
        <v>#DIV/0!</v>
      </c>
      <c r="G161" s="33"/>
      <c r="H161" s="33"/>
      <c r="I161" s="33"/>
      <c r="J161" s="33"/>
      <c r="K161" s="32"/>
    </row>
    <row r="162" spans="1:11" ht="15" thickBot="1" x14ac:dyDescent="0.35">
      <c r="A162" s="179" t="s">
        <v>53</v>
      </c>
      <c r="B162" s="180"/>
      <c r="C162" s="180"/>
      <c r="D162" s="180"/>
      <c r="E162" s="180"/>
      <c r="F162" s="180"/>
      <c r="G162" s="180"/>
      <c r="H162" s="180"/>
      <c r="I162" s="180"/>
      <c r="J162" s="180"/>
      <c r="K162" s="181"/>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6" t="s">
        <v>47</v>
      </c>
      <c r="B171" s="177"/>
      <c r="C171" s="177"/>
      <c r="D171" s="177"/>
      <c r="E171" s="177"/>
      <c r="F171" s="177"/>
      <c r="G171" s="177"/>
      <c r="H171" s="177"/>
      <c r="I171" s="177"/>
      <c r="J171" s="177"/>
      <c r="K171" s="178"/>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6" t="s">
        <v>46</v>
      </c>
      <c r="B179" s="177"/>
      <c r="C179" s="177"/>
      <c r="D179" s="177"/>
      <c r="E179" s="177"/>
      <c r="F179" s="177"/>
      <c r="G179" s="177"/>
      <c r="H179" s="177"/>
      <c r="I179" s="177"/>
      <c r="J179" s="177"/>
      <c r="K179" s="178"/>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6" t="s">
        <v>45</v>
      </c>
      <c r="B187" s="177"/>
      <c r="C187" s="177"/>
      <c r="D187" s="177"/>
      <c r="E187" s="177"/>
      <c r="F187" s="177"/>
      <c r="G187" s="177"/>
      <c r="H187" s="177"/>
      <c r="I187" s="177"/>
      <c r="J187" s="177"/>
      <c r="K187" s="178"/>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6" t="s">
        <v>44</v>
      </c>
      <c r="B195" s="177"/>
      <c r="C195" s="177"/>
      <c r="D195" s="177"/>
      <c r="E195" s="177"/>
      <c r="F195" s="177"/>
      <c r="G195" s="177"/>
      <c r="H195" s="177"/>
      <c r="I195" s="177"/>
      <c r="J195" s="177"/>
      <c r="K195" s="178"/>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79" t="s">
        <v>53</v>
      </c>
      <c r="B202" s="180"/>
      <c r="C202" s="180"/>
      <c r="D202" s="180"/>
      <c r="E202" s="180"/>
      <c r="F202" s="180"/>
      <c r="G202" s="180"/>
      <c r="H202" s="180"/>
      <c r="I202" s="180"/>
      <c r="J202" s="180"/>
      <c r="K202" s="181"/>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76" t="s">
        <v>47</v>
      </c>
      <c r="B211" s="177"/>
      <c r="C211" s="177"/>
      <c r="D211" s="177"/>
      <c r="E211" s="177"/>
      <c r="F211" s="177"/>
      <c r="G211" s="177"/>
      <c r="H211" s="177"/>
      <c r="I211" s="177"/>
      <c r="J211" s="177"/>
      <c r="K211" s="178"/>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76" t="s">
        <v>46</v>
      </c>
      <c r="B219" s="177"/>
      <c r="C219" s="177"/>
      <c r="D219" s="177"/>
      <c r="E219" s="177"/>
      <c r="F219" s="177"/>
      <c r="G219" s="177"/>
      <c r="H219" s="177"/>
      <c r="I219" s="177"/>
      <c r="J219" s="177"/>
      <c r="K219" s="178"/>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76" t="s">
        <v>45</v>
      </c>
      <c r="B227" s="177"/>
      <c r="C227" s="177"/>
      <c r="D227" s="177"/>
      <c r="E227" s="177"/>
      <c r="F227" s="177"/>
      <c r="G227" s="177"/>
      <c r="H227" s="177"/>
      <c r="I227" s="177"/>
      <c r="J227" s="177"/>
      <c r="K227" s="178"/>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76" t="s">
        <v>44</v>
      </c>
      <c r="B235" s="177"/>
      <c r="C235" s="177"/>
      <c r="D235" s="177"/>
      <c r="E235" s="177"/>
      <c r="F235" s="177"/>
      <c r="G235" s="177"/>
      <c r="H235" s="177"/>
      <c r="I235" s="177"/>
      <c r="J235" s="177"/>
      <c r="K235" s="178"/>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79" t="s">
        <v>52</v>
      </c>
      <c r="B242" s="180"/>
      <c r="C242" s="180"/>
      <c r="D242" s="180"/>
      <c r="E242" s="180"/>
      <c r="F242" s="180"/>
      <c r="G242" s="180"/>
      <c r="H242" s="180"/>
      <c r="I242" s="180"/>
      <c r="J242" s="180"/>
      <c r="K242" s="181"/>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76" t="s">
        <v>47</v>
      </c>
      <c r="B251" s="177"/>
      <c r="C251" s="177"/>
      <c r="D251" s="177"/>
      <c r="E251" s="177"/>
      <c r="F251" s="177"/>
      <c r="G251" s="177"/>
      <c r="H251" s="177"/>
      <c r="I251" s="177"/>
      <c r="J251" s="177"/>
      <c r="K251" s="178"/>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76" t="s">
        <v>46</v>
      </c>
      <c r="B259" s="177"/>
      <c r="C259" s="177"/>
      <c r="D259" s="177"/>
      <c r="E259" s="177"/>
      <c r="F259" s="177"/>
      <c r="G259" s="177"/>
      <c r="H259" s="177"/>
      <c r="I259" s="177"/>
      <c r="J259" s="177"/>
      <c r="K259" s="178"/>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6" t="s">
        <v>45</v>
      </c>
      <c r="B267" s="177"/>
      <c r="C267" s="177"/>
      <c r="D267" s="177"/>
      <c r="E267" s="177"/>
      <c r="F267" s="177"/>
      <c r="G267" s="177"/>
      <c r="H267" s="177"/>
      <c r="I267" s="177"/>
      <c r="J267" s="177"/>
      <c r="K267" s="178"/>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6" t="s">
        <v>44</v>
      </c>
      <c r="B275" s="177"/>
      <c r="C275" s="177"/>
      <c r="D275" s="177"/>
      <c r="E275" s="177"/>
      <c r="F275" s="177"/>
      <c r="G275" s="177"/>
      <c r="H275" s="177"/>
      <c r="I275" s="177"/>
      <c r="J275" s="177"/>
      <c r="K275" s="178"/>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79" t="s">
        <v>51</v>
      </c>
      <c r="B282" s="180"/>
      <c r="C282" s="180"/>
      <c r="D282" s="180"/>
      <c r="E282" s="180"/>
      <c r="F282" s="180"/>
      <c r="G282" s="180"/>
      <c r="H282" s="180"/>
      <c r="I282" s="180"/>
      <c r="J282" s="180"/>
      <c r="K282" s="181"/>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76" t="s">
        <v>47</v>
      </c>
      <c r="B291" s="177"/>
      <c r="C291" s="177"/>
      <c r="D291" s="177"/>
      <c r="E291" s="177"/>
      <c r="F291" s="177"/>
      <c r="G291" s="177"/>
      <c r="H291" s="177"/>
      <c r="I291" s="177"/>
      <c r="J291" s="177"/>
      <c r="K291" s="178"/>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76" t="s">
        <v>46</v>
      </c>
      <c r="B299" s="177"/>
      <c r="C299" s="177"/>
      <c r="D299" s="177"/>
      <c r="E299" s="177"/>
      <c r="F299" s="177"/>
      <c r="G299" s="177"/>
      <c r="H299" s="177"/>
      <c r="I299" s="177"/>
      <c r="J299" s="177"/>
      <c r="K299" s="178"/>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6" t="s">
        <v>45</v>
      </c>
      <c r="B307" s="177"/>
      <c r="C307" s="177"/>
      <c r="D307" s="177"/>
      <c r="E307" s="177"/>
      <c r="F307" s="177"/>
      <c r="G307" s="177"/>
      <c r="H307" s="177"/>
      <c r="I307" s="177"/>
      <c r="J307" s="177"/>
      <c r="K307" s="178"/>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6" t="s">
        <v>44</v>
      </c>
      <c r="B315" s="177"/>
      <c r="C315" s="177"/>
      <c r="D315" s="177"/>
      <c r="E315" s="177"/>
      <c r="F315" s="177"/>
      <c r="G315" s="177"/>
      <c r="H315" s="177"/>
      <c r="I315" s="177"/>
      <c r="J315" s="177"/>
      <c r="K315" s="178"/>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79" t="s">
        <v>50</v>
      </c>
      <c r="B322" s="180"/>
      <c r="C322" s="180"/>
      <c r="D322" s="180"/>
      <c r="E322" s="180"/>
      <c r="F322" s="180"/>
      <c r="G322" s="180"/>
      <c r="H322" s="180"/>
      <c r="I322" s="180"/>
      <c r="J322" s="180"/>
      <c r="K322" s="181"/>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76" t="s">
        <v>47</v>
      </c>
      <c r="B331" s="177"/>
      <c r="C331" s="177"/>
      <c r="D331" s="177"/>
      <c r="E331" s="177"/>
      <c r="F331" s="177"/>
      <c r="G331" s="177"/>
      <c r="H331" s="177"/>
      <c r="I331" s="177"/>
      <c r="J331" s="177"/>
      <c r="K331" s="178"/>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76" t="s">
        <v>46</v>
      </c>
      <c r="B339" s="177"/>
      <c r="C339" s="177"/>
      <c r="D339" s="177"/>
      <c r="E339" s="177"/>
      <c r="F339" s="177"/>
      <c r="G339" s="177"/>
      <c r="H339" s="177"/>
      <c r="I339" s="177"/>
      <c r="J339" s="177"/>
      <c r="K339" s="178"/>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6" t="s">
        <v>45</v>
      </c>
      <c r="B347" s="177"/>
      <c r="C347" s="177"/>
      <c r="D347" s="177"/>
      <c r="E347" s="177"/>
      <c r="F347" s="177"/>
      <c r="G347" s="177"/>
      <c r="H347" s="177"/>
      <c r="I347" s="177"/>
      <c r="J347" s="177"/>
      <c r="K347" s="178"/>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6" t="s">
        <v>44</v>
      </c>
      <c r="B355" s="177"/>
      <c r="C355" s="177"/>
      <c r="D355" s="177"/>
      <c r="E355" s="177"/>
      <c r="F355" s="177"/>
      <c r="G355" s="177"/>
      <c r="H355" s="177"/>
      <c r="I355" s="177"/>
      <c r="J355" s="177"/>
      <c r="K355" s="178"/>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79" t="s">
        <v>49</v>
      </c>
      <c r="B362" s="180"/>
      <c r="C362" s="180"/>
      <c r="D362" s="180"/>
      <c r="E362" s="180"/>
      <c r="F362" s="180"/>
      <c r="G362" s="180"/>
      <c r="H362" s="180"/>
      <c r="I362" s="180"/>
      <c r="J362" s="180"/>
      <c r="K362" s="181"/>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6" t="s">
        <v>47</v>
      </c>
      <c r="B371" s="177"/>
      <c r="C371" s="177"/>
      <c r="D371" s="177"/>
      <c r="E371" s="177"/>
      <c r="F371" s="177"/>
      <c r="G371" s="177"/>
      <c r="H371" s="177"/>
      <c r="I371" s="177"/>
      <c r="J371" s="177"/>
      <c r="K371" s="178"/>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6" t="s">
        <v>46</v>
      </c>
      <c r="B379" s="177"/>
      <c r="C379" s="177"/>
      <c r="D379" s="177"/>
      <c r="E379" s="177"/>
      <c r="F379" s="177"/>
      <c r="G379" s="177"/>
      <c r="H379" s="177"/>
      <c r="I379" s="177"/>
      <c r="J379" s="177"/>
      <c r="K379" s="178"/>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6" t="s">
        <v>45</v>
      </c>
      <c r="B387" s="177"/>
      <c r="C387" s="177"/>
      <c r="D387" s="177"/>
      <c r="E387" s="177"/>
      <c r="F387" s="177"/>
      <c r="G387" s="177"/>
      <c r="H387" s="177"/>
      <c r="I387" s="177"/>
      <c r="J387" s="177"/>
      <c r="K387" s="178"/>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6" t="s">
        <v>44</v>
      </c>
      <c r="B395" s="177"/>
      <c r="C395" s="177"/>
      <c r="D395" s="177"/>
      <c r="E395" s="177"/>
      <c r="F395" s="177"/>
      <c r="G395" s="177"/>
      <c r="H395" s="177"/>
      <c r="I395" s="177"/>
      <c r="J395" s="177"/>
      <c r="K395" s="178"/>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79" t="s">
        <v>48</v>
      </c>
      <c r="B402" s="180"/>
      <c r="C402" s="180"/>
      <c r="D402" s="180"/>
      <c r="E402" s="180"/>
      <c r="F402" s="180"/>
      <c r="G402" s="180"/>
      <c r="H402" s="180"/>
      <c r="I402" s="180"/>
      <c r="J402" s="180"/>
      <c r="K402" s="181"/>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76" t="s">
        <v>47</v>
      </c>
      <c r="B411" s="177"/>
      <c r="C411" s="177"/>
      <c r="D411" s="177"/>
      <c r="E411" s="177"/>
      <c r="F411" s="177"/>
      <c r="G411" s="177"/>
      <c r="H411" s="177"/>
      <c r="I411" s="177"/>
      <c r="J411" s="177"/>
      <c r="K411" s="178"/>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76" t="s">
        <v>46</v>
      </c>
      <c r="B419" s="177"/>
      <c r="C419" s="177"/>
      <c r="D419" s="177"/>
      <c r="E419" s="177"/>
      <c r="F419" s="177"/>
      <c r="G419" s="177"/>
      <c r="H419" s="177"/>
      <c r="I419" s="177"/>
      <c r="J419" s="177"/>
      <c r="K419" s="178"/>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76" t="s">
        <v>45</v>
      </c>
      <c r="B427" s="177"/>
      <c r="C427" s="177"/>
      <c r="D427" s="177"/>
      <c r="E427" s="177"/>
      <c r="F427" s="177"/>
      <c r="G427" s="177"/>
      <c r="H427" s="177"/>
      <c r="I427" s="177"/>
      <c r="J427" s="177"/>
      <c r="K427" s="178"/>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76" t="s">
        <v>44</v>
      </c>
      <c r="B435" s="177"/>
      <c r="C435" s="177"/>
      <c r="D435" s="177"/>
      <c r="E435" s="177"/>
      <c r="F435" s="177"/>
      <c r="G435" s="177"/>
      <c r="H435" s="177"/>
      <c r="I435" s="177"/>
      <c r="J435" s="177"/>
      <c r="K435" s="178"/>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79" t="s">
        <v>31</v>
      </c>
      <c r="B442" s="180"/>
      <c r="C442" s="180"/>
      <c r="D442" s="180"/>
      <c r="E442" s="180"/>
      <c r="F442" s="180"/>
      <c r="G442" s="180"/>
      <c r="H442" s="180"/>
      <c r="I442" s="180"/>
      <c r="J442" s="180"/>
      <c r="K442" s="181"/>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76" t="s">
        <v>47</v>
      </c>
      <c r="D451" s="177"/>
      <c r="E451" s="177"/>
      <c r="F451" s="177"/>
      <c r="G451" s="177"/>
      <c r="H451" s="177"/>
      <c r="I451" s="177"/>
      <c r="J451" s="177"/>
      <c r="K451" s="177"/>
      <c r="L451" s="177"/>
      <c r="M451" s="178"/>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76" t="s">
        <v>46</v>
      </c>
      <c r="D459" s="177"/>
      <c r="E459" s="177"/>
      <c r="F459" s="177"/>
      <c r="G459" s="177"/>
      <c r="H459" s="177"/>
      <c r="I459" s="177"/>
      <c r="J459" s="177"/>
      <c r="K459" s="177"/>
      <c r="L459" s="177"/>
      <c r="M459" s="178"/>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76" t="s">
        <v>45</v>
      </c>
      <c r="D467" s="177"/>
      <c r="E467" s="177"/>
      <c r="F467" s="177"/>
      <c r="G467" s="177"/>
      <c r="H467" s="177"/>
      <c r="I467" s="177"/>
      <c r="J467" s="177"/>
      <c r="K467" s="177"/>
      <c r="L467" s="177"/>
      <c r="M467" s="178"/>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76" t="s">
        <v>44</v>
      </c>
      <c r="D475" s="177"/>
      <c r="E475" s="177"/>
      <c r="F475" s="177"/>
      <c r="G475" s="177"/>
      <c r="H475" s="177"/>
      <c r="I475" s="177"/>
      <c r="J475" s="177"/>
      <c r="K475" s="177"/>
      <c r="L475" s="177"/>
      <c r="M475" s="178"/>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X47"/>
  <sheetViews>
    <sheetView zoomScaleNormal="100" workbookViewId="0">
      <selection activeCell="K20" sqref="K20"/>
    </sheetView>
  </sheetViews>
  <sheetFormatPr baseColWidth="10" defaultColWidth="11.44140625" defaultRowHeight="14.4" x14ac:dyDescent="0.3"/>
  <cols>
    <col min="1" max="1" width="5.77734375" style="16" customWidth="1"/>
    <col min="2" max="2" width="12.77734375" style="16" bestFit="1" customWidth="1"/>
    <col min="3" max="3" width="9.33203125" style="16" customWidth="1"/>
    <col min="4" max="6" width="8.6640625" style="16" bestFit="1" customWidth="1"/>
    <col min="7" max="7" width="2.88671875" style="16" customWidth="1"/>
    <col min="8" max="23" width="5.77734375" style="16" customWidth="1"/>
    <col min="24" max="25" width="10.33203125" style="16" customWidth="1"/>
    <col min="26" max="26" width="6.44140625" style="16" customWidth="1"/>
    <col min="27" max="30" width="10.33203125" style="16" customWidth="1"/>
    <col min="31" max="16384" width="11.44140625" style="16"/>
  </cols>
  <sheetData>
    <row r="1" spans="1:24" x14ac:dyDescent="0.3">
      <c r="A1"/>
      <c r="B1"/>
      <c r="C1"/>
      <c r="D1"/>
      <c r="E1"/>
      <c r="F1"/>
      <c r="G1"/>
      <c r="H1"/>
      <c r="I1"/>
      <c r="J1"/>
      <c r="K1"/>
      <c r="L1"/>
      <c r="M1"/>
      <c r="N1"/>
      <c r="O1"/>
      <c r="P1"/>
      <c r="Q1"/>
      <c r="R1"/>
      <c r="S1"/>
      <c r="T1"/>
      <c r="U1"/>
    </row>
    <row r="2" spans="1:24" x14ac:dyDescent="0.3">
      <c r="A2"/>
      <c r="B2"/>
      <c r="C2"/>
      <c r="D2"/>
      <c r="E2"/>
      <c r="F2"/>
      <c r="G2"/>
      <c r="H2"/>
      <c r="I2"/>
      <c r="J2"/>
      <c r="K2"/>
      <c r="L2"/>
      <c r="M2"/>
      <c r="N2"/>
      <c r="O2"/>
      <c r="P2"/>
      <c r="Q2"/>
      <c r="R2"/>
      <c r="S2"/>
      <c r="T2"/>
      <c r="U2"/>
      <c r="V2"/>
      <c r="W2"/>
      <c r="X2"/>
    </row>
    <row r="3" spans="1:24" x14ac:dyDescent="0.3">
      <c r="A3"/>
      <c r="B3" s="183" t="s">
        <v>170</v>
      </c>
      <c r="C3" s="183"/>
      <c r="D3" s="183"/>
      <c r="E3" s="49"/>
      <c r="F3" s="49"/>
      <c r="G3"/>
      <c r="H3"/>
      <c r="I3"/>
      <c r="J3"/>
      <c r="K3"/>
      <c r="L3"/>
      <c r="M3"/>
      <c r="N3"/>
      <c r="O3"/>
      <c r="P3"/>
      <c r="Q3"/>
      <c r="R3"/>
      <c r="S3"/>
      <c r="T3"/>
      <c r="U3"/>
      <c r="V3"/>
      <c r="W3"/>
      <c r="X3"/>
    </row>
    <row r="4" spans="1:24" ht="25.8" customHeight="1" x14ac:dyDescent="0.3">
      <c r="A4"/>
      <c r="B4" s="109" t="s">
        <v>134</v>
      </c>
      <c r="C4" s="109" t="s">
        <v>168</v>
      </c>
      <c r="D4" s="110" t="s">
        <v>169</v>
      </c>
      <c r="E4" s="49"/>
      <c r="F4" s="49"/>
      <c r="G4"/>
      <c r="H4"/>
      <c r="I4"/>
      <c r="J4"/>
      <c r="K4"/>
      <c r="L4"/>
      <c r="M4"/>
      <c r="N4"/>
      <c r="O4"/>
      <c r="P4"/>
      <c r="Q4"/>
      <c r="R4"/>
      <c r="S4"/>
      <c r="T4"/>
      <c r="U4"/>
    </row>
    <row r="5" spans="1:24" x14ac:dyDescent="0.3">
      <c r="A5"/>
      <c r="B5" s="111">
        <v>70</v>
      </c>
      <c r="C5" s="115">
        <v>69.900000000000006</v>
      </c>
      <c r="D5" s="115">
        <f>C5-B5</f>
        <v>-9.9999999999994316E-2</v>
      </c>
      <c r="E5" s="49"/>
      <c r="F5" s="49"/>
      <c r="G5"/>
      <c r="H5"/>
      <c r="I5"/>
      <c r="J5"/>
      <c r="K5"/>
      <c r="L5"/>
      <c r="M5"/>
      <c r="N5"/>
      <c r="O5"/>
      <c r="P5"/>
      <c r="Q5"/>
      <c r="R5"/>
      <c r="S5"/>
      <c r="T5"/>
      <c r="U5"/>
    </row>
    <row r="6" spans="1:24" x14ac:dyDescent="0.3">
      <c r="A6"/>
      <c r="B6" s="111">
        <v>50</v>
      </c>
      <c r="C6" s="115">
        <v>50</v>
      </c>
      <c r="D6" s="115">
        <f>C6-B6</f>
        <v>0</v>
      </c>
      <c r="E6" s="49"/>
      <c r="F6" s="49"/>
      <c r="G6"/>
      <c r="H6"/>
      <c r="I6"/>
      <c r="J6"/>
      <c r="K6"/>
      <c r="L6"/>
      <c r="M6"/>
      <c r="N6"/>
      <c r="O6"/>
      <c r="P6"/>
      <c r="Q6"/>
      <c r="R6"/>
      <c r="S6"/>
      <c r="T6"/>
      <c r="U6"/>
    </row>
    <row r="7" spans="1:24" x14ac:dyDescent="0.3">
      <c r="A7"/>
      <c r="B7" s="111">
        <v>50</v>
      </c>
      <c r="C7" s="115">
        <v>50</v>
      </c>
      <c r="D7" s="115">
        <f>C7-B7</f>
        <v>0</v>
      </c>
      <c r="E7" s="49"/>
      <c r="F7" s="49"/>
      <c r="G7"/>
      <c r="H7"/>
      <c r="I7"/>
      <c r="J7"/>
      <c r="K7"/>
      <c r="L7"/>
      <c r="M7"/>
      <c r="N7"/>
      <c r="O7"/>
      <c r="P7"/>
      <c r="Q7"/>
      <c r="R7"/>
      <c r="S7"/>
      <c r="T7"/>
      <c r="U7"/>
    </row>
    <row r="8" spans="1:24" x14ac:dyDescent="0.3">
      <c r="A8"/>
      <c r="B8" s="111">
        <v>10</v>
      </c>
      <c r="C8" s="115">
        <v>10</v>
      </c>
      <c r="D8" s="115">
        <f>C8-B8</f>
        <v>0</v>
      </c>
      <c r="E8" s="49"/>
      <c r="F8" s="49"/>
      <c r="G8"/>
      <c r="H8"/>
      <c r="I8"/>
      <c r="J8"/>
      <c r="K8"/>
      <c r="L8"/>
      <c r="M8"/>
      <c r="N8"/>
      <c r="O8"/>
      <c r="P8"/>
      <c r="Q8"/>
      <c r="R8"/>
      <c r="S8"/>
      <c r="T8"/>
      <c r="U8"/>
    </row>
    <row r="9" spans="1:24" x14ac:dyDescent="0.3">
      <c r="A9"/>
      <c r="B9" s="49"/>
      <c r="C9" s="49"/>
      <c r="D9" s="49"/>
      <c r="E9" s="49"/>
      <c r="F9" s="49"/>
      <c r="G9"/>
      <c r="H9"/>
      <c r="I9"/>
      <c r="J9"/>
      <c r="K9"/>
      <c r="L9"/>
      <c r="M9"/>
      <c r="N9"/>
      <c r="O9"/>
      <c r="P9"/>
      <c r="Q9"/>
      <c r="R9"/>
      <c r="S9"/>
      <c r="T9"/>
      <c r="U9"/>
      <c r="V9"/>
      <c r="W9"/>
      <c r="X9"/>
    </row>
    <row r="10" spans="1:24" x14ac:dyDescent="0.3">
      <c r="A10"/>
      <c r="B10" s="184" t="s">
        <v>171</v>
      </c>
      <c r="C10" s="184"/>
      <c r="D10" s="184"/>
      <c r="E10" s="49"/>
      <c r="F10" s="49"/>
      <c r="G10"/>
      <c r="H10"/>
      <c r="I10"/>
      <c r="J10"/>
      <c r="K10"/>
      <c r="L10"/>
      <c r="M10"/>
      <c r="N10"/>
      <c r="O10"/>
      <c r="P10"/>
      <c r="Q10"/>
      <c r="R10"/>
      <c r="S10"/>
      <c r="T10"/>
      <c r="U10"/>
      <c r="V10"/>
      <c r="W10"/>
      <c r="X10"/>
    </row>
    <row r="11" spans="1:24" customFormat="1" ht="26.4" customHeight="1" x14ac:dyDescent="0.3">
      <c r="B11" s="109" t="s">
        <v>134</v>
      </c>
      <c r="C11" s="109" t="s">
        <v>168</v>
      </c>
      <c r="D11" s="110" t="s">
        <v>169</v>
      </c>
      <c r="E11" s="49"/>
      <c r="F11" s="49"/>
    </row>
    <row r="12" spans="1:24" customFormat="1" x14ac:dyDescent="0.3">
      <c r="B12" s="111">
        <v>70</v>
      </c>
      <c r="C12" s="115">
        <v>69.900000000000006</v>
      </c>
      <c r="D12" s="115">
        <f>C12-B12</f>
        <v>-9.9999999999994316E-2</v>
      </c>
      <c r="E12" s="49"/>
      <c r="F12" s="49"/>
    </row>
    <row r="13" spans="1:24" customFormat="1" x14ac:dyDescent="0.3">
      <c r="B13" s="111">
        <v>50</v>
      </c>
      <c r="C13" s="115">
        <v>50</v>
      </c>
      <c r="D13" s="115">
        <f>C13-B13</f>
        <v>0</v>
      </c>
      <c r="E13" s="49"/>
      <c r="F13" s="49"/>
    </row>
    <row r="14" spans="1:24" customFormat="1" x14ac:dyDescent="0.3">
      <c r="B14" s="111">
        <v>50</v>
      </c>
      <c r="C14" s="115">
        <v>50</v>
      </c>
      <c r="D14" s="115">
        <f>C14-B14</f>
        <v>0</v>
      </c>
      <c r="E14" s="49"/>
      <c r="F14" s="49"/>
    </row>
    <row r="15" spans="1:24" customFormat="1" x14ac:dyDescent="0.3">
      <c r="B15" s="111">
        <v>10</v>
      </c>
      <c r="C15" s="115">
        <v>10</v>
      </c>
      <c r="D15" s="115">
        <f>C15-B15</f>
        <v>0</v>
      </c>
      <c r="E15" s="49"/>
      <c r="F15" s="49"/>
    </row>
    <row r="16" spans="1:24" customFormat="1" x14ac:dyDescent="0.3">
      <c r="B16" s="49"/>
      <c r="C16" s="49"/>
      <c r="D16" s="49"/>
      <c r="E16" s="49"/>
      <c r="F16" s="49"/>
    </row>
    <row r="17" spans="2:6" customFormat="1" x14ac:dyDescent="0.3">
      <c r="B17" s="182" t="s">
        <v>172</v>
      </c>
      <c r="C17" s="182"/>
      <c r="D17" s="182"/>
      <c r="E17" s="182"/>
      <c r="F17" s="182"/>
    </row>
    <row r="18" spans="2:6" customFormat="1" x14ac:dyDescent="0.3">
      <c r="B18" s="112" t="s">
        <v>173</v>
      </c>
      <c r="C18" s="112" t="s">
        <v>174</v>
      </c>
      <c r="D18" s="112" t="s">
        <v>175</v>
      </c>
      <c r="E18" s="112" t="s">
        <v>176</v>
      </c>
      <c r="F18" s="112" t="s">
        <v>177</v>
      </c>
    </row>
    <row r="19" spans="2:6" customFormat="1" ht="14.4" customHeight="1" x14ac:dyDescent="0.3">
      <c r="B19" s="113">
        <v>60</v>
      </c>
      <c r="C19" s="113">
        <v>60</v>
      </c>
      <c r="D19" s="113">
        <v>60</v>
      </c>
      <c r="E19" s="113">
        <v>60</v>
      </c>
      <c r="F19" s="113">
        <v>60</v>
      </c>
    </row>
    <row r="20" spans="2:6" customFormat="1" x14ac:dyDescent="0.3">
      <c r="B20" s="114">
        <v>120</v>
      </c>
      <c r="C20" s="114">
        <v>120</v>
      </c>
      <c r="D20" s="113">
        <v>120</v>
      </c>
      <c r="E20" s="113">
        <v>120</v>
      </c>
      <c r="F20" s="113">
        <v>120</v>
      </c>
    </row>
    <row r="21" spans="2:6" customFormat="1" x14ac:dyDescent="0.3">
      <c r="B21" s="114">
        <v>180</v>
      </c>
      <c r="C21" s="114">
        <v>180</v>
      </c>
      <c r="D21" s="113">
        <v>180</v>
      </c>
      <c r="E21" s="113">
        <v>180</v>
      </c>
      <c r="F21" s="113">
        <v>180</v>
      </c>
    </row>
    <row r="22" spans="2:6" customFormat="1" x14ac:dyDescent="0.3"/>
    <row r="23" spans="2:6" customFormat="1" x14ac:dyDescent="0.3"/>
    <row r="24" spans="2:6" customFormat="1" x14ac:dyDescent="0.3"/>
    <row r="25" spans="2:6" customFormat="1" x14ac:dyDescent="0.3"/>
    <row r="26" spans="2:6" customFormat="1" x14ac:dyDescent="0.3"/>
    <row r="27" spans="2:6" customFormat="1" ht="17.399999999999999" customHeight="1" x14ac:dyDescent="0.3"/>
    <row r="28" spans="2:6" customFormat="1" ht="23.4" customHeight="1" x14ac:dyDescent="0.3"/>
    <row r="29" spans="2:6" customFormat="1" x14ac:dyDescent="0.3"/>
    <row r="30" spans="2:6" customFormat="1" x14ac:dyDescent="0.3"/>
    <row r="31" spans="2:6" customFormat="1" x14ac:dyDescent="0.3"/>
    <row r="32" spans="2:6" customFormat="1" x14ac:dyDescent="0.3"/>
    <row r="33" spans="2:9" customFormat="1" x14ac:dyDescent="0.3"/>
    <row r="34" spans="2:9" customFormat="1" x14ac:dyDescent="0.3"/>
    <row r="35" spans="2:9" customFormat="1" x14ac:dyDescent="0.3"/>
    <row r="36" spans="2:9" customFormat="1" x14ac:dyDescent="0.3"/>
    <row r="37" spans="2:9" customFormat="1" x14ac:dyDescent="0.3"/>
    <row r="38" spans="2:9" customFormat="1" x14ac:dyDescent="0.3"/>
    <row r="39" spans="2:9" customFormat="1" x14ac:dyDescent="0.3"/>
    <row r="40" spans="2:9" customFormat="1" ht="30" customHeight="1" x14ac:dyDescent="0.3"/>
    <row r="41" spans="2:9" customFormat="1" x14ac:dyDescent="0.3"/>
    <row r="42" spans="2:9" customFormat="1" x14ac:dyDescent="0.3"/>
    <row r="43" spans="2:9" customFormat="1" x14ac:dyDescent="0.3"/>
    <row r="44" spans="2:9" customFormat="1" x14ac:dyDescent="0.3"/>
    <row r="45" spans="2:9" customFormat="1" x14ac:dyDescent="0.3">
      <c r="B45" s="16"/>
      <c r="C45" s="16"/>
      <c r="D45" s="16"/>
      <c r="E45" s="16"/>
      <c r="F45" s="16"/>
      <c r="G45" s="16"/>
    </row>
    <row r="46" spans="2:9" customFormat="1" x14ac:dyDescent="0.3">
      <c r="B46" s="16"/>
      <c r="C46" s="16"/>
      <c r="D46" s="16"/>
      <c r="E46" s="16"/>
      <c r="F46" s="16"/>
      <c r="G46" s="16"/>
    </row>
    <row r="47" spans="2:9" x14ac:dyDescent="0.3">
      <c r="I47"/>
    </row>
  </sheetData>
  <mergeCells count="3">
    <mergeCell ref="B17:F17"/>
    <mergeCell ref="B3:D3"/>
    <mergeCell ref="B10:D10"/>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E58" sqref="E58"/>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91" t="s">
        <v>120</v>
      </c>
      <c r="D2" s="191"/>
      <c r="E2" s="191"/>
      <c r="F2" s="191"/>
      <c r="G2" s="191"/>
      <c r="H2" s="191"/>
      <c r="I2" s="191"/>
      <c r="J2" s="191"/>
      <c r="K2" s="191"/>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92" t="s">
        <v>13</v>
      </c>
      <c r="C34" s="192"/>
      <c r="D34" s="192"/>
      <c r="E34" s="192"/>
      <c r="F34" s="192"/>
      <c r="G34" s="192"/>
      <c r="H34" s="192"/>
      <c r="I34" s="192"/>
      <c r="J34" s="192"/>
      <c r="K34" s="192"/>
      <c r="L34" s="192"/>
      <c r="M34" s="192"/>
      <c r="N34" s="3"/>
      <c r="O34" s="3"/>
      <c r="P34" s="3"/>
      <c r="Q34" s="3"/>
    </row>
    <row r="35" spans="2:17" x14ac:dyDescent="0.3">
      <c r="B35" s="186" t="s">
        <v>12</v>
      </c>
      <c r="C35" s="186"/>
      <c r="D35" s="186"/>
      <c r="E35" s="186"/>
      <c r="F35" s="186"/>
      <c r="G35" s="187" t="s">
        <v>121</v>
      </c>
      <c r="H35" s="188"/>
      <c r="I35" s="188"/>
      <c r="J35" s="188"/>
      <c r="K35" s="188"/>
      <c r="L35" s="188"/>
      <c r="M35" s="189"/>
      <c r="N35" s="9"/>
      <c r="O35" s="9"/>
      <c r="P35" s="9"/>
      <c r="Q35" s="9"/>
    </row>
    <row r="36" spans="2:17" x14ac:dyDescent="0.3">
      <c r="B36" s="186" t="s">
        <v>7</v>
      </c>
      <c r="C36" s="186"/>
      <c r="D36" s="186"/>
      <c r="E36" s="186"/>
      <c r="F36" s="186"/>
      <c r="G36" s="187" t="s">
        <v>122</v>
      </c>
      <c r="H36" s="188"/>
      <c r="I36" s="188"/>
      <c r="J36" s="188"/>
      <c r="K36" s="188"/>
      <c r="L36" s="188"/>
      <c r="M36" s="189"/>
      <c r="N36" s="9"/>
      <c r="O36" s="9"/>
      <c r="P36" s="9"/>
      <c r="Q36" s="9"/>
    </row>
    <row r="37" spans="2:17" x14ac:dyDescent="0.3">
      <c r="B37" s="186" t="s">
        <v>6</v>
      </c>
      <c r="C37" s="186"/>
      <c r="D37" s="186"/>
      <c r="E37" s="186"/>
      <c r="F37" s="186"/>
      <c r="G37" s="187">
        <v>4070</v>
      </c>
      <c r="H37" s="188"/>
      <c r="I37" s="188"/>
      <c r="J37" s="188"/>
      <c r="K37" s="188"/>
      <c r="L37" s="188"/>
      <c r="M37" s="189"/>
      <c r="N37" s="9"/>
      <c r="O37" s="9"/>
      <c r="P37" s="9"/>
      <c r="Q37" s="9"/>
    </row>
    <row r="38" spans="2:17" x14ac:dyDescent="0.3">
      <c r="B38" s="186" t="s">
        <v>4</v>
      </c>
      <c r="C38" s="186"/>
      <c r="D38" s="186"/>
      <c r="E38" s="186"/>
      <c r="F38" s="186"/>
      <c r="G38" s="187">
        <v>40712037006</v>
      </c>
      <c r="H38" s="188"/>
      <c r="I38" s="188"/>
      <c r="J38" s="188"/>
      <c r="K38" s="188"/>
      <c r="L38" s="188"/>
      <c r="M38" s="189"/>
      <c r="N38" s="9"/>
      <c r="O38" s="9"/>
      <c r="P38" s="9"/>
      <c r="Q38" s="9"/>
    </row>
    <row r="39" spans="2:17" x14ac:dyDescent="0.3">
      <c r="B39" s="186" t="s">
        <v>11</v>
      </c>
      <c r="C39" s="186"/>
      <c r="D39" s="186"/>
      <c r="E39" s="186"/>
      <c r="F39" s="190"/>
      <c r="G39" s="193">
        <v>44970</v>
      </c>
      <c r="H39" s="193"/>
      <c r="I39" s="193"/>
      <c r="J39" s="193"/>
      <c r="K39" s="193"/>
      <c r="L39" s="193"/>
      <c r="M39" s="193"/>
      <c r="N39" s="10"/>
      <c r="O39" s="10"/>
      <c r="P39" s="10"/>
      <c r="Q39" s="10"/>
    </row>
    <row r="40" spans="2:17" x14ac:dyDescent="0.3">
      <c r="B40" s="186" t="s">
        <v>10</v>
      </c>
      <c r="C40" s="186"/>
      <c r="D40" s="186"/>
      <c r="E40" s="186"/>
      <c r="F40" s="186"/>
      <c r="G40" s="185" t="s">
        <v>123</v>
      </c>
      <c r="H40" s="185"/>
      <c r="I40" s="185"/>
      <c r="J40" s="185"/>
      <c r="K40" s="185"/>
      <c r="L40" s="185"/>
      <c r="M40" s="185"/>
      <c r="N40" s="9"/>
      <c r="O40" s="9"/>
      <c r="P40" s="9"/>
      <c r="Q40" s="9"/>
    </row>
    <row r="41" spans="2:17" x14ac:dyDescent="0.3">
      <c r="B41" s="186" t="s">
        <v>125</v>
      </c>
      <c r="C41" s="186"/>
      <c r="D41" s="186"/>
      <c r="E41" s="186"/>
      <c r="F41" s="186"/>
      <c r="G41" s="187">
        <v>2.7E-2</v>
      </c>
      <c r="H41" s="188"/>
      <c r="I41" s="188"/>
      <c r="J41" s="188"/>
      <c r="K41" s="188"/>
      <c r="L41" s="188"/>
      <c r="M41" s="189"/>
      <c r="N41" s="4"/>
      <c r="O41" s="4"/>
      <c r="P41" s="4"/>
      <c r="Q41" s="4"/>
    </row>
    <row r="42" spans="2:17" x14ac:dyDescent="0.3">
      <c r="B42" s="186" t="s">
        <v>126</v>
      </c>
      <c r="C42" s="186"/>
      <c r="D42" s="186"/>
      <c r="E42" s="186"/>
      <c r="F42" s="190"/>
      <c r="G42" s="187">
        <v>0.2</v>
      </c>
      <c r="H42" s="188"/>
      <c r="I42" s="188"/>
      <c r="J42" s="188"/>
      <c r="K42" s="188"/>
      <c r="L42" s="188"/>
      <c r="M42" s="189"/>
      <c r="N42" s="4"/>
      <c r="O42" s="4"/>
      <c r="P42" s="4"/>
      <c r="Q42" s="4"/>
    </row>
    <row r="43" spans="2:17" x14ac:dyDescent="0.3">
      <c r="B43" s="186" t="s">
        <v>127</v>
      </c>
      <c r="C43" s="186"/>
      <c r="D43" s="186"/>
      <c r="E43" s="186"/>
      <c r="F43" s="190"/>
      <c r="G43" s="187">
        <v>1E-3</v>
      </c>
      <c r="H43" s="188"/>
      <c r="I43" s="188"/>
      <c r="J43" s="188"/>
      <c r="K43" s="188"/>
      <c r="L43" s="188"/>
      <c r="M43" s="189"/>
    </row>
    <row r="44" spans="2:17" x14ac:dyDescent="0.3">
      <c r="B44" s="186" t="s">
        <v>9</v>
      </c>
      <c r="C44" s="186"/>
      <c r="D44" s="186"/>
      <c r="E44" s="186"/>
      <c r="F44" s="190"/>
      <c r="G44" s="187">
        <v>2</v>
      </c>
      <c r="H44" s="188"/>
      <c r="I44" s="188"/>
      <c r="J44" s="188"/>
      <c r="K44" s="188"/>
      <c r="L44" s="188"/>
      <c r="M44" s="189"/>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54"/>
      <c r="D92" s="154"/>
      <c r="E92" s="154"/>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H16" sqref="H16"/>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94" t="s">
        <v>124</v>
      </c>
      <c r="C2" s="195"/>
      <c r="D2" s="195"/>
      <c r="E2" s="195"/>
      <c r="F2" s="195"/>
      <c r="G2" s="195"/>
      <c r="H2" s="195"/>
      <c r="I2" s="195"/>
      <c r="J2" s="195"/>
      <c r="K2" s="195"/>
      <c r="L2" s="196"/>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MEDIDA!B5</f>
        <v>70</v>
      </c>
      <c r="C4" s="8">
        <f>PATRON!G$41/2</f>
        <v>1.35E-2</v>
      </c>
      <c r="D4" s="8">
        <f>PATRON!G$42/SQRT(3)</f>
        <v>0.11547005383792516</v>
      </c>
      <c r="E4" s="8">
        <v>0</v>
      </c>
      <c r="F4" s="8">
        <f>1/SQRT(12)</f>
        <v>0.28867513459481292</v>
      </c>
      <c r="G4" s="93">
        <f>PATRON!G$43/SQRT(12)</f>
        <v>2.886751345948129E-4</v>
      </c>
      <c r="H4" s="7" t="e">
        <f>STDEVA(MEDIDA!C5:C5)/SQRT(4)</f>
        <v>#DIV/0!</v>
      </c>
      <c r="I4" s="8" t="e">
        <f>SQRT(SUMSQ(C4:H4))</f>
        <v>#DIV/0!</v>
      </c>
      <c r="J4" s="15" t="e">
        <f>I4^4/(C4^4/200+D4^4/200+E4^4/200+F4^4/200+G4^4/200+H4^4/3)</f>
        <v>#DIV/0!</v>
      </c>
      <c r="K4" s="11" t="e">
        <f>TINV(0.0455,J4)</f>
        <v>#DIV/0!</v>
      </c>
      <c r="L4" s="7" t="e">
        <f>I4*K4</f>
        <v>#DIV/0!</v>
      </c>
    </row>
    <row r="5" spans="1:12" x14ac:dyDescent="0.3">
      <c r="A5" s="52"/>
      <c r="B5" s="6">
        <f>MEDIDA!B6</f>
        <v>50</v>
      </c>
      <c r="C5" s="8">
        <f>PATRON!G$41/2</f>
        <v>1.35E-2</v>
      </c>
      <c r="D5" s="8">
        <f>PATRON!G$42/SQRT(3)</f>
        <v>0.11547005383792516</v>
      </c>
      <c r="E5" s="8">
        <v>0</v>
      </c>
      <c r="F5" s="8">
        <f t="shared" ref="F5:F8" si="0">1/SQRT(12)</f>
        <v>0.28867513459481292</v>
      </c>
      <c r="G5" s="93">
        <f>PATRON!G$43/SQRT(12)</f>
        <v>2.886751345948129E-4</v>
      </c>
      <c r="H5" s="7" t="e">
        <f>STDEVA(MEDIDA!C6:C6)/SQRT(4)</f>
        <v>#DIV/0!</v>
      </c>
      <c r="I5" s="8" t="e">
        <f>SQRT(SUMSQ(C5:H5))</f>
        <v>#DIV/0!</v>
      </c>
      <c r="J5" s="15" t="e">
        <f>I5^4/(C5^4/200+D5^4/200+E5^4/200+F5^4/200+G5^4/200+H5^4/3)</f>
        <v>#DIV/0!</v>
      </c>
      <c r="K5" s="11" t="e">
        <f>TINV(0.0455,J5)</f>
        <v>#DIV/0!</v>
      </c>
      <c r="L5" s="7" t="e">
        <f>I5*K5</f>
        <v>#DIV/0!</v>
      </c>
    </row>
    <row r="6" spans="1:12" x14ac:dyDescent="0.3">
      <c r="A6" s="52"/>
      <c r="B6" s="6">
        <f>MEDIDA!B7</f>
        <v>50</v>
      </c>
      <c r="C6" s="8">
        <f>PATRON!G$41/2</f>
        <v>1.35E-2</v>
      </c>
      <c r="D6" s="8">
        <f>PATRON!G$42/SQRT(3)</f>
        <v>0.11547005383792516</v>
      </c>
      <c r="E6" s="8">
        <v>0</v>
      </c>
      <c r="F6" s="8">
        <f t="shared" si="0"/>
        <v>0.28867513459481292</v>
      </c>
      <c r="G6" s="93">
        <f>PATRON!G$43/SQRT(12)</f>
        <v>2.886751345948129E-4</v>
      </c>
      <c r="H6" s="7" t="e">
        <f>STDEVA(MEDIDA!C7:C7)/SQRT(4)</f>
        <v>#DIV/0!</v>
      </c>
      <c r="I6" s="8" t="e">
        <f>SQRT(SUMSQ(C6:H6))</f>
        <v>#DIV/0!</v>
      </c>
      <c r="J6" s="15" t="e">
        <f>I6^4/(C6^4/200+D6^4/200+E6^4/200+F6^4/200+G6^4/200+H6^4/3)</f>
        <v>#DIV/0!</v>
      </c>
      <c r="K6" s="11" t="e">
        <f t="shared" ref="K6:K7" si="1">TINV(0.0455,J6)</f>
        <v>#DIV/0!</v>
      </c>
      <c r="L6" s="7" t="e">
        <f t="shared" ref="L6:L7" si="2">I6*K6</f>
        <v>#DIV/0!</v>
      </c>
    </row>
    <row r="7" spans="1:12" x14ac:dyDescent="0.3">
      <c r="A7" s="52"/>
      <c r="B7" s="6">
        <f>MEDIDA!B8</f>
        <v>10</v>
      </c>
      <c r="C7" s="8">
        <f>PATRON!G$41/2</f>
        <v>1.35E-2</v>
      </c>
      <c r="D7" s="8">
        <f>PATRON!G$42/SQRT(3)</f>
        <v>0.11547005383792516</v>
      </c>
      <c r="E7" s="8">
        <v>0</v>
      </c>
      <c r="F7" s="8">
        <f t="shared" si="0"/>
        <v>0.28867513459481292</v>
      </c>
      <c r="G7" s="93">
        <f>PATRON!G$43/SQRT(12)</f>
        <v>2.886751345948129E-4</v>
      </c>
      <c r="H7" s="7" t="e">
        <f>STDEVA(MEDIDA!C8:C8)/SQRT(4)</f>
        <v>#DIV/0!</v>
      </c>
      <c r="I7" s="8" t="e">
        <f>SQRT(SUMSQ(C7:H7))</f>
        <v>#DIV/0!</v>
      </c>
      <c r="J7" s="15" t="e">
        <f>I7^4/(C7^4/200+D7^4/200+E7^4/200+F7^4/200+G7^4/200+H7^4/3)</f>
        <v>#DIV/0!</v>
      </c>
      <c r="K7" s="11" t="e">
        <f t="shared" si="1"/>
        <v>#DIV/0!</v>
      </c>
      <c r="L7" s="7" t="e">
        <f t="shared" si="2"/>
        <v>#DIV/0!</v>
      </c>
    </row>
    <row r="8" spans="1:12" x14ac:dyDescent="0.3">
      <c r="B8" s="6" t="e">
        <f>MEDIDA!#REF!</f>
        <v>#REF!</v>
      </c>
      <c r="C8" s="8">
        <f>PATRON!G$41/2</f>
        <v>1.35E-2</v>
      </c>
      <c r="D8" s="8">
        <f>PATRON!G$42/SQRT(3)</f>
        <v>0.11547005383792516</v>
      </c>
      <c r="E8" s="8">
        <v>0</v>
      </c>
      <c r="F8" s="8">
        <f t="shared" si="0"/>
        <v>0.28867513459481292</v>
      </c>
      <c r="G8" s="93">
        <f>PATRON!G$43/SQRT(12)</f>
        <v>2.886751345948129E-4</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89"/>
  <sheetViews>
    <sheetView tabSelected="1" view="pageLayout" topLeftCell="A64" zoomScaleNormal="100" workbookViewId="0">
      <selection activeCell="P97" sqref="P97"/>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4"/>
      <c r="E1" s="54"/>
      <c r="F1" s="55"/>
      <c r="G1" s="56"/>
      <c r="H1" s="57"/>
      <c r="I1" s="141"/>
      <c r="J1" s="141"/>
      <c r="K1" s="141"/>
      <c r="M1" s="63"/>
      <c r="O1" s="138" t="s">
        <v>79</v>
      </c>
      <c r="P1" s="138"/>
      <c r="Q1" s="138"/>
      <c r="R1" s="139">
        <f>INFORMACIÓN!G3</f>
        <v>0</v>
      </c>
      <c r="S1" s="139"/>
    </row>
    <row r="2" spans="1:27" ht="16.95" customHeight="1" x14ac:dyDescent="0.3">
      <c r="G2" s="143"/>
      <c r="H2" s="143"/>
      <c r="I2" s="143"/>
      <c r="J2" s="142"/>
      <c r="K2" s="142"/>
    </row>
    <row r="3" spans="1:27" ht="16.95" customHeight="1" x14ac:dyDescent="0.3">
      <c r="B3" s="82"/>
      <c r="C3" s="144" t="s">
        <v>70</v>
      </c>
      <c r="D3" s="144"/>
      <c r="E3" s="144"/>
      <c r="F3" s="144"/>
      <c r="G3" s="144"/>
      <c r="H3" s="144"/>
      <c r="I3" s="144"/>
      <c r="J3" s="144"/>
      <c r="K3" s="144"/>
      <c r="L3" s="144"/>
      <c r="M3" s="144"/>
      <c r="N3" s="144"/>
      <c r="O3" s="144"/>
      <c r="P3" s="144"/>
      <c r="Q3" s="144"/>
      <c r="R3" s="144"/>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38" t="s">
        <v>61</v>
      </c>
      <c r="D5" s="138"/>
      <c r="E5" s="138"/>
      <c r="F5" s="138"/>
      <c r="G5" s="138"/>
      <c r="H5" s="51"/>
      <c r="I5" s="140">
        <f>INFORMACIÓN!A3</f>
        <v>0</v>
      </c>
      <c r="J5" s="140"/>
      <c r="K5" s="140"/>
      <c r="L5" s="140"/>
      <c r="M5" s="140"/>
      <c r="N5" s="140"/>
      <c r="O5" s="140"/>
      <c r="P5" s="140"/>
      <c r="Q5" s="140"/>
      <c r="R5" s="140"/>
      <c r="S5"/>
      <c r="T5"/>
      <c r="U5"/>
      <c r="V5"/>
      <c r="W5"/>
      <c r="X5"/>
      <c r="Y5"/>
      <c r="Z5"/>
      <c r="AA5"/>
    </row>
    <row r="6" spans="1:27" s="53" customFormat="1" ht="16.95" customHeight="1" x14ac:dyDescent="0.3">
      <c r="B6" s="77"/>
      <c r="C6" s="138" t="s">
        <v>62</v>
      </c>
      <c r="D6" s="138"/>
      <c r="E6" s="138"/>
      <c r="F6" s="138"/>
      <c r="G6" s="138"/>
      <c r="H6" s="51"/>
      <c r="I6" s="140">
        <f>INFORMACIÓN!B3</f>
        <v>0</v>
      </c>
      <c r="J6" s="140"/>
      <c r="K6" s="140"/>
      <c r="L6" s="140"/>
      <c r="M6" s="140"/>
      <c r="N6" s="140"/>
      <c r="O6" s="140"/>
      <c r="P6" s="140"/>
      <c r="Q6" s="140"/>
      <c r="R6" s="140"/>
      <c r="S6"/>
      <c r="T6"/>
      <c r="U6"/>
      <c r="V6"/>
      <c r="W6"/>
      <c r="X6"/>
      <c r="Y6"/>
      <c r="Z6"/>
      <c r="AA6"/>
    </row>
    <row r="7" spans="1:27" s="53" customFormat="1" ht="16.95" customHeight="1" x14ac:dyDescent="0.3">
      <c r="B7" s="77"/>
      <c r="C7" s="138" t="s">
        <v>63</v>
      </c>
      <c r="D7" s="138"/>
      <c r="E7" s="138"/>
      <c r="F7" s="138"/>
      <c r="G7" s="138"/>
      <c r="H7" s="51"/>
      <c r="I7" s="140">
        <f>INFORMACIÓN!C3</f>
        <v>0</v>
      </c>
      <c r="J7" s="140"/>
      <c r="K7" s="140"/>
      <c r="L7" s="140"/>
      <c r="M7" s="140"/>
      <c r="N7" s="140"/>
      <c r="O7" s="140"/>
      <c r="P7" s="140"/>
      <c r="Q7" s="140"/>
      <c r="R7" s="140"/>
      <c r="S7"/>
      <c r="T7"/>
      <c r="U7"/>
      <c r="V7"/>
      <c r="W7"/>
      <c r="X7"/>
      <c r="Y7"/>
      <c r="Z7"/>
      <c r="AA7"/>
    </row>
    <row r="8" spans="1:27" s="53" customFormat="1" ht="16.95" customHeight="1" x14ac:dyDescent="0.3">
      <c r="B8" s="77"/>
      <c r="C8" s="138" t="s">
        <v>64</v>
      </c>
      <c r="D8" s="138"/>
      <c r="E8" s="138"/>
      <c r="F8" s="138"/>
      <c r="G8" s="138"/>
      <c r="H8" s="51"/>
      <c r="I8" s="145">
        <f>INFORMACIÓN!D3</f>
        <v>0</v>
      </c>
      <c r="J8" s="140"/>
      <c r="K8" s="140"/>
      <c r="L8" s="140"/>
      <c r="M8" s="140"/>
      <c r="N8" s="140"/>
      <c r="O8" s="140"/>
      <c r="P8" s="140"/>
      <c r="Q8" s="140"/>
      <c r="R8" s="140"/>
      <c r="S8"/>
      <c r="T8"/>
      <c r="U8"/>
      <c r="V8"/>
      <c r="W8"/>
      <c r="X8"/>
      <c r="Y8"/>
      <c r="Z8"/>
      <c r="AA8"/>
    </row>
    <row r="9" spans="1:27" s="53" customFormat="1" ht="16.95" customHeight="1" x14ac:dyDescent="0.3">
      <c r="B9" s="77"/>
      <c r="C9" s="138" t="s">
        <v>65</v>
      </c>
      <c r="D9" s="138"/>
      <c r="E9" s="138"/>
      <c r="F9" s="138"/>
      <c r="G9" s="138"/>
      <c r="H9" s="51"/>
      <c r="I9" s="145">
        <f>INFORMACIÓN!F3</f>
        <v>0</v>
      </c>
      <c r="J9" s="140"/>
      <c r="K9" s="140"/>
      <c r="L9" s="140"/>
      <c r="M9" s="140"/>
      <c r="N9" s="140"/>
      <c r="O9" s="140"/>
      <c r="P9" s="140"/>
      <c r="Q9" s="140"/>
      <c r="R9" s="140"/>
      <c r="S9"/>
      <c r="T9"/>
      <c r="U9"/>
      <c r="V9"/>
      <c r="W9"/>
      <c r="X9"/>
      <c r="Y9"/>
      <c r="Z9"/>
      <c r="AA9"/>
    </row>
    <row r="10" spans="1:27" s="53" customFormat="1" ht="16.95" customHeight="1" x14ac:dyDescent="0.3">
      <c r="B10" s="77"/>
      <c r="C10" s="138" t="s">
        <v>67</v>
      </c>
      <c r="D10" s="138"/>
      <c r="E10" s="138"/>
      <c r="F10" s="138"/>
      <c r="G10" s="138"/>
      <c r="H10" s="51"/>
      <c r="I10" s="146">
        <f>INFORMACIÓN!E3</f>
        <v>0</v>
      </c>
      <c r="J10" s="140"/>
      <c r="K10" s="140"/>
      <c r="L10" s="140"/>
      <c r="M10" s="140"/>
      <c r="N10" s="140"/>
      <c r="O10" s="140"/>
      <c r="P10" s="140"/>
      <c r="Q10" s="140"/>
      <c r="R10" s="140"/>
      <c r="S10"/>
      <c r="T10"/>
      <c r="U10"/>
      <c r="V10"/>
      <c r="W10"/>
      <c r="X10"/>
      <c r="Y10"/>
      <c r="Z10"/>
      <c r="AA10"/>
    </row>
    <row r="11" spans="1:27" s="53" customFormat="1" ht="16.95" customHeight="1" x14ac:dyDescent="0.3">
      <c r="B11" s="77"/>
      <c r="C11" s="138" t="s">
        <v>66</v>
      </c>
      <c r="D11" s="138"/>
      <c r="E11" s="138"/>
      <c r="F11" s="138"/>
      <c r="G11" s="138"/>
      <c r="H11" s="51"/>
      <c r="I11" s="140" t="str">
        <f>INFORMACIÓN!B8</f>
        <v>BUEN ESTADO</v>
      </c>
      <c r="J11" s="140"/>
      <c r="K11" s="140"/>
      <c r="L11" s="140"/>
      <c r="M11" s="140"/>
      <c r="N11" s="140"/>
      <c r="O11" s="140"/>
      <c r="P11" s="140"/>
      <c r="Q11" s="140"/>
      <c r="R11" s="140"/>
      <c r="S11"/>
      <c r="T11"/>
      <c r="U11"/>
      <c r="V11"/>
      <c r="W11"/>
      <c r="X11"/>
      <c r="Y11"/>
      <c r="Z11"/>
      <c r="AA11"/>
    </row>
    <row r="12" spans="1:27" s="53" customFormat="1" ht="16.95" customHeight="1" x14ac:dyDescent="0.3">
      <c r="B12" s="77"/>
      <c r="C12" s="138" t="s">
        <v>76</v>
      </c>
      <c r="D12" s="138"/>
      <c r="E12" s="138"/>
      <c r="F12" s="138"/>
      <c r="G12" s="138"/>
      <c r="H12" s="78"/>
      <c r="I12" s="147">
        <f>INFORMACIÓN!H3</f>
        <v>0</v>
      </c>
      <c r="J12" s="147"/>
      <c r="K12" s="147"/>
      <c r="L12" s="147"/>
      <c r="M12" s="147"/>
      <c r="N12" s="147"/>
      <c r="O12" s="147"/>
      <c r="P12" s="147"/>
      <c r="Q12" s="147"/>
      <c r="R12" s="147"/>
      <c r="S12"/>
      <c r="T12"/>
      <c r="U12"/>
      <c r="V12"/>
      <c r="W12"/>
      <c r="X12"/>
      <c r="Y12"/>
      <c r="Z12"/>
      <c r="AA12"/>
    </row>
    <row r="13" spans="1:27" s="53" customFormat="1" ht="16.95" customHeight="1" x14ac:dyDescent="0.3">
      <c r="B13" s="77"/>
      <c r="C13" s="138" t="s">
        <v>75</v>
      </c>
      <c r="D13" s="138"/>
      <c r="E13" s="138"/>
      <c r="F13" s="138"/>
      <c r="G13" s="138"/>
      <c r="H13" s="78"/>
      <c r="I13" s="147">
        <f>INFORMACIÓN!B9</f>
        <v>0</v>
      </c>
      <c r="J13" s="147"/>
      <c r="K13" s="147"/>
      <c r="L13" s="147"/>
      <c r="M13" s="147"/>
      <c r="N13" s="147"/>
      <c r="O13" s="147"/>
      <c r="P13" s="147"/>
      <c r="Q13" s="147"/>
      <c r="R13" s="147"/>
      <c r="S13"/>
      <c r="T13"/>
      <c r="U13"/>
      <c r="V13"/>
      <c r="W13"/>
      <c r="X13"/>
      <c r="Y13"/>
      <c r="Z13"/>
      <c r="AA13"/>
    </row>
    <row r="14" spans="1:27" ht="16.95" customHeight="1" x14ac:dyDescent="0.3"/>
    <row r="15" spans="1:27" ht="16.95" customHeight="1" x14ac:dyDescent="0.3">
      <c r="B15" s="63"/>
      <c r="C15" s="148" t="s">
        <v>69</v>
      </c>
      <c r="D15" s="148"/>
      <c r="E15" s="148"/>
      <c r="F15" s="148"/>
      <c r="G15" s="148"/>
      <c r="H15" s="148"/>
      <c r="I15" s="148"/>
      <c r="J15" s="148"/>
      <c r="K15" s="148"/>
      <c r="L15" s="148"/>
      <c r="M15" s="148"/>
      <c r="N15" s="148"/>
      <c r="O15" s="148"/>
      <c r="P15" s="148"/>
      <c r="Q15" s="148"/>
      <c r="R15" s="148"/>
    </row>
    <row r="16" spans="1:27" ht="16.95" customHeight="1" x14ac:dyDescent="0.3"/>
    <row r="17" spans="1:18" ht="16.95" customHeight="1" x14ac:dyDescent="0.3">
      <c r="B17" s="50"/>
      <c r="C17" s="136" t="s">
        <v>71</v>
      </c>
      <c r="D17" s="136"/>
      <c r="E17" s="136"/>
      <c r="F17" s="136"/>
      <c r="G17" s="136"/>
      <c r="H17" s="49"/>
      <c r="I17" s="149">
        <f>INFORMACIÓN!E7</f>
        <v>0</v>
      </c>
      <c r="J17" s="149"/>
      <c r="K17" s="149"/>
      <c r="L17" s="149"/>
      <c r="M17" s="149"/>
      <c r="N17" s="149"/>
      <c r="O17" s="149"/>
      <c r="P17" s="149"/>
      <c r="Q17" s="149"/>
      <c r="R17" s="149"/>
    </row>
    <row r="18" spans="1:18" ht="16.95" customHeight="1" x14ac:dyDescent="0.3">
      <c r="B18" s="50"/>
      <c r="C18" s="136" t="s">
        <v>72</v>
      </c>
      <c r="D18" s="136"/>
      <c r="E18" s="136"/>
      <c r="F18" s="136"/>
      <c r="G18" s="136"/>
      <c r="H18" s="49"/>
      <c r="I18" s="149">
        <f>INFORMACIÓN!E8</f>
        <v>0</v>
      </c>
      <c r="J18" s="149"/>
      <c r="K18" s="149"/>
      <c r="L18" s="149"/>
      <c r="M18" s="149"/>
      <c r="N18" s="149"/>
      <c r="O18" s="149"/>
      <c r="P18" s="149"/>
      <c r="Q18" s="149"/>
      <c r="R18" s="149"/>
    </row>
    <row r="19" spans="1:18" ht="16.95" customHeight="1" x14ac:dyDescent="0.3">
      <c r="B19" s="50"/>
      <c r="C19" s="136" t="s">
        <v>89</v>
      </c>
      <c r="D19" s="136"/>
      <c r="E19" s="136"/>
      <c r="F19" s="136"/>
      <c r="G19" s="136"/>
      <c r="H19" s="49"/>
      <c r="I19" s="149">
        <f>INFORMACIÓN!E9</f>
        <v>0</v>
      </c>
      <c r="J19" s="149"/>
      <c r="K19" s="149"/>
      <c r="L19" s="149"/>
      <c r="M19" s="149"/>
      <c r="N19" s="149"/>
      <c r="O19" s="149"/>
      <c r="P19" s="149"/>
      <c r="Q19" s="149"/>
      <c r="R19" s="149"/>
    </row>
    <row r="20" spans="1:18" ht="16.95" customHeight="1" x14ac:dyDescent="0.3">
      <c r="B20" s="50"/>
      <c r="C20" s="136" t="s">
        <v>73</v>
      </c>
      <c r="D20" s="136"/>
      <c r="E20" s="136"/>
      <c r="F20" s="136"/>
      <c r="G20" s="136"/>
      <c r="H20" s="49"/>
      <c r="I20" s="149">
        <f>INFORMACIÓN!E10</f>
        <v>0</v>
      </c>
      <c r="J20" s="149"/>
      <c r="K20" s="149"/>
      <c r="L20" s="149"/>
      <c r="M20" s="149"/>
      <c r="N20" s="149"/>
      <c r="O20" s="149"/>
      <c r="P20" s="149"/>
      <c r="Q20" s="149"/>
      <c r="R20" s="149"/>
    </row>
    <row r="21" spans="1:18" ht="16.95" customHeight="1" x14ac:dyDescent="0.3">
      <c r="B21" s="50"/>
      <c r="C21" s="136" t="s">
        <v>74</v>
      </c>
      <c r="D21" s="136"/>
      <c r="E21" s="136"/>
      <c r="F21" s="136"/>
      <c r="G21" s="136"/>
      <c r="H21" s="49"/>
      <c r="I21" s="149">
        <f>INFORMACIÓN!E11</f>
        <v>0</v>
      </c>
      <c r="J21" s="149"/>
      <c r="K21" s="149"/>
      <c r="L21" s="149"/>
      <c r="M21" s="149"/>
      <c r="N21" s="149"/>
      <c r="O21" s="149"/>
      <c r="P21" s="149"/>
      <c r="Q21" s="149"/>
      <c r="R21" s="149"/>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50" t="s">
        <v>179</v>
      </c>
      <c r="D23" s="150"/>
      <c r="E23" s="150"/>
      <c r="F23" s="150"/>
      <c r="G23" s="150"/>
      <c r="H23" s="150"/>
      <c r="I23" s="150"/>
      <c r="J23" s="150"/>
      <c r="K23" s="150"/>
      <c r="L23" s="150"/>
      <c r="M23" s="150"/>
      <c r="N23" s="150"/>
      <c r="O23" s="150"/>
      <c r="P23" s="150"/>
      <c r="Q23" s="150"/>
      <c r="R23" s="150"/>
    </row>
    <row r="24" spans="1:18" ht="16.95" customHeight="1" x14ac:dyDescent="0.3">
      <c r="A24" s="76"/>
      <c r="B24" s="76"/>
      <c r="C24" s="151"/>
      <c r="D24" s="151"/>
      <c r="E24" s="151"/>
      <c r="F24" s="151"/>
      <c r="G24" s="151"/>
      <c r="H24" s="151"/>
      <c r="I24" s="151"/>
      <c r="J24" s="151"/>
      <c r="K24" s="151"/>
      <c r="L24" s="151"/>
      <c r="M24" s="151"/>
      <c r="N24" s="151"/>
      <c r="O24" s="151"/>
      <c r="P24" s="151"/>
      <c r="Q24" s="151"/>
      <c r="R24" s="151"/>
    </row>
    <row r="25" spans="1:18" ht="16.95" customHeight="1" x14ac:dyDescent="0.3">
      <c r="A25" s="76"/>
      <c r="B25" s="76"/>
      <c r="C25" s="151"/>
      <c r="D25" s="151"/>
      <c r="E25" s="151"/>
      <c r="F25" s="151"/>
      <c r="G25" s="151"/>
      <c r="H25" s="151"/>
      <c r="I25" s="151"/>
      <c r="J25" s="151"/>
      <c r="K25" s="151"/>
      <c r="L25" s="151"/>
      <c r="M25" s="151"/>
      <c r="N25" s="151"/>
      <c r="O25" s="151"/>
      <c r="P25" s="151"/>
      <c r="Q25" s="151"/>
      <c r="R25" s="151"/>
    </row>
    <row r="26" spans="1:18" ht="16.95" customHeight="1" x14ac:dyDescent="0.3">
      <c r="A26" s="76"/>
      <c r="B26" s="76"/>
      <c r="C26" s="151"/>
      <c r="D26" s="151"/>
      <c r="E26" s="151"/>
      <c r="F26" s="151"/>
      <c r="G26" s="151"/>
      <c r="H26" s="151"/>
      <c r="I26" s="151"/>
      <c r="J26" s="151"/>
      <c r="K26" s="151"/>
      <c r="L26" s="151"/>
      <c r="M26" s="151"/>
      <c r="N26" s="151"/>
      <c r="O26" s="151"/>
      <c r="P26" s="151"/>
      <c r="Q26" s="151"/>
      <c r="R26" s="151"/>
    </row>
    <row r="27" spans="1:18" ht="16.95" customHeight="1" x14ac:dyDescent="0.3">
      <c r="A27" s="76"/>
      <c r="B27" s="76"/>
      <c r="C27" s="151"/>
      <c r="D27" s="151"/>
      <c r="E27" s="151"/>
      <c r="F27" s="151"/>
      <c r="G27" s="151"/>
      <c r="H27" s="151"/>
      <c r="I27" s="151"/>
      <c r="J27" s="151"/>
      <c r="K27" s="151"/>
      <c r="L27" s="151"/>
      <c r="M27" s="151"/>
      <c r="N27" s="151"/>
      <c r="O27" s="151"/>
      <c r="P27" s="151"/>
      <c r="Q27" s="151"/>
      <c r="R27" s="151"/>
    </row>
    <row r="28" spans="1:18" ht="16.95" customHeight="1" x14ac:dyDescent="0.3">
      <c r="A28" s="76"/>
      <c r="B28" s="76"/>
      <c r="C28" s="152"/>
      <c r="D28" s="152"/>
      <c r="E28" s="152"/>
      <c r="F28" s="152"/>
      <c r="G28" s="152"/>
      <c r="H28" s="152"/>
      <c r="I28" s="152"/>
      <c r="J28" s="152"/>
      <c r="K28" s="152"/>
      <c r="L28" s="152"/>
      <c r="M28" s="152"/>
      <c r="N28" s="152"/>
      <c r="O28" s="152"/>
      <c r="P28" s="152"/>
      <c r="Q28" s="152"/>
      <c r="R28" s="152"/>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36" t="s">
        <v>77</v>
      </c>
      <c r="J31" s="136"/>
      <c r="K31" s="136"/>
      <c r="L31" s="136"/>
      <c r="M31" s="149" t="str">
        <f>INFORMACIÓN!B15</f>
        <v>ING. GABRIEL DURÁN</v>
      </c>
      <c r="N31" s="149"/>
      <c r="O31" s="149"/>
      <c r="P31" s="149"/>
      <c r="Q31" s="149"/>
      <c r="R31" s="149"/>
    </row>
    <row r="32" spans="1:18" ht="16.95" customHeight="1" x14ac:dyDescent="0.3">
      <c r="F32" s="50"/>
      <c r="G32" s="50"/>
      <c r="H32" s="50"/>
      <c r="I32" s="136" t="s">
        <v>78</v>
      </c>
      <c r="J32" s="136"/>
      <c r="K32" s="136"/>
      <c r="L32" s="136"/>
      <c r="M32" s="153">
        <f>INFORMACIÓN!B10</f>
        <v>0</v>
      </c>
      <c r="N32" s="153"/>
      <c r="O32" s="153"/>
      <c r="P32" s="62"/>
      <c r="Q32" s="62"/>
      <c r="R32" s="50"/>
    </row>
    <row r="33" spans="1:19" ht="16.95" customHeight="1" x14ac:dyDescent="0.3">
      <c r="I33" s="136" t="s">
        <v>82</v>
      </c>
      <c r="J33" s="136"/>
      <c r="K33" s="136"/>
      <c r="L33" s="136"/>
      <c r="M33" s="61">
        <v>4</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36" t="str">
        <f>O1</f>
        <v>CERTIFICADO N°:</v>
      </c>
      <c r="P38" s="136"/>
      <c r="Q38" s="136"/>
      <c r="R38" s="134">
        <f>R1</f>
        <v>0</v>
      </c>
      <c r="S38" s="134"/>
    </row>
    <row r="39" spans="1:19" ht="16.95" customHeight="1" x14ac:dyDescent="0.3"/>
    <row r="40" spans="1:19" ht="16.95" customHeight="1" x14ac:dyDescent="0.3">
      <c r="B40" s="120" t="s">
        <v>83</v>
      </c>
      <c r="C40" s="120"/>
      <c r="D40" s="120"/>
      <c r="E40" s="120"/>
      <c r="F40" s="120"/>
      <c r="G40" s="120"/>
      <c r="H40" s="120"/>
      <c r="I40" s="120"/>
      <c r="J40" s="120"/>
      <c r="K40" s="120"/>
      <c r="L40" s="120"/>
      <c r="M40" s="120"/>
      <c r="N40" s="120"/>
      <c r="O40" s="120"/>
      <c r="P40" s="120"/>
      <c r="Q40" s="120"/>
      <c r="R40" s="120"/>
      <c r="S40" s="120"/>
    </row>
    <row r="41" spans="1:19" ht="16.95" customHeight="1" x14ac:dyDescent="0.3">
      <c r="B41" s="167" t="s">
        <v>180</v>
      </c>
      <c r="C41" s="167"/>
      <c r="D41" s="167"/>
      <c r="E41" s="167"/>
      <c r="F41" s="167"/>
      <c r="G41" s="167"/>
      <c r="H41" s="167"/>
      <c r="I41" s="167"/>
      <c r="J41" s="167"/>
      <c r="K41" s="167"/>
      <c r="L41" s="167"/>
      <c r="M41" s="167"/>
      <c r="N41" s="167"/>
      <c r="O41" s="167"/>
      <c r="P41" s="167"/>
      <c r="Q41" s="167"/>
      <c r="R41" s="167"/>
      <c r="S41" s="167"/>
    </row>
    <row r="42" spans="1:19" ht="16.95" customHeight="1" x14ac:dyDescent="0.3">
      <c r="A42" s="85"/>
      <c r="B42" s="168"/>
      <c r="C42" s="168"/>
      <c r="D42" s="168"/>
      <c r="E42" s="168"/>
      <c r="F42" s="168"/>
      <c r="G42" s="168"/>
      <c r="H42" s="168"/>
      <c r="I42" s="168"/>
      <c r="J42" s="168"/>
      <c r="K42" s="168"/>
      <c r="L42" s="168"/>
      <c r="M42" s="168"/>
      <c r="N42" s="168"/>
      <c r="O42" s="168"/>
      <c r="P42" s="168"/>
      <c r="Q42" s="168"/>
      <c r="R42" s="168"/>
      <c r="S42" s="168"/>
    </row>
    <row r="43" spans="1:19" ht="16.95" customHeight="1" x14ac:dyDescent="0.3">
      <c r="A43" s="85"/>
      <c r="B43" s="168"/>
      <c r="C43" s="168"/>
      <c r="D43" s="168"/>
      <c r="E43" s="168"/>
      <c r="F43" s="168"/>
      <c r="G43" s="168"/>
      <c r="H43" s="168"/>
      <c r="I43" s="168"/>
      <c r="J43" s="168"/>
      <c r="K43" s="168"/>
      <c r="L43" s="168"/>
      <c r="M43" s="168"/>
      <c r="N43" s="168"/>
      <c r="O43" s="168"/>
      <c r="P43" s="168"/>
      <c r="Q43" s="168"/>
      <c r="R43" s="168"/>
      <c r="S43" s="168"/>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55" t="s">
        <v>84</v>
      </c>
      <c r="G45" s="156"/>
      <c r="H45" s="156"/>
      <c r="I45" s="156"/>
      <c r="J45" s="157"/>
      <c r="K45" s="164" t="s">
        <v>85</v>
      </c>
      <c r="L45" s="165"/>
      <c r="M45" s="165"/>
      <c r="N45" s="165"/>
      <c r="O45" s="166"/>
    </row>
    <row r="46" spans="1:19" ht="16.95" customHeight="1" x14ac:dyDescent="0.3">
      <c r="E46" s="74"/>
      <c r="F46" s="159">
        <f>AVERAGE(INFORMACIÓN!B11:B12)</f>
        <v>24.3</v>
      </c>
      <c r="G46" s="160"/>
      <c r="H46" s="70" t="s">
        <v>86</v>
      </c>
      <c r="I46" s="71">
        <f>ABS(INFORMACIÓN!B11-INFORMACIÓN!B12)</f>
        <v>0.39999999999999858</v>
      </c>
      <c r="J46" s="75"/>
      <c r="K46" s="161">
        <f>AVERAGE(INFORMACIÓN!B13:B14)</f>
        <v>61.5</v>
      </c>
      <c r="L46" s="162"/>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58" t="s">
        <v>181</v>
      </c>
      <c r="G48" s="158"/>
      <c r="H48" s="158"/>
      <c r="I48" s="158"/>
      <c r="J48" s="158"/>
      <c r="K48" s="163" t="s">
        <v>182</v>
      </c>
      <c r="L48" s="163"/>
      <c r="M48" s="163"/>
      <c r="N48" s="163"/>
      <c r="O48" s="163"/>
      <c r="P48" s="163"/>
    </row>
    <row r="49" spans="1:19" ht="13.2" customHeight="1" x14ac:dyDescent="0.3"/>
    <row r="50" spans="1:19" ht="16.95" customHeight="1" x14ac:dyDescent="0.3">
      <c r="B50" s="154" t="s">
        <v>87</v>
      </c>
      <c r="C50" s="154"/>
      <c r="D50" s="154"/>
      <c r="E50" s="154"/>
      <c r="F50" s="154"/>
      <c r="G50" s="154"/>
      <c r="H50" s="154"/>
      <c r="I50" s="154"/>
      <c r="J50" s="154"/>
      <c r="K50" s="154"/>
      <c r="L50" s="154"/>
      <c r="M50" s="154"/>
      <c r="N50" s="154"/>
      <c r="O50" s="154"/>
      <c r="P50" s="154"/>
      <c r="Q50" s="154"/>
      <c r="R50" s="154"/>
      <c r="S50" s="154"/>
    </row>
    <row r="51" spans="1:19" ht="16.95" customHeight="1" x14ac:dyDescent="0.3">
      <c r="B51" s="167" t="s">
        <v>183</v>
      </c>
      <c r="C51" s="167"/>
      <c r="D51" s="167"/>
      <c r="E51" s="167"/>
      <c r="F51" s="167"/>
      <c r="G51" s="167"/>
      <c r="H51" s="167"/>
      <c r="I51" s="167"/>
      <c r="J51" s="167"/>
      <c r="K51" s="167"/>
      <c r="L51" s="167"/>
      <c r="M51" s="167"/>
      <c r="N51" s="167"/>
      <c r="O51" s="167"/>
      <c r="P51" s="167"/>
      <c r="Q51" s="167"/>
      <c r="R51" s="167"/>
      <c r="S51" s="167"/>
    </row>
    <row r="52" spans="1:19" ht="16.95" customHeight="1" x14ac:dyDescent="0.3">
      <c r="A52" s="85"/>
      <c r="B52" s="168"/>
      <c r="C52" s="168"/>
      <c r="D52" s="168"/>
      <c r="E52" s="168"/>
      <c r="F52" s="168"/>
      <c r="G52" s="168"/>
      <c r="H52" s="168"/>
      <c r="I52" s="168"/>
      <c r="J52" s="168"/>
      <c r="K52" s="168"/>
      <c r="L52" s="168"/>
      <c r="M52" s="168"/>
      <c r="N52" s="168"/>
      <c r="O52" s="168"/>
      <c r="P52" s="168"/>
      <c r="Q52" s="168"/>
      <c r="R52" s="168"/>
      <c r="S52" s="168"/>
    </row>
    <row r="53" spans="1:19" ht="16.95" customHeight="1" x14ac:dyDescent="0.3">
      <c r="A53" s="85"/>
      <c r="B53" s="168"/>
      <c r="C53" s="168"/>
      <c r="D53" s="168"/>
      <c r="E53" s="168"/>
      <c r="F53" s="168"/>
      <c r="G53" s="168"/>
      <c r="H53" s="168"/>
      <c r="I53" s="168"/>
      <c r="J53" s="168"/>
      <c r="K53" s="168"/>
      <c r="L53" s="168"/>
      <c r="M53" s="168"/>
      <c r="N53" s="168"/>
      <c r="O53" s="168"/>
      <c r="P53" s="168"/>
      <c r="Q53" s="168"/>
      <c r="R53" s="168"/>
      <c r="S53" s="168"/>
    </row>
    <row r="54" spans="1:19" ht="16.95" customHeight="1" x14ac:dyDescent="0.3">
      <c r="A54" s="85"/>
      <c r="B54" s="168"/>
      <c r="C54" s="168"/>
      <c r="D54" s="168"/>
      <c r="E54" s="168"/>
      <c r="F54" s="168"/>
      <c r="G54" s="168"/>
      <c r="H54" s="168"/>
      <c r="I54" s="168"/>
      <c r="J54" s="168"/>
      <c r="K54" s="168"/>
      <c r="L54" s="168"/>
      <c r="M54" s="168"/>
      <c r="N54" s="168"/>
      <c r="O54" s="168"/>
      <c r="P54" s="168"/>
      <c r="Q54" s="168"/>
      <c r="R54" s="168"/>
      <c r="S54" s="168"/>
    </row>
    <row r="55" spans="1:19" ht="16.95" customHeight="1" x14ac:dyDescent="0.3">
      <c r="A55" s="85"/>
      <c r="B55" s="168"/>
      <c r="C55" s="168"/>
      <c r="D55" s="168"/>
      <c r="E55" s="168"/>
      <c r="F55" s="168"/>
      <c r="G55" s="168"/>
      <c r="H55" s="168"/>
      <c r="I55" s="168"/>
      <c r="J55" s="168"/>
      <c r="K55" s="168"/>
      <c r="L55" s="168"/>
      <c r="M55" s="168"/>
      <c r="N55" s="168"/>
      <c r="O55" s="168"/>
      <c r="P55" s="168"/>
      <c r="Q55" s="168"/>
      <c r="R55" s="168"/>
      <c r="S55" s="168"/>
    </row>
    <row r="56" spans="1:19" ht="16.95" customHeight="1" x14ac:dyDescent="0.3">
      <c r="A56" s="85"/>
      <c r="B56" s="168"/>
      <c r="C56" s="168"/>
      <c r="D56" s="168"/>
      <c r="E56" s="168"/>
      <c r="F56" s="168"/>
      <c r="G56" s="168"/>
      <c r="H56" s="168"/>
      <c r="I56" s="168"/>
      <c r="J56" s="168"/>
      <c r="K56" s="168"/>
      <c r="L56" s="168"/>
      <c r="M56" s="168"/>
      <c r="N56" s="168"/>
      <c r="O56" s="168"/>
      <c r="P56" s="168"/>
      <c r="Q56" s="168"/>
      <c r="R56" s="168"/>
      <c r="S56" s="168"/>
    </row>
    <row r="57" spans="1:19" ht="16.95" customHeight="1" x14ac:dyDescent="0.3">
      <c r="A57" s="85"/>
      <c r="B57" s="168"/>
      <c r="C57" s="168"/>
      <c r="D57" s="168"/>
      <c r="E57" s="168"/>
      <c r="F57" s="168"/>
      <c r="G57" s="168"/>
      <c r="H57" s="168"/>
      <c r="I57" s="168"/>
      <c r="J57" s="168"/>
      <c r="K57" s="168"/>
      <c r="L57" s="168"/>
      <c r="M57" s="168"/>
      <c r="N57" s="168"/>
      <c r="O57" s="168"/>
      <c r="P57" s="168"/>
      <c r="Q57" s="168"/>
      <c r="R57" s="168"/>
      <c r="S57" s="168"/>
    </row>
    <row r="58" spans="1:19" ht="16.95" customHeight="1" x14ac:dyDescent="0.3">
      <c r="A58" s="85"/>
      <c r="B58" s="168"/>
      <c r="C58" s="168"/>
      <c r="D58" s="168"/>
      <c r="E58" s="168"/>
      <c r="F58" s="168"/>
      <c r="G58" s="168"/>
      <c r="H58" s="168"/>
      <c r="I58" s="168"/>
      <c r="J58" s="168"/>
      <c r="K58" s="168"/>
      <c r="L58" s="168"/>
      <c r="M58" s="168"/>
      <c r="N58" s="168"/>
      <c r="O58" s="168"/>
      <c r="P58" s="168"/>
      <c r="Q58" s="168"/>
      <c r="R58" s="168"/>
      <c r="S58" s="168"/>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20" t="s">
        <v>88</v>
      </c>
      <c r="C60" s="120"/>
      <c r="D60" s="120"/>
      <c r="E60" s="120"/>
      <c r="F60" s="120"/>
      <c r="G60" s="120"/>
      <c r="H60" s="120"/>
      <c r="I60" s="120"/>
      <c r="J60" s="120"/>
      <c r="K60" s="120"/>
      <c r="L60" s="120"/>
      <c r="M60" s="120"/>
      <c r="N60" s="120"/>
      <c r="O60" s="120"/>
      <c r="P60" s="120"/>
      <c r="Q60" s="120"/>
      <c r="R60" s="120"/>
      <c r="S60" s="120"/>
    </row>
    <row r="61" spans="1:19" ht="16.95" customHeight="1" x14ac:dyDescent="0.3">
      <c r="B61" s="167" t="s">
        <v>184</v>
      </c>
      <c r="C61" s="167"/>
      <c r="D61" s="167"/>
      <c r="E61" s="167"/>
      <c r="F61" s="167"/>
      <c r="G61" s="167"/>
      <c r="H61" s="167"/>
      <c r="I61" s="167"/>
      <c r="J61" s="167"/>
      <c r="K61" s="167"/>
      <c r="L61" s="167"/>
      <c r="M61" s="167"/>
      <c r="N61" s="167"/>
      <c r="O61" s="167"/>
      <c r="P61" s="167"/>
      <c r="Q61" s="167"/>
      <c r="R61" s="167"/>
      <c r="S61" s="167"/>
    </row>
    <row r="62" spans="1:19" ht="16.95" customHeight="1" x14ac:dyDescent="0.3">
      <c r="A62" s="85"/>
      <c r="B62" s="168"/>
      <c r="C62" s="168"/>
      <c r="D62" s="168"/>
      <c r="E62" s="168"/>
      <c r="F62" s="168"/>
      <c r="G62" s="168"/>
      <c r="H62" s="168"/>
      <c r="I62" s="168"/>
      <c r="J62" s="168"/>
      <c r="K62" s="168"/>
      <c r="L62" s="168"/>
      <c r="M62" s="168"/>
      <c r="N62" s="168"/>
      <c r="O62" s="168"/>
      <c r="P62" s="168"/>
      <c r="Q62" s="168"/>
      <c r="R62" s="168"/>
      <c r="S62" s="168"/>
    </row>
    <row r="63" spans="1:19" ht="13.8" customHeight="1" x14ac:dyDescent="0.3"/>
    <row r="64" spans="1:19" ht="15" customHeight="1" x14ac:dyDescent="0.3">
      <c r="B64" s="120" t="s">
        <v>94</v>
      </c>
      <c r="C64" s="120"/>
      <c r="D64" s="120"/>
      <c r="E64" s="120"/>
      <c r="F64" s="120"/>
      <c r="G64" s="120"/>
      <c r="H64" s="120"/>
      <c r="I64" s="120"/>
      <c r="J64" s="120"/>
      <c r="K64" s="120"/>
      <c r="L64" s="120"/>
      <c r="M64" s="120"/>
      <c r="N64" s="120"/>
      <c r="O64" s="120"/>
      <c r="P64" s="120"/>
      <c r="Q64" s="120"/>
      <c r="R64" s="120"/>
      <c r="S64" s="120"/>
    </row>
    <row r="65" spans="1:19" ht="19.2" customHeight="1" x14ac:dyDescent="0.3">
      <c r="B65" s="167" t="s">
        <v>185</v>
      </c>
      <c r="C65" s="167"/>
      <c r="D65" s="167"/>
      <c r="E65" s="167"/>
      <c r="F65" s="167"/>
      <c r="G65" s="167"/>
      <c r="H65" s="167"/>
      <c r="I65" s="167"/>
      <c r="J65" s="167"/>
      <c r="K65" s="167"/>
      <c r="L65" s="167"/>
      <c r="M65" s="167"/>
      <c r="N65" s="167"/>
      <c r="O65" s="167"/>
      <c r="P65" s="167"/>
      <c r="Q65" s="167"/>
      <c r="R65" s="167"/>
      <c r="S65" s="167"/>
    </row>
    <row r="66" spans="1:19" ht="16.95" customHeight="1" x14ac:dyDescent="0.3">
      <c r="A66" s="85"/>
      <c r="B66" s="168"/>
      <c r="C66" s="168"/>
      <c r="D66" s="168"/>
      <c r="E66" s="168"/>
      <c r="F66" s="168"/>
      <c r="G66" s="168"/>
      <c r="H66" s="168"/>
      <c r="I66" s="168"/>
      <c r="J66" s="168"/>
      <c r="K66" s="168"/>
      <c r="L66" s="168"/>
      <c r="M66" s="168"/>
      <c r="N66" s="168"/>
      <c r="O66" s="168"/>
      <c r="P66" s="168"/>
      <c r="Q66" s="168"/>
      <c r="R66" s="168"/>
      <c r="S66" s="168"/>
    </row>
    <row r="67" spans="1:19" ht="16.95" customHeight="1" x14ac:dyDescent="0.3">
      <c r="A67" s="85"/>
      <c r="B67" s="168"/>
      <c r="C67" s="168"/>
      <c r="D67" s="168"/>
      <c r="E67" s="168"/>
      <c r="F67" s="168"/>
      <c r="G67" s="168"/>
      <c r="H67" s="168"/>
      <c r="I67" s="168"/>
      <c r="J67" s="168"/>
      <c r="K67" s="168"/>
      <c r="L67" s="168"/>
      <c r="M67" s="168"/>
      <c r="N67" s="168"/>
      <c r="O67" s="168"/>
      <c r="P67" s="168"/>
      <c r="Q67" s="168"/>
      <c r="R67" s="168"/>
      <c r="S67" s="168"/>
    </row>
    <row r="68" spans="1:19" ht="16.95" customHeight="1" x14ac:dyDescent="0.3">
      <c r="A68" s="85"/>
      <c r="B68" s="168"/>
      <c r="C68" s="168"/>
      <c r="D68" s="168"/>
      <c r="E68" s="168"/>
      <c r="F68" s="168"/>
      <c r="G68" s="168"/>
      <c r="H68" s="168"/>
      <c r="I68" s="168"/>
      <c r="J68" s="168"/>
      <c r="K68" s="168"/>
      <c r="L68" s="168"/>
      <c r="M68" s="168"/>
      <c r="N68" s="168"/>
      <c r="O68" s="168"/>
      <c r="P68" s="168"/>
      <c r="Q68" s="168"/>
      <c r="R68" s="168"/>
      <c r="S68" s="168"/>
    </row>
    <row r="69" spans="1:19" ht="16.95" customHeight="1" x14ac:dyDescent="0.3"/>
    <row r="70" spans="1:19" ht="16.95" customHeight="1" x14ac:dyDescent="0.3">
      <c r="B70" s="169" t="s">
        <v>90</v>
      </c>
      <c r="C70" s="169"/>
      <c r="D70" s="169"/>
      <c r="E70" s="169"/>
      <c r="F70" s="169"/>
      <c r="G70" s="169"/>
      <c r="H70" s="169" t="s">
        <v>91</v>
      </c>
      <c r="I70" s="169"/>
      <c r="J70" s="169"/>
      <c r="K70" s="169"/>
      <c r="L70" s="169"/>
      <c r="M70" s="169" t="s">
        <v>92</v>
      </c>
      <c r="N70" s="169"/>
      <c r="O70" s="169"/>
      <c r="P70" s="169" t="s">
        <v>93</v>
      </c>
      <c r="Q70" s="169"/>
      <c r="R70" s="169"/>
      <c r="S70" s="169"/>
    </row>
    <row r="71" spans="1:19" ht="16.95" customHeight="1" x14ac:dyDescent="0.3">
      <c r="B71" s="116" t="s">
        <v>128</v>
      </c>
      <c r="C71" s="116"/>
      <c r="D71" s="116"/>
      <c r="E71" s="116"/>
      <c r="F71" s="116"/>
      <c r="G71" s="116"/>
      <c r="H71" s="117">
        <v>565444</v>
      </c>
      <c r="I71" s="117"/>
      <c r="J71" s="117"/>
      <c r="K71" s="117"/>
      <c r="L71" s="117"/>
      <c r="M71" s="118" t="s">
        <v>129</v>
      </c>
      <c r="N71" s="118"/>
      <c r="O71" s="118"/>
      <c r="P71" s="119" t="s">
        <v>129</v>
      </c>
      <c r="Q71" s="119"/>
      <c r="R71" s="119"/>
      <c r="S71" s="119"/>
    </row>
    <row r="72" spans="1:19" ht="16.95" customHeight="1" x14ac:dyDescent="0.3">
      <c r="B72" s="116" t="s">
        <v>164</v>
      </c>
      <c r="C72" s="116"/>
      <c r="D72" s="116"/>
      <c r="E72" s="116"/>
      <c r="F72" s="116"/>
      <c r="G72" s="116"/>
      <c r="H72" s="117">
        <v>73581403</v>
      </c>
      <c r="I72" s="117"/>
      <c r="J72" s="117"/>
      <c r="K72" s="117"/>
      <c r="L72" s="117"/>
      <c r="M72" s="118">
        <v>46065</v>
      </c>
      <c r="N72" s="118"/>
      <c r="O72" s="118"/>
      <c r="P72" s="119" t="s">
        <v>165</v>
      </c>
      <c r="Q72" s="119"/>
      <c r="R72" s="119"/>
      <c r="S72" s="119"/>
    </row>
    <row r="73" spans="1:19" ht="16.95" customHeight="1" x14ac:dyDescent="0.3"/>
    <row r="74" spans="1:19" ht="16.95" customHeight="1" x14ac:dyDescent="0.3"/>
    <row r="75" spans="1:19" ht="16.95" customHeight="1" x14ac:dyDescent="0.3"/>
    <row r="76" spans="1:19" ht="16.95" customHeight="1" x14ac:dyDescent="0.3">
      <c r="O76" s="136" t="str">
        <f>O1</f>
        <v>CERTIFICADO N°:</v>
      </c>
      <c r="P76" s="136"/>
      <c r="Q76" s="136"/>
      <c r="R76" s="134">
        <f>R1</f>
        <v>0</v>
      </c>
      <c r="S76" s="134"/>
    </row>
    <row r="77" spans="1:19" ht="16.95" customHeight="1" x14ac:dyDescent="0.3"/>
    <row r="78" spans="1:19" ht="16.95" customHeight="1" x14ac:dyDescent="0.3">
      <c r="B78" s="137" t="s">
        <v>95</v>
      </c>
      <c r="C78" s="137"/>
      <c r="D78" s="137"/>
      <c r="E78" s="137"/>
      <c r="F78" s="137"/>
      <c r="G78" s="137"/>
      <c r="H78" s="137"/>
      <c r="I78" s="137"/>
      <c r="J78" s="137"/>
      <c r="K78" s="137"/>
      <c r="L78" s="137"/>
      <c r="M78" s="137"/>
      <c r="N78" s="137"/>
      <c r="O78" s="137"/>
      <c r="P78" s="137"/>
      <c r="Q78" s="137"/>
      <c r="R78" s="137"/>
      <c r="S78" s="137"/>
    </row>
    <row r="79" spans="1:19" ht="16.649999999999999" customHeight="1" x14ac:dyDescent="0.3"/>
    <row r="80" spans="1:19" ht="16.649999999999999" customHeight="1" x14ac:dyDescent="0.3">
      <c r="B80" s="50" t="s">
        <v>130</v>
      </c>
      <c r="C80" s="50"/>
      <c r="D80" s="50"/>
      <c r="E80" s="50"/>
      <c r="F80" s="50"/>
      <c r="G80" s="50"/>
      <c r="H80" s="50"/>
      <c r="I80" s="124" t="s">
        <v>131</v>
      </c>
      <c r="J80" s="124"/>
      <c r="K80" s="124"/>
      <c r="L80" s="124"/>
      <c r="M80" s="124"/>
      <c r="N80" s="125" t="s">
        <v>139</v>
      </c>
      <c r="O80" s="125"/>
      <c r="P80" s="124" t="s">
        <v>132</v>
      </c>
      <c r="Q80" s="124"/>
      <c r="R80" s="124"/>
      <c r="S80" s="88">
        <v>0.01</v>
      </c>
    </row>
    <row r="81" spans="2:19" ht="16.649999999999999" customHeight="1" x14ac:dyDescent="0.3">
      <c r="B81" s="50"/>
      <c r="C81" s="50"/>
      <c r="D81" s="50"/>
      <c r="E81" s="50"/>
      <c r="F81" s="50"/>
      <c r="G81" s="50"/>
      <c r="H81" s="50"/>
      <c r="I81" s="94"/>
      <c r="J81" s="94"/>
      <c r="K81" s="94"/>
      <c r="L81" s="94"/>
      <c r="M81" s="94"/>
      <c r="N81" s="88"/>
      <c r="O81" s="88"/>
      <c r="P81" s="94"/>
      <c r="Q81" s="94"/>
      <c r="R81" s="94"/>
      <c r="S81" s="88"/>
    </row>
    <row r="82" spans="2:19" ht="16.649999999999999" customHeight="1" x14ac:dyDescent="0.3">
      <c r="B82" s="134" t="s">
        <v>151</v>
      </c>
      <c r="C82" s="134"/>
      <c r="D82" s="134"/>
      <c r="E82" s="134"/>
      <c r="F82" s="134"/>
      <c r="G82" s="134"/>
      <c r="H82" s="134"/>
      <c r="I82" s="94"/>
      <c r="J82" s="94"/>
      <c r="K82" s="94"/>
      <c r="L82" s="94"/>
      <c r="M82" s="94"/>
      <c r="N82" s="88"/>
      <c r="O82" s="88"/>
      <c r="P82" s="94"/>
      <c r="Q82" s="94"/>
      <c r="R82" s="94"/>
      <c r="S82" s="88"/>
    </row>
    <row r="83" spans="2:19" ht="16.8" customHeight="1" x14ac:dyDescent="0.3"/>
    <row r="84" spans="2:19" ht="24" customHeight="1" x14ac:dyDescent="0.3">
      <c r="E84" s="132" t="s">
        <v>134</v>
      </c>
      <c r="F84" s="132"/>
      <c r="G84" s="132" t="s">
        <v>166</v>
      </c>
      <c r="H84" s="132"/>
      <c r="I84" s="132" t="s">
        <v>167</v>
      </c>
      <c r="J84" s="132"/>
      <c r="K84" s="133" t="s">
        <v>133</v>
      </c>
      <c r="L84" s="133"/>
      <c r="M84" s="132" t="s">
        <v>96</v>
      </c>
      <c r="N84" s="132"/>
      <c r="O84" s="132"/>
      <c r="P84" s="87" t="s">
        <v>14</v>
      </c>
    </row>
    <row r="85" spans="2:19" ht="16.8" customHeight="1" x14ac:dyDescent="0.3">
      <c r="E85" s="122" t="s">
        <v>135</v>
      </c>
      <c r="F85" s="122"/>
      <c r="G85" s="135">
        <v>70</v>
      </c>
      <c r="H85" s="135"/>
      <c r="I85" s="135">
        <f>MEDIDA!C5</f>
        <v>69.900000000000006</v>
      </c>
      <c r="J85" s="135"/>
      <c r="K85" s="135">
        <f>MEDIDA!D5</f>
        <v>-9.9999999999994316E-2</v>
      </c>
      <c r="L85" s="135"/>
      <c r="M85" s="135">
        <v>0.45</v>
      </c>
      <c r="N85" s="135"/>
      <c r="O85" s="135"/>
      <c r="P85" s="92">
        <v>2</v>
      </c>
    </row>
    <row r="86" spans="2:19" ht="16.8" customHeight="1" x14ac:dyDescent="0.3">
      <c r="E86" s="122" t="s">
        <v>136</v>
      </c>
      <c r="F86" s="122"/>
      <c r="G86" s="135">
        <v>50</v>
      </c>
      <c r="H86" s="135"/>
      <c r="I86" s="135">
        <f>MEDIDA!C6</f>
        <v>50</v>
      </c>
      <c r="J86" s="135"/>
      <c r="K86" s="135">
        <f>MEDIDA!D6</f>
        <v>0</v>
      </c>
      <c r="L86" s="135"/>
      <c r="M86" s="135">
        <v>0.42</v>
      </c>
      <c r="N86" s="135"/>
      <c r="O86" s="135"/>
      <c r="P86" s="92">
        <v>2</v>
      </c>
    </row>
    <row r="87" spans="2:19" ht="16.8" customHeight="1" x14ac:dyDescent="0.3">
      <c r="E87" s="122" t="s">
        <v>137</v>
      </c>
      <c r="F87" s="122"/>
      <c r="G87" s="135">
        <v>50</v>
      </c>
      <c r="H87" s="135"/>
      <c r="I87" s="135">
        <f>MEDIDA!C7</f>
        <v>50</v>
      </c>
      <c r="J87" s="135"/>
      <c r="K87" s="135">
        <f>MEDIDA!D7</f>
        <v>0</v>
      </c>
      <c r="L87" s="135"/>
      <c r="M87" s="135">
        <v>0.46</v>
      </c>
      <c r="N87" s="135"/>
      <c r="O87" s="135"/>
      <c r="P87" s="92">
        <v>2</v>
      </c>
    </row>
    <row r="88" spans="2:19" ht="16.8" customHeight="1" x14ac:dyDescent="0.3">
      <c r="E88" s="122" t="s">
        <v>138</v>
      </c>
      <c r="F88" s="122"/>
      <c r="G88" s="135">
        <v>10</v>
      </c>
      <c r="H88" s="135"/>
      <c r="I88" s="135">
        <f>MEDIDA!C8</f>
        <v>10</v>
      </c>
      <c r="J88" s="135"/>
      <c r="K88" s="135">
        <f>MEDIDA!D8</f>
        <v>0</v>
      </c>
      <c r="L88" s="135"/>
      <c r="M88" s="135">
        <v>0.44</v>
      </c>
      <c r="N88" s="135"/>
      <c r="O88" s="135"/>
      <c r="P88" s="92">
        <v>2</v>
      </c>
      <c r="Q88" s="89"/>
    </row>
    <row r="89" spans="2:19" ht="16.2" customHeight="1" x14ac:dyDescent="0.3"/>
    <row r="90" spans="2:19" ht="16.95" customHeight="1" x14ac:dyDescent="0.3">
      <c r="B90" s="134" t="s">
        <v>150</v>
      </c>
      <c r="C90" s="134"/>
      <c r="D90" s="134"/>
      <c r="E90" s="134"/>
      <c r="F90" s="134"/>
      <c r="G90" s="134"/>
      <c r="H90" s="134"/>
      <c r="I90" s="94"/>
      <c r="J90" s="94"/>
      <c r="K90" s="94"/>
      <c r="L90" s="94"/>
      <c r="M90" s="94"/>
      <c r="N90" s="88"/>
      <c r="O90" s="88"/>
      <c r="P90" s="94"/>
      <c r="Q90" s="94"/>
      <c r="R90" s="94"/>
      <c r="S90" s="88"/>
    </row>
    <row r="91" spans="2:19" ht="16.95" customHeight="1" x14ac:dyDescent="0.3"/>
    <row r="92" spans="2:19" ht="25.2" customHeight="1" x14ac:dyDescent="0.3">
      <c r="E92" s="132" t="s">
        <v>134</v>
      </c>
      <c r="F92" s="132"/>
      <c r="G92" s="132" t="s">
        <v>166</v>
      </c>
      <c r="H92" s="132"/>
      <c r="I92" s="132" t="s">
        <v>167</v>
      </c>
      <c r="J92" s="132"/>
      <c r="K92" s="133" t="s">
        <v>133</v>
      </c>
      <c r="L92" s="133"/>
      <c r="M92" s="132" t="s">
        <v>96</v>
      </c>
      <c r="N92" s="132"/>
      <c r="O92" s="132"/>
      <c r="P92" s="87" t="s">
        <v>14</v>
      </c>
    </row>
    <row r="93" spans="2:19" x14ac:dyDescent="0.3">
      <c r="E93" s="122" t="s">
        <v>135</v>
      </c>
      <c r="F93" s="122"/>
      <c r="G93" s="135">
        <v>70</v>
      </c>
      <c r="H93" s="135"/>
      <c r="I93" s="135">
        <f>MEDIDA!C12</f>
        <v>69.900000000000006</v>
      </c>
      <c r="J93" s="135"/>
      <c r="K93" s="135">
        <f>MEDIDA!D12</f>
        <v>-9.9999999999994316E-2</v>
      </c>
      <c r="L93" s="135"/>
      <c r="M93" s="135">
        <v>0.45</v>
      </c>
      <c r="N93" s="135"/>
      <c r="O93" s="135"/>
      <c r="P93" s="92">
        <v>2</v>
      </c>
    </row>
    <row r="94" spans="2:19" ht="16.95" customHeight="1" x14ac:dyDescent="0.3">
      <c r="E94" s="122" t="s">
        <v>136</v>
      </c>
      <c r="F94" s="122"/>
      <c r="G94" s="135">
        <v>50</v>
      </c>
      <c r="H94" s="135"/>
      <c r="I94" s="135">
        <f>MEDIDA!C13</f>
        <v>50</v>
      </c>
      <c r="J94" s="135"/>
      <c r="K94" s="135">
        <f>MEDIDA!D13</f>
        <v>0</v>
      </c>
      <c r="L94" s="135"/>
      <c r="M94" s="135">
        <v>0.42</v>
      </c>
      <c r="N94" s="135"/>
      <c r="O94" s="135"/>
      <c r="P94" s="92">
        <v>2</v>
      </c>
    </row>
    <row r="95" spans="2:19" ht="16.95" customHeight="1" x14ac:dyDescent="0.3">
      <c r="E95" s="122" t="s">
        <v>137</v>
      </c>
      <c r="F95" s="122"/>
      <c r="G95" s="135">
        <v>50</v>
      </c>
      <c r="H95" s="135"/>
      <c r="I95" s="135">
        <f>MEDIDA!C14</f>
        <v>50</v>
      </c>
      <c r="J95" s="135"/>
      <c r="K95" s="135">
        <f>MEDIDA!D14</f>
        <v>0</v>
      </c>
      <c r="L95" s="135"/>
      <c r="M95" s="135">
        <v>0.46</v>
      </c>
      <c r="N95" s="135"/>
      <c r="O95" s="135"/>
      <c r="P95" s="92">
        <v>2</v>
      </c>
    </row>
    <row r="96" spans="2:19" ht="16.95" customHeight="1" x14ac:dyDescent="0.3">
      <c r="E96" s="122" t="s">
        <v>138</v>
      </c>
      <c r="F96" s="122"/>
      <c r="G96" s="135">
        <v>10</v>
      </c>
      <c r="H96" s="135"/>
      <c r="I96" s="135">
        <f>MEDIDA!C15</f>
        <v>10</v>
      </c>
      <c r="J96" s="135"/>
      <c r="K96" s="135">
        <f>MEDIDA!D15</f>
        <v>0</v>
      </c>
      <c r="L96" s="135"/>
      <c r="M96" s="135">
        <v>0.44</v>
      </c>
      <c r="N96" s="135"/>
      <c r="O96" s="135"/>
      <c r="P96" s="92">
        <v>2</v>
      </c>
      <c r="Q96" s="89"/>
    </row>
    <row r="97" spans="2:19" ht="16.95" customHeight="1" x14ac:dyDescent="0.3"/>
    <row r="98" spans="2:19" ht="16.95" customHeight="1" x14ac:dyDescent="0.3"/>
    <row r="99" spans="2:19" ht="16.95" customHeight="1" x14ac:dyDescent="0.3">
      <c r="B99" s="50" t="s">
        <v>152</v>
      </c>
      <c r="C99" s="50"/>
      <c r="D99" s="50"/>
      <c r="E99" s="50"/>
      <c r="F99" s="50"/>
      <c r="G99" s="50"/>
      <c r="H99" s="50"/>
      <c r="I99" s="124" t="s">
        <v>153</v>
      </c>
      <c r="J99" s="124"/>
      <c r="K99" s="124"/>
      <c r="L99" s="124"/>
      <c r="M99" s="124"/>
      <c r="N99" s="125" t="s">
        <v>178</v>
      </c>
      <c r="O99" s="125"/>
      <c r="P99" s="126" t="s">
        <v>154</v>
      </c>
      <c r="Q99" s="126"/>
      <c r="R99" s="126"/>
      <c r="S99" s="88">
        <v>1</v>
      </c>
    </row>
    <row r="100" spans="2:19" ht="16.95" customHeight="1" x14ac:dyDescent="0.3"/>
    <row r="101" spans="2:19" ht="16.95" customHeight="1" x14ac:dyDescent="0.3">
      <c r="D101" s="127" t="s">
        <v>155</v>
      </c>
      <c r="E101" s="127"/>
      <c r="F101" s="127"/>
      <c r="G101" s="127"/>
      <c r="H101" s="127"/>
      <c r="I101" s="127"/>
      <c r="J101" s="127"/>
      <c r="K101" s="127"/>
      <c r="L101" s="128" t="s">
        <v>156</v>
      </c>
      <c r="M101" s="129"/>
      <c r="N101" s="129"/>
      <c r="O101" s="129"/>
      <c r="P101" s="129"/>
      <c r="Q101" s="129"/>
      <c r="R101" s="129"/>
      <c r="S101" s="129"/>
    </row>
    <row r="102" spans="2:19" ht="27" customHeight="1" x14ac:dyDescent="0.3">
      <c r="B102" s="130" t="s">
        <v>157</v>
      </c>
      <c r="C102" s="131"/>
      <c r="D102" s="132" t="s">
        <v>158</v>
      </c>
      <c r="E102" s="132"/>
      <c r="F102" s="132" t="s">
        <v>159</v>
      </c>
      <c r="G102" s="132"/>
      <c r="H102" s="132" t="s">
        <v>160</v>
      </c>
      <c r="I102" s="132"/>
      <c r="J102" s="132" t="s">
        <v>161</v>
      </c>
      <c r="K102" s="132"/>
      <c r="L102" s="133" t="s">
        <v>162</v>
      </c>
      <c r="M102" s="133"/>
      <c r="N102" s="133" t="s">
        <v>163</v>
      </c>
      <c r="O102" s="133"/>
      <c r="P102" s="132" t="s">
        <v>96</v>
      </c>
      <c r="Q102" s="132"/>
      <c r="R102" s="132"/>
      <c r="S102" s="87" t="s">
        <v>14</v>
      </c>
    </row>
    <row r="103" spans="2:19" ht="16.95" customHeight="1" x14ac:dyDescent="0.3">
      <c r="B103" s="121">
        <v>60</v>
      </c>
      <c r="C103" s="121"/>
      <c r="D103" s="121">
        <f>MEDIDA!C19</f>
        <v>60</v>
      </c>
      <c r="E103" s="122"/>
      <c r="F103" s="121">
        <f>D103</f>
        <v>60</v>
      </c>
      <c r="G103" s="122"/>
      <c r="H103" s="121">
        <f>D103</f>
        <v>60</v>
      </c>
      <c r="I103" s="122"/>
      <c r="J103" s="121">
        <f>D103</f>
        <v>60</v>
      </c>
      <c r="K103" s="122"/>
      <c r="L103" s="123">
        <f t="shared" ref="L103:L105" si="0">AVERAGE(D103:K103)</f>
        <v>60</v>
      </c>
      <c r="M103" s="123"/>
      <c r="N103" s="123">
        <f t="shared" ref="N103" si="1">L103-B103</f>
        <v>0</v>
      </c>
      <c r="O103" s="123"/>
      <c r="P103" s="123">
        <v>2.2000000000000002</v>
      </c>
      <c r="Q103" s="123"/>
      <c r="R103" s="123"/>
      <c r="S103" s="92">
        <f>[2]INCERTIDUMBRE!K44</f>
        <v>2.007844963532889</v>
      </c>
    </row>
    <row r="104" spans="2:19" ht="16.95" customHeight="1" x14ac:dyDescent="0.3">
      <c r="B104" s="121">
        <v>120</v>
      </c>
      <c r="C104" s="121"/>
      <c r="D104" s="121">
        <f>MEDIDA!C20</f>
        <v>120</v>
      </c>
      <c r="E104" s="122"/>
      <c r="F104" s="121">
        <f t="shared" ref="F104:F105" si="2">D104</f>
        <v>120</v>
      </c>
      <c r="G104" s="122"/>
      <c r="H104" s="121">
        <f t="shared" ref="H104:H105" si="3">D104</f>
        <v>120</v>
      </c>
      <c r="I104" s="122"/>
      <c r="J104" s="121">
        <f t="shared" ref="J104:J105" si="4">D104</f>
        <v>120</v>
      </c>
      <c r="K104" s="122"/>
      <c r="L104" s="123">
        <f t="shared" si="0"/>
        <v>120</v>
      </c>
      <c r="M104" s="123"/>
      <c r="N104" s="123">
        <f t="shared" ref="N104:N105" si="5">L104-B104</f>
        <v>0</v>
      </c>
      <c r="O104" s="123"/>
      <c r="P104" s="123">
        <v>2.2000000000000002</v>
      </c>
      <c r="Q104" s="123"/>
      <c r="R104" s="123"/>
      <c r="S104" s="92">
        <f>[2]INCERTIDUMBRE!K45</f>
        <v>2.007844963532889</v>
      </c>
    </row>
    <row r="105" spans="2:19" ht="16.95" customHeight="1" x14ac:dyDescent="0.3">
      <c r="B105" s="121">
        <v>180</v>
      </c>
      <c r="C105" s="121"/>
      <c r="D105" s="121">
        <f>MEDIDA!C21</f>
        <v>180</v>
      </c>
      <c r="E105" s="122"/>
      <c r="F105" s="121">
        <f t="shared" si="2"/>
        <v>180</v>
      </c>
      <c r="G105" s="122"/>
      <c r="H105" s="121">
        <f t="shared" si="3"/>
        <v>180</v>
      </c>
      <c r="I105" s="122"/>
      <c r="J105" s="121">
        <f t="shared" si="4"/>
        <v>180</v>
      </c>
      <c r="K105" s="122"/>
      <c r="L105" s="123">
        <f t="shared" si="0"/>
        <v>180</v>
      </c>
      <c r="M105" s="123"/>
      <c r="N105" s="123">
        <f t="shared" si="5"/>
        <v>0</v>
      </c>
      <c r="O105" s="123"/>
      <c r="P105" s="123">
        <v>2.2000000000000002</v>
      </c>
      <c r="Q105" s="123"/>
      <c r="R105" s="123"/>
      <c r="S105" s="92">
        <f>[2]INCERTIDUMBRE!K46</f>
        <v>2.007844963532889</v>
      </c>
    </row>
    <row r="106" spans="2:19" ht="16.95" customHeight="1" x14ac:dyDescent="0.3">
      <c r="B106" s="106"/>
      <c r="C106" s="106"/>
      <c r="D106" s="106"/>
      <c r="E106" s="107"/>
      <c r="F106" s="107"/>
      <c r="G106" s="107"/>
      <c r="H106" s="107"/>
      <c r="I106" s="107"/>
      <c r="J106" s="107"/>
      <c r="K106" s="107"/>
      <c r="L106" s="108"/>
      <c r="M106" s="108"/>
      <c r="N106" s="108"/>
      <c r="O106" s="108"/>
      <c r="P106" s="108"/>
      <c r="Q106" s="108"/>
      <c r="R106" s="108"/>
      <c r="S106" s="108"/>
    </row>
    <row r="107" spans="2:19" ht="16.95" customHeight="1" x14ac:dyDescent="0.3">
      <c r="B107" s="106"/>
      <c r="C107" s="106"/>
      <c r="D107" s="106"/>
      <c r="E107" s="107"/>
      <c r="F107" s="107"/>
      <c r="G107" s="107"/>
      <c r="H107" s="107"/>
      <c r="I107" s="107"/>
      <c r="J107" s="107"/>
      <c r="K107" s="107"/>
      <c r="L107" s="108"/>
      <c r="M107" s="108"/>
      <c r="N107" s="108"/>
      <c r="O107" s="108"/>
      <c r="P107" s="108"/>
      <c r="Q107" s="108"/>
      <c r="R107" s="108"/>
      <c r="S107" s="108"/>
    </row>
    <row r="108" spans="2:19" ht="16.95" customHeight="1" x14ac:dyDescent="0.3">
      <c r="B108" s="106"/>
      <c r="C108" s="106"/>
      <c r="D108" s="106"/>
      <c r="E108" s="107"/>
      <c r="F108" s="107"/>
      <c r="G108" s="107"/>
      <c r="H108" s="107"/>
      <c r="I108" s="107"/>
      <c r="J108" s="107"/>
      <c r="K108" s="107"/>
      <c r="L108" s="108"/>
      <c r="M108" s="108"/>
      <c r="N108" s="108"/>
      <c r="O108" s="108"/>
      <c r="P108" s="108"/>
      <c r="Q108" s="108"/>
      <c r="R108" s="108"/>
      <c r="S108" s="108"/>
    </row>
    <row r="109" spans="2:19" ht="16.95" customHeight="1" x14ac:dyDescent="0.3">
      <c r="B109" s="106"/>
      <c r="C109" s="106"/>
      <c r="D109" s="106"/>
      <c r="E109" s="107"/>
      <c r="F109" s="107"/>
      <c r="G109" s="107"/>
      <c r="H109" s="107"/>
      <c r="I109" s="107"/>
      <c r="J109" s="107"/>
      <c r="K109" s="107"/>
      <c r="L109" s="108"/>
      <c r="M109" s="108"/>
      <c r="N109" s="108"/>
      <c r="O109" s="108"/>
      <c r="P109" s="108"/>
      <c r="Q109" s="108"/>
      <c r="R109" s="108"/>
      <c r="S109" s="108"/>
    </row>
    <row r="110" spans="2:19" ht="16.95" customHeight="1" x14ac:dyDescent="0.3">
      <c r="B110" s="106"/>
      <c r="C110" s="106"/>
      <c r="D110" s="106"/>
      <c r="E110" s="107"/>
      <c r="F110" s="107"/>
      <c r="G110" s="107"/>
      <c r="H110" s="107"/>
      <c r="I110" s="107"/>
      <c r="J110" s="107"/>
      <c r="K110" s="107"/>
      <c r="L110" s="108"/>
      <c r="M110" s="108"/>
      <c r="N110" s="108"/>
      <c r="O110" s="108"/>
      <c r="P110" s="108"/>
      <c r="Q110" s="108"/>
      <c r="R110" s="108"/>
      <c r="S110" s="108"/>
    </row>
    <row r="112" spans="2:19" x14ac:dyDescent="0.3">
      <c r="O112" s="120" t="str">
        <f>O76</f>
        <v>CERTIFICADO N°:</v>
      </c>
      <c r="P112" s="120"/>
      <c r="Q112" s="120"/>
      <c r="R112" s="120">
        <f>R76</f>
        <v>0</v>
      </c>
      <c r="S112" s="120"/>
    </row>
    <row r="113" spans="2:19" ht="16.95" customHeight="1" x14ac:dyDescent="0.3"/>
    <row r="114" spans="2:19" ht="16.95" customHeight="1" x14ac:dyDescent="0.3"/>
    <row r="115" spans="2:19" ht="16.95" customHeight="1" x14ac:dyDescent="0.3">
      <c r="B115" s="137" t="s">
        <v>97</v>
      </c>
      <c r="C115" s="137"/>
      <c r="D115" s="137"/>
      <c r="E115" s="137"/>
      <c r="F115" s="137"/>
      <c r="G115" s="137"/>
      <c r="H115" s="137"/>
      <c r="I115" s="137"/>
      <c r="J115" s="137"/>
      <c r="K115" s="137"/>
      <c r="L115" s="137"/>
      <c r="M115" s="137"/>
      <c r="N115" s="137"/>
      <c r="O115" s="137"/>
      <c r="P115" s="137"/>
      <c r="Q115" s="137"/>
      <c r="R115" s="137"/>
      <c r="S115" s="137"/>
    </row>
    <row r="116" spans="2:19" ht="16.95" customHeight="1" x14ac:dyDescent="0.3"/>
    <row r="117" spans="2:19" ht="16.95" customHeight="1" x14ac:dyDescent="0.3">
      <c r="B117" s="138" t="s">
        <v>98</v>
      </c>
      <c r="C117" s="138"/>
      <c r="D117" s="138"/>
      <c r="E117" s="138"/>
      <c r="F117" s="138"/>
      <c r="G117" s="138"/>
      <c r="I117" s="76" t="s">
        <v>99</v>
      </c>
      <c r="J117" s="76"/>
      <c r="K117" s="76"/>
      <c r="L117" s="76"/>
      <c r="M117" s="76"/>
      <c r="N117" s="76"/>
      <c r="O117" s="76"/>
      <c r="P117" s="76"/>
      <c r="Q117" s="76"/>
      <c r="R117" s="76"/>
      <c r="S117" s="76"/>
    </row>
    <row r="118" spans="2:19" ht="19.8" customHeight="1" x14ac:dyDescent="0.3">
      <c r="B118" s="139" t="s">
        <v>100</v>
      </c>
      <c r="C118" s="139"/>
      <c r="D118" s="139"/>
      <c r="E118" s="139"/>
      <c r="F118" s="139"/>
      <c r="G118" s="139"/>
      <c r="I118" s="76" t="s">
        <v>99</v>
      </c>
    </row>
    <row r="119" spans="2:19" x14ac:dyDescent="0.3">
      <c r="B119" s="138" t="s">
        <v>101</v>
      </c>
      <c r="C119" s="138"/>
      <c r="D119" s="138"/>
      <c r="E119" s="138"/>
      <c r="F119" s="138"/>
      <c r="G119" s="138"/>
      <c r="I119" s="76" t="s">
        <v>99</v>
      </c>
      <c r="J119" s="76"/>
      <c r="K119" s="76"/>
      <c r="L119" s="76"/>
      <c r="M119" s="76"/>
      <c r="N119" s="76"/>
      <c r="O119" s="76"/>
      <c r="P119" s="76"/>
      <c r="Q119" s="76"/>
      <c r="R119" s="76"/>
      <c r="S119" s="76"/>
    </row>
    <row r="120" spans="2:19" x14ac:dyDescent="0.3">
      <c r="B120" s="170" t="s">
        <v>102</v>
      </c>
      <c r="C120" s="170"/>
      <c r="D120" s="170"/>
      <c r="E120" s="170"/>
      <c r="F120" s="170"/>
      <c r="G120" s="170"/>
      <c r="I120" s="171" t="s">
        <v>99</v>
      </c>
      <c r="J120" s="171"/>
      <c r="K120" s="171"/>
      <c r="L120" s="171"/>
      <c r="M120" s="86"/>
      <c r="N120" s="86"/>
      <c r="O120" s="86"/>
      <c r="P120" s="86"/>
      <c r="Q120" s="86"/>
      <c r="R120" s="86"/>
      <c r="S120" s="86"/>
    </row>
    <row r="121" spans="2:19" ht="16.649999999999999" customHeight="1" x14ac:dyDescent="0.3"/>
    <row r="122" spans="2:19" ht="16.8" customHeight="1" x14ac:dyDescent="0.3"/>
    <row r="123" spans="2:19" ht="16.8" customHeight="1" x14ac:dyDescent="0.3">
      <c r="B123" s="148" t="s">
        <v>186</v>
      </c>
      <c r="C123" s="148"/>
      <c r="D123" s="148"/>
      <c r="E123" s="148"/>
      <c r="F123" s="148"/>
      <c r="G123" s="148"/>
      <c r="H123" s="148"/>
      <c r="I123" s="148"/>
      <c r="J123" s="148"/>
      <c r="K123" s="148"/>
      <c r="L123" s="148"/>
      <c r="M123" s="148"/>
      <c r="N123" s="148"/>
      <c r="O123" s="148"/>
      <c r="P123" s="148"/>
      <c r="Q123" s="148"/>
      <c r="R123" s="148"/>
      <c r="S123" s="148"/>
    </row>
    <row r="124" spans="2:19" ht="16.8" customHeight="1" x14ac:dyDescent="0.3"/>
    <row r="125" spans="2:19" ht="16.8" customHeight="1" x14ac:dyDescent="0.3"/>
    <row r="129" ht="16.649999999999999" customHeight="1" x14ac:dyDescent="0.3"/>
    <row r="130" ht="16.649999999999999" customHeight="1" x14ac:dyDescent="0.3"/>
    <row r="131" ht="16.649999999999999" customHeight="1" x14ac:dyDescent="0.3"/>
    <row r="132" ht="16.8" customHeight="1" x14ac:dyDescent="0.3"/>
    <row r="133" ht="16.8" customHeight="1" x14ac:dyDescent="0.3"/>
    <row r="134" ht="24" customHeight="1" x14ac:dyDescent="0.3"/>
    <row r="135" ht="16.8" customHeight="1" x14ac:dyDescent="0.3"/>
    <row r="136" ht="16.8" customHeight="1" x14ac:dyDescent="0.3"/>
    <row r="137" ht="16.8" customHeight="1" x14ac:dyDescent="0.3"/>
    <row r="138" ht="16.8" customHeight="1" x14ac:dyDescent="0.3"/>
    <row r="139" ht="16.8" customHeight="1" x14ac:dyDescent="0.3"/>
    <row r="143" ht="24" customHeight="1" x14ac:dyDescent="0.3"/>
    <row r="144" ht="16.8" customHeight="1" x14ac:dyDescent="0.3"/>
    <row r="145" ht="16.8" customHeight="1" x14ac:dyDescent="0.3"/>
    <row r="146" ht="16.8" customHeight="1" x14ac:dyDescent="0.3"/>
    <row r="147" ht="16.8" customHeight="1" x14ac:dyDescent="0.3"/>
    <row r="148" ht="16.8" customHeight="1" x14ac:dyDescent="0.3"/>
    <row r="152" ht="24" customHeight="1" x14ac:dyDescent="0.3"/>
    <row r="164" spans="20:20" ht="16.2" customHeight="1" x14ac:dyDescent="0.3">
      <c r="T164" s="50"/>
    </row>
    <row r="165" spans="20:20" ht="11.4" customHeight="1" x14ac:dyDescent="0.3"/>
    <row r="169" spans="20:20" ht="16.8" customHeight="1" x14ac:dyDescent="0.3"/>
    <row r="170" spans="20:20" ht="24" customHeight="1" x14ac:dyDescent="0.3"/>
    <row r="174" spans="20:20" ht="16.8" customHeight="1" x14ac:dyDescent="0.3"/>
    <row r="178" spans="20:20" ht="24" customHeight="1" x14ac:dyDescent="0.3"/>
    <row r="189" spans="20:20" x14ac:dyDescent="0.3">
      <c r="T189" s="86"/>
    </row>
  </sheetData>
  <mergeCells count="173">
    <mergeCell ref="B90:H90"/>
    <mergeCell ref="E92:F92"/>
    <mergeCell ref="G92:H92"/>
    <mergeCell ref="I92:J92"/>
    <mergeCell ref="K92:L92"/>
    <mergeCell ref="M92:O92"/>
    <mergeCell ref="E93:F93"/>
    <mergeCell ref="G93:H93"/>
    <mergeCell ref="I93:J93"/>
    <mergeCell ref="K93:L93"/>
    <mergeCell ref="M93:O93"/>
    <mergeCell ref="I94:J94"/>
    <mergeCell ref="K94:L94"/>
    <mergeCell ref="M94:O94"/>
    <mergeCell ref="E95:F95"/>
    <mergeCell ref="G95:H95"/>
    <mergeCell ref="I95:J95"/>
    <mergeCell ref="K95:L95"/>
    <mergeCell ref="M95:O95"/>
    <mergeCell ref="E96:F96"/>
    <mergeCell ref="G96:H96"/>
    <mergeCell ref="I96:J96"/>
    <mergeCell ref="K96:L96"/>
    <mergeCell ref="M96:O96"/>
    <mergeCell ref="B117:G117"/>
    <mergeCell ref="B118:G118"/>
    <mergeCell ref="B119:G119"/>
    <mergeCell ref="B120:G120"/>
    <mergeCell ref="I120:L120"/>
    <mergeCell ref="B123:S123"/>
    <mergeCell ref="M84:O84"/>
    <mergeCell ref="E88:F88"/>
    <mergeCell ref="G88:H88"/>
    <mergeCell ref="I88:J88"/>
    <mergeCell ref="K86:L86"/>
    <mergeCell ref="M86:O86"/>
    <mergeCell ref="E87:F87"/>
    <mergeCell ref="G87:H87"/>
    <mergeCell ref="G84:H84"/>
    <mergeCell ref="I84:J84"/>
    <mergeCell ref="K84:L84"/>
    <mergeCell ref="M87:O87"/>
    <mergeCell ref="E86:F86"/>
    <mergeCell ref="G86:H86"/>
    <mergeCell ref="I86:J86"/>
    <mergeCell ref="B115:S115"/>
    <mergeCell ref="E94:F94"/>
    <mergeCell ref="G94:H94"/>
    <mergeCell ref="B70:G70"/>
    <mergeCell ref="B71:G71"/>
    <mergeCell ref="B51:S58"/>
    <mergeCell ref="B61:S62"/>
    <mergeCell ref="B65:S68"/>
    <mergeCell ref="P71:S71"/>
    <mergeCell ref="H70:L70"/>
    <mergeCell ref="H71:L71"/>
    <mergeCell ref="M70:O70"/>
    <mergeCell ref="M71:O71"/>
    <mergeCell ref="P70:S70"/>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B82:H82"/>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B102:C102"/>
    <mergeCell ref="D102:E102"/>
    <mergeCell ref="F102:G102"/>
    <mergeCell ref="H102:I102"/>
    <mergeCell ref="J102:K102"/>
    <mergeCell ref="L102:M102"/>
    <mergeCell ref="N102:O102"/>
    <mergeCell ref="P102:R102"/>
    <mergeCell ref="R76:S76"/>
    <mergeCell ref="K88:L88"/>
    <mergeCell ref="M88:O88"/>
    <mergeCell ref="I87:J87"/>
    <mergeCell ref="K87:L87"/>
    <mergeCell ref="M85:O85"/>
    <mergeCell ref="O76:Q76"/>
    <mergeCell ref="B78:S78"/>
    <mergeCell ref="E84:F84"/>
    <mergeCell ref="N80:O80"/>
    <mergeCell ref="P80:R80"/>
    <mergeCell ref="I80:M80"/>
    <mergeCell ref="E85:F85"/>
    <mergeCell ref="G85:H85"/>
    <mergeCell ref="I85:J85"/>
    <mergeCell ref="K85:L85"/>
    <mergeCell ref="D103:E103"/>
    <mergeCell ref="F103:G103"/>
    <mergeCell ref="H103:I103"/>
    <mergeCell ref="J103:K103"/>
    <mergeCell ref="L103:M103"/>
    <mergeCell ref="P103:R103"/>
    <mergeCell ref="I99:M99"/>
    <mergeCell ref="N99:O99"/>
    <mergeCell ref="P99:R99"/>
    <mergeCell ref="D101:K101"/>
    <mergeCell ref="L101:S101"/>
    <mergeCell ref="B72:G72"/>
    <mergeCell ref="H72:L72"/>
    <mergeCell ref="M72:O72"/>
    <mergeCell ref="P72:S72"/>
    <mergeCell ref="R112:S112"/>
    <mergeCell ref="O112:Q112"/>
    <mergeCell ref="B104:C104"/>
    <mergeCell ref="D104:E104"/>
    <mergeCell ref="F104:G104"/>
    <mergeCell ref="H104:I104"/>
    <mergeCell ref="J104:K104"/>
    <mergeCell ref="L104:M104"/>
    <mergeCell ref="N104:O104"/>
    <mergeCell ref="P104:R104"/>
    <mergeCell ref="B105:C105"/>
    <mergeCell ref="D105:E105"/>
    <mergeCell ref="F105:G105"/>
    <mergeCell ref="H105:I105"/>
    <mergeCell ref="J105:K105"/>
    <mergeCell ref="L105:M105"/>
    <mergeCell ref="N105:O105"/>
    <mergeCell ref="P105:R105"/>
    <mergeCell ref="N103:O103"/>
    <mergeCell ref="B103:C103"/>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2024-05-14T14:11:14Z</cp:lastPrinted>
  <dcterms:created xsi:type="dcterms:W3CDTF">2012-07-25T22:15:54Z</dcterms:created>
  <dcterms:modified xsi:type="dcterms:W3CDTF">2026-05-05T02:20:13Z</dcterms:modified>
</cp:coreProperties>
</file>