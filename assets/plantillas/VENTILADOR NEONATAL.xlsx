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03E167B-4F2E-493E-8D35-93ECCBBA3F07}"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3" i="20" l="1"/>
  <c r="W23" i="20" s="1"/>
  <c r="G127" i="31" s="1"/>
  <c r="T17" i="20"/>
  <c r="V17" i="20" s="1"/>
  <c r="X17" i="20" s="1"/>
  <c r="Z17" i="20" s="1"/>
  <c r="T6" i="20"/>
  <c r="T7" i="20" s="1"/>
  <c r="V7" i="20" s="1"/>
  <c r="X7" i="20" s="1"/>
  <c r="Z7" i="20" s="1"/>
  <c r="D23" i="20"/>
  <c r="D24" i="20" s="1"/>
  <c r="F24" i="20" s="1"/>
  <c r="H24" i="20" s="1"/>
  <c r="J24" i="20" s="1"/>
  <c r="D14" i="20"/>
  <c r="D15" i="20" s="1"/>
  <c r="D16" i="20" s="1"/>
  <c r="D17" i="20" s="1"/>
  <c r="C128" i="31"/>
  <c r="C129" i="31"/>
  <c r="C127" i="31"/>
  <c r="B128" i="31"/>
  <c r="B129" i="31"/>
  <c r="B127" i="31"/>
  <c r="AB24" i="20"/>
  <c r="AD24" i="20" s="1"/>
  <c r="N128" i="31" s="1"/>
  <c r="AB25" i="20"/>
  <c r="L129" i="31" s="1"/>
  <c r="AB23" i="20"/>
  <c r="AD23" i="20" s="1"/>
  <c r="N127" i="31" s="1"/>
  <c r="Z24" i="20"/>
  <c r="J128" i="31" s="1"/>
  <c r="Z25" i="20"/>
  <c r="J129" i="31" s="1"/>
  <c r="Z23" i="20"/>
  <c r="J127" i="31" s="1"/>
  <c r="X24" i="20"/>
  <c r="H128" i="31" s="1"/>
  <c r="X25" i="20"/>
  <c r="H129" i="31" s="1"/>
  <c r="X23" i="20"/>
  <c r="H127" i="31" s="1"/>
  <c r="V24" i="20"/>
  <c r="F128" i="31" s="1"/>
  <c r="V25" i="20"/>
  <c r="F129" i="31" s="1"/>
  <c r="V23" i="20"/>
  <c r="F127" i="31" s="1"/>
  <c r="V15" i="20"/>
  <c r="X15" i="20" s="1"/>
  <c r="Z15" i="20" s="1"/>
  <c r="V16" i="20"/>
  <c r="X16" i="20" s="1"/>
  <c r="Z16" i="20" s="1"/>
  <c r="V14" i="20"/>
  <c r="X14" i="20" s="1"/>
  <c r="Z14" i="20" s="1"/>
  <c r="M32" i="31"/>
  <c r="I13" i="31"/>
  <c r="I12" i="31"/>
  <c r="I10" i="31"/>
  <c r="I9" i="31"/>
  <c r="I8" i="31"/>
  <c r="I7" i="31"/>
  <c r="I6" i="31"/>
  <c r="I5" i="31"/>
  <c r="R1" i="31"/>
  <c r="B10" i="23"/>
  <c r="B9" i="23"/>
  <c r="D128" i="31"/>
  <c r="D129" i="31"/>
  <c r="D127" i="31"/>
  <c r="N46" i="31"/>
  <c r="K46" i="31"/>
  <c r="I46" i="31"/>
  <c r="F46" i="31"/>
  <c r="M31" i="31"/>
  <c r="I18" i="31"/>
  <c r="I19" i="31"/>
  <c r="I20" i="31"/>
  <c r="I21" i="31"/>
  <c r="I17" i="31"/>
  <c r="I11" i="31"/>
  <c r="U24" i="20" l="1"/>
  <c r="U25" i="20" s="1"/>
  <c r="E127" i="31"/>
  <c r="T8" i="20"/>
  <c r="D107" i="31" s="1"/>
  <c r="V6" i="20"/>
  <c r="X6" i="20" s="1"/>
  <c r="F23" i="20"/>
  <c r="H23" i="20" s="1"/>
  <c r="J23" i="20" s="1"/>
  <c r="D25" i="20"/>
  <c r="D97" i="31" s="1"/>
  <c r="H14" i="20"/>
  <c r="J14" i="20"/>
  <c r="J85" i="31" s="1"/>
  <c r="F17" i="20"/>
  <c r="F88" i="31" s="1"/>
  <c r="H17" i="20"/>
  <c r="H88" i="31" s="1"/>
  <c r="J17" i="20"/>
  <c r="F16" i="20"/>
  <c r="F87" i="31" s="1"/>
  <c r="H16" i="20"/>
  <c r="H87" i="31" s="1"/>
  <c r="J16" i="20"/>
  <c r="J87" i="31" s="1"/>
  <c r="F15" i="20"/>
  <c r="H15" i="20"/>
  <c r="H86" i="31" s="1"/>
  <c r="J15" i="20"/>
  <c r="J86" i="31" s="1"/>
  <c r="F14" i="20"/>
  <c r="F85" i="31" s="1"/>
  <c r="L128" i="31"/>
  <c r="L127" i="31"/>
  <c r="AD25" i="20"/>
  <c r="N129" i="31" s="1"/>
  <c r="Y23" i="20"/>
  <c r="R38" i="31"/>
  <c r="AB17" i="20"/>
  <c r="AD17" i="20" s="1"/>
  <c r="N121" i="31" s="1"/>
  <c r="G40" i="21"/>
  <c r="G41" i="21"/>
  <c r="G39" i="21"/>
  <c r="H33" i="21"/>
  <c r="I33" i="21" s="1"/>
  <c r="H34" i="21"/>
  <c r="I34" i="21" s="1"/>
  <c r="J34" i="21" s="1"/>
  <c r="K34" i="21" s="1"/>
  <c r="H35" i="21"/>
  <c r="I35" i="21" s="1"/>
  <c r="H32" i="21"/>
  <c r="I32" i="21" s="1"/>
  <c r="J32" i="21" s="1"/>
  <c r="K32" i="21" s="1"/>
  <c r="H26" i="21"/>
  <c r="I26" i="21" s="1"/>
  <c r="G28" i="21"/>
  <c r="F28" i="21"/>
  <c r="D28" i="21"/>
  <c r="C28" i="21"/>
  <c r="G27" i="21"/>
  <c r="F27" i="21"/>
  <c r="D27" i="21"/>
  <c r="C27" i="21"/>
  <c r="G26" i="21"/>
  <c r="F26" i="21"/>
  <c r="D26" i="21"/>
  <c r="C26" i="21"/>
  <c r="G25" i="21"/>
  <c r="F25" i="21"/>
  <c r="D25" i="21"/>
  <c r="C25" i="21"/>
  <c r="H19" i="21"/>
  <c r="I19" i="21" s="1"/>
  <c r="G19" i="21"/>
  <c r="G20" i="21"/>
  <c r="G21" i="21"/>
  <c r="G18" i="21"/>
  <c r="D19" i="21"/>
  <c r="D20" i="21"/>
  <c r="D21" i="21"/>
  <c r="D18" i="21"/>
  <c r="C19" i="21"/>
  <c r="C20" i="21"/>
  <c r="C21" i="21"/>
  <c r="C18" i="21"/>
  <c r="G12" i="21"/>
  <c r="G13" i="21"/>
  <c r="G14" i="21"/>
  <c r="G11" i="21"/>
  <c r="D12" i="21"/>
  <c r="D13" i="21"/>
  <c r="D14" i="21"/>
  <c r="D11" i="21"/>
  <c r="C12" i="21"/>
  <c r="C13" i="21"/>
  <c r="C14" i="21"/>
  <c r="C11" i="21"/>
  <c r="C5" i="21"/>
  <c r="C6" i="21"/>
  <c r="C7" i="21"/>
  <c r="C4" i="21"/>
  <c r="I4" i="25"/>
  <c r="G5" i="25"/>
  <c r="G4" i="25"/>
  <c r="B7" i="21"/>
  <c r="D7" i="21"/>
  <c r="F7" i="21"/>
  <c r="G7" i="21"/>
  <c r="H7" i="21"/>
  <c r="I7" i="21" s="1"/>
  <c r="B119" i="31"/>
  <c r="B120" i="31"/>
  <c r="B121" i="31"/>
  <c r="B118" i="31"/>
  <c r="J106" i="31"/>
  <c r="H106" i="31"/>
  <c r="F106" i="31"/>
  <c r="D106" i="31"/>
  <c r="D105" i="31"/>
  <c r="B106" i="31"/>
  <c r="B107" i="31"/>
  <c r="B108" i="31"/>
  <c r="B105" i="31"/>
  <c r="AB7" i="20"/>
  <c r="L106" i="31" s="1"/>
  <c r="B88" i="31"/>
  <c r="B86" i="31"/>
  <c r="B87" i="31"/>
  <c r="B85" i="31"/>
  <c r="F40" i="21"/>
  <c r="F41" i="21"/>
  <c r="F39" i="21"/>
  <c r="G33" i="21"/>
  <c r="G34" i="21"/>
  <c r="G35" i="21"/>
  <c r="G32" i="21"/>
  <c r="F33" i="21"/>
  <c r="F34" i="21"/>
  <c r="F35" i="21"/>
  <c r="F32" i="21"/>
  <c r="F21" i="21"/>
  <c r="F20" i="21"/>
  <c r="F19" i="21"/>
  <c r="F18" i="21"/>
  <c r="D5" i="21"/>
  <c r="D6" i="21"/>
  <c r="D4" i="21"/>
  <c r="I41" i="21"/>
  <c r="J41" i="21"/>
  <c r="K41" i="21"/>
  <c r="I40" i="21"/>
  <c r="J40" i="21"/>
  <c r="K40" i="21"/>
  <c r="F14" i="21"/>
  <c r="F13" i="21"/>
  <c r="F12" i="21"/>
  <c r="F11" i="21"/>
  <c r="G5" i="21"/>
  <c r="G6" i="21"/>
  <c r="G4" i="21"/>
  <c r="F5" i="21"/>
  <c r="F6" i="21"/>
  <c r="F4" i="21"/>
  <c r="H5" i="21"/>
  <c r="I5" i="21" s="1"/>
  <c r="H6" i="21"/>
  <c r="I6" i="21" s="1"/>
  <c r="J6" i="21" s="1"/>
  <c r="K6" i="21" s="1"/>
  <c r="H4" i="21"/>
  <c r="I4" i="21" s="1"/>
  <c r="B40" i="21"/>
  <c r="B41" i="21"/>
  <c r="B39" i="21"/>
  <c r="B33" i="21"/>
  <c r="B34" i="21"/>
  <c r="B35" i="21"/>
  <c r="B32" i="21"/>
  <c r="B26" i="21"/>
  <c r="B27" i="21"/>
  <c r="B28" i="21"/>
  <c r="B25" i="21"/>
  <c r="I39" i="21"/>
  <c r="B19" i="21"/>
  <c r="B20" i="21"/>
  <c r="B21" i="21"/>
  <c r="B18" i="21"/>
  <c r="B12" i="21"/>
  <c r="B13" i="21"/>
  <c r="B14" i="21"/>
  <c r="B11" i="21"/>
  <c r="B5" i="21"/>
  <c r="B6" i="21"/>
  <c r="B4" i="21"/>
  <c r="J119" i="31"/>
  <c r="J120" i="31"/>
  <c r="J121" i="31"/>
  <c r="J118" i="31"/>
  <c r="H119" i="31"/>
  <c r="H120" i="31"/>
  <c r="H121" i="31"/>
  <c r="H118" i="31"/>
  <c r="F119" i="31"/>
  <c r="F120" i="31"/>
  <c r="F121" i="31"/>
  <c r="F118" i="31"/>
  <c r="D119" i="31"/>
  <c r="D120" i="31"/>
  <c r="D121" i="31"/>
  <c r="D118" i="31"/>
  <c r="J96" i="31"/>
  <c r="H96" i="31"/>
  <c r="F96" i="31"/>
  <c r="D96" i="31"/>
  <c r="D95" i="31"/>
  <c r="D86" i="31"/>
  <c r="D87" i="31"/>
  <c r="D88" i="31"/>
  <c r="D85" i="31"/>
  <c r="AB15" i="20"/>
  <c r="L119" i="31" s="1"/>
  <c r="AB16" i="20"/>
  <c r="AD16" i="20" s="1"/>
  <c r="N120" i="31" s="1"/>
  <c r="AB14" i="20"/>
  <c r="AD14" i="20" s="1"/>
  <c r="N118" i="31" s="1"/>
  <c r="L24" i="20"/>
  <c r="L96" i="31" s="1"/>
  <c r="B96" i="31"/>
  <c r="B97" i="31"/>
  <c r="B98" i="31"/>
  <c r="B95" i="31"/>
  <c r="L41" i="21"/>
  <c r="P129" i="31"/>
  <c r="S129" i="31"/>
  <c r="L40" i="21"/>
  <c r="P128" i="31"/>
  <c r="S128" i="31"/>
  <c r="J39" i="21"/>
  <c r="K39" i="21"/>
  <c r="L39" i="21"/>
  <c r="P127" i="31"/>
  <c r="S127" i="31"/>
  <c r="O76" i="31"/>
  <c r="O112" i="31" s="1"/>
  <c r="O38" i="31"/>
  <c r="C444" i="29"/>
  <c r="G446" i="29"/>
  <c r="E443" i="29"/>
  <c r="F443" i="29"/>
  <c r="E4" i="25"/>
  <c r="A404" i="29"/>
  <c r="A204" i="29"/>
  <c r="E209" i="29"/>
  <c r="A164" i="29"/>
  <c r="E206" i="29"/>
  <c r="F209" i="29"/>
  <c r="J206" i="29"/>
  <c r="E452" i="29"/>
  <c r="F452" i="29"/>
  <c r="G452" i="29"/>
  <c r="D444" i="29"/>
  <c r="L446" i="29"/>
  <c r="F444" i="29"/>
  <c r="G443" i="29"/>
  <c r="H443" i="29"/>
  <c r="E446" i="29"/>
  <c r="H449" i="29"/>
  <c r="G206" i="29"/>
  <c r="F206" i="29"/>
  <c r="L447" i="29"/>
  <c r="G449" i="29"/>
  <c r="E406" i="29"/>
  <c r="F409" i="29"/>
  <c r="E409" i="29"/>
  <c r="J407" i="29"/>
  <c r="B165" i="29"/>
  <c r="C172" i="29"/>
  <c r="D172" i="29"/>
  <c r="E172" i="29"/>
  <c r="J166" i="29"/>
  <c r="J406" i="29"/>
  <c r="E169" i="29"/>
  <c r="C212" i="29"/>
  <c r="D212" i="29"/>
  <c r="E212" i="29"/>
  <c r="C203" i="29"/>
  <c r="D203" i="29"/>
  <c r="J167" i="29"/>
  <c r="C412" i="29"/>
  <c r="D412" i="29"/>
  <c r="E412" i="29"/>
  <c r="E166" i="29"/>
  <c r="F169" i="29"/>
  <c r="C163" i="29"/>
  <c r="D163" i="29"/>
  <c r="C403" i="29"/>
  <c r="D403" i="29"/>
  <c r="J207" i="29"/>
  <c r="H4" i="25"/>
  <c r="H206" i="29"/>
  <c r="I446" i="29"/>
  <c r="F446" i="29"/>
  <c r="E447" i="29"/>
  <c r="E448" i="29"/>
  <c r="G166" i="29"/>
  <c r="H166" i="29"/>
  <c r="G406" i="29"/>
  <c r="E403" i="29"/>
  <c r="F403" i="29"/>
  <c r="C406" i="29"/>
  <c r="D404" i="29"/>
  <c r="E203" i="29"/>
  <c r="F203" i="29"/>
  <c r="C206" i="29"/>
  <c r="D204" i="29"/>
  <c r="E163" i="29"/>
  <c r="F163" i="29"/>
  <c r="C166" i="29"/>
  <c r="D164" i="29"/>
  <c r="E5" i="25"/>
  <c r="H5" i="25"/>
  <c r="J446" i="29"/>
  <c r="H446" i="29"/>
  <c r="F166" i="29"/>
  <c r="M446" i="29"/>
  <c r="C452" i="29"/>
  <c r="J443" i="29"/>
  <c r="F449" i="29"/>
  <c r="F447" i="29"/>
  <c r="A43" i="29"/>
  <c r="H406" i="29"/>
  <c r="F406" i="29"/>
  <c r="C167" i="29"/>
  <c r="C168" i="29"/>
  <c r="D166" i="29"/>
  <c r="C207" i="29"/>
  <c r="C208" i="29"/>
  <c r="D206" i="29"/>
  <c r="D406" i="29"/>
  <c r="C407" i="29"/>
  <c r="C408" i="29"/>
  <c r="L454" i="29"/>
  <c r="E460" i="29"/>
  <c r="F460" i="29"/>
  <c r="G460" i="29"/>
  <c r="E454" i="29"/>
  <c r="G457" i="29"/>
  <c r="G454" i="29"/>
  <c r="H457" i="29"/>
  <c r="L455" i="29"/>
  <c r="C51" i="29"/>
  <c r="D51" i="29"/>
  <c r="E51" i="29"/>
  <c r="E48" i="29"/>
  <c r="J46" i="29"/>
  <c r="B43" i="29"/>
  <c r="C42" i="29"/>
  <c r="D42" i="29"/>
  <c r="E45" i="29"/>
  <c r="F48" i="29"/>
  <c r="J45" i="29"/>
  <c r="D209" i="29"/>
  <c r="D207" i="29"/>
  <c r="K206" i="29"/>
  <c r="A212" i="29"/>
  <c r="H203" i="29"/>
  <c r="D167" i="29"/>
  <c r="D169" i="29"/>
  <c r="K166" i="29"/>
  <c r="A172" i="29"/>
  <c r="H163" i="29"/>
  <c r="H403" i="29"/>
  <c r="K406" i="29"/>
  <c r="A412" i="29"/>
  <c r="D407" i="29"/>
  <c r="D409" i="29"/>
  <c r="I454" i="29"/>
  <c r="J454" i="29"/>
  <c r="E455" i="29"/>
  <c r="E456" i="29"/>
  <c r="M454" i="29"/>
  <c r="C460" i="29"/>
  <c r="F454" i="29"/>
  <c r="H454" i="29"/>
  <c r="D43" i="29"/>
  <c r="E42" i="29"/>
  <c r="F42" i="29"/>
  <c r="C45" i="29"/>
  <c r="G45" i="29"/>
  <c r="E217" i="29"/>
  <c r="C220" i="29"/>
  <c r="D220" i="29"/>
  <c r="E220" i="29"/>
  <c r="C214" i="29"/>
  <c r="J215" i="29"/>
  <c r="J214" i="29"/>
  <c r="E214" i="29"/>
  <c r="F217" i="29"/>
  <c r="C414" i="29"/>
  <c r="C420" i="29"/>
  <c r="D420" i="29"/>
  <c r="E420" i="29"/>
  <c r="J415" i="29"/>
  <c r="J414" i="29"/>
  <c r="E414" i="29"/>
  <c r="F417" i="29"/>
  <c r="E417" i="29"/>
  <c r="C180" i="29"/>
  <c r="D180" i="29"/>
  <c r="E180" i="29"/>
  <c r="E177" i="29"/>
  <c r="C174" i="29"/>
  <c r="J174" i="29"/>
  <c r="J175" i="29"/>
  <c r="E174" i="29"/>
  <c r="F177" i="29"/>
  <c r="G214" i="29"/>
  <c r="H214" i="29"/>
  <c r="F457" i="29"/>
  <c r="F455" i="29"/>
  <c r="L462" i="29"/>
  <c r="L463" i="29"/>
  <c r="G465" i="29"/>
  <c r="G462" i="29"/>
  <c r="H465" i="29"/>
  <c r="E468" i="29"/>
  <c r="F468" i="29"/>
  <c r="G468" i="29"/>
  <c r="E462" i="29"/>
  <c r="C46" i="29"/>
  <c r="C47" i="29"/>
  <c r="D45" i="29"/>
  <c r="H45" i="29"/>
  <c r="F45" i="29"/>
  <c r="G414" i="29"/>
  <c r="D414" i="29"/>
  <c r="C415" i="29"/>
  <c r="C416" i="29"/>
  <c r="K414" i="29"/>
  <c r="A420" i="29"/>
  <c r="D214" i="29"/>
  <c r="C215" i="29"/>
  <c r="C216" i="29"/>
  <c r="K214" i="29"/>
  <c r="A220" i="29"/>
  <c r="D174" i="29"/>
  <c r="C175" i="29"/>
  <c r="C176" i="29"/>
  <c r="K174" i="29"/>
  <c r="A180" i="29"/>
  <c r="G174" i="29"/>
  <c r="H174" i="29"/>
  <c r="F214" i="29"/>
  <c r="F174" i="29"/>
  <c r="F462" i="29"/>
  <c r="E463" i="29"/>
  <c r="E464" i="29"/>
  <c r="M462" i="29"/>
  <c r="C468" i="29"/>
  <c r="I462" i="29"/>
  <c r="J462" i="29"/>
  <c r="D48" i="29"/>
  <c r="D46" i="29"/>
  <c r="H42" i="29"/>
  <c r="K45" i="29"/>
  <c r="A51" i="29"/>
  <c r="H414" i="29"/>
  <c r="F414" i="29"/>
  <c r="D175" i="29"/>
  <c r="D177" i="29"/>
  <c r="J223" i="29"/>
  <c r="E225" i="29"/>
  <c r="J222" i="29"/>
  <c r="E222" i="29"/>
  <c r="F225" i="29"/>
  <c r="C228" i="29"/>
  <c r="D228" i="29"/>
  <c r="E228" i="29"/>
  <c r="C222" i="29"/>
  <c r="D217" i="29"/>
  <c r="D215" i="29"/>
  <c r="C428" i="29"/>
  <c r="D428" i="29"/>
  <c r="E428" i="29"/>
  <c r="J422" i="29"/>
  <c r="J423" i="29"/>
  <c r="C422" i="29"/>
  <c r="E425" i="29"/>
  <c r="E422" i="29"/>
  <c r="F425" i="29"/>
  <c r="C182" i="29"/>
  <c r="C188" i="29"/>
  <c r="D188" i="29"/>
  <c r="E188" i="29"/>
  <c r="J183" i="29"/>
  <c r="J182" i="29"/>
  <c r="E185" i="29"/>
  <c r="E182" i="29"/>
  <c r="F185" i="29"/>
  <c r="D415" i="29"/>
  <c r="D417" i="29"/>
  <c r="G222" i="29"/>
  <c r="E470" i="29"/>
  <c r="L471" i="29"/>
  <c r="L470" i="29"/>
  <c r="G470" i="29"/>
  <c r="H473" i="29"/>
  <c r="E476" i="29"/>
  <c r="F476" i="29"/>
  <c r="G476" i="29"/>
  <c r="G473" i="29"/>
  <c r="F463" i="29"/>
  <c r="F465" i="29"/>
  <c r="H462" i="29"/>
  <c r="C59" i="29"/>
  <c r="D59" i="29"/>
  <c r="E59" i="29"/>
  <c r="E53" i="29"/>
  <c r="F56" i="29"/>
  <c r="J53" i="29"/>
  <c r="C53" i="29"/>
  <c r="E56" i="29"/>
  <c r="J54" i="29"/>
  <c r="D182" i="29"/>
  <c r="C183" i="29"/>
  <c r="C184" i="29"/>
  <c r="K182" i="29"/>
  <c r="A188" i="29"/>
  <c r="C223" i="29"/>
  <c r="C224" i="29"/>
  <c r="K222" i="29"/>
  <c r="A228" i="29"/>
  <c r="D222" i="29"/>
  <c r="G422" i="29"/>
  <c r="G182" i="29"/>
  <c r="C423" i="29"/>
  <c r="C424" i="29"/>
  <c r="K422" i="29"/>
  <c r="A428" i="29"/>
  <c r="D422" i="29"/>
  <c r="F222" i="29"/>
  <c r="H222" i="29"/>
  <c r="I470" i="29"/>
  <c r="J470" i="29"/>
  <c r="H470" i="29"/>
  <c r="F470" i="29"/>
  <c r="E471" i="29"/>
  <c r="E472" i="29"/>
  <c r="M470" i="29"/>
  <c r="C476" i="29"/>
  <c r="G53" i="29"/>
  <c r="H53" i="29"/>
  <c r="C54" i="29"/>
  <c r="C55" i="29"/>
  <c r="K53" i="29"/>
  <c r="A59" i="29"/>
  <c r="D53" i="29"/>
  <c r="J191" i="29"/>
  <c r="C190" i="29"/>
  <c r="C196" i="29"/>
  <c r="D196" i="29"/>
  <c r="E196" i="29"/>
  <c r="E193" i="29"/>
  <c r="J190" i="29"/>
  <c r="E190" i="29"/>
  <c r="F193" i="29"/>
  <c r="F182" i="29"/>
  <c r="H182" i="29"/>
  <c r="D223" i="29"/>
  <c r="D225" i="29"/>
  <c r="J431" i="29"/>
  <c r="E433" i="29"/>
  <c r="J430" i="29"/>
  <c r="C436" i="29"/>
  <c r="D436" i="29"/>
  <c r="E436" i="29"/>
  <c r="E430" i="29"/>
  <c r="F433" i="29"/>
  <c r="C430" i="29"/>
  <c r="D183" i="29"/>
  <c r="D185" i="29"/>
  <c r="F422" i="29"/>
  <c r="H422" i="29"/>
  <c r="E233" i="29"/>
  <c r="C230" i="29"/>
  <c r="E230" i="29"/>
  <c r="F233" i="29"/>
  <c r="J231" i="29"/>
  <c r="J230" i="29"/>
  <c r="C236" i="29"/>
  <c r="D236" i="29"/>
  <c r="E236" i="29"/>
  <c r="D423" i="29"/>
  <c r="D425" i="29"/>
  <c r="G190" i="29"/>
  <c r="E478" i="29"/>
  <c r="E479" i="29"/>
  <c r="E480" i="29"/>
  <c r="L479" i="29"/>
  <c r="G478" i="29"/>
  <c r="L478" i="29"/>
  <c r="G481" i="29"/>
  <c r="F471" i="29"/>
  <c r="F473" i="29"/>
  <c r="F53" i="29"/>
  <c r="J61" i="29"/>
  <c r="E61" i="29"/>
  <c r="F64" i="29"/>
  <c r="C61" i="29"/>
  <c r="C67" i="29"/>
  <c r="D67" i="29"/>
  <c r="E67" i="29"/>
  <c r="J62" i="29"/>
  <c r="E64" i="29"/>
  <c r="D54" i="29"/>
  <c r="D56" i="29"/>
  <c r="D230" i="29"/>
  <c r="C231" i="29"/>
  <c r="C232" i="29"/>
  <c r="K230" i="29"/>
  <c r="A236" i="29"/>
  <c r="G430" i="29"/>
  <c r="H430" i="29"/>
  <c r="G230" i="29"/>
  <c r="H230" i="29"/>
  <c r="D190" i="29"/>
  <c r="C191" i="29"/>
  <c r="C192" i="29"/>
  <c r="K190" i="29"/>
  <c r="A196" i="29"/>
  <c r="C431" i="29"/>
  <c r="C432" i="29"/>
  <c r="K430" i="29"/>
  <c r="D430" i="29"/>
  <c r="M478" i="29"/>
  <c r="F478" i="29"/>
  <c r="H481" i="29"/>
  <c r="I478" i="29"/>
  <c r="F230" i="29"/>
  <c r="H190" i="29"/>
  <c r="F190" i="29"/>
  <c r="D61" i="29"/>
  <c r="C62" i="29"/>
  <c r="C63" i="29"/>
  <c r="K61" i="29"/>
  <c r="A67" i="29"/>
  <c r="G61" i="29"/>
  <c r="H61" i="29"/>
  <c r="A436" i="29"/>
  <c r="C438" i="29"/>
  <c r="C439" i="29"/>
  <c r="C440" i="29"/>
  <c r="B40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J478" i="29"/>
  <c r="H478" i="29"/>
  <c r="F479" i="29"/>
  <c r="F481" i="29"/>
  <c r="E438" i="29"/>
  <c r="D438" i="29"/>
  <c r="E441" i="29"/>
  <c r="J438" i="29"/>
  <c r="J439" i="29"/>
  <c r="F61" i="29"/>
  <c r="E69" i="29"/>
  <c r="F72" i="29"/>
  <c r="C75" i="29"/>
  <c r="D75" i="29"/>
  <c r="E75" i="29"/>
  <c r="C69" i="29"/>
  <c r="J70" i="29"/>
  <c r="J69" i="29"/>
  <c r="E72" i="29"/>
  <c r="D64" i="29"/>
  <c r="D62" i="29"/>
  <c r="K438" i="29"/>
  <c r="F241" i="29"/>
  <c r="G238" i="29"/>
  <c r="D238" i="29"/>
  <c r="D198" i="29"/>
  <c r="F201" i="29"/>
  <c r="G198" i="29"/>
  <c r="H198" i="29"/>
  <c r="K198" i="29"/>
  <c r="F441" i="29"/>
  <c r="G438" i="29"/>
  <c r="F438" i="29"/>
  <c r="G69" i="29"/>
  <c r="H69" i="29"/>
  <c r="D69" i="29"/>
  <c r="C70" i="29"/>
  <c r="C71" i="29"/>
  <c r="K69" i="29"/>
  <c r="A75" i="29"/>
  <c r="H438" i="29"/>
  <c r="D201" i="29"/>
  <c r="D199" i="29"/>
  <c r="D241" i="29"/>
  <c r="D239" i="29"/>
  <c r="D439" i="29"/>
  <c r="D441" i="29"/>
  <c r="H238" i="29"/>
  <c r="F238" i="29"/>
  <c r="F198" i="29"/>
  <c r="F69" i="29"/>
  <c r="J77" i="29"/>
  <c r="E80" i="29"/>
  <c r="C77" i="29"/>
  <c r="C78" i="29"/>
  <c r="C79" i="29"/>
  <c r="K77" i="29"/>
  <c r="J78" i="29"/>
  <c r="E77" i="29"/>
  <c r="D70" i="29"/>
  <c r="D72" i="29"/>
  <c r="F80" i="29"/>
  <c r="G77" i="29"/>
  <c r="D77" i="29"/>
  <c r="D78" i="29"/>
  <c r="D80" i="29"/>
  <c r="H77" i="29"/>
  <c r="F77" i="29"/>
  <c r="Z6" i="20" l="1"/>
  <c r="J105" i="31" s="1"/>
  <c r="H105" i="31"/>
  <c r="E129" i="31"/>
  <c r="W25" i="20"/>
  <c r="E128" i="31"/>
  <c r="W24" i="20"/>
  <c r="F105" i="31"/>
  <c r="V8" i="20"/>
  <c r="T9" i="20"/>
  <c r="F95" i="31"/>
  <c r="H12" i="21"/>
  <c r="I12" i="21" s="1"/>
  <c r="J12" i="21" s="1"/>
  <c r="K12" i="21" s="1"/>
  <c r="S86" i="31" s="1"/>
  <c r="H11" i="21"/>
  <c r="I11" i="21" s="1"/>
  <c r="J11" i="21" s="1"/>
  <c r="K11" i="21" s="1"/>
  <c r="S85" i="31" s="1"/>
  <c r="H85" i="31"/>
  <c r="L14" i="20"/>
  <c r="L85" i="31" s="1"/>
  <c r="H14" i="21"/>
  <c r="I14" i="21" s="1"/>
  <c r="L17" i="20"/>
  <c r="L88" i="31" s="1"/>
  <c r="F25" i="20"/>
  <c r="D26" i="20"/>
  <c r="J88" i="31"/>
  <c r="L15" i="20"/>
  <c r="L86" i="31" s="1"/>
  <c r="H13" i="21"/>
  <c r="I13" i="21" s="1"/>
  <c r="J13" i="21" s="1"/>
  <c r="K13" i="21" s="1"/>
  <c r="S87" i="31" s="1"/>
  <c r="F86" i="31"/>
  <c r="L16" i="20"/>
  <c r="N16" i="20" s="1"/>
  <c r="N87" i="31" s="1"/>
  <c r="L118" i="31"/>
  <c r="AD15" i="20"/>
  <c r="N119" i="31" s="1"/>
  <c r="I127" i="31"/>
  <c r="AA23" i="20"/>
  <c r="K127" i="31" s="1"/>
  <c r="L121" i="31"/>
  <c r="H95" i="31"/>
  <c r="L23" i="20"/>
  <c r="L95" i="31" s="1"/>
  <c r="J95" i="31"/>
  <c r="H18" i="21"/>
  <c r="I18" i="21" s="1"/>
  <c r="J18" i="21" s="1"/>
  <c r="K18" i="21" s="1"/>
  <c r="S95" i="31" s="1"/>
  <c r="J35" i="21"/>
  <c r="K35" i="21" s="1"/>
  <c r="L35" i="21" s="1"/>
  <c r="S107" i="31"/>
  <c r="S120" i="31"/>
  <c r="J33" i="21"/>
  <c r="K33" i="21" s="1"/>
  <c r="L33" i="21" s="1"/>
  <c r="L32" i="21"/>
  <c r="S118" i="31"/>
  <c r="S105" i="31"/>
  <c r="L34" i="21"/>
  <c r="L120" i="31"/>
  <c r="AD7" i="20"/>
  <c r="N106" i="31" s="1"/>
  <c r="N24" i="20"/>
  <c r="N96" i="31" s="1"/>
  <c r="R76" i="31"/>
  <c r="R112" i="31" s="1"/>
  <c r="J26" i="21"/>
  <c r="K26" i="21" s="1"/>
  <c r="L26" i="21" s="1"/>
  <c r="J19" i="21"/>
  <c r="K19" i="21" s="1"/>
  <c r="S96" i="31" s="1"/>
  <c r="J14" i="21"/>
  <c r="K14" i="21" s="1"/>
  <c r="S88" i="31" s="1"/>
  <c r="J7" i="21"/>
  <c r="K7" i="21" s="1"/>
  <c r="L6" i="21"/>
  <c r="J5" i="21"/>
  <c r="K5" i="21" s="1"/>
  <c r="J4" i="21"/>
  <c r="K4" i="21" s="1"/>
  <c r="H25" i="21" l="1"/>
  <c r="I25" i="21" s="1"/>
  <c r="J25" i="21" s="1"/>
  <c r="K25" i="21" s="1"/>
  <c r="L25" i="21" s="1"/>
  <c r="AB6" i="20"/>
  <c r="Y25" i="20"/>
  <c r="G129" i="31"/>
  <c r="Y24" i="20"/>
  <c r="G128" i="31"/>
  <c r="N17" i="20"/>
  <c r="N88" i="31" s="1"/>
  <c r="V9" i="20"/>
  <c r="D108" i="31"/>
  <c r="X8" i="20"/>
  <c r="F107" i="31"/>
  <c r="L12" i="21"/>
  <c r="A284" i="29" s="1"/>
  <c r="C292" i="29" s="1"/>
  <c r="D292" i="29" s="1"/>
  <c r="E292" i="29" s="1"/>
  <c r="N14" i="20"/>
  <c r="N85" i="31" s="1"/>
  <c r="F26" i="20"/>
  <c r="D98" i="31"/>
  <c r="N15" i="20"/>
  <c r="N86" i="31" s="1"/>
  <c r="H25" i="20"/>
  <c r="F97" i="31"/>
  <c r="L87" i="31"/>
  <c r="AC23" i="20"/>
  <c r="AE23" i="20" s="1"/>
  <c r="N23" i="20"/>
  <c r="N95" i="31" s="1"/>
  <c r="S106" i="31"/>
  <c r="S119" i="31"/>
  <c r="S121" i="31"/>
  <c r="S108" i="31"/>
  <c r="L19" i="21"/>
  <c r="P96" i="31" s="1"/>
  <c r="L18" i="21"/>
  <c r="P95" i="31" s="1"/>
  <c r="L14" i="21"/>
  <c r="L13" i="21"/>
  <c r="L11" i="21"/>
  <c r="L7" i="21"/>
  <c r="A83" i="29"/>
  <c r="L5" i="21"/>
  <c r="L4" i="21"/>
  <c r="AD6" i="20" l="1"/>
  <c r="N105" i="31" s="1"/>
  <c r="L105" i="31"/>
  <c r="I129" i="31"/>
  <c r="AA25" i="20"/>
  <c r="K129" i="31" s="1"/>
  <c r="I128" i="31"/>
  <c r="AA24" i="20"/>
  <c r="K128" i="31" s="1"/>
  <c r="J286" i="29"/>
  <c r="C283" i="29"/>
  <c r="D283" i="29" s="1"/>
  <c r="D284" i="29" s="1"/>
  <c r="J287" i="29"/>
  <c r="E286" i="29"/>
  <c r="F289" i="29" s="1"/>
  <c r="E289" i="29"/>
  <c r="Z8" i="20"/>
  <c r="H107" i="31"/>
  <c r="X9" i="20"/>
  <c r="F108" i="31"/>
  <c r="J25" i="20"/>
  <c r="H20" i="21" s="1"/>
  <c r="I20" i="21" s="1"/>
  <c r="H97" i="31"/>
  <c r="H26" i="20"/>
  <c r="F98" i="31"/>
  <c r="M127" i="31"/>
  <c r="O127" i="31"/>
  <c r="A324" i="29"/>
  <c r="J327" i="29" s="1"/>
  <c r="A364" i="29"/>
  <c r="A244" i="29"/>
  <c r="A124" i="29"/>
  <c r="J85" i="29"/>
  <c r="E88" i="29"/>
  <c r="C91" i="29"/>
  <c r="D91" i="29" s="1"/>
  <c r="E91" i="29" s="1"/>
  <c r="J86" i="29"/>
  <c r="C82" i="29"/>
  <c r="D82" i="29" s="1"/>
  <c r="E85" i="29"/>
  <c r="F88" i="29" s="1"/>
  <c r="A3" i="29"/>
  <c r="AC24" i="20" l="1"/>
  <c r="AE24" i="20" s="1"/>
  <c r="O128" i="31" s="1"/>
  <c r="AC25" i="20"/>
  <c r="G286" i="29"/>
  <c r="F286" i="29" s="1"/>
  <c r="E283" i="29"/>
  <c r="F283" i="29" s="1"/>
  <c r="C286" i="29" s="1"/>
  <c r="C287" i="29" s="1"/>
  <c r="C288" i="29" s="1"/>
  <c r="Z9" i="20"/>
  <c r="J108" i="31" s="1"/>
  <c r="H108" i="31"/>
  <c r="J107" i="31"/>
  <c r="H27" i="21"/>
  <c r="I27" i="21" s="1"/>
  <c r="J27" i="21" s="1"/>
  <c r="K27" i="21" s="1"/>
  <c r="L27" i="21" s="1"/>
  <c r="AB8" i="20"/>
  <c r="J20" i="21"/>
  <c r="K20" i="21" s="1"/>
  <c r="S97" i="31" s="1"/>
  <c r="J26" i="20"/>
  <c r="J98" i="31" s="1"/>
  <c r="H98" i="31"/>
  <c r="J97" i="31"/>
  <c r="L25" i="20"/>
  <c r="C323" i="29"/>
  <c r="D323" i="29" s="1"/>
  <c r="E323" i="29" s="1"/>
  <c r="F323" i="29" s="1"/>
  <c r="C326" i="29" s="1"/>
  <c r="C332" i="29"/>
  <c r="D332" i="29" s="1"/>
  <c r="E332" i="29" s="1"/>
  <c r="E326" i="29"/>
  <c r="F329" i="29" s="1"/>
  <c r="E329" i="29"/>
  <c r="J326" i="29"/>
  <c r="J367" i="29"/>
  <c r="E369" i="29"/>
  <c r="C363" i="29"/>
  <c r="D363" i="29" s="1"/>
  <c r="E366" i="29"/>
  <c r="F369" i="29" s="1"/>
  <c r="J366" i="29"/>
  <c r="C372" i="29"/>
  <c r="D372" i="29" s="1"/>
  <c r="E372" i="29" s="1"/>
  <c r="J247" i="29"/>
  <c r="E246" i="29"/>
  <c r="F249" i="29" s="1"/>
  <c r="E249" i="29"/>
  <c r="J246" i="29"/>
  <c r="C243" i="29"/>
  <c r="D243" i="29" s="1"/>
  <c r="C252" i="29"/>
  <c r="D252" i="29" s="1"/>
  <c r="E252" i="29" s="1"/>
  <c r="E126" i="29"/>
  <c r="F129" i="29" s="1"/>
  <c r="C123" i="29"/>
  <c r="D123" i="29" s="1"/>
  <c r="J127" i="29"/>
  <c r="C132" i="29"/>
  <c r="D132" i="29" s="1"/>
  <c r="E132" i="29" s="1"/>
  <c r="E129" i="29"/>
  <c r="J126" i="29"/>
  <c r="G85" i="29"/>
  <c r="H85" i="29" s="1"/>
  <c r="E82" i="29"/>
  <c r="F82" i="29" s="1"/>
  <c r="C85" i="29" s="1"/>
  <c r="D83" i="29"/>
  <c r="J6" i="29"/>
  <c r="E8" i="29"/>
  <c r="C2" i="29"/>
  <c r="D2" i="29" s="1"/>
  <c r="E5" i="29"/>
  <c r="F8" i="29" s="1"/>
  <c r="J5" i="29"/>
  <c r="C11" i="29"/>
  <c r="D11" i="29" s="1"/>
  <c r="E11" i="29" s="1"/>
  <c r="H286" i="29" l="1"/>
  <c r="M128" i="31"/>
  <c r="D286" i="29"/>
  <c r="D287" i="29" s="1"/>
  <c r="AE25" i="20"/>
  <c r="O129" i="31" s="1"/>
  <c r="M129" i="31"/>
  <c r="H28" i="21"/>
  <c r="I28" i="21" s="1"/>
  <c r="J28" i="21" s="1"/>
  <c r="K28" i="21" s="1"/>
  <c r="L28" i="21" s="1"/>
  <c r="AB9" i="20"/>
  <c r="L108" i="31" s="1"/>
  <c r="AD8" i="20"/>
  <c r="N107" i="31" s="1"/>
  <c r="L107" i="31"/>
  <c r="L26" i="20"/>
  <c r="N26" i="20" s="1"/>
  <c r="N98" i="31" s="1"/>
  <c r="H21" i="21"/>
  <c r="I21" i="21" s="1"/>
  <c r="J21" i="21" s="1"/>
  <c r="K21" i="21" s="1"/>
  <c r="S98" i="31" s="1"/>
  <c r="L97" i="31"/>
  <c r="N25" i="20"/>
  <c r="N97" i="31" s="1"/>
  <c r="L20" i="21"/>
  <c r="P97" i="31" s="1"/>
  <c r="D324" i="29"/>
  <c r="G326" i="29"/>
  <c r="H326" i="29" s="1"/>
  <c r="G126" i="29"/>
  <c r="H126" i="29" s="1"/>
  <c r="G246" i="29"/>
  <c r="H246" i="29" s="1"/>
  <c r="D364" i="29"/>
  <c r="E363" i="29"/>
  <c r="F363" i="29" s="1"/>
  <c r="C366" i="29" s="1"/>
  <c r="G366" i="29"/>
  <c r="H366" i="29" s="1"/>
  <c r="D326" i="29"/>
  <c r="C327" i="29"/>
  <c r="C328" i="29" s="1"/>
  <c r="E243" i="29"/>
  <c r="F243" i="29" s="1"/>
  <c r="C246" i="29" s="1"/>
  <c r="D244" i="29"/>
  <c r="E123" i="29"/>
  <c r="F123" i="29" s="1"/>
  <c r="C126" i="29" s="1"/>
  <c r="D124" i="29"/>
  <c r="F85" i="29"/>
  <c r="C86" i="29"/>
  <c r="C87" i="29" s="1"/>
  <c r="D85" i="29"/>
  <c r="D3" i="29"/>
  <c r="E2" i="29"/>
  <c r="F2" i="29" s="1"/>
  <c r="C5" i="29" s="1"/>
  <c r="G5" i="29"/>
  <c r="AD9" i="20" l="1"/>
  <c r="N108" i="31" s="1"/>
  <c r="D289" i="29"/>
  <c r="K286" i="29" s="1"/>
  <c r="A292" i="29" s="1"/>
  <c r="E297" i="29" s="1"/>
  <c r="L98" i="31"/>
  <c r="L21" i="21"/>
  <c r="P98" i="31" s="1"/>
  <c r="F326" i="29"/>
  <c r="F366" i="29"/>
  <c r="F126" i="29"/>
  <c r="F246" i="29"/>
  <c r="C367" i="29"/>
  <c r="C368" i="29" s="1"/>
  <c r="D366" i="29"/>
  <c r="D329" i="29"/>
  <c r="H323" i="29" s="1"/>
  <c r="D327" i="29"/>
  <c r="H283" i="29"/>
  <c r="C247" i="29"/>
  <c r="C248" i="29" s="1"/>
  <c r="D246" i="29"/>
  <c r="C127" i="29"/>
  <c r="C128" i="29" s="1"/>
  <c r="D126" i="29"/>
  <c r="D88" i="29"/>
  <c r="H82" i="29" s="1"/>
  <c r="D86" i="29"/>
  <c r="C6" i="29"/>
  <c r="C7" i="29" s="1"/>
  <c r="D5" i="29"/>
  <c r="H5" i="29"/>
  <c r="F5" i="29"/>
  <c r="C294" i="29" l="1"/>
  <c r="C295" i="29" s="1"/>
  <c r="C296" i="29" s="1"/>
  <c r="J295" i="29"/>
  <c r="E294" i="29"/>
  <c r="F297" i="29" s="1"/>
  <c r="G294" i="29" s="1"/>
  <c r="H294" i="29" s="1"/>
  <c r="C300" i="29"/>
  <c r="D300" i="29" s="1"/>
  <c r="E300" i="29" s="1"/>
  <c r="J294" i="29"/>
  <c r="K326" i="29"/>
  <c r="A332" i="29" s="1"/>
  <c r="C334" i="29" s="1"/>
  <c r="K85" i="29"/>
  <c r="A91" i="29" s="1"/>
  <c r="C99" i="29" s="1"/>
  <c r="D99" i="29" s="1"/>
  <c r="E99" i="29" s="1"/>
  <c r="D369" i="29"/>
  <c r="K366" i="29" s="1"/>
  <c r="A372" i="29" s="1"/>
  <c r="D367" i="29"/>
  <c r="D249" i="29"/>
  <c r="K246" i="29" s="1"/>
  <c r="A252" i="29" s="1"/>
  <c r="D247" i="29"/>
  <c r="D129" i="29"/>
  <c r="K126" i="29" s="1"/>
  <c r="A132" i="29" s="1"/>
  <c r="D127" i="29"/>
  <c r="D6" i="29"/>
  <c r="D8" i="29"/>
  <c r="K5" i="29" s="1"/>
  <c r="A11" i="29" s="1"/>
  <c r="D294" i="29" l="1"/>
  <c r="D297" i="29" s="1"/>
  <c r="K294" i="29" s="1"/>
  <c r="A300" i="29" s="1"/>
  <c r="H363" i="29"/>
  <c r="C340" i="29"/>
  <c r="D340" i="29" s="1"/>
  <c r="E340" i="29" s="1"/>
  <c r="E337" i="29"/>
  <c r="J335" i="29"/>
  <c r="J334" i="29"/>
  <c r="E334" i="29"/>
  <c r="F337" i="29" s="1"/>
  <c r="H123" i="29"/>
  <c r="F294" i="29"/>
  <c r="H243" i="29"/>
  <c r="E96" i="29"/>
  <c r="J93" i="29"/>
  <c r="E93" i="29"/>
  <c r="F96" i="29" s="1"/>
  <c r="J94" i="29"/>
  <c r="C93" i="29"/>
  <c r="C94" i="29" s="1"/>
  <c r="C95" i="29" s="1"/>
  <c r="H2" i="29"/>
  <c r="J374" i="29"/>
  <c r="C380" i="29"/>
  <c r="D380" i="29" s="1"/>
  <c r="E380" i="29" s="1"/>
  <c r="J375" i="29"/>
  <c r="E374" i="29"/>
  <c r="F377" i="29" s="1"/>
  <c r="C374" i="29"/>
  <c r="E377" i="29"/>
  <c r="D334" i="29"/>
  <c r="C335" i="29"/>
  <c r="C336" i="29" s="1"/>
  <c r="E257" i="29"/>
  <c r="E254" i="29"/>
  <c r="F257" i="29" s="1"/>
  <c r="C260" i="29"/>
  <c r="D260" i="29" s="1"/>
  <c r="E260" i="29" s="1"/>
  <c r="J255" i="29"/>
  <c r="C254" i="29"/>
  <c r="J254" i="29"/>
  <c r="J134" i="29"/>
  <c r="E137" i="29"/>
  <c r="C134" i="29"/>
  <c r="C140" i="29"/>
  <c r="D140" i="29" s="1"/>
  <c r="E140" i="29" s="1"/>
  <c r="J135" i="29"/>
  <c r="E134" i="29"/>
  <c r="F137" i="29" s="1"/>
  <c r="C13" i="29"/>
  <c r="E16" i="29"/>
  <c r="J14" i="29"/>
  <c r="E13" i="29"/>
  <c r="F16" i="29" s="1"/>
  <c r="C19" i="29"/>
  <c r="D19" i="29" s="1"/>
  <c r="E19" i="29" s="1"/>
  <c r="J13" i="29"/>
  <c r="D295" i="29" l="1"/>
  <c r="G334" i="29"/>
  <c r="H334" i="29" s="1"/>
  <c r="J303" i="29"/>
  <c r="E305" i="29"/>
  <c r="C308" i="29"/>
  <c r="D308" i="29" s="1"/>
  <c r="E308" i="29" s="1"/>
  <c r="J302" i="29"/>
  <c r="E302" i="29"/>
  <c r="F305" i="29" s="1"/>
  <c r="C302" i="29"/>
  <c r="D302" i="29" s="1"/>
  <c r="G93" i="29"/>
  <c r="H93" i="29" s="1"/>
  <c r="D93" i="29"/>
  <c r="D96" i="29" s="1"/>
  <c r="K93" i="29" s="1"/>
  <c r="A99" i="29" s="1"/>
  <c r="G374" i="29"/>
  <c r="H374" i="29" s="1"/>
  <c r="C375" i="29"/>
  <c r="C376" i="29" s="1"/>
  <c r="D374" i="29"/>
  <c r="D337" i="29"/>
  <c r="K334" i="29" s="1"/>
  <c r="A340" i="29" s="1"/>
  <c r="D335" i="29"/>
  <c r="C255" i="29"/>
  <c r="C256" i="29" s="1"/>
  <c r="D254" i="29"/>
  <c r="G254" i="29"/>
  <c r="D134" i="29"/>
  <c r="C135" i="29"/>
  <c r="C136" i="29" s="1"/>
  <c r="G134" i="29"/>
  <c r="G13" i="29"/>
  <c r="D13" i="29"/>
  <c r="C14" i="29"/>
  <c r="C15" i="29" s="1"/>
  <c r="F334" i="29" l="1"/>
  <c r="G302" i="29"/>
  <c r="H302" i="29" s="1"/>
  <c r="D94" i="29"/>
  <c r="F93" i="29"/>
  <c r="C303" i="29"/>
  <c r="C304" i="29" s="1"/>
  <c r="F374" i="29"/>
  <c r="E345" i="29"/>
  <c r="E342" i="29"/>
  <c r="F345" i="29" s="1"/>
  <c r="C348" i="29"/>
  <c r="D348" i="29" s="1"/>
  <c r="E348" i="29" s="1"/>
  <c r="C342" i="29"/>
  <c r="D342" i="29" s="1"/>
  <c r="J343" i="29"/>
  <c r="J342" i="29"/>
  <c r="E104" i="29"/>
  <c r="J102" i="29"/>
  <c r="C101" i="29"/>
  <c r="C102" i="29" s="1"/>
  <c r="C103" i="29" s="1"/>
  <c r="E101" i="29"/>
  <c r="F104" i="29" s="1"/>
  <c r="J101" i="29"/>
  <c r="C107" i="29"/>
  <c r="D107" i="29" s="1"/>
  <c r="E107" i="29" s="1"/>
  <c r="D377" i="29"/>
  <c r="K374" i="29" s="1"/>
  <c r="A380" i="29" s="1"/>
  <c r="D375" i="29"/>
  <c r="D305" i="29"/>
  <c r="D303" i="29"/>
  <c r="F254" i="29"/>
  <c r="H254" i="29"/>
  <c r="D257" i="29"/>
  <c r="K254" i="29" s="1"/>
  <c r="A260" i="29" s="1"/>
  <c r="D255" i="29"/>
  <c r="H134" i="29"/>
  <c r="F134" i="29"/>
  <c r="D135" i="29"/>
  <c r="D137" i="29"/>
  <c r="K134" i="29" s="1"/>
  <c r="A140" i="29" s="1"/>
  <c r="D16" i="29"/>
  <c r="K13" i="29" s="1"/>
  <c r="A19" i="29" s="1"/>
  <c r="D14" i="29"/>
  <c r="F13" i="29"/>
  <c r="H13" i="29"/>
  <c r="F302" i="29" l="1"/>
  <c r="K302" i="29"/>
  <c r="A308" i="29" s="1"/>
  <c r="C343" i="29"/>
  <c r="C344" i="29" s="1"/>
  <c r="G342" i="29"/>
  <c r="F342" i="29" s="1"/>
  <c r="G101" i="29"/>
  <c r="H101" i="29" s="1"/>
  <c r="D101" i="29"/>
  <c r="D104" i="29" s="1"/>
  <c r="K101" i="29" s="1"/>
  <c r="A107" i="29" s="1"/>
  <c r="J21" i="29"/>
  <c r="C21" i="29"/>
  <c r="C22" i="29" s="1"/>
  <c r="C23" i="29" s="1"/>
  <c r="E24" i="29"/>
  <c r="E21" i="29"/>
  <c r="F24" i="29" s="1"/>
  <c r="C27" i="29"/>
  <c r="D27" i="29" s="1"/>
  <c r="E27" i="29" s="1"/>
  <c r="J22" i="29"/>
  <c r="E145" i="29"/>
  <c r="J143" i="29"/>
  <c r="C148" i="29"/>
  <c r="D148" i="29" s="1"/>
  <c r="E148" i="29" s="1"/>
  <c r="E142" i="29"/>
  <c r="F145" i="29" s="1"/>
  <c r="C142" i="29"/>
  <c r="C143" i="29" s="1"/>
  <c r="C144" i="29" s="1"/>
  <c r="J142" i="29"/>
  <c r="J382" i="29"/>
  <c r="J383" i="29"/>
  <c r="E385" i="29"/>
  <c r="C388" i="29"/>
  <c r="D388" i="29" s="1"/>
  <c r="E388" i="29" s="1"/>
  <c r="E382" i="29"/>
  <c r="F385" i="29" s="1"/>
  <c r="C382" i="29"/>
  <c r="D382" i="29" s="1"/>
  <c r="D345" i="29"/>
  <c r="D343" i="29"/>
  <c r="C262" i="29"/>
  <c r="C263" i="29" s="1"/>
  <c r="C264" i="29" s="1"/>
  <c r="J263" i="29"/>
  <c r="E262" i="29"/>
  <c r="F265" i="29" s="1"/>
  <c r="C268" i="29"/>
  <c r="D268" i="29" s="1"/>
  <c r="E268" i="29" s="1"/>
  <c r="J262" i="29"/>
  <c r="E265" i="29"/>
  <c r="B284" i="29" l="1"/>
  <c r="C310" i="29"/>
  <c r="D310" i="29" s="1"/>
  <c r="E313" i="29"/>
  <c r="J310" i="29"/>
  <c r="C316" i="29"/>
  <c r="D316" i="29" s="1"/>
  <c r="E316" i="29" s="1"/>
  <c r="E310" i="29"/>
  <c r="F313" i="29" s="1"/>
  <c r="K342" i="29"/>
  <c r="A348" i="29" s="1"/>
  <c r="C356" i="29" s="1"/>
  <c r="D356" i="29" s="1"/>
  <c r="E356" i="29" s="1"/>
  <c r="H342" i="29"/>
  <c r="J311" i="29"/>
  <c r="C383" i="29"/>
  <c r="C384" i="29" s="1"/>
  <c r="F101" i="29"/>
  <c r="G262" i="29"/>
  <c r="F262" i="29" s="1"/>
  <c r="D262" i="29"/>
  <c r="D263" i="29" s="1"/>
  <c r="D21" i="29"/>
  <c r="D24" i="29" s="1"/>
  <c r="K21" i="29" s="1"/>
  <c r="A27" i="29" s="1"/>
  <c r="E29" i="29" s="1"/>
  <c r="F32" i="29" s="1"/>
  <c r="D102" i="29"/>
  <c r="G21" i="29"/>
  <c r="H21" i="29" s="1"/>
  <c r="G382" i="29"/>
  <c r="H382" i="29" s="1"/>
  <c r="D142" i="29"/>
  <c r="D143" i="29" s="1"/>
  <c r="G142" i="29"/>
  <c r="D383" i="29"/>
  <c r="D385" i="29"/>
  <c r="C109" i="29"/>
  <c r="C110" i="29" s="1"/>
  <c r="C111" i="29" s="1"/>
  <c r="C115" i="29"/>
  <c r="D115" i="29" s="1"/>
  <c r="E115" i="29" s="1"/>
  <c r="E112" i="29"/>
  <c r="E109" i="29"/>
  <c r="F112" i="29" s="1"/>
  <c r="J110" i="29"/>
  <c r="J109" i="29"/>
  <c r="G310" i="29" l="1"/>
  <c r="H310" i="29" s="1"/>
  <c r="C311" i="29"/>
  <c r="C312" i="29" s="1"/>
  <c r="K382" i="29"/>
  <c r="A388" i="29" s="1"/>
  <c r="C390" i="29" s="1"/>
  <c r="C391" i="29" s="1"/>
  <c r="C392" i="29" s="1"/>
  <c r="F382" i="29"/>
  <c r="H262" i="29"/>
  <c r="D265" i="29"/>
  <c r="K262" i="29" s="1"/>
  <c r="A268" i="29" s="1"/>
  <c r="D22" i="29"/>
  <c r="C29" i="29"/>
  <c r="C30" i="29" s="1"/>
  <c r="C31" i="29" s="1"/>
  <c r="C35" i="29"/>
  <c r="D35" i="29" s="1"/>
  <c r="E35" i="29" s="1"/>
  <c r="J29" i="29"/>
  <c r="E32" i="29"/>
  <c r="G29" i="29" s="1"/>
  <c r="H29" i="29" s="1"/>
  <c r="F21" i="29"/>
  <c r="J30" i="29"/>
  <c r="D145" i="29"/>
  <c r="K142" i="29" s="1"/>
  <c r="A148" i="29" s="1"/>
  <c r="E153" i="29" s="1"/>
  <c r="C350" i="29"/>
  <c r="C351" i="29" s="1"/>
  <c r="C352" i="29" s="1"/>
  <c r="G109" i="29"/>
  <c r="H109" i="29" s="1"/>
  <c r="E350" i="29"/>
  <c r="F353" i="29" s="1"/>
  <c r="J351" i="29"/>
  <c r="J350" i="29"/>
  <c r="E353" i="29"/>
  <c r="H142" i="29"/>
  <c r="F142" i="29"/>
  <c r="D109" i="29"/>
  <c r="D112" i="29" s="1"/>
  <c r="K109" i="29" s="1"/>
  <c r="D311" i="29"/>
  <c r="D313" i="29"/>
  <c r="F310" i="29" l="1"/>
  <c r="K310" i="29"/>
  <c r="A316" i="29" s="1"/>
  <c r="J318" i="29" s="1"/>
  <c r="D390" i="29"/>
  <c r="D393" i="29" s="1"/>
  <c r="C396" i="29"/>
  <c r="D396" i="29" s="1"/>
  <c r="E396" i="29" s="1"/>
  <c r="G350" i="29"/>
  <c r="H350" i="29" s="1"/>
  <c r="E390" i="29"/>
  <c r="F393" i="29" s="1"/>
  <c r="E393" i="29"/>
  <c r="J390" i="29"/>
  <c r="J391" i="29"/>
  <c r="D350" i="29"/>
  <c r="D353" i="29" s="1"/>
  <c r="K350" i="29" s="1"/>
  <c r="A356" i="29" s="1"/>
  <c r="B244" i="29"/>
  <c r="J270" i="29"/>
  <c r="J271" i="29"/>
  <c r="D29" i="29"/>
  <c r="D32" i="29" s="1"/>
  <c r="K29" i="29" s="1"/>
  <c r="A35" i="29" s="1"/>
  <c r="J38" i="29" s="1"/>
  <c r="F29" i="29"/>
  <c r="F109" i="29"/>
  <c r="C156" i="29"/>
  <c r="D156" i="29" s="1"/>
  <c r="E156" i="29" s="1"/>
  <c r="J150" i="29"/>
  <c r="E150" i="29"/>
  <c r="F153" i="29" s="1"/>
  <c r="G150" i="29" s="1"/>
  <c r="H150" i="29" s="1"/>
  <c r="J151" i="29"/>
  <c r="C150" i="29"/>
  <c r="C276" i="29"/>
  <c r="D276" i="29" s="1"/>
  <c r="E276" i="29" s="1"/>
  <c r="E273" i="29"/>
  <c r="C270" i="29"/>
  <c r="D270" i="29" s="1"/>
  <c r="D110" i="29"/>
  <c r="B364" i="29"/>
  <c r="E270" i="29"/>
  <c r="F273" i="29" s="1"/>
  <c r="B83" i="29"/>
  <c r="A115" i="29"/>
  <c r="J117" i="29" s="1"/>
  <c r="C318" i="29" l="1"/>
  <c r="C319" i="29" s="1"/>
  <c r="C320" i="29" s="1"/>
  <c r="E321" i="29"/>
  <c r="J319" i="29"/>
  <c r="E318" i="29"/>
  <c r="F321" i="29" s="1"/>
  <c r="F350" i="29"/>
  <c r="D391" i="29"/>
  <c r="K390" i="29"/>
  <c r="A396" i="29" s="1"/>
  <c r="J398" i="29" s="1"/>
  <c r="G390" i="29"/>
  <c r="H390" i="29" s="1"/>
  <c r="D351" i="29"/>
  <c r="D30" i="29"/>
  <c r="E40" i="29"/>
  <c r="E37" i="29"/>
  <c r="D37" i="29" s="1"/>
  <c r="C37" i="29"/>
  <c r="C38" i="29" s="1"/>
  <c r="C39" i="29" s="1"/>
  <c r="J37" i="29"/>
  <c r="F150" i="29"/>
  <c r="D150" i="29"/>
  <c r="C151" i="29"/>
  <c r="C152" i="29" s="1"/>
  <c r="C271" i="29"/>
  <c r="C272" i="29" s="1"/>
  <c r="G270" i="29"/>
  <c r="H270" i="29" s="1"/>
  <c r="J118" i="29"/>
  <c r="C117" i="29"/>
  <c r="C118" i="29" s="1"/>
  <c r="C119" i="29" s="1"/>
  <c r="E120" i="29"/>
  <c r="E117" i="29"/>
  <c r="F120" i="29" s="1"/>
  <c r="E361" i="29"/>
  <c r="E358" i="29"/>
  <c r="D358" i="29" s="1"/>
  <c r="J358" i="29"/>
  <c r="J359" i="29"/>
  <c r="C358" i="29"/>
  <c r="C359" i="29" s="1"/>
  <c r="C360" i="29" s="1"/>
  <c r="D273" i="29"/>
  <c r="D271" i="29"/>
  <c r="G318" i="29" l="1"/>
  <c r="F318" i="29" s="1"/>
  <c r="K318" i="29"/>
  <c r="D318" i="29"/>
  <c r="D321" i="29" s="1"/>
  <c r="E398" i="29"/>
  <c r="D398" i="29" s="1"/>
  <c r="C398" i="29"/>
  <c r="C399" i="29" s="1"/>
  <c r="C400" i="29" s="1"/>
  <c r="J399" i="29"/>
  <c r="F390" i="29"/>
  <c r="E401" i="29"/>
  <c r="K358" i="29"/>
  <c r="B324" i="29" s="1"/>
  <c r="F270" i="29"/>
  <c r="K270" i="29"/>
  <c r="A276" i="29" s="1"/>
  <c r="E281" i="29" s="1"/>
  <c r="F40" i="29"/>
  <c r="G37" i="29" s="1"/>
  <c r="H37" i="29" s="1"/>
  <c r="G117" i="29"/>
  <c r="H117" i="29" s="1"/>
  <c r="D151" i="29"/>
  <c r="D153" i="29"/>
  <c r="K150" i="29" s="1"/>
  <c r="D117" i="29"/>
  <c r="D120" i="29" s="1"/>
  <c r="K117" i="29" s="1"/>
  <c r="F361" i="29"/>
  <c r="G358" i="29" s="1"/>
  <c r="D361" i="29"/>
  <c r="D359" i="29"/>
  <c r="D40" i="29"/>
  <c r="K37" i="29" s="1"/>
  <c r="B3" i="29" s="1"/>
  <c r="D38" i="29"/>
  <c r="H318" i="29" l="1"/>
  <c r="D319" i="29"/>
  <c r="F401" i="29"/>
  <c r="G398" i="29" s="1"/>
  <c r="F398" i="29" s="1"/>
  <c r="K398" i="29"/>
  <c r="H358" i="29"/>
  <c r="F358" i="29"/>
  <c r="F37" i="29"/>
  <c r="E278" i="29"/>
  <c r="F281" i="29" s="1"/>
  <c r="G278" i="29" s="1"/>
  <c r="J278" i="29"/>
  <c r="C278" i="29"/>
  <c r="C279" i="29" s="1"/>
  <c r="C280" i="29" s="1"/>
  <c r="J279" i="29"/>
  <c r="F117" i="29"/>
  <c r="A156" i="29"/>
  <c r="B124" i="29"/>
  <c r="D118" i="29"/>
  <c r="D399" i="29"/>
  <c r="D401" i="29"/>
  <c r="H398" i="29" l="1"/>
  <c r="D278" i="29"/>
  <c r="D281" i="29" s="1"/>
  <c r="K278" i="29"/>
  <c r="E158" i="29"/>
  <c r="J159" i="29"/>
  <c r="J158" i="29"/>
  <c r="E161" i="29"/>
  <c r="C158" i="29"/>
  <c r="C159" i="29" s="1"/>
  <c r="C160" i="29" s="1"/>
  <c r="F278" i="29"/>
  <c r="H278" i="29"/>
  <c r="D279" i="29" l="1"/>
  <c r="F161" i="29"/>
  <c r="G158" i="29" s="1"/>
  <c r="D158" i="29"/>
  <c r="D161" i="29" l="1"/>
  <c r="K158" i="29" s="1"/>
  <c r="D159" i="29"/>
  <c r="H158" i="29"/>
  <c r="F15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7C15EDA-7C73-4601-B8CC-5E1A81BE2CB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<sst xmlns="http://schemas.openxmlformats.org/spreadsheetml/2006/main" count="1134" uniqueCount="240">
  <si>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</si>
  <si>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</si>
  <si>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</si>
  <si>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</si>
  <si>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</si>
  <si>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</si>
  <si>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</si>
  <si>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</si>
  <si>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</si>
  <si>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</si>
  <si>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</si>
  <si>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</si>
  <si>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</si>
  <si>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</si>
  <si>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</si>
  <si>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</si>
  <si>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</si>
  <si>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</si>
  <si>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</si>
  <si>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</si>
  <si>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</si>
  <si>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</si>
  <si>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</si>
  <si>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</si>
  <si>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</si>
  <si>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</si>
  <si>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</si>
  <si>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</si>
  <si>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</si>
  <si>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</si>
  <si>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</si>
  <si>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</si>
  <si>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</si>
  <si>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</si>
  <si>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</si>
  <si>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</si>
  <si>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</si>
  <si>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</si>
  <si>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</si>
  <si>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</si>
  <si>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</si>
  <si>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</si>
  <si>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</si>
  <si>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</si>
  <si>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</si>
  <si>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</si>
  <si>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</si>
  <si>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</si>
  <si>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</si>
  <si>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</si>
  <si>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</si>
  <si>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</si>
  <si>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</si>
  <si>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</si>
  <si>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</si>
  <si>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</si>
  <si>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</si>
  <si>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</si>
  <si>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</si>
  <si>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</si>
  <si>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</si>
  <si>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</si>
  <si>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</si>
  <si>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</si>
  <si>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</si>
  <si>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</si>
  <si>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</si>
  <si>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</si>
  <si>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</si>
  <si>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</si>
  <si>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</si>
  <si>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</si>
  <si>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</si>
  <si>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</si>
  <si>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</si>
  <si>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</si>
  <si>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</si>
  <si>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</si>
  <si>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</si>
  <si>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</si>
  <si>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</si>
  <si>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</si>
  <si>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</si>
  <si>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</si>
  <si>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</si>
  <si>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</si>
  <si>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</si>
  <si>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</si>
  <si>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</si>
  <si>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</si>
  <si>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</si>
  <si>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</si>
  <si>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</si>
  <si>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</si>
  <si>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</si>
  <si>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</si>
  <si>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</si>
  <si>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Intervalo de medición (%):</t>
  </si>
  <si>
    <t>Resolución (%):</t>
  </si>
  <si>
    <t>Promedio (%)</t>
  </si>
  <si>
    <t>Error             (%)</t>
  </si>
  <si>
    <t>Lectura 3  (%)</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</si>
  <si>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</si>
  <si>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</si>
  <si>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</si>
  <si>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</si>
  <si>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</si>
  <si>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</si>
  <si>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</si>
  <si>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</si>
  <si>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</si>
  <si>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</si>
  <si>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</si>
  <si>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</si>
  <si>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</si>
  <si>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</si>
  <si>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</si>
  <si>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</si>
  <si>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</si>
  <si>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</si>
  <si>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</si>
  <si>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</si>
  <si>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</si>
  <si>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</si>
  <si>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</si>
  <si>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Lectura 3          (%)</t>
  </si>
  <si>
    <t>Calibración de oxígeno</t>
  </si>
  <si>
    <t xml:space="preserve">21 a 100 </t>
  </si>
  <si>
    <t>Lectura 2     (%)</t>
  </si>
  <si>
    <t>Lectura 1     (%)</t>
  </si>
  <si>
    <t>Lectura 4     (%)</t>
  </si>
  <si>
    <t>*%= Porcentaje de oxígeno</t>
  </si>
  <si>
    <t>Medidas del equipo patrón</t>
  </si>
  <si>
    <t>Volumen</t>
  </si>
  <si>
    <t>Equipo bajo prueba         (%)</t>
  </si>
  <si>
    <t>Calibración de PEEP</t>
  </si>
  <si>
    <t>Intervalo de medición (cmH2O):</t>
  </si>
  <si>
    <t>Resolución (cmH2O):</t>
  </si>
  <si>
    <t>Lectura 1 (cmH2O)</t>
  </si>
  <si>
    <t>Lectura 2 (cmH2O)</t>
  </si>
  <si>
    <t>Lectura 3  (cmH2O)</t>
  </si>
  <si>
    <t>Lectura 4 (cmH2O)</t>
  </si>
  <si>
    <t>Promedio (cmH2O)</t>
  </si>
  <si>
    <t>Error (cmH2O)</t>
  </si>
  <si>
    <t>Calibración de PIP</t>
  </si>
  <si>
    <t xml:space="preserve">5 a 40 </t>
  </si>
  <si>
    <t xml:space="preserve">Calibración de frecuencia </t>
  </si>
  <si>
    <t>Intervalo de medición (bpm):</t>
  </si>
  <si>
    <t>Resolución (bpm):</t>
  </si>
  <si>
    <t xml:space="preserve">8 a 40 </t>
  </si>
  <si>
    <t>Lectura 1 (bpm)</t>
  </si>
  <si>
    <t>Lectura 2 (bpm)</t>
  </si>
  <si>
    <t>Lectura 3  (bpm)</t>
  </si>
  <si>
    <t>Lectura 4 (bpm)</t>
  </si>
  <si>
    <t>Promedio (bpm)</t>
  </si>
  <si>
    <t>Error       (bpm)</t>
  </si>
  <si>
    <t>Equipo bajo prueba (cmH2O)</t>
  </si>
  <si>
    <t>*cmH2O= Centímetros de agua</t>
  </si>
  <si>
    <t>Calibración de tiempo</t>
  </si>
  <si>
    <t>1:1 a 1:3</t>
  </si>
  <si>
    <t>Intervalo de medición (S):</t>
  </si>
  <si>
    <t>Resolución (S):</t>
  </si>
  <si>
    <t>Error             (S)</t>
  </si>
  <si>
    <t>*S= Segundos</t>
  </si>
  <si>
    <t>Lectura 1      (S)</t>
  </si>
  <si>
    <t>Lectura 2      (S)</t>
  </si>
  <si>
    <t>Lectura 3      (S)</t>
  </si>
  <si>
    <t>Lectura 4      (S)</t>
  </si>
  <si>
    <t>Analizador de flujo de gases</t>
  </si>
  <si>
    <t>TSI</t>
  </si>
  <si>
    <t>L4012</t>
  </si>
  <si>
    <t>Incertidumbre Volumen:</t>
  </si>
  <si>
    <t>Incertidumbre presión:</t>
  </si>
  <si>
    <t>Deriva volumen</t>
  </si>
  <si>
    <t>Deriva presión</t>
  </si>
  <si>
    <t>Resolución volumen</t>
  </si>
  <si>
    <t>Resolución presión</t>
  </si>
  <si>
    <t>FUENTES DE INCERTIDUMBRE VOLUMEN</t>
  </si>
  <si>
    <t>FUENTES DE INCERTIDUMBRE OXÍGENO</t>
  </si>
  <si>
    <t>FUENTES DE INCERTIDUMBRE PEEP</t>
  </si>
  <si>
    <t>FUENTES DE INCERTIDUMBRE PIP</t>
  </si>
  <si>
    <t>FUENTES DE INCERTIDUMBRE  FRECUENCIA</t>
  </si>
  <si>
    <t>FUENTES DE INCERTIDUMBRE  TIEMPO</t>
  </si>
  <si>
    <t>Oxígeno</t>
  </si>
  <si>
    <t>Lectura 1          (%)</t>
  </si>
  <si>
    <t>Lectura 2        (%)</t>
  </si>
  <si>
    <t>Promedio          (%)</t>
  </si>
  <si>
    <t>Error            (%)</t>
  </si>
  <si>
    <t>Equipo bajo prueba                (%)</t>
  </si>
  <si>
    <t>PEEP</t>
  </si>
  <si>
    <t>PIP</t>
  </si>
  <si>
    <t>Frecuencia</t>
  </si>
  <si>
    <t>Equipo bajo prueba     (bpm)</t>
  </si>
  <si>
    <t>Equipo bajo prueba       (S)</t>
  </si>
  <si>
    <t xml:space="preserve">Medidas del equipo patrón </t>
  </si>
  <si>
    <t>Equipo bajo prueba        (bpm)</t>
  </si>
  <si>
    <t>Lectura 1     (bpm)</t>
  </si>
  <si>
    <t>Lectura 2     (bpm)</t>
  </si>
  <si>
    <t>Lectura 3     (bpm)</t>
  </si>
  <si>
    <t>Lectura 4    (bpm)</t>
  </si>
  <si>
    <t>Error             (bpm)</t>
  </si>
  <si>
    <t>Error       (cmH2O)</t>
  </si>
  <si>
    <t>Tiempo</t>
  </si>
  <si>
    <t>Equipo bajo prueba               (S)</t>
  </si>
  <si>
    <t>Lectura 1           (S)</t>
  </si>
  <si>
    <t>Lectura 2           (S)</t>
  </si>
  <si>
    <t>Lectura 3           (S)</t>
  </si>
  <si>
    <t>Lectura 4            (S)</t>
  </si>
  <si>
    <t>Promedio    (S)</t>
  </si>
  <si>
    <t>Promedio         (S)</t>
  </si>
  <si>
    <t>Error                    (S)</t>
  </si>
  <si>
    <t>1 cmH2O = 98,0665 Pa</t>
  </si>
  <si>
    <t>Intrumento</t>
  </si>
  <si>
    <t>Marca</t>
  </si>
  <si>
    <t>Modelo</t>
  </si>
  <si>
    <t>Serie</t>
  </si>
  <si>
    <t>Ubicación</t>
  </si>
  <si>
    <t>Número de Certificado</t>
  </si>
  <si>
    <t>Fecha de Recepción</t>
  </si>
  <si>
    <t>Estado Físico:</t>
  </si>
  <si>
    <t>ING. GABRIEL DURÁN</t>
  </si>
  <si>
    <t>1,00</t>
  </si>
  <si>
    <t>Inventario</t>
  </si>
  <si>
    <t xml:space="preserve">HOSPITAL DE ALTA COMPLEJIDAD DEL MAGDALENA CENTRO </t>
  </si>
  <si>
    <t>901.532.463-8</t>
  </si>
  <si>
    <t>CARRERA 15 ENTRE CALLE 18 y 19</t>
  </si>
  <si>
    <t>LA DORADA - CALDAS</t>
  </si>
  <si>
    <t>1</t>
  </si>
  <si>
    <t>2</t>
  </si>
  <si>
    <t>3</t>
  </si>
  <si>
    <t>2 a 10</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</si>
  <si>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</si>
  <si>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</si>
  <si>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</si>
  <si>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</si>
  <si>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</si>
  <si>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</si>
  <si>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ventiladores mecánicos BTM-P-010.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</si>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</sst>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1"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2"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8">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0" fontId="0" fillId="0" borderId="5" xfId="0" applyBorder="1" applyAlignment="1">
      <alignmen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6" fillId="0" borderId="5" xfId="0" applyFont="1" applyBorder="1" applyAlignment="1">
      <alignment horizontal="center" vertical="center"/>
    </xf>
    <xf numFmtId="49" fontId="11" fillId="0" borderId="5" xfId="0" applyNumberFormat="1" applyFont="1" applyBorder="1" applyAlignment="1">
      <alignment horizontal="center" vertical="center"/>
    </xf>
    <xf numFmtId="0" fontId="30" fillId="12" borderId="29" xfId="0" applyFont="1" applyFill="1" applyBorder="1" applyAlignment="1">
      <alignment horizontal="center" vertical="center" wrapText="1"/>
    </xf>
    <xf numFmtId="0" fontId="30" fillId="2" borderId="29" xfId="0" applyFont="1" applyFill="1" applyBorder="1" applyAlignment="1">
      <alignment horizontal="center" vertical="center" wrapText="1"/>
    </xf>
    <xf numFmtId="49" fontId="30" fillId="2" borderId="29" xfId="0" applyNumberFormat="1" applyFont="1" applyFill="1" applyBorder="1" applyAlignment="1">
      <alignment horizontal="center" vertical="center" wrapText="1"/>
    </xf>
    <xf numFmtId="1" fontId="30" fillId="2" borderId="29" xfId="0" applyNumberFormat="1" applyFont="1" applyFill="1" applyBorder="1" applyAlignment="1">
      <alignment horizontal="center" vertical="center" shrinkToFit="1"/>
    </xf>
    <xf numFmtId="49" fontId="29" fillId="2" borderId="5" xfId="0" applyNumberFormat="1" applyFont="1" applyFill="1" applyBorder="1" applyAlignment="1">
      <alignment horizontal="center" vertical="center"/>
    </xf>
    <xf numFmtId="0" fontId="29"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2" fontId="11" fillId="0" borderId="5" xfId="0" applyNumberFormat="1" applyFont="1" applyBorder="1" applyAlignment="1">
      <alignment horizontal="center" vertical="center"/>
    </xf>
    <xf numFmtId="49" fontId="28" fillId="13" borderId="5" xfId="0" applyNumberFormat="1" applyFont="1" applyFill="1" applyBorder="1" applyAlignment="1">
      <alignment horizontal="center" vertical="center"/>
    </xf>
    <xf numFmtId="2" fontId="28" fillId="13" borderId="5" xfId="0" applyNumberFormat="1" applyFont="1" applyFill="1" applyBorder="1" applyAlignment="1">
      <alignment horizontal="center" vertical="center"/>
    </xf>
    <xf numFmtId="2" fontId="28" fillId="13" borderId="5" xfId="0" applyNumberFormat="1" applyFont="1" applyFill="1" applyBorder="1" applyAlignment="1">
      <alignment horizontal="center"/>
    </xf>
    <xf numFmtId="49" fontId="28" fillId="13" borderId="5" xfId="0" applyNumberFormat="1" applyFont="1" applyFill="1" applyBorder="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0" fontId="27" fillId="0" borderId="0" xfId="0" applyFont="1" applyAlignment="1">
      <alignment horizontal="center"/>
    </xf>
    <xf numFmtId="164" fontId="27" fillId="0" borderId="0" xfId="0" applyNumberFormat="1" applyFont="1" applyAlignment="1">
      <alignment horizontal="center"/>
    </xf>
    <xf numFmtId="164" fontId="27" fillId="13" borderId="0" xfId="0" applyNumberFormat="1" applyFont="1" applyFill="1" applyAlignment="1">
      <alignment horizontal="center"/>
    </xf>
    <xf numFmtId="0" fontId="0" fillId="0" borderId="5" xfId="0" applyBorder="1"/>
    <xf numFmtId="2" fontId="11" fillId="0" borderId="5" xfId="0" applyNumberFormat="1"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6" fillId="0" borderId="26" xfId="0" applyFont="1" applyBorder="1" applyAlignment="1">
      <alignment horizont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26" xfId="0"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164" fontId="27" fillId="13" borderId="5" xfId="0" applyNumberFormat="1" applyFont="1" applyFill="1" applyBorder="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164" fontId="27" fillId="13" borderId="1" xfId="0" applyNumberFormat="1" applyFont="1" applyFill="1" applyBorder="1" applyAlignment="1">
      <alignment horizontal="center"/>
    </xf>
    <xf numFmtId="164" fontId="27" fillId="13" borderId="3" xfId="0" applyNumberFormat="1" applyFont="1" applyFill="1" applyBorder="1" applyAlignment="1">
      <alignment horizontal="center"/>
    </xf>
    <xf numFmtId="0" fontId="2" fillId="0" borderId="0" xfId="0" applyFont="1" applyAlignment="1">
      <alignment vertical="center"/>
    </xf>
    <xf numFmtId="0" fontId="2" fillId="0" borderId="28" xfId="0" applyFont="1" applyBorder="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20" sqref="C20"/>
    </sheetView>
  </sheetViews>
  <sheetFormatPr baseColWidth="10" defaultColWidth="3.6640625" defaultRowHeight="12.75" customHeight="1" x14ac:dyDescent="0.3"/>
  <cols>
    <col min="1" max="1" width="20.109375" style="1" bestFit="1" customWidth="1"/>
    <col min="2" max="2" width="43.109375" style="1" bestFit="1" customWidth="1"/>
    <col min="3" max="3" width="19.6640625" style="1" customWidth="1"/>
    <col min="4" max="4" width="21.44140625" style="1" bestFit="1" customWidth="1"/>
    <col min="5" max="5" width="23.88671875" style="1" bestFit="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8" t="s">
        <v>109</v>
      </c>
      <c r="B1" s="179"/>
      <c r="C1" s="179"/>
      <c r="D1" s="179"/>
      <c r="E1" s="179"/>
      <c r="F1" s="179"/>
      <c r="G1" s="179"/>
      <c r="H1" s="180"/>
      <c r="I1"/>
      <c r="J1"/>
      <c r="K1"/>
      <c r="L1"/>
      <c r="M1"/>
      <c r="N1"/>
      <c r="O1" t="s">
        <v>121</v>
      </c>
      <c r="P1"/>
      <c r="Q1"/>
      <c r="R1"/>
      <c r="S1"/>
      <c r="T1"/>
      <c r="U1"/>
      <c r="V1"/>
      <c r="W1"/>
      <c r="X1"/>
      <c r="Y1"/>
      <c r="Z1"/>
      <c r="AA1"/>
      <c r="AB1"/>
      <c r="AC1"/>
      <c r="AD1"/>
      <c r="AE1"/>
    </row>
    <row r="2" spans="1:31" ht="14.4" x14ac:dyDescent="0.3">
      <c r="A2" s="100" t="s">
        <v>212</v>
      </c>
      <c r="B2" s="100" t="s">
        <v>213</v>
      </c>
      <c r="C2" s="100" t="s">
        <v>214</v>
      </c>
      <c r="D2" s="100" t="s">
        <v>215</v>
      </c>
      <c r="E2" s="100" t="s">
        <v>216</v>
      </c>
      <c r="F2" s="100" t="s">
        <v>222</v>
      </c>
      <c r="G2" s="100" t="s">
        <v>217</v>
      </c>
      <c r="H2" s="100" t="s">
        <v>218</v>
      </c>
      <c r="I2"/>
      <c r="J2"/>
      <c r="K2"/>
      <c r="L2"/>
      <c r="M2"/>
      <c r="N2"/>
      <c r="O2" t="s">
        <v>122</v>
      </c>
      <c r="P2"/>
      <c r="Q2"/>
      <c r="R2"/>
      <c r="S2"/>
      <c r="T2"/>
      <c r="U2"/>
      <c r="V2"/>
      <c r="W2"/>
      <c r="X2"/>
      <c r="Y2"/>
      <c r="Z2"/>
      <c r="AA2"/>
      <c r="AB2"/>
      <c r="AC2"/>
      <c r="AD2"/>
      <c r="AE2"/>
    </row>
    <row r="3" spans="1:31" ht="12.75" customHeight="1" x14ac:dyDescent="0.3">
      <c r="A3" s="102"/>
      <c r="B3" s="102"/>
      <c r="C3" s="103"/>
      <c r="D3" s="104"/>
      <c r="E3" s="105"/>
      <c r="F3" s="106"/>
      <c r="G3" s="107"/>
      <c r="H3" s="108"/>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123</v>
      </c>
      <c r="P5"/>
      <c r="Q5"/>
      <c r="R5"/>
      <c r="S5"/>
      <c r="T5"/>
      <c r="U5"/>
      <c r="V5"/>
      <c r="W5"/>
      <c r="X5"/>
      <c r="Y5"/>
      <c r="Z5"/>
      <c r="AA5"/>
      <c r="AB5"/>
      <c r="AC5"/>
      <c r="AD5"/>
      <c r="AE5"/>
    </row>
    <row r="6" spans="1:31" ht="12.75" customHeight="1" x14ac:dyDescent="0.3">
      <c r="A6" s="181" t="s">
        <v>110</v>
      </c>
      <c r="B6" s="181"/>
      <c r="C6"/>
      <c r="D6" s="97" t="s">
        <v>108</v>
      </c>
      <c r="E6" s="97"/>
      <c r="H6"/>
      <c r="I6"/>
      <c r="J6"/>
      <c r="K6"/>
      <c r="L6"/>
      <c r="M6"/>
      <c r="N6"/>
      <c r="O6" t="s">
        <v>124</v>
      </c>
      <c r="P6"/>
      <c r="Q6"/>
      <c r="R6"/>
      <c r="S6"/>
      <c r="T6"/>
      <c r="U6"/>
      <c r="V6"/>
      <c r="W6"/>
      <c r="X6"/>
      <c r="Y6"/>
      <c r="Z6"/>
      <c r="AA6"/>
      <c r="AB6"/>
      <c r="AC6"/>
      <c r="AD6"/>
      <c r="AE6"/>
    </row>
    <row r="7" spans="1:31" ht="12.75" customHeight="1" x14ac:dyDescent="0.3">
      <c r="A7" s="20" t="s">
        <v>112</v>
      </c>
      <c r="B7" s="90" t="s">
        <v>121</v>
      </c>
      <c r="C7"/>
      <c r="D7" s="20" t="s">
        <v>111</v>
      </c>
      <c r="E7" s="109" t="s">
        <v>223</v>
      </c>
      <c r="H7"/>
      <c r="I7"/>
      <c r="J7"/>
      <c r="K7"/>
      <c r="L7"/>
      <c r="M7"/>
      <c r="N7"/>
      <c r="O7"/>
      <c r="P7"/>
      <c r="Q7"/>
      <c r="R7"/>
      <c r="S7"/>
      <c r="T7"/>
      <c r="U7"/>
      <c r="V7"/>
      <c r="W7"/>
      <c r="X7"/>
      <c r="Y7"/>
      <c r="Z7"/>
      <c r="AA7"/>
      <c r="AB7"/>
      <c r="AC7"/>
      <c r="AD7"/>
      <c r="AE7"/>
    </row>
    <row r="8" spans="1:31" ht="12.75" customHeight="1" x14ac:dyDescent="0.3">
      <c r="A8" s="20" t="s">
        <v>219</v>
      </c>
      <c r="B8" s="90" t="s">
        <v>68</v>
      </c>
      <c r="C8"/>
      <c r="D8" s="20" t="s">
        <v>8</v>
      </c>
      <c r="E8" s="90" t="s">
        <v>224</v>
      </c>
      <c r="H8"/>
      <c r="I8"/>
      <c r="J8"/>
      <c r="K8"/>
      <c r="L8"/>
      <c r="M8"/>
      <c r="N8"/>
      <c r="O8"/>
      <c r="P8"/>
      <c r="Q8"/>
      <c r="R8"/>
      <c r="S8"/>
      <c r="T8"/>
      <c r="U8"/>
      <c r="V8"/>
      <c r="W8"/>
      <c r="X8"/>
      <c r="Y8"/>
      <c r="Z8"/>
      <c r="AA8"/>
      <c r="AB8"/>
      <c r="AC8"/>
      <c r="AD8"/>
      <c r="AE8"/>
    </row>
    <row r="9" spans="1:31" ht="12.75" customHeight="1" x14ac:dyDescent="0.3">
      <c r="A9" s="20" t="s">
        <v>114</v>
      </c>
      <c r="B9" s="92">
        <f>H3</f>
        <v>0</v>
      </c>
      <c r="C9"/>
      <c r="D9" s="20" t="s">
        <v>113</v>
      </c>
      <c r="E9" s="90">
        <v>3007835072</v>
      </c>
      <c r="H9"/>
      <c r="I9"/>
      <c r="J9"/>
      <c r="K9"/>
      <c r="L9"/>
      <c r="M9"/>
      <c r="N9"/>
      <c r="O9"/>
      <c r="P9"/>
      <c r="Q9"/>
      <c r="R9"/>
      <c r="S9"/>
      <c r="T9"/>
      <c r="U9"/>
      <c r="V9"/>
      <c r="W9"/>
      <c r="X9"/>
      <c r="Y9"/>
      <c r="Z9"/>
      <c r="AA9"/>
      <c r="AB9"/>
      <c r="AC9"/>
      <c r="AD9"/>
      <c r="AE9"/>
    </row>
    <row r="10" spans="1:31" ht="12.75" customHeight="1" x14ac:dyDescent="0.3">
      <c r="A10" s="20" t="s">
        <v>115</v>
      </c>
      <c r="B10" s="92">
        <f>H3</f>
        <v>0</v>
      </c>
      <c r="C10"/>
      <c r="D10" s="20" t="s">
        <v>5</v>
      </c>
      <c r="E10" s="91" t="s">
        <v>225</v>
      </c>
      <c r="G10"/>
      <c r="H10"/>
      <c r="I10"/>
      <c r="J10"/>
      <c r="K10"/>
      <c r="L10"/>
      <c r="M10"/>
      <c r="N10"/>
      <c r="O10"/>
      <c r="P10"/>
      <c r="Q10"/>
      <c r="R10"/>
      <c r="S10"/>
      <c r="T10"/>
      <c r="U10"/>
      <c r="V10"/>
      <c r="W10"/>
      <c r="X10"/>
      <c r="Y10"/>
      <c r="Z10"/>
      <c r="AA10"/>
      <c r="AB10"/>
      <c r="AC10"/>
      <c r="AD10"/>
      <c r="AE10"/>
    </row>
    <row r="11" spans="1:31" ht="12.75" customHeight="1" x14ac:dyDescent="0.3">
      <c r="A11" s="20" t="s">
        <v>116</v>
      </c>
      <c r="B11" s="90">
        <v>24.1</v>
      </c>
      <c r="C11"/>
      <c r="D11" s="20" t="s">
        <v>3</v>
      </c>
      <c r="E11" s="91" t="s">
        <v>226</v>
      </c>
      <c r="G11"/>
      <c r="H11"/>
      <c r="I11"/>
      <c r="J11"/>
      <c r="K11"/>
      <c r="L11"/>
      <c r="M11"/>
      <c r="N11"/>
      <c r="O11"/>
      <c r="P11"/>
      <c r="Q11"/>
      <c r="R11"/>
      <c r="S11"/>
      <c r="T11"/>
      <c r="U11"/>
      <c r="V11"/>
      <c r="W11"/>
      <c r="X11"/>
      <c r="Y11"/>
      <c r="Z11"/>
      <c r="AA11"/>
      <c r="AB11"/>
      <c r="AC11"/>
      <c r="AD11"/>
      <c r="AE11"/>
    </row>
    <row r="12" spans="1:31" ht="12.75" customHeight="1" x14ac:dyDescent="0.3">
      <c r="A12" s="20" t="s">
        <v>117</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118</v>
      </c>
      <c r="B13" s="90">
        <v>60</v>
      </c>
      <c r="C13"/>
      <c r="D13"/>
      <c r="E13"/>
      <c r="F13"/>
      <c r="G13"/>
      <c r="H13"/>
      <c r="I13"/>
      <c r="J13"/>
      <c r="K13"/>
      <c r="L13"/>
      <c r="M13"/>
      <c r="N13"/>
      <c r="O13"/>
      <c r="P13"/>
      <c r="Q13"/>
      <c r="R13"/>
      <c r="S13"/>
      <c r="T13"/>
      <c r="U13"/>
      <c r="V13"/>
      <c r="W13"/>
      <c r="X13"/>
      <c r="Y13"/>
      <c r="Z13"/>
      <c r="AA13"/>
      <c r="AB13"/>
      <c r="AC13"/>
      <c r="AD13"/>
      <c r="AE13"/>
    </row>
    <row r="14" spans="1:31" ht="14.4" x14ac:dyDescent="0.3">
      <c r="A14" s="20" t="s">
        <v>119</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120</v>
      </c>
      <c r="B15" s="90" t="s">
        <v>220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A913A8E5-A479-46BE-BB3C-8E20A55D776E}">
      <formula1>$O$1:$O$2</formula1>
    </dataValidation>
    <dataValidation type="list" allowBlank="1" showInputMessage="1" showErrorMessage="1" sqref="B8" xr:uid="{BD5D604D-132D-423F-A600-7895CC60C044}">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5" t="s">
        <v>57</v>
      </c>
      <c r="B1" s="186"/>
      <c r="C1" s="186"/>
      <c r="D1" s="186"/>
      <c r="E1" s="186"/>
      <c r="F1" s="186"/>
      <c r="G1" s="186"/>
      <c r="H1" s="186"/>
      <c r="I1" s="186"/>
      <c r="J1" s="186"/>
      <c r="K1" s="187"/>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82" t="s">
        <v>47</v>
      </c>
      <c r="B10" s="183"/>
      <c r="C10" s="183"/>
      <c r="D10" s="183"/>
      <c r="E10" s="183"/>
      <c r="F10" s="183"/>
      <c r="G10" s="183"/>
      <c r="H10" s="183"/>
      <c r="I10" s="183"/>
      <c r="J10" s="183"/>
      <c r="K10" s="184"/>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82" t="s">
        <v>46</v>
      </c>
      <c r="B18" s="183"/>
      <c r="C18" s="183"/>
      <c r="D18" s="183"/>
      <c r="E18" s="183"/>
      <c r="F18" s="183"/>
      <c r="G18" s="183"/>
      <c r="H18" s="183"/>
      <c r="I18" s="183"/>
      <c r="J18" s="183"/>
      <c r="K18" s="184"/>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82" t="s">
        <v>45</v>
      </c>
      <c r="B26" s="183"/>
      <c r="C26" s="183"/>
      <c r="D26" s="183"/>
      <c r="E26" s="183"/>
      <c r="F26" s="183"/>
      <c r="G26" s="183"/>
      <c r="H26" s="183"/>
      <c r="I26" s="183"/>
      <c r="J26" s="183"/>
      <c r="K26" s="184"/>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82" t="s">
        <v>44</v>
      </c>
      <c r="B34" s="183"/>
      <c r="C34" s="183"/>
      <c r="D34" s="183"/>
      <c r="E34" s="183"/>
      <c r="F34" s="183"/>
      <c r="G34" s="183"/>
      <c r="H34" s="183"/>
      <c r="I34" s="183"/>
      <c r="J34" s="183"/>
      <c r="K34" s="184"/>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85" t="s">
        <v>56</v>
      </c>
      <c r="B41" s="186"/>
      <c r="C41" s="186"/>
      <c r="D41" s="186"/>
      <c r="E41" s="186"/>
      <c r="F41" s="186"/>
      <c r="G41" s="186"/>
      <c r="H41" s="186"/>
      <c r="I41" s="186"/>
      <c r="J41" s="186"/>
      <c r="K41" s="18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82" t="s">
        <v>47</v>
      </c>
      <c r="B50" s="183"/>
      <c r="C50" s="183"/>
      <c r="D50" s="183"/>
      <c r="E50" s="183"/>
      <c r="F50" s="183"/>
      <c r="G50" s="183"/>
      <c r="H50" s="183"/>
      <c r="I50" s="183"/>
      <c r="J50" s="183"/>
      <c r="K50" s="18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82" t="s">
        <v>46</v>
      </c>
      <c r="B58" s="183"/>
      <c r="C58" s="183"/>
      <c r="D58" s="183"/>
      <c r="E58" s="183"/>
      <c r="F58" s="183"/>
      <c r="G58" s="183"/>
      <c r="H58" s="183"/>
      <c r="I58" s="183"/>
      <c r="J58" s="183"/>
      <c r="K58" s="18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82" t="s">
        <v>45</v>
      </c>
      <c r="B66" s="183"/>
      <c r="C66" s="183"/>
      <c r="D66" s="183"/>
      <c r="E66" s="183"/>
      <c r="F66" s="183"/>
      <c r="G66" s="183"/>
      <c r="H66" s="183"/>
      <c r="I66" s="183"/>
      <c r="J66" s="183"/>
      <c r="K66" s="18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82" t="s">
        <v>44</v>
      </c>
      <c r="B74" s="183"/>
      <c r="C74" s="183"/>
      <c r="D74" s="183"/>
      <c r="E74" s="183"/>
      <c r="F74" s="183"/>
      <c r="G74" s="183"/>
      <c r="H74" s="183"/>
      <c r="I74" s="183"/>
      <c r="J74" s="183"/>
      <c r="K74" s="18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85" t="s">
        <v>55</v>
      </c>
      <c r="B81" s="186"/>
      <c r="C81" s="186"/>
      <c r="D81" s="186"/>
      <c r="E81" s="186"/>
      <c r="F81" s="186"/>
      <c r="G81" s="186"/>
      <c r="H81" s="186"/>
      <c r="I81" s="186"/>
      <c r="J81" s="186"/>
      <c r="K81" s="187"/>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2" t="s">
        <v>47</v>
      </c>
      <c r="B90" s="183"/>
      <c r="C90" s="183"/>
      <c r="D90" s="183"/>
      <c r="E90" s="183"/>
      <c r="F90" s="183"/>
      <c r="G90" s="183"/>
      <c r="H90" s="183"/>
      <c r="I90" s="183"/>
      <c r="J90" s="183"/>
      <c r="K90" s="184"/>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2" t="s">
        <v>46</v>
      </c>
      <c r="B98" s="183"/>
      <c r="C98" s="183"/>
      <c r="D98" s="183"/>
      <c r="E98" s="183"/>
      <c r="F98" s="183"/>
      <c r="G98" s="183"/>
      <c r="H98" s="183"/>
      <c r="I98" s="183"/>
      <c r="J98" s="183"/>
      <c r="K98" s="184"/>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2" t="s">
        <v>45</v>
      </c>
      <c r="B106" s="183"/>
      <c r="C106" s="183"/>
      <c r="D106" s="183"/>
      <c r="E106" s="183"/>
      <c r="F106" s="183"/>
      <c r="G106" s="183"/>
      <c r="H106" s="183"/>
      <c r="I106" s="183"/>
      <c r="J106" s="183"/>
      <c r="K106" s="184"/>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2" t="s">
        <v>44</v>
      </c>
      <c r="B114" s="183"/>
      <c r="C114" s="183"/>
      <c r="D114" s="183"/>
      <c r="E114" s="183"/>
      <c r="F114" s="183"/>
      <c r="G114" s="183"/>
      <c r="H114" s="183"/>
      <c r="I114" s="183"/>
      <c r="J114" s="183"/>
      <c r="K114" s="184"/>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5" t="s">
        <v>54</v>
      </c>
      <c r="B122" s="186"/>
      <c r="C122" s="186"/>
      <c r="D122" s="186"/>
      <c r="E122" s="186"/>
      <c r="F122" s="186"/>
      <c r="G122" s="186"/>
      <c r="H122" s="186"/>
      <c r="I122" s="186"/>
      <c r="J122" s="186"/>
      <c r="K122" s="187"/>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2" t="s">
        <v>47</v>
      </c>
      <c r="B131" s="183"/>
      <c r="C131" s="183"/>
      <c r="D131" s="183"/>
      <c r="E131" s="183"/>
      <c r="F131" s="183"/>
      <c r="G131" s="183"/>
      <c r="H131" s="183"/>
      <c r="I131" s="183"/>
      <c r="J131" s="183"/>
      <c r="K131" s="184"/>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2" t="s">
        <v>46</v>
      </c>
      <c r="B139" s="183"/>
      <c r="C139" s="183"/>
      <c r="D139" s="183"/>
      <c r="E139" s="183"/>
      <c r="F139" s="183"/>
      <c r="G139" s="183"/>
      <c r="H139" s="183"/>
      <c r="I139" s="183"/>
      <c r="J139" s="183"/>
      <c r="K139" s="184"/>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2" t="s">
        <v>45</v>
      </c>
      <c r="B147" s="183"/>
      <c r="C147" s="183"/>
      <c r="D147" s="183"/>
      <c r="E147" s="183"/>
      <c r="F147" s="183"/>
      <c r="G147" s="183"/>
      <c r="H147" s="183"/>
      <c r="I147" s="183"/>
      <c r="J147" s="183"/>
      <c r="K147" s="184"/>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2" t="s">
        <v>44</v>
      </c>
      <c r="B155" s="183"/>
      <c r="C155" s="183"/>
      <c r="D155" s="183"/>
      <c r="E155" s="183"/>
      <c r="F155" s="183"/>
      <c r="G155" s="183"/>
      <c r="H155" s="183"/>
      <c r="I155" s="183"/>
      <c r="J155" s="183"/>
      <c r="K155" s="184"/>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5" t="s">
        <v>53</v>
      </c>
      <c r="B162" s="186"/>
      <c r="C162" s="186"/>
      <c r="D162" s="186"/>
      <c r="E162" s="186"/>
      <c r="F162" s="186"/>
      <c r="G162" s="186"/>
      <c r="H162" s="186"/>
      <c r="I162" s="186"/>
      <c r="J162" s="186"/>
      <c r="K162" s="18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2" t="s">
        <v>47</v>
      </c>
      <c r="B171" s="183"/>
      <c r="C171" s="183"/>
      <c r="D171" s="183"/>
      <c r="E171" s="183"/>
      <c r="F171" s="183"/>
      <c r="G171" s="183"/>
      <c r="H171" s="183"/>
      <c r="I171" s="183"/>
      <c r="J171" s="183"/>
      <c r="K171" s="18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2" t="s">
        <v>46</v>
      </c>
      <c r="B179" s="183"/>
      <c r="C179" s="183"/>
      <c r="D179" s="183"/>
      <c r="E179" s="183"/>
      <c r="F179" s="183"/>
      <c r="G179" s="183"/>
      <c r="H179" s="183"/>
      <c r="I179" s="183"/>
      <c r="J179" s="183"/>
      <c r="K179" s="18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2" t="s">
        <v>45</v>
      </c>
      <c r="B187" s="183"/>
      <c r="C187" s="183"/>
      <c r="D187" s="183"/>
      <c r="E187" s="183"/>
      <c r="F187" s="183"/>
      <c r="G187" s="183"/>
      <c r="H187" s="183"/>
      <c r="I187" s="183"/>
      <c r="J187" s="183"/>
      <c r="K187" s="18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2" t="s">
        <v>44</v>
      </c>
      <c r="B195" s="183"/>
      <c r="C195" s="183"/>
      <c r="D195" s="183"/>
      <c r="E195" s="183"/>
      <c r="F195" s="183"/>
      <c r="G195" s="183"/>
      <c r="H195" s="183"/>
      <c r="I195" s="183"/>
      <c r="J195" s="183"/>
      <c r="K195" s="18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5" t="s">
        <v>53</v>
      </c>
      <c r="B202" s="186"/>
      <c r="C202" s="186"/>
      <c r="D202" s="186"/>
      <c r="E202" s="186"/>
      <c r="F202" s="186"/>
      <c r="G202" s="186"/>
      <c r="H202" s="186"/>
      <c r="I202" s="186"/>
      <c r="J202" s="186"/>
      <c r="K202" s="187"/>
    </row>
    <row r="203" spans="1:11" ht="15" thickBot="1" x14ac:dyDescent="0.35">
      <c r="A203" s="31" t="s">
        <v>30</v>
      </c>
      <c r="B203" s="18" t="s">
        <v>29</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INCERTIDUMBRE!L10</f>
        <v>Incertidumbre Expandida</v>
      </c>
      <c r="B204" s="28" t="e">
        <f>IF(A204&gt;=10,K238,IF(A204&gt;=1,K230,IF(A204&gt;=0.1,K222,IF(A204&gt;=0.01,K214,IF(A204&gt;=0.001,K206)))))</f>
        <v>#VALUE!</v>
      </c>
      <c r="C204" t="s">
        <v>28</v>
      </c>
      <c r="D204" t="e">
        <f>D203+0</f>
        <v>#VALUE!</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34</v>
      </c>
      <c r="E208" t="s">
        <v>33</v>
      </c>
      <c r="F208" t="s">
        <v>32</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2" t="s">
        <v>47</v>
      </c>
      <c r="B211" s="183"/>
      <c r="C211" s="183"/>
      <c r="D211" s="183"/>
      <c r="E211" s="183"/>
      <c r="F211" s="183"/>
      <c r="G211" s="183"/>
      <c r="H211" s="183"/>
      <c r="I211" s="183"/>
      <c r="J211" s="183"/>
      <c r="K211" s="184"/>
    </row>
    <row r="212" spans="1:11" hidden="1" x14ac:dyDescent="0.3">
      <c r="A212" s="42" t="e">
        <f>K206</f>
        <v>#VALUE!</v>
      </c>
      <c r="C212" t="e">
        <f>FIXED(A204,5)</f>
        <v>#VALUE!</v>
      </c>
      <c r="D212" t="e">
        <f>RIGHT(C212,1)</f>
        <v>#VALUE!</v>
      </c>
      <c r="E212" t="e">
        <f>D212+0</f>
        <v>#VALUE!</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34</v>
      </c>
      <c r="E216" t="s">
        <v>33</v>
      </c>
      <c r="F216" t="s">
        <v>32</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2" t="s">
        <v>46</v>
      </c>
      <c r="B219" s="183"/>
      <c r="C219" s="183"/>
      <c r="D219" s="183"/>
      <c r="E219" s="183"/>
      <c r="F219" s="183"/>
      <c r="G219" s="183"/>
      <c r="H219" s="183"/>
      <c r="I219" s="183"/>
      <c r="J219" s="183"/>
      <c r="K219" s="184"/>
    </row>
    <row r="220" spans="1:11" hidden="1" x14ac:dyDescent="0.3">
      <c r="A220" s="42" t="e">
        <f>K214</f>
        <v>#VALUE!</v>
      </c>
      <c r="C220" t="e">
        <f>FIXED(A212,4)</f>
        <v>#VALUE!</v>
      </c>
      <c r="D220" t="e">
        <f>RIGHT(C220,1)</f>
        <v>#VALUE!</v>
      </c>
      <c r="E220" t="e">
        <f>D220+0</f>
        <v>#VALUE!</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2"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34</v>
      </c>
      <c r="E224" t="s">
        <v>33</v>
      </c>
      <c r="F224" t="s">
        <v>32</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2" t="s">
        <v>45</v>
      </c>
      <c r="B227" s="183"/>
      <c r="C227" s="183"/>
      <c r="D227" s="183"/>
      <c r="E227" s="183"/>
      <c r="F227" s="183"/>
      <c r="G227" s="183"/>
      <c r="H227" s="183"/>
      <c r="I227" s="183"/>
      <c r="J227" s="183"/>
      <c r="K227" s="184"/>
    </row>
    <row r="228" spans="1:11" hidden="1" x14ac:dyDescent="0.3">
      <c r="A228" s="39" t="e">
        <f>K222</f>
        <v>#VALUE!</v>
      </c>
      <c r="C228" t="e">
        <f>FIXED(A220,3)</f>
        <v>#VALUE!</v>
      </c>
      <c r="D228" t="e">
        <f>RIGHT(C228,1)</f>
        <v>#VALUE!</v>
      </c>
      <c r="E228" t="e">
        <f>D228+0</f>
        <v>#VALUE!</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2"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34</v>
      </c>
      <c r="E232" t="s">
        <v>33</v>
      </c>
      <c r="F232" t="s">
        <v>32</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2" t="s">
        <v>44</v>
      </c>
      <c r="B235" s="183"/>
      <c r="C235" s="183"/>
      <c r="D235" s="183"/>
      <c r="E235" s="183"/>
      <c r="F235" s="183"/>
      <c r="G235" s="183"/>
      <c r="H235" s="183"/>
      <c r="I235" s="183"/>
      <c r="J235" s="183"/>
      <c r="K235" s="184"/>
    </row>
    <row r="236" spans="1:11" hidden="1" x14ac:dyDescent="0.3">
      <c r="A236" s="39" t="e">
        <f>K230</f>
        <v>#VALUE!</v>
      </c>
      <c r="C236" t="e">
        <f>FIXED(A228,2)</f>
        <v>#VALUE!</v>
      </c>
      <c r="D236" t="e">
        <f>RIGHT(C236,1)</f>
        <v>#VALUE!</v>
      </c>
      <c r="E236" t="e">
        <f>D236+0</f>
        <v>#VALUE!</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34</v>
      </c>
      <c r="E240" t="s">
        <v>33</v>
      </c>
      <c r="F240" t="s">
        <v>32</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5" t="s">
        <v>52</v>
      </c>
      <c r="B242" s="186"/>
      <c r="C242" s="186"/>
      <c r="D242" s="186"/>
      <c r="E242" s="186"/>
      <c r="F242" s="186"/>
      <c r="G242" s="186"/>
      <c r="H242" s="186"/>
      <c r="I242" s="186"/>
      <c r="J242" s="186"/>
      <c r="K242" s="187"/>
    </row>
    <row r="243" spans="1:11" ht="15" thickBot="1" x14ac:dyDescent="0.35">
      <c r="A243" s="31" t="s">
        <v>30</v>
      </c>
      <c r="B243" s="18" t="s">
        <v>29</v>
      </c>
      <c r="C243" t="str">
        <f ca="1">FIXED(A244,6)</f>
        <v>0,672481</v>
      </c>
      <c r="D243" t="str">
        <f ca="1">RIGHT(C243,1)</f>
        <v>1</v>
      </c>
      <c r="E243">
        <f ca="1">D243/1000000</f>
        <v>9.9999999999999995E-7</v>
      </c>
      <c r="F243" s="30">
        <f ca="1">A244-E243</f>
        <v>0.67248048432322849</v>
      </c>
      <c r="H243" t="str">
        <f ca="1">IF(C248=5,IF(AND(D244=0,D249=FALSE),J246,J247),J247)</f>
        <v>0,6725</v>
      </c>
      <c r="K243" s="27"/>
    </row>
    <row r="244" spans="1:11" ht="18.600000000000001" thickBot="1" x14ac:dyDescent="0.4">
      <c r="A244" s="29">
        <f ca="1">INCERTIDUMBRE!L11</f>
        <v>0.67248148432322852</v>
      </c>
      <c r="B244" s="28" t="str">
        <f ca="1">IF(A244&gt;=10,K278,IF(A244&gt;=1,K270,IF(A244&gt;=0.1,K262,IF(A244&gt;=0.01,K254,IF(A244&gt;=0.001,K246)))))</f>
        <v>0,67</v>
      </c>
      <c r="C244" t="s">
        <v>28</v>
      </c>
      <c r="D244">
        <f ca="1">D243+0</f>
        <v>1</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 ca="1">RIGHT(F243,2)</f>
        <v>28</v>
      </c>
      <c r="D246" t="str">
        <f ca="1">LEFT(C246,1)</f>
        <v>2</v>
      </c>
      <c r="E246" s="30">
        <f ca="1">TRUNC(A244)</f>
        <v>0</v>
      </c>
      <c r="F246" s="14" t="str">
        <f ca="1">FIXED(A244-E246,G246)</f>
        <v>0,672481484323229</v>
      </c>
      <c r="G246">
        <f ca="1">ABS(E249-F249)</f>
        <v>15</v>
      </c>
      <c r="H246" t="str">
        <f ca="1">RIGHT(A244,G246)</f>
        <v>672481484323229</v>
      </c>
      <c r="I246">
        <v>5.0000000000000002E-5</v>
      </c>
      <c r="J246" s="14">
        <f ca="1">(A244-I246)</f>
        <v>0.67243148432322852</v>
      </c>
      <c r="K246" s="45" t="str">
        <f ca="1">IF(C248=5,IF(AND(D244=0,D249=FALSE),J246,J247),J247)</f>
        <v>0,6725</v>
      </c>
    </row>
    <row r="247" spans="1:11" hidden="1" x14ac:dyDescent="0.3">
      <c r="A247" s="31"/>
      <c r="C247" t="str">
        <f ca="1">RIGHT(C246,1)</f>
        <v>8</v>
      </c>
      <c r="D247">
        <f ca="1">D246+0</f>
        <v>2</v>
      </c>
      <c r="J247" t="str">
        <f ca="1">FIXED(A244,4)</f>
        <v>0,6725</v>
      </c>
      <c r="K247" s="27"/>
    </row>
    <row r="248" spans="1:11" hidden="1" x14ac:dyDescent="0.3">
      <c r="A248" s="31"/>
      <c r="C248">
        <f ca="1">C247+0</f>
        <v>8</v>
      </c>
      <c r="D248" t="s">
        <v>34</v>
      </c>
      <c r="E248" t="s">
        <v>33</v>
      </c>
      <c r="F248" t="s">
        <v>32</v>
      </c>
      <c r="K248" s="27"/>
    </row>
    <row r="249" spans="1:11" hidden="1" x14ac:dyDescent="0.3">
      <c r="A249" s="31"/>
      <c r="D249" t="b">
        <f ca="1">ISODD(D246)</f>
        <v>0</v>
      </c>
      <c r="E249">
        <f ca="1">LEN(A244)</f>
        <v>17</v>
      </c>
      <c r="F249">
        <f ca="1">LEN(E246)+1</f>
        <v>2</v>
      </c>
      <c r="K249" s="27"/>
    </row>
    <row r="250" spans="1:11" hidden="1" x14ac:dyDescent="0.3">
      <c r="A250" s="31"/>
      <c r="K250" s="27"/>
    </row>
    <row r="251" spans="1:11" hidden="1" x14ac:dyDescent="0.3">
      <c r="A251" s="182" t="s">
        <v>47</v>
      </c>
      <c r="B251" s="183"/>
      <c r="C251" s="183"/>
      <c r="D251" s="183"/>
      <c r="E251" s="183"/>
      <c r="F251" s="183"/>
      <c r="G251" s="183"/>
      <c r="H251" s="183"/>
      <c r="I251" s="183"/>
      <c r="J251" s="183"/>
      <c r="K251" s="184"/>
    </row>
    <row r="252" spans="1:11" hidden="1" x14ac:dyDescent="0.3">
      <c r="A252" s="42" t="str">
        <f ca="1">K246</f>
        <v>0,6725</v>
      </c>
      <c r="C252" t="str">
        <f ca="1">FIXED(A244,5)</f>
        <v>0,67248</v>
      </c>
      <c r="D252" t="str">
        <f ca="1">RIGHT(C252,1)</f>
        <v>8</v>
      </c>
      <c r="E252">
        <f ca="1">D252+0</f>
        <v>8</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 ca="1">RIGHT(A252,2)</f>
        <v>25</v>
      </c>
      <c r="D254" t="str">
        <f ca="1">LEFT(C254,1)</f>
        <v>2</v>
      </c>
      <c r="E254" s="36">
        <f ca="1">TRUNC(A252)</f>
        <v>0</v>
      </c>
      <c r="F254" s="14" t="str">
        <f ca="1">FIXED(A252-E254,G254)</f>
        <v>0,6725</v>
      </c>
      <c r="G254">
        <f ca="1">ABS(E257-F257)</f>
        <v>4</v>
      </c>
      <c r="H254" t="str">
        <f ca="1">RIGHT(A252,G254)</f>
        <v>6725</v>
      </c>
      <c r="I254">
        <v>5.0000000000000001E-4</v>
      </c>
      <c r="J254" s="44">
        <f ca="1">(A252-I254)</f>
        <v>0.67200000000000004</v>
      </c>
      <c r="K254" s="43" t="str">
        <f ca="1">IF(C256=5,IF(AND(E252=0,D257=FALSE),J254,J255),J255)</f>
        <v>0,673</v>
      </c>
    </row>
    <row r="255" spans="1:11" hidden="1" x14ac:dyDescent="0.3">
      <c r="A255" s="31"/>
      <c r="C255" t="str">
        <f ca="1">RIGHT(C254,1)</f>
        <v>5</v>
      </c>
      <c r="D255">
        <f ca="1">D254+0</f>
        <v>2</v>
      </c>
      <c r="J255" t="str">
        <f ca="1">FIXED(A252,3)</f>
        <v>0,673</v>
      </c>
      <c r="K255" s="27"/>
    </row>
    <row r="256" spans="1:11" hidden="1" x14ac:dyDescent="0.3">
      <c r="A256" s="31"/>
      <c r="C256">
        <f ca="1">C255+0</f>
        <v>5</v>
      </c>
      <c r="D256" t="s">
        <v>34</v>
      </c>
      <c r="E256" t="s">
        <v>33</v>
      </c>
      <c r="F256" t="s">
        <v>32</v>
      </c>
      <c r="K256" s="27"/>
    </row>
    <row r="257" spans="1:11" hidden="1" x14ac:dyDescent="0.3">
      <c r="A257" s="31"/>
      <c r="D257" t="b">
        <f ca="1">ISODD(D254)</f>
        <v>0</v>
      </c>
      <c r="E257">
        <f ca="1">LEN(A252)</f>
        <v>6</v>
      </c>
      <c r="F257">
        <f ca="1">LEN(E254)+1</f>
        <v>2</v>
      </c>
      <c r="K257" s="27"/>
    </row>
    <row r="258" spans="1:11" hidden="1" x14ac:dyDescent="0.3">
      <c r="A258" s="31"/>
      <c r="K258" s="27"/>
    </row>
    <row r="259" spans="1:11" hidden="1" x14ac:dyDescent="0.3">
      <c r="A259" s="182" t="s">
        <v>46</v>
      </c>
      <c r="B259" s="183"/>
      <c r="C259" s="183"/>
      <c r="D259" s="183"/>
      <c r="E259" s="183"/>
      <c r="F259" s="183"/>
      <c r="G259" s="183"/>
      <c r="H259" s="183"/>
      <c r="I259" s="183"/>
      <c r="J259" s="183"/>
      <c r="K259" s="184"/>
    </row>
    <row r="260" spans="1:11" hidden="1" x14ac:dyDescent="0.3">
      <c r="A260" s="42" t="str">
        <f ca="1">K254</f>
        <v>0,673</v>
      </c>
      <c r="C260" t="str">
        <f ca="1">FIXED(A252,4)</f>
        <v>0,6725</v>
      </c>
      <c r="D260" t="str">
        <f ca="1">RIGHT(C260,1)</f>
        <v>5</v>
      </c>
      <c r="E260">
        <f ca="1">D260+0</f>
        <v>5</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 ca="1">RIGHT(A260,2)</f>
        <v>73</v>
      </c>
      <c r="D262" t="str">
        <f ca="1">LEFT(C262,1)</f>
        <v>7</v>
      </c>
      <c r="E262" s="36">
        <f ca="1">TRUNC(A260)</f>
        <v>0</v>
      </c>
      <c r="F262" s="14" t="str">
        <f ca="1">FIXED(A260-E262,G262)</f>
        <v>0,673</v>
      </c>
      <c r="G262">
        <f ca="1">ABS(E265-F265)</f>
        <v>3</v>
      </c>
      <c r="H262" t="str">
        <f ca="1">RIGHT(A260,G262)</f>
        <v>673</v>
      </c>
      <c r="I262">
        <v>5.0000000000000001E-3</v>
      </c>
      <c r="J262" s="2">
        <f ca="1">(A260-I262)</f>
        <v>0.66800000000000004</v>
      </c>
      <c r="K262" s="41" t="str">
        <f ca="1">IF(C264=5,IF(AND(E260=0,D265=FALSE),J262,J263),J263)</f>
        <v>0,67</v>
      </c>
    </row>
    <row r="263" spans="1:11" ht="18" hidden="1" x14ac:dyDescent="0.35">
      <c r="A263" s="31"/>
      <c r="C263" t="str">
        <f ca="1">RIGHT(C262,1)</f>
        <v>3</v>
      </c>
      <c r="D263">
        <f ca="1">D262+0</f>
        <v>7</v>
      </c>
      <c r="J263" t="str">
        <f ca="1">FIXED(A260,2)</f>
        <v>0,67</v>
      </c>
      <c r="K263" s="41"/>
    </row>
    <row r="264" spans="1:11" hidden="1" x14ac:dyDescent="0.3">
      <c r="A264" s="31"/>
      <c r="C264">
        <f ca="1">C263+0</f>
        <v>3</v>
      </c>
      <c r="D264" t="s">
        <v>34</v>
      </c>
      <c r="E264" t="s">
        <v>33</v>
      </c>
      <c r="F264" t="s">
        <v>32</v>
      </c>
      <c r="K264" s="27"/>
    </row>
    <row r="265" spans="1:11" hidden="1" x14ac:dyDescent="0.3">
      <c r="A265" s="31"/>
      <c r="D265" t="b">
        <f ca="1">ISODD(D262)</f>
        <v>1</v>
      </c>
      <c r="E265">
        <f ca="1">LEN(A260)</f>
        <v>5</v>
      </c>
      <c r="F265">
        <f ca="1">LEN(E262)+1</f>
        <v>2</v>
      </c>
      <c r="K265" s="27"/>
    </row>
    <row r="266" spans="1:11" hidden="1" x14ac:dyDescent="0.3">
      <c r="A266" s="31"/>
      <c r="K266" s="27"/>
    </row>
    <row r="267" spans="1:11" hidden="1" x14ac:dyDescent="0.3">
      <c r="A267" s="182" t="s">
        <v>45</v>
      </c>
      <c r="B267" s="183"/>
      <c r="C267" s="183"/>
      <c r="D267" s="183"/>
      <c r="E267" s="183"/>
      <c r="F267" s="183"/>
      <c r="G267" s="183"/>
      <c r="H267" s="183"/>
      <c r="I267" s="183"/>
      <c r="J267" s="183"/>
      <c r="K267" s="184"/>
    </row>
    <row r="268" spans="1:11" hidden="1" x14ac:dyDescent="0.3">
      <c r="A268" s="39" t="str">
        <f ca="1">K262</f>
        <v>0,67</v>
      </c>
      <c r="C268" t="str">
        <f ca="1">FIXED(A260,3)</f>
        <v>0,673</v>
      </c>
      <c r="D268" t="str">
        <f ca="1">RIGHT(C268,1)</f>
        <v>3</v>
      </c>
      <c r="E268">
        <f ca="1">D268+0</f>
        <v>3</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 ca="1">RIGHT(A268,2)</f>
        <v>67</v>
      </c>
      <c r="D270" t="str">
        <f ca="1">LEFT(C270,1)</f>
        <v>6</v>
      </c>
      <c r="E270" s="36">
        <f ca="1">TRUNC(A268)</f>
        <v>0</v>
      </c>
      <c r="F270" s="14" t="str">
        <f ca="1">FIXED(A268-E270,G270)</f>
        <v>0,67</v>
      </c>
      <c r="G270">
        <f ca="1">ABS(E273-F273)</f>
        <v>2</v>
      </c>
      <c r="H270" t="str">
        <f ca="1">RIGHT(A268,G270)</f>
        <v>67</v>
      </c>
      <c r="I270">
        <v>0.05</v>
      </c>
      <c r="J270" s="2">
        <f ca="1">(A268-I270)</f>
        <v>0.62</v>
      </c>
      <c r="K270" s="41" t="str">
        <f ca="1">IF(C272=5,IF(AND(E268=0,D273=FALSE),J270,J271),J271)</f>
        <v>0,7</v>
      </c>
    </row>
    <row r="271" spans="1:11" hidden="1" x14ac:dyDescent="0.3">
      <c r="A271" s="31"/>
      <c r="C271" t="str">
        <f ca="1">RIGHT(C270,1)</f>
        <v>7</v>
      </c>
      <c r="D271">
        <f ca="1">D270+0</f>
        <v>6</v>
      </c>
      <c r="J271" t="str">
        <f ca="1">FIXED(A268,1)</f>
        <v>0,7</v>
      </c>
      <c r="K271" s="40"/>
    </row>
    <row r="272" spans="1:11" hidden="1" x14ac:dyDescent="0.3">
      <c r="A272" s="31"/>
      <c r="C272">
        <f ca="1">C271+0</f>
        <v>7</v>
      </c>
      <c r="D272" t="s">
        <v>34</v>
      </c>
      <c r="E272" t="s">
        <v>33</v>
      </c>
      <c r="F272" t="s">
        <v>32</v>
      </c>
      <c r="K272" s="27"/>
    </row>
    <row r="273" spans="1:11" hidden="1" x14ac:dyDescent="0.3">
      <c r="A273" s="31"/>
      <c r="D273" t="b">
        <f ca="1">ISODD(D270)</f>
        <v>0</v>
      </c>
      <c r="E273">
        <f ca="1">LEN(A268)</f>
        <v>4</v>
      </c>
      <c r="F273">
        <f ca="1">LEN(E270)+1</f>
        <v>2</v>
      </c>
      <c r="K273" s="27"/>
    </row>
    <row r="274" spans="1:11" hidden="1" x14ac:dyDescent="0.3">
      <c r="A274" s="31"/>
      <c r="K274" s="27"/>
    </row>
    <row r="275" spans="1:11" hidden="1" x14ac:dyDescent="0.3">
      <c r="A275" s="182" t="s">
        <v>44</v>
      </c>
      <c r="B275" s="183"/>
      <c r="C275" s="183"/>
      <c r="D275" s="183"/>
      <c r="E275" s="183"/>
      <c r="F275" s="183"/>
      <c r="G275" s="183"/>
      <c r="H275" s="183"/>
      <c r="I275" s="183"/>
      <c r="J275" s="183"/>
      <c r="K275" s="184"/>
    </row>
    <row r="276" spans="1:11" hidden="1" x14ac:dyDescent="0.3">
      <c r="A276" s="39" t="str">
        <f ca="1">K270</f>
        <v>0,7</v>
      </c>
      <c r="C276" t="str">
        <f ca="1">FIXED(A268,2)</f>
        <v>0,67</v>
      </c>
      <c r="D276" t="str">
        <f ca="1">RIGHT(C276,1)</f>
        <v>7</v>
      </c>
      <c r="E276">
        <f ca="1">D276+0</f>
        <v>7</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 ca="1">RIGHT(A276,2)</f>
        <v>,7</v>
      </c>
      <c r="D278" t="str">
        <f ca="1">RIGHT(E278,1)</f>
        <v>0</v>
      </c>
      <c r="E278" s="36">
        <f ca="1">TRUNC(A276)</f>
        <v>0</v>
      </c>
      <c r="F278" s="14" t="str">
        <f ca="1">FIXED(A276-E278,G278)</f>
        <v>0,7</v>
      </c>
      <c r="G278">
        <f ca="1">ABS(E281-F281)</f>
        <v>1</v>
      </c>
      <c r="H278" t="str">
        <f ca="1">RIGHT(A276,G278)</f>
        <v>7</v>
      </c>
      <c r="I278">
        <v>0.5</v>
      </c>
      <c r="J278" s="12">
        <f ca="1">(A276-I278)</f>
        <v>0.19999999999999996</v>
      </c>
      <c r="K278" s="35" t="str">
        <f ca="1">IF(C280=5,IF(AND(E276=0,D281=FALSE),J278,J279),J279)</f>
        <v>1</v>
      </c>
    </row>
    <row r="279" spans="1:11" hidden="1" x14ac:dyDescent="0.3">
      <c r="A279" s="31"/>
      <c r="C279" t="str">
        <f ca="1">RIGHT(C278,1)</f>
        <v>7</v>
      </c>
      <c r="D279">
        <f ca="1">D278+0</f>
        <v>0</v>
      </c>
      <c r="J279" t="str">
        <f ca="1">FIXED(A276,0)</f>
        <v>1</v>
      </c>
      <c r="K279" s="34"/>
    </row>
    <row r="280" spans="1:11" hidden="1" x14ac:dyDescent="0.3">
      <c r="A280" s="31"/>
      <c r="C280">
        <f ca="1">C279+0</f>
        <v>7</v>
      </c>
      <c r="D280" t="s">
        <v>34</v>
      </c>
      <c r="E280" t="s">
        <v>33</v>
      </c>
      <c r="F280" t="s">
        <v>32</v>
      </c>
      <c r="K280" s="27"/>
    </row>
    <row r="281" spans="1:11" ht="15" hidden="1" thickBot="1" x14ac:dyDescent="0.35">
      <c r="A281" s="33"/>
      <c r="B281" s="33"/>
      <c r="C281" s="33"/>
      <c r="D281" s="33" t="b">
        <f ca="1">ISODD(D278)</f>
        <v>0</v>
      </c>
      <c r="E281" s="33">
        <f ca="1">LEN(A276)</f>
        <v>3</v>
      </c>
      <c r="F281" s="33">
        <f ca="1">LEN(E278)+1</f>
        <v>2</v>
      </c>
      <c r="G281" s="33"/>
      <c r="H281" s="33"/>
      <c r="I281" s="33"/>
      <c r="J281" s="33"/>
      <c r="K281" s="32"/>
    </row>
    <row r="282" spans="1:11" ht="15" thickBot="1" x14ac:dyDescent="0.35">
      <c r="A282" s="185" t="s">
        <v>51</v>
      </c>
      <c r="B282" s="186"/>
      <c r="C282" s="186"/>
      <c r="D282" s="186"/>
      <c r="E282" s="186"/>
      <c r="F282" s="186"/>
      <c r="G282" s="186"/>
      <c r="H282" s="186"/>
      <c r="I282" s="186"/>
      <c r="J282" s="186"/>
      <c r="K282" s="187"/>
    </row>
    <row r="283" spans="1:11" ht="15" thickBot="1" x14ac:dyDescent="0.35">
      <c r="A283" s="31" t="s">
        <v>30</v>
      </c>
      <c r="B283" s="18" t="s">
        <v>29</v>
      </c>
      <c r="C283" t="str">
        <f ca="1">FIXED(A284,6)</f>
        <v>0,679877</v>
      </c>
      <c r="D283" t="str">
        <f ca="1">RIGHT(C283,1)</f>
        <v>7</v>
      </c>
      <c r="E283">
        <f ca="1">D283/1000000</f>
        <v>6.9999999999999999E-6</v>
      </c>
      <c r="F283" s="30">
        <f ca="1">A284-E283</f>
        <v>0.67987007435281976</v>
      </c>
      <c r="H283" t="str">
        <f ca="1">IF(C288=5,IF(AND(D284=0,D289=FALSE),J286,J287),J287)</f>
        <v>0,6799</v>
      </c>
      <c r="K283" s="27"/>
    </row>
    <row r="284" spans="1:11" ht="18.600000000000001" thickBot="1" x14ac:dyDescent="0.4">
      <c r="A284" s="29">
        <f ca="1">INCERTIDUMBRE!L12</f>
        <v>0.67987707435281974</v>
      </c>
      <c r="B284" s="28" t="str">
        <f ca="1">IF(A284&gt;=10,K318,IF(A284&gt;=1,K310,IF(A284&gt;=0.1,K302,IF(A284&gt;=0.01,K294,IF(A284&gt;=0.001,K286)))))</f>
        <v>0,68</v>
      </c>
      <c r="C284" t="s">
        <v>28</v>
      </c>
      <c r="D284">
        <f ca="1">D283+0</f>
        <v>7</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 ca="1">RIGHT(F283,2)</f>
        <v>82</v>
      </c>
      <c r="D286" t="str">
        <f ca="1">LEFT(C286,1)</f>
        <v>8</v>
      </c>
      <c r="E286" s="30">
        <f ca="1">TRUNC(A284)</f>
        <v>0</v>
      </c>
      <c r="F286" s="14" t="str">
        <f ca="1">FIXED(A284-E286,G286)</f>
        <v>0,67987707435282</v>
      </c>
      <c r="G286">
        <f ca="1">ABS(E289-F289)</f>
        <v>14</v>
      </c>
      <c r="H286" t="str">
        <f ca="1">RIGHT(A284,G286)</f>
        <v>67987707435282</v>
      </c>
      <c r="I286">
        <v>5.0000000000000002E-5</v>
      </c>
      <c r="J286" s="14">
        <f ca="1">(A284-I286)</f>
        <v>0.67982707435281975</v>
      </c>
      <c r="K286" s="45" t="str">
        <f ca="1">IF(C288=5,IF(AND(D284=0,D289=FALSE),J286,J287),J287)</f>
        <v>0,6799</v>
      </c>
    </row>
    <row r="287" spans="1:11" hidden="1" x14ac:dyDescent="0.3">
      <c r="A287" s="31"/>
      <c r="C287" t="str">
        <f ca="1">RIGHT(C286,1)</f>
        <v>2</v>
      </c>
      <c r="D287">
        <f ca="1">D286+0</f>
        <v>8</v>
      </c>
      <c r="J287" t="str">
        <f ca="1">FIXED(A284,4)</f>
        <v>0,6799</v>
      </c>
      <c r="K287" s="27"/>
    </row>
    <row r="288" spans="1:11" hidden="1" x14ac:dyDescent="0.3">
      <c r="A288" s="31"/>
      <c r="C288">
        <f ca="1">C287+0</f>
        <v>2</v>
      </c>
      <c r="D288" t="s">
        <v>34</v>
      </c>
      <c r="E288" t="s">
        <v>33</v>
      </c>
      <c r="F288" t="s">
        <v>32</v>
      </c>
      <c r="K288" s="27"/>
    </row>
    <row r="289" spans="1:11" hidden="1" x14ac:dyDescent="0.3">
      <c r="A289" s="31"/>
      <c r="D289" t="b">
        <f ca="1">ISODD(D286)</f>
        <v>0</v>
      </c>
      <c r="E289">
        <f ca="1">LEN(A284)</f>
        <v>16</v>
      </c>
      <c r="F289">
        <f ca="1">LEN(E286)+1</f>
        <v>2</v>
      </c>
      <c r="K289" s="27"/>
    </row>
    <row r="290" spans="1:11" hidden="1" x14ac:dyDescent="0.3">
      <c r="A290" s="31"/>
      <c r="K290" s="27"/>
    </row>
    <row r="291" spans="1:11" hidden="1" x14ac:dyDescent="0.3">
      <c r="A291" s="182" t="s">
        <v>47</v>
      </c>
      <c r="B291" s="183"/>
      <c r="C291" s="183"/>
      <c r="D291" s="183"/>
      <c r="E291" s="183"/>
      <c r="F291" s="183"/>
      <c r="G291" s="183"/>
      <c r="H291" s="183"/>
      <c r="I291" s="183"/>
      <c r="J291" s="183"/>
      <c r="K291" s="184"/>
    </row>
    <row r="292" spans="1:11" hidden="1" x14ac:dyDescent="0.3">
      <c r="A292" s="42" t="str">
        <f ca="1">K286</f>
        <v>0,6799</v>
      </c>
      <c r="C292" t="str">
        <f ca="1">FIXED(A284,5)</f>
        <v>0,67988</v>
      </c>
      <c r="D292" t="str">
        <f ca="1">RIGHT(C292,1)</f>
        <v>8</v>
      </c>
      <c r="E292">
        <f ca="1">D292+0</f>
        <v>8</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 ca="1">RIGHT(A292,2)</f>
        <v>99</v>
      </c>
      <c r="D294" t="str">
        <f ca="1">LEFT(C294,1)</f>
        <v>9</v>
      </c>
      <c r="E294" s="36">
        <f ca="1">TRUNC(A292)</f>
        <v>0</v>
      </c>
      <c r="F294" s="14" t="str">
        <f ca="1">FIXED(A292-E294,G294)</f>
        <v>0,6799</v>
      </c>
      <c r="G294">
        <f ca="1">ABS(E297-F297)</f>
        <v>4</v>
      </c>
      <c r="H294" t="str">
        <f ca="1">RIGHT(A292,G294)</f>
        <v>6799</v>
      </c>
      <c r="I294">
        <v>5.0000000000000001E-4</v>
      </c>
      <c r="J294" s="44">
        <f ca="1">(A292-I294)</f>
        <v>0.6794</v>
      </c>
      <c r="K294" s="43" t="str">
        <f ca="1">IF(C296=5,IF(AND(E292=0,D297=FALSE),J294,J295),J295)</f>
        <v>0,680</v>
      </c>
    </row>
    <row r="295" spans="1:11" hidden="1" x14ac:dyDescent="0.3">
      <c r="A295" s="31"/>
      <c r="C295" t="str">
        <f ca="1">RIGHT(C294,1)</f>
        <v>9</v>
      </c>
      <c r="D295">
        <f ca="1">D294+0</f>
        <v>9</v>
      </c>
      <c r="J295" t="str">
        <f ca="1">FIXED(A292,3)</f>
        <v>0,680</v>
      </c>
      <c r="K295" s="27"/>
    </row>
    <row r="296" spans="1:11" hidden="1" x14ac:dyDescent="0.3">
      <c r="A296" s="31"/>
      <c r="C296">
        <f ca="1">C295+0</f>
        <v>9</v>
      </c>
      <c r="D296" t="s">
        <v>34</v>
      </c>
      <c r="E296" t="s">
        <v>33</v>
      </c>
      <c r="F296" t="s">
        <v>32</v>
      </c>
      <c r="K296" s="27"/>
    </row>
    <row r="297" spans="1:11" hidden="1" x14ac:dyDescent="0.3">
      <c r="A297" s="31"/>
      <c r="D297" t="b">
        <f ca="1">ISODD(D294)</f>
        <v>1</v>
      </c>
      <c r="E297">
        <f ca="1">LEN(A292)</f>
        <v>6</v>
      </c>
      <c r="F297">
        <f ca="1">LEN(E294)+1</f>
        <v>2</v>
      </c>
      <c r="K297" s="27"/>
    </row>
    <row r="298" spans="1:11" hidden="1" x14ac:dyDescent="0.3">
      <c r="A298" s="31"/>
      <c r="K298" s="27"/>
    </row>
    <row r="299" spans="1:11" hidden="1" x14ac:dyDescent="0.3">
      <c r="A299" s="182" t="s">
        <v>46</v>
      </c>
      <c r="B299" s="183"/>
      <c r="C299" s="183"/>
      <c r="D299" s="183"/>
      <c r="E299" s="183"/>
      <c r="F299" s="183"/>
      <c r="G299" s="183"/>
      <c r="H299" s="183"/>
      <c r="I299" s="183"/>
      <c r="J299" s="183"/>
      <c r="K299" s="184"/>
    </row>
    <row r="300" spans="1:11" hidden="1" x14ac:dyDescent="0.3">
      <c r="A300" s="42" t="str">
        <f ca="1">K294</f>
        <v>0,680</v>
      </c>
      <c r="C300" t="str">
        <f ca="1">FIXED(A292,4)</f>
        <v>0,6799</v>
      </c>
      <c r="D300" t="str">
        <f ca="1">RIGHT(C300,1)</f>
        <v>9</v>
      </c>
      <c r="E300">
        <f ca="1">D300+0</f>
        <v>9</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 ca="1">RIGHT(A300,2)</f>
        <v>80</v>
      </c>
      <c r="D302" t="str">
        <f ca="1">LEFT(C302,1)</f>
        <v>8</v>
      </c>
      <c r="E302" s="36">
        <f ca="1">TRUNC(A300)</f>
        <v>0</v>
      </c>
      <c r="F302" s="14" t="str">
        <f ca="1">FIXED(A300-E302,G302)</f>
        <v>0,680</v>
      </c>
      <c r="G302">
        <f ca="1">ABS(E305-F305)</f>
        <v>3</v>
      </c>
      <c r="H302" t="str">
        <f ca="1">RIGHT(A300,G302)</f>
        <v>680</v>
      </c>
      <c r="I302">
        <v>5.0000000000000001E-3</v>
      </c>
      <c r="J302" s="2">
        <f ca="1">(A300-I302)</f>
        <v>0.67500000000000004</v>
      </c>
      <c r="K302" s="41" t="str">
        <f ca="1">IF(C304=5,IF(AND(E300=0,D305=FALSE),J302,J303),J303)</f>
        <v>0,68</v>
      </c>
    </row>
    <row r="303" spans="1:11" ht="18" hidden="1" x14ac:dyDescent="0.35">
      <c r="A303" s="31"/>
      <c r="C303" t="str">
        <f ca="1">RIGHT(C302,1)</f>
        <v>0</v>
      </c>
      <c r="D303">
        <f ca="1">D302+0</f>
        <v>8</v>
      </c>
      <c r="J303" t="str">
        <f ca="1">FIXED(A300,2)</f>
        <v>0,68</v>
      </c>
      <c r="K303" s="41"/>
    </row>
    <row r="304" spans="1:11" hidden="1" x14ac:dyDescent="0.3">
      <c r="A304" s="31"/>
      <c r="C304">
        <f ca="1">C303+0</f>
        <v>0</v>
      </c>
      <c r="D304" t="s">
        <v>34</v>
      </c>
      <c r="E304" t="s">
        <v>33</v>
      </c>
      <c r="F304" t="s">
        <v>32</v>
      </c>
      <c r="K304" s="27"/>
    </row>
    <row r="305" spans="1:11" hidden="1" x14ac:dyDescent="0.3">
      <c r="A305" s="31"/>
      <c r="D305" t="b">
        <f ca="1">ISODD(D302)</f>
        <v>0</v>
      </c>
      <c r="E305">
        <f ca="1">LEN(A300)</f>
        <v>5</v>
      </c>
      <c r="F305">
        <f ca="1">LEN(E302)+1</f>
        <v>2</v>
      </c>
      <c r="K305" s="27"/>
    </row>
    <row r="306" spans="1:11" hidden="1" x14ac:dyDescent="0.3">
      <c r="A306" s="31"/>
      <c r="K306" s="27"/>
    </row>
    <row r="307" spans="1:11" hidden="1" x14ac:dyDescent="0.3">
      <c r="A307" s="182" t="s">
        <v>45</v>
      </c>
      <c r="B307" s="183"/>
      <c r="C307" s="183"/>
      <c r="D307" s="183"/>
      <c r="E307" s="183"/>
      <c r="F307" s="183"/>
      <c r="G307" s="183"/>
      <c r="H307" s="183"/>
      <c r="I307" s="183"/>
      <c r="J307" s="183"/>
      <c r="K307" s="184"/>
    </row>
    <row r="308" spans="1:11" hidden="1" x14ac:dyDescent="0.3">
      <c r="A308" s="39" t="str">
        <f ca="1">K302</f>
        <v>0,68</v>
      </c>
      <c r="C308" t="str">
        <f ca="1">FIXED(A300,3)</f>
        <v>0,680</v>
      </c>
      <c r="D308" t="str">
        <f ca="1">RIGHT(C308,1)</f>
        <v>0</v>
      </c>
      <c r="E308">
        <f ca="1">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 ca="1">RIGHT(A308,2)</f>
        <v>68</v>
      </c>
      <c r="D310" t="str">
        <f ca="1">LEFT(C310,1)</f>
        <v>6</v>
      </c>
      <c r="E310" s="36">
        <f ca="1">TRUNC(A308)</f>
        <v>0</v>
      </c>
      <c r="F310" s="14" t="str">
        <f ca="1">FIXED(A308-E310,G310)</f>
        <v>0,68</v>
      </c>
      <c r="G310">
        <f ca="1">ABS(E313-F313)</f>
        <v>2</v>
      </c>
      <c r="H310" t="str">
        <f ca="1">RIGHT(A308,G310)</f>
        <v>68</v>
      </c>
      <c r="I310">
        <v>0.05</v>
      </c>
      <c r="J310" s="2">
        <f ca="1">(A308-I310)</f>
        <v>0.63</v>
      </c>
      <c r="K310" s="41" t="str">
        <f ca="1">IF(C312=5,IF(AND(E308=0,D313=FALSE),J310,J311),J311)</f>
        <v>0,7</v>
      </c>
    </row>
    <row r="311" spans="1:11" hidden="1" x14ac:dyDescent="0.3">
      <c r="A311" s="31"/>
      <c r="C311" t="str">
        <f ca="1">RIGHT(C310,1)</f>
        <v>8</v>
      </c>
      <c r="D311">
        <f ca="1">D310+0</f>
        <v>6</v>
      </c>
      <c r="J311" t="str">
        <f ca="1">FIXED(A308,1)</f>
        <v>0,7</v>
      </c>
      <c r="K311" s="40"/>
    </row>
    <row r="312" spans="1:11" hidden="1" x14ac:dyDescent="0.3">
      <c r="A312" s="31"/>
      <c r="C312">
        <f ca="1">C311+0</f>
        <v>8</v>
      </c>
      <c r="D312" t="s">
        <v>34</v>
      </c>
      <c r="E312" t="s">
        <v>33</v>
      </c>
      <c r="F312" t="s">
        <v>32</v>
      </c>
      <c r="K312" s="27"/>
    </row>
    <row r="313" spans="1:11" hidden="1" x14ac:dyDescent="0.3">
      <c r="A313" s="31"/>
      <c r="D313" t="b">
        <f ca="1">ISODD(D310)</f>
        <v>0</v>
      </c>
      <c r="E313">
        <f ca="1">LEN(A308)</f>
        <v>4</v>
      </c>
      <c r="F313">
        <f ca="1">LEN(E310)+1</f>
        <v>2</v>
      </c>
      <c r="K313" s="27"/>
    </row>
    <row r="314" spans="1:11" hidden="1" x14ac:dyDescent="0.3">
      <c r="A314" s="31"/>
      <c r="K314" s="27"/>
    </row>
    <row r="315" spans="1:11" hidden="1" x14ac:dyDescent="0.3">
      <c r="A315" s="182" t="s">
        <v>44</v>
      </c>
      <c r="B315" s="183"/>
      <c r="C315" s="183"/>
      <c r="D315" s="183"/>
      <c r="E315" s="183"/>
      <c r="F315" s="183"/>
      <c r="G315" s="183"/>
      <c r="H315" s="183"/>
      <c r="I315" s="183"/>
      <c r="J315" s="183"/>
      <c r="K315" s="184"/>
    </row>
    <row r="316" spans="1:11" hidden="1" x14ac:dyDescent="0.3">
      <c r="A316" s="39" t="str">
        <f ca="1">K310</f>
        <v>0,7</v>
      </c>
      <c r="C316" t="str">
        <f ca="1">FIXED(A308,2)</f>
        <v>0,68</v>
      </c>
      <c r="D316" t="str">
        <f ca="1">RIGHT(C316,1)</f>
        <v>8</v>
      </c>
      <c r="E316">
        <f ca="1">D316+0</f>
        <v>8</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 ca="1">RIGHT(A316,2)</f>
        <v>,7</v>
      </c>
      <c r="D318" t="str">
        <f ca="1">RIGHT(E318,1)</f>
        <v>0</v>
      </c>
      <c r="E318" s="36">
        <f ca="1">TRUNC(A316)</f>
        <v>0</v>
      </c>
      <c r="F318" s="14" t="str">
        <f ca="1">FIXED(A316-E318,G318)</f>
        <v>0,7</v>
      </c>
      <c r="G318">
        <f ca="1">ABS(E321-F321)</f>
        <v>1</v>
      </c>
      <c r="H318" t="str">
        <f ca="1">RIGHT(A316,G318)</f>
        <v>7</v>
      </c>
      <c r="I318">
        <v>0.5</v>
      </c>
      <c r="J318" s="12">
        <f ca="1">(A316-I318)</f>
        <v>0.19999999999999996</v>
      </c>
      <c r="K318" s="35" t="str">
        <f ca="1">IF(C320=5,IF(AND(E316=0,D321=FALSE),J318,J319),J319)</f>
        <v>1</v>
      </c>
    </row>
    <row r="319" spans="1:11" hidden="1" x14ac:dyDescent="0.3">
      <c r="A319" s="31"/>
      <c r="C319" t="str">
        <f ca="1">RIGHT(C318,1)</f>
        <v>7</v>
      </c>
      <c r="D319">
        <f ca="1">D318+0</f>
        <v>0</v>
      </c>
      <c r="J319" t="str">
        <f ca="1">FIXED(A316,0)</f>
        <v>1</v>
      </c>
      <c r="K319" s="34"/>
    </row>
    <row r="320" spans="1:11" hidden="1" x14ac:dyDescent="0.3">
      <c r="A320" s="31"/>
      <c r="C320">
        <f ca="1">C319+0</f>
        <v>7</v>
      </c>
      <c r="D320" t="s">
        <v>34</v>
      </c>
      <c r="E320" t="s">
        <v>33</v>
      </c>
      <c r="F320" t="s">
        <v>32</v>
      </c>
      <c r="K320" s="27"/>
    </row>
    <row r="321" spans="1:11" ht="15" hidden="1" thickBot="1" x14ac:dyDescent="0.35">
      <c r="A321" s="33"/>
      <c r="B321" s="33"/>
      <c r="C321" s="33"/>
      <c r="D321" s="33" t="b">
        <f ca="1">ISODD(D318)</f>
        <v>0</v>
      </c>
      <c r="E321" s="33">
        <f ca="1">LEN(A316)</f>
        <v>3</v>
      </c>
      <c r="F321" s="33">
        <f ca="1">LEN(E318)+1</f>
        <v>2</v>
      </c>
      <c r="G321" s="33"/>
      <c r="H321" s="33"/>
      <c r="I321" s="33"/>
      <c r="J321" s="33"/>
      <c r="K321" s="32"/>
    </row>
    <row r="322" spans="1:11" ht="15" thickBot="1" x14ac:dyDescent="0.35">
      <c r="A322" s="185" t="s">
        <v>50</v>
      </c>
      <c r="B322" s="186"/>
      <c r="C322" s="186"/>
      <c r="D322" s="186"/>
      <c r="E322" s="186"/>
      <c r="F322" s="186"/>
      <c r="G322" s="186"/>
      <c r="H322" s="186"/>
      <c r="I322" s="186"/>
      <c r="J322" s="186"/>
      <c r="K322" s="187"/>
    </row>
    <row r="323" spans="1:11" ht="15" thickBot="1" x14ac:dyDescent="0.35">
      <c r="A323" s="31" t="s">
        <v>30</v>
      </c>
      <c r="B323" s="18" t="s">
        <v>29</v>
      </c>
      <c r="C323" t="str">
        <f ca="1">FIXED(A324,6)</f>
        <v>0,697296</v>
      </c>
      <c r="D323" t="str">
        <f ca="1">RIGHT(C323,1)</f>
        <v>6</v>
      </c>
      <c r="E323">
        <f ca="1">D323/1000000</f>
        <v>6.0000000000000002E-6</v>
      </c>
      <c r="F323" s="30">
        <f ca="1">A324-E323</f>
        <v>0.6972903141577167</v>
      </c>
      <c r="H323" t="str">
        <f ca="1">IF(C328=5,IF(AND(D324=0,D329=FALSE),J326,J327),J327)</f>
        <v>0,6973</v>
      </c>
      <c r="K323" s="27"/>
    </row>
    <row r="324" spans="1:11" ht="18.600000000000001" thickBot="1" x14ac:dyDescent="0.4">
      <c r="A324" s="29">
        <f ca="1">INCERTIDUMBRE!L13</f>
        <v>0.69729631415771665</v>
      </c>
      <c r="B324" s="28" t="str">
        <f ca="1">IF(A324&gt;=10,K358,IF(A324&gt;=1,K350,IF(A324&gt;=0.1,K342,IF(A324&gt;=0.01,K334,IF(A324&gt;=0.001,K326)))))</f>
        <v>0,70</v>
      </c>
      <c r="C324" t="s">
        <v>28</v>
      </c>
      <c r="D324">
        <f ca="1">D323+0</f>
        <v>6</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 ca="1">RIGHT(F323,2)</f>
        <v>17</v>
      </c>
      <c r="D326" t="str">
        <f ca="1">LEFT(C326,1)</f>
        <v>1</v>
      </c>
      <c r="E326" s="30">
        <f ca="1">TRUNC(A324)</f>
        <v>0</v>
      </c>
      <c r="F326" s="14" t="str">
        <f ca="1">FIXED(A324-E326,G326)</f>
        <v>0,697296314157717</v>
      </c>
      <c r="G326">
        <f ca="1">ABS(E329-F329)</f>
        <v>15</v>
      </c>
      <c r="H326" t="str">
        <f ca="1">RIGHT(A324,G326)</f>
        <v>697296314157717</v>
      </c>
      <c r="I326">
        <v>5.0000000000000002E-5</v>
      </c>
      <c r="J326" s="14">
        <f ca="1">(A324-I326)</f>
        <v>0.69724631415771665</v>
      </c>
      <c r="K326" s="45" t="str">
        <f ca="1">IF(C328=5,IF(AND(D324=0,D329=FALSE),J326,J327),J327)</f>
        <v>0,6973</v>
      </c>
    </row>
    <row r="327" spans="1:11" hidden="1" x14ac:dyDescent="0.3">
      <c r="A327" s="31"/>
      <c r="C327" t="str">
        <f ca="1">RIGHT(C326,1)</f>
        <v>7</v>
      </c>
      <c r="D327">
        <f ca="1">D326+0</f>
        <v>1</v>
      </c>
      <c r="J327" t="str">
        <f ca="1">FIXED(A324,4)</f>
        <v>0,6973</v>
      </c>
      <c r="K327" s="27"/>
    </row>
    <row r="328" spans="1:11" hidden="1" x14ac:dyDescent="0.3">
      <c r="A328" s="31"/>
      <c r="C328">
        <f ca="1">C327+0</f>
        <v>7</v>
      </c>
      <c r="D328" t="s">
        <v>34</v>
      </c>
      <c r="E328" t="s">
        <v>33</v>
      </c>
      <c r="F328" t="s">
        <v>32</v>
      </c>
      <c r="K328" s="27"/>
    </row>
    <row r="329" spans="1:11" hidden="1" x14ac:dyDescent="0.3">
      <c r="A329" s="31"/>
      <c r="D329" t="b">
        <f ca="1">ISODD(D326)</f>
        <v>1</v>
      </c>
      <c r="E329">
        <f ca="1">LEN(A324)</f>
        <v>17</v>
      </c>
      <c r="F329">
        <f ca="1">LEN(E326)+1</f>
        <v>2</v>
      </c>
      <c r="K329" s="27"/>
    </row>
    <row r="330" spans="1:11" hidden="1" x14ac:dyDescent="0.3">
      <c r="A330" s="31"/>
      <c r="K330" s="27"/>
    </row>
    <row r="331" spans="1:11" hidden="1" x14ac:dyDescent="0.3">
      <c r="A331" s="182" t="s">
        <v>47</v>
      </c>
      <c r="B331" s="183"/>
      <c r="C331" s="183"/>
      <c r="D331" s="183"/>
      <c r="E331" s="183"/>
      <c r="F331" s="183"/>
      <c r="G331" s="183"/>
      <c r="H331" s="183"/>
      <c r="I331" s="183"/>
      <c r="J331" s="183"/>
      <c r="K331" s="184"/>
    </row>
    <row r="332" spans="1:11" hidden="1" x14ac:dyDescent="0.3">
      <c r="A332" s="42" t="str">
        <f ca="1">K326</f>
        <v>0,6973</v>
      </c>
      <c r="C332" t="str">
        <f ca="1">FIXED(A324,5)</f>
        <v>0,69730</v>
      </c>
      <c r="D332" t="str">
        <f ca="1">RIGHT(C332,1)</f>
        <v>0</v>
      </c>
      <c r="E332">
        <f ca="1">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 ca="1">RIGHT(A332,2)</f>
        <v>73</v>
      </c>
      <c r="D334" t="str">
        <f ca="1">LEFT(C334,1)</f>
        <v>7</v>
      </c>
      <c r="E334" s="36">
        <f ca="1">TRUNC(A332)</f>
        <v>0</v>
      </c>
      <c r="F334" s="14" t="str">
        <f ca="1">FIXED(A332-E334,G334)</f>
        <v>0,6973</v>
      </c>
      <c r="G334">
        <f ca="1">ABS(E337-F337)</f>
        <v>4</v>
      </c>
      <c r="H334" t="str">
        <f ca="1">RIGHT(A332,G334)</f>
        <v>6973</v>
      </c>
      <c r="I334">
        <v>5.0000000000000001E-4</v>
      </c>
      <c r="J334" s="44">
        <f ca="1">(A332-I334)</f>
        <v>0.69680000000000009</v>
      </c>
      <c r="K334" s="43" t="str">
        <f ca="1">IF(C336=5,IF(AND(E332=0,D337=FALSE),J334,J335),J335)</f>
        <v>0,697</v>
      </c>
    </row>
    <row r="335" spans="1:11" hidden="1" x14ac:dyDescent="0.3">
      <c r="A335" s="31"/>
      <c r="C335" t="str">
        <f ca="1">RIGHT(C334,1)</f>
        <v>3</v>
      </c>
      <c r="D335">
        <f ca="1">D334+0</f>
        <v>7</v>
      </c>
      <c r="J335" t="str">
        <f ca="1">FIXED(A332,3)</f>
        <v>0,697</v>
      </c>
      <c r="K335" s="27"/>
    </row>
    <row r="336" spans="1:11" hidden="1" x14ac:dyDescent="0.3">
      <c r="A336" s="31"/>
      <c r="C336">
        <f ca="1">C335+0</f>
        <v>3</v>
      </c>
      <c r="D336" t="s">
        <v>34</v>
      </c>
      <c r="E336" t="s">
        <v>33</v>
      </c>
      <c r="F336" t="s">
        <v>32</v>
      </c>
      <c r="K336" s="27"/>
    </row>
    <row r="337" spans="1:11" hidden="1" x14ac:dyDescent="0.3">
      <c r="A337" s="31"/>
      <c r="D337" t="b">
        <f ca="1">ISODD(D334)</f>
        <v>1</v>
      </c>
      <c r="E337">
        <f ca="1">LEN(A332)</f>
        <v>6</v>
      </c>
      <c r="F337">
        <f ca="1">LEN(E334)+1</f>
        <v>2</v>
      </c>
      <c r="K337" s="27"/>
    </row>
    <row r="338" spans="1:11" hidden="1" x14ac:dyDescent="0.3">
      <c r="A338" s="31"/>
      <c r="K338" s="27"/>
    </row>
    <row r="339" spans="1:11" hidden="1" x14ac:dyDescent="0.3">
      <c r="A339" s="182" t="s">
        <v>46</v>
      </c>
      <c r="B339" s="183"/>
      <c r="C339" s="183"/>
      <c r="D339" s="183"/>
      <c r="E339" s="183"/>
      <c r="F339" s="183"/>
      <c r="G339" s="183"/>
      <c r="H339" s="183"/>
      <c r="I339" s="183"/>
      <c r="J339" s="183"/>
      <c r="K339" s="184"/>
    </row>
    <row r="340" spans="1:11" hidden="1" x14ac:dyDescent="0.3">
      <c r="A340" s="42" t="str">
        <f ca="1">K334</f>
        <v>0,697</v>
      </c>
      <c r="C340" t="str">
        <f ca="1">FIXED(A332,4)</f>
        <v>0,6973</v>
      </c>
      <c r="D340" t="str">
        <f ca="1">RIGHT(C340,1)</f>
        <v>3</v>
      </c>
      <c r="E340">
        <f ca="1">D340+0</f>
        <v>3</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 ca="1">RIGHT(A340,2)</f>
        <v>97</v>
      </c>
      <c r="D342" t="str">
        <f ca="1">LEFT(C342,1)</f>
        <v>9</v>
      </c>
      <c r="E342" s="36">
        <f ca="1">TRUNC(A340)</f>
        <v>0</v>
      </c>
      <c r="F342" s="14" t="str">
        <f ca="1">FIXED(A340-E342,G342)</f>
        <v>0,697</v>
      </c>
      <c r="G342">
        <f ca="1">ABS(E345-F345)</f>
        <v>3</v>
      </c>
      <c r="H342" t="str">
        <f ca="1">RIGHT(A340,G342)</f>
        <v>697</v>
      </c>
      <c r="I342">
        <v>5.0000000000000001E-3</v>
      </c>
      <c r="J342" s="2">
        <f ca="1">(A340-I342)</f>
        <v>0.69199999999999995</v>
      </c>
      <c r="K342" s="41" t="str">
        <f ca="1">IF(C344=5,IF(AND(E340=0,D345=FALSE),J342,J343),J343)</f>
        <v>0,70</v>
      </c>
    </row>
    <row r="343" spans="1:11" ht="18" hidden="1" x14ac:dyDescent="0.35">
      <c r="A343" s="31"/>
      <c r="C343" t="str">
        <f ca="1">RIGHT(C342,1)</f>
        <v>7</v>
      </c>
      <c r="D343">
        <f ca="1">D342+0</f>
        <v>9</v>
      </c>
      <c r="J343" t="str">
        <f ca="1">FIXED(A340,2)</f>
        <v>0,70</v>
      </c>
      <c r="K343" s="41"/>
    </row>
    <row r="344" spans="1:11" hidden="1" x14ac:dyDescent="0.3">
      <c r="A344" s="31"/>
      <c r="C344">
        <f ca="1">C343+0</f>
        <v>7</v>
      </c>
      <c r="D344" t="s">
        <v>34</v>
      </c>
      <c r="E344" t="s">
        <v>33</v>
      </c>
      <c r="F344" t="s">
        <v>32</v>
      </c>
      <c r="K344" s="27"/>
    </row>
    <row r="345" spans="1:11" hidden="1" x14ac:dyDescent="0.3">
      <c r="A345" s="31"/>
      <c r="D345" t="b">
        <f ca="1">ISODD(D342)</f>
        <v>1</v>
      </c>
      <c r="E345">
        <f ca="1">LEN(A340)</f>
        <v>5</v>
      </c>
      <c r="F345">
        <f ca="1">LEN(E342)+1</f>
        <v>2</v>
      </c>
      <c r="K345" s="27"/>
    </row>
    <row r="346" spans="1:11" hidden="1" x14ac:dyDescent="0.3">
      <c r="A346" s="31"/>
      <c r="K346" s="27"/>
    </row>
    <row r="347" spans="1:11" hidden="1" x14ac:dyDescent="0.3">
      <c r="A347" s="182" t="s">
        <v>45</v>
      </c>
      <c r="B347" s="183"/>
      <c r="C347" s="183"/>
      <c r="D347" s="183"/>
      <c r="E347" s="183"/>
      <c r="F347" s="183"/>
      <c r="G347" s="183"/>
      <c r="H347" s="183"/>
      <c r="I347" s="183"/>
      <c r="J347" s="183"/>
      <c r="K347" s="184"/>
    </row>
    <row r="348" spans="1:11" hidden="1" x14ac:dyDescent="0.3">
      <c r="A348" s="39" t="str">
        <f ca="1">K342</f>
        <v>0,70</v>
      </c>
      <c r="C348" t="str">
        <f ca="1">FIXED(A340,3)</f>
        <v>0,697</v>
      </c>
      <c r="D348" t="str">
        <f ca="1">RIGHT(C348,1)</f>
        <v>7</v>
      </c>
      <c r="E348">
        <f ca="1">D348+0</f>
        <v>7</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 ca="1">RIGHT(A348,2)</f>
        <v>70</v>
      </c>
      <c r="D350" t="str">
        <f ca="1">LEFT(C350,1)</f>
        <v>7</v>
      </c>
      <c r="E350" s="36">
        <f ca="1">TRUNC(A348)</f>
        <v>0</v>
      </c>
      <c r="F350" s="14" t="str">
        <f ca="1">FIXED(A348-E350,G350)</f>
        <v>0,70</v>
      </c>
      <c r="G350">
        <f ca="1">ABS(E353-F353)</f>
        <v>2</v>
      </c>
      <c r="H350" t="str">
        <f ca="1">RIGHT(A348,G350)</f>
        <v>70</v>
      </c>
      <c r="I350">
        <v>0.05</v>
      </c>
      <c r="J350" s="2">
        <f ca="1">(A348-I350)</f>
        <v>0.64999999999999991</v>
      </c>
      <c r="K350" s="41" t="str">
        <f ca="1">IF(C352=5,IF(AND(E348=0,D353=FALSE),J350,J351),J351)</f>
        <v>0,7</v>
      </c>
    </row>
    <row r="351" spans="1:11" hidden="1" x14ac:dyDescent="0.3">
      <c r="A351" s="31"/>
      <c r="C351" t="str">
        <f ca="1">RIGHT(C350,1)</f>
        <v>0</v>
      </c>
      <c r="D351">
        <f ca="1">D350+0</f>
        <v>7</v>
      </c>
      <c r="J351" t="str">
        <f ca="1">FIXED(A348,1)</f>
        <v>0,7</v>
      </c>
      <c r="K351" s="40"/>
    </row>
    <row r="352" spans="1:11" hidden="1" x14ac:dyDescent="0.3">
      <c r="A352" s="31"/>
      <c r="C352">
        <f ca="1">C351+0</f>
        <v>0</v>
      </c>
      <c r="D352" t="s">
        <v>34</v>
      </c>
      <c r="E352" t="s">
        <v>33</v>
      </c>
      <c r="F352" t="s">
        <v>32</v>
      </c>
      <c r="K352" s="27"/>
    </row>
    <row r="353" spans="1:11" hidden="1" x14ac:dyDescent="0.3">
      <c r="A353" s="31"/>
      <c r="D353" t="b">
        <f ca="1">ISODD(D350)</f>
        <v>1</v>
      </c>
      <c r="E353">
        <f ca="1">LEN(A348)</f>
        <v>4</v>
      </c>
      <c r="F353">
        <f ca="1">LEN(E350)+1</f>
        <v>2</v>
      </c>
      <c r="K353" s="27"/>
    </row>
    <row r="354" spans="1:11" hidden="1" x14ac:dyDescent="0.3">
      <c r="A354" s="31"/>
      <c r="K354" s="27"/>
    </row>
    <row r="355" spans="1:11" hidden="1" x14ac:dyDescent="0.3">
      <c r="A355" s="182" t="s">
        <v>44</v>
      </c>
      <c r="B355" s="183"/>
      <c r="C355" s="183"/>
      <c r="D355" s="183"/>
      <c r="E355" s="183"/>
      <c r="F355" s="183"/>
      <c r="G355" s="183"/>
      <c r="H355" s="183"/>
      <c r="I355" s="183"/>
      <c r="J355" s="183"/>
      <c r="K355" s="184"/>
    </row>
    <row r="356" spans="1:11" hidden="1" x14ac:dyDescent="0.3">
      <c r="A356" s="39" t="str">
        <f ca="1">K350</f>
        <v>0,7</v>
      </c>
      <c r="C356" t="str">
        <f ca="1">FIXED(A348,2)</f>
        <v>0,70</v>
      </c>
      <c r="D356" t="str">
        <f ca="1">RIGHT(C356,1)</f>
        <v>0</v>
      </c>
      <c r="E356">
        <f ca="1">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 ca="1">RIGHT(A356,2)</f>
        <v>,7</v>
      </c>
      <c r="D358" t="str">
        <f ca="1">RIGHT(E358,1)</f>
        <v>0</v>
      </c>
      <c r="E358" s="36">
        <f ca="1">TRUNC(A356)</f>
        <v>0</v>
      </c>
      <c r="F358" s="14" t="str">
        <f ca="1">FIXED(A356-E358,G358)</f>
        <v>0,7</v>
      </c>
      <c r="G358">
        <f ca="1">ABS(E361-F361)</f>
        <v>1</v>
      </c>
      <c r="H358" t="str">
        <f ca="1">RIGHT(A356,G358)</f>
        <v>7</v>
      </c>
      <c r="I358">
        <v>0.5</v>
      </c>
      <c r="J358" s="12">
        <f ca="1">(A356-I358)</f>
        <v>0.19999999999999996</v>
      </c>
      <c r="K358" s="35" t="str">
        <f ca="1">IF(C360=5,IF(AND(E356=0,D361=FALSE),J358,J359),J359)</f>
        <v>1</v>
      </c>
    </row>
    <row r="359" spans="1:11" hidden="1" x14ac:dyDescent="0.3">
      <c r="A359" s="31"/>
      <c r="C359" t="str">
        <f ca="1">RIGHT(C358,1)</f>
        <v>7</v>
      </c>
      <c r="D359">
        <f ca="1">D358+0</f>
        <v>0</v>
      </c>
      <c r="J359" t="str">
        <f ca="1">FIXED(A356,0)</f>
        <v>1</v>
      </c>
      <c r="K359" s="34"/>
    </row>
    <row r="360" spans="1:11" hidden="1" x14ac:dyDescent="0.3">
      <c r="A360" s="31"/>
      <c r="C360">
        <f ca="1">C359+0</f>
        <v>7</v>
      </c>
      <c r="D360" t="s">
        <v>34</v>
      </c>
      <c r="E360" t="s">
        <v>33</v>
      </c>
      <c r="F360" t="s">
        <v>32</v>
      </c>
      <c r="K360" s="27"/>
    </row>
    <row r="361" spans="1:11" ht="15" hidden="1" thickBot="1" x14ac:dyDescent="0.35">
      <c r="A361" s="33"/>
      <c r="B361" s="33"/>
      <c r="C361" s="33"/>
      <c r="D361" s="33" t="b">
        <f ca="1">ISODD(D358)</f>
        <v>0</v>
      </c>
      <c r="E361" s="33">
        <f ca="1">LEN(A356)</f>
        <v>3</v>
      </c>
      <c r="F361" s="33">
        <f ca="1">LEN(E358)+1</f>
        <v>2</v>
      </c>
      <c r="G361" s="33"/>
      <c r="H361" s="33"/>
      <c r="I361" s="33"/>
      <c r="J361" s="33"/>
      <c r="K361" s="32"/>
    </row>
    <row r="362" spans="1:11" ht="15" thickBot="1" x14ac:dyDescent="0.35">
      <c r="A362" s="185" t="s">
        <v>49</v>
      </c>
      <c r="B362" s="186"/>
      <c r="C362" s="186"/>
      <c r="D362" s="186"/>
      <c r="E362" s="186"/>
      <c r="F362" s="186"/>
      <c r="G362" s="186"/>
      <c r="H362" s="186"/>
      <c r="I362" s="186"/>
      <c r="J362" s="186"/>
      <c r="K362" s="187"/>
    </row>
    <row r="363" spans="1:11" ht="15" thickBot="1" x14ac:dyDescent="0.35">
      <c r="A363" s="31" t="s">
        <v>30</v>
      </c>
      <c r="B363" s="18" t="s">
        <v>29</v>
      </c>
      <c r="C363" t="str">
        <f ca="1">FIXED(A364,6)</f>
        <v>0,664642</v>
      </c>
      <c r="D363" t="str">
        <f ca="1">RIGHT(C363,1)</f>
        <v>2</v>
      </c>
      <c r="E363">
        <f ca="1">D363/1000000</f>
        <v>1.9999999999999999E-6</v>
      </c>
      <c r="F363" s="30">
        <f ca="1">A364-E363</f>
        <v>0.66464035361357954</v>
      </c>
      <c r="H363" t="str">
        <f ca="1">IF(C368=5,IF(AND(D364=0,D369=FALSE),J366,J367),J367)</f>
        <v>0,6646</v>
      </c>
      <c r="K363" s="27"/>
    </row>
    <row r="364" spans="1:11" ht="18.600000000000001" thickBot="1" x14ac:dyDescent="0.4">
      <c r="A364" s="29">
        <f ca="1">INCERTIDUMBRE!L14</f>
        <v>0.66464235361357948</v>
      </c>
      <c r="B364" s="28" t="str">
        <f ca="1">IF(A364&gt;=10,K398,IF(A364&gt;=1,K390,IF(A364&gt;=0.1,K382,IF(A364&gt;=0.01,K374,IF(A364&gt;=0.001,K366)))))</f>
        <v>0,67</v>
      </c>
      <c r="C364" t="s">
        <v>28</v>
      </c>
      <c r="D364">
        <f ca="1">D363+0</f>
        <v>2</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 ca="1">RIGHT(F363,2)</f>
        <v>58</v>
      </c>
      <c r="D366" t="str">
        <f ca="1">LEFT(C366,1)</f>
        <v>5</v>
      </c>
      <c r="E366" s="30">
        <f ca="1">TRUNC(A364)</f>
        <v>0</v>
      </c>
      <c r="F366" s="14" t="str">
        <f ca="1">FIXED(A364-E366,G366)</f>
        <v>0,664642353613579</v>
      </c>
      <c r="G366">
        <f ca="1">ABS(E369-F369)</f>
        <v>15</v>
      </c>
      <c r="H366" t="str">
        <f ca="1">RIGHT(A364,G366)</f>
        <v>664642353613579</v>
      </c>
      <c r="I366">
        <v>5.0000000000000002E-5</v>
      </c>
      <c r="J366" s="14">
        <f ca="1">(A364-I366)</f>
        <v>0.66459235361357949</v>
      </c>
      <c r="K366" s="45" t="str">
        <f ca="1">IF(C368=5,IF(AND(D364=0,D369=FALSE),J366,J367),J367)</f>
        <v>0,6646</v>
      </c>
    </row>
    <row r="367" spans="1:11" hidden="1" x14ac:dyDescent="0.3">
      <c r="A367" s="31"/>
      <c r="C367" t="str">
        <f ca="1">RIGHT(C366,1)</f>
        <v>8</v>
      </c>
      <c r="D367">
        <f ca="1">D366+0</f>
        <v>5</v>
      </c>
      <c r="J367" t="str">
        <f ca="1">FIXED(A364,4)</f>
        <v>0,6646</v>
      </c>
      <c r="K367" s="27"/>
    </row>
    <row r="368" spans="1:11" hidden="1" x14ac:dyDescent="0.3">
      <c r="A368" s="31"/>
      <c r="C368">
        <f ca="1">C367+0</f>
        <v>8</v>
      </c>
      <c r="D368" t="s">
        <v>34</v>
      </c>
      <c r="E368" t="s">
        <v>33</v>
      </c>
      <c r="F368" t="s">
        <v>32</v>
      </c>
      <c r="K368" s="27"/>
    </row>
    <row r="369" spans="1:11" hidden="1" x14ac:dyDescent="0.3">
      <c r="A369" s="31"/>
      <c r="D369" t="b">
        <f ca="1">ISODD(D366)</f>
        <v>1</v>
      </c>
      <c r="E369">
        <f ca="1">LEN(A364)</f>
        <v>17</v>
      </c>
      <c r="F369">
        <f ca="1">LEN(E366)+1</f>
        <v>2</v>
      </c>
      <c r="K369" s="27"/>
    </row>
    <row r="370" spans="1:11" hidden="1" x14ac:dyDescent="0.3">
      <c r="A370" s="31"/>
      <c r="K370" s="27"/>
    </row>
    <row r="371" spans="1:11" hidden="1" x14ac:dyDescent="0.3">
      <c r="A371" s="182" t="s">
        <v>47</v>
      </c>
      <c r="B371" s="183"/>
      <c r="C371" s="183"/>
      <c r="D371" s="183"/>
      <c r="E371" s="183"/>
      <c r="F371" s="183"/>
      <c r="G371" s="183"/>
      <c r="H371" s="183"/>
      <c r="I371" s="183"/>
      <c r="J371" s="183"/>
      <c r="K371" s="184"/>
    </row>
    <row r="372" spans="1:11" hidden="1" x14ac:dyDescent="0.3">
      <c r="A372" s="42" t="str">
        <f ca="1">K366</f>
        <v>0,6646</v>
      </c>
      <c r="C372" t="str">
        <f ca="1">FIXED(A364,5)</f>
        <v>0,66464</v>
      </c>
      <c r="D372" t="str">
        <f ca="1">RIGHT(C372,1)</f>
        <v>4</v>
      </c>
      <c r="E372">
        <f ca="1">D372+0</f>
        <v>4</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 ca="1">RIGHT(A372,2)</f>
        <v>46</v>
      </c>
      <c r="D374" t="str">
        <f ca="1">LEFT(C374,1)</f>
        <v>4</v>
      </c>
      <c r="E374" s="36">
        <f ca="1">TRUNC(A372)</f>
        <v>0</v>
      </c>
      <c r="F374" s="14" t="str">
        <f ca="1">FIXED(A372-E374,G374)</f>
        <v>0,6646</v>
      </c>
      <c r="G374">
        <f ca="1">ABS(E377-F377)</f>
        <v>4</v>
      </c>
      <c r="H374" t="str">
        <f ca="1">RIGHT(A372,G374)</f>
        <v>6646</v>
      </c>
      <c r="I374">
        <v>5.0000000000000001E-4</v>
      </c>
      <c r="J374" s="44">
        <f ca="1">(A372-I374)</f>
        <v>0.66410000000000002</v>
      </c>
      <c r="K374" s="43" t="str">
        <f ca="1">IF(C376=5,IF(AND(E372=0,D377=FALSE),J374,J375),J375)</f>
        <v>0,665</v>
      </c>
    </row>
    <row r="375" spans="1:11" hidden="1" x14ac:dyDescent="0.3">
      <c r="A375" s="31"/>
      <c r="C375" t="str">
        <f ca="1">RIGHT(C374,1)</f>
        <v>6</v>
      </c>
      <c r="D375">
        <f ca="1">D374+0</f>
        <v>4</v>
      </c>
      <c r="J375" t="str">
        <f ca="1">FIXED(A372,3)</f>
        <v>0,665</v>
      </c>
      <c r="K375" s="27"/>
    </row>
    <row r="376" spans="1:11" hidden="1" x14ac:dyDescent="0.3">
      <c r="A376" s="31"/>
      <c r="C376">
        <f ca="1">C375+0</f>
        <v>6</v>
      </c>
      <c r="D376" t="s">
        <v>34</v>
      </c>
      <c r="E376" t="s">
        <v>33</v>
      </c>
      <c r="F376" t="s">
        <v>32</v>
      </c>
      <c r="K376" s="27"/>
    </row>
    <row r="377" spans="1:11" hidden="1" x14ac:dyDescent="0.3">
      <c r="A377" s="31"/>
      <c r="D377" t="b">
        <f ca="1">ISODD(D374)</f>
        <v>0</v>
      </c>
      <c r="E377">
        <f ca="1">LEN(A372)</f>
        <v>6</v>
      </c>
      <c r="F377">
        <f ca="1">LEN(E374)+1</f>
        <v>2</v>
      </c>
      <c r="K377" s="27"/>
    </row>
    <row r="378" spans="1:11" hidden="1" x14ac:dyDescent="0.3">
      <c r="A378" s="31"/>
      <c r="K378" s="27"/>
    </row>
    <row r="379" spans="1:11" hidden="1" x14ac:dyDescent="0.3">
      <c r="A379" s="182" t="s">
        <v>46</v>
      </c>
      <c r="B379" s="183"/>
      <c r="C379" s="183"/>
      <c r="D379" s="183"/>
      <c r="E379" s="183"/>
      <c r="F379" s="183"/>
      <c r="G379" s="183"/>
      <c r="H379" s="183"/>
      <c r="I379" s="183"/>
      <c r="J379" s="183"/>
      <c r="K379" s="184"/>
    </row>
    <row r="380" spans="1:11" hidden="1" x14ac:dyDescent="0.3">
      <c r="A380" s="42" t="str">
        <f ca="1">K374</f>
        <v>0,665</v>
      </c>
      <c r="C380" t="str">
        <f ca="1">FIXED(A372,4)</f>
        <v>0,6646</v>
      </c>
      <c r="D380" t="str">
        <f ca="1">RIGHT(C380,1)</f>
        <v>6</v>
      </c>
      <c r="E380">
        <f ca="1">D380+0</f>
        <v>6</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 ca="1">RIGHT(A380,2)</f>
        <v>65</v>
      </c>
      <c r="D382" t="str">
        <f ca="1">LEFT(C382,1)</f>
        <v>6</v>
      </c>
      <c r="E382" s="36">
        <f ca="1">TRUNC(A380)</f>
        <v>0</v>
      </c>
      <c r="F382" s="14" t="str">
        <f ca="1">FIXED(A380-E382,G382)</f>
        <v>0,665</v>
      </c>
      <c r="G382">
        <f ca="1">ABS(E385-F385)</f>
        <v>3</v>
      </c>
      <c r="H382" t="str">
        <f ca="1">RIGHT(A380,G382)</f>
        <v>665</v>
      </c>
      <c r="I382">
        <v>5.0000000000000001E-3</v>
      </c>
      <c r="J382" s="2">
        <f ca="1">(A380-I382)</f>
        <v>0.66</v>
      </c>
      <c r="K382" s="41" t="str">
        <f ca="1">IF(C384=5,IF(AND(E380=0,D385=FALSE),J382,J383),J383)</f>
        <v>0,67</v>
      </c>
    </row>
    <row r="383" spans="1:11" ht="18" hidden="1" x14ac:dyDescent="0.35">
      <c r="A383" s="31"/>
      <c r="C383" t="str">
        <f ca="1">RIGHT(C382,1)</f>
        <v>5</v>
      </c>
      <c r="D383">
        <f ca="1">D382+0</f>
        <v>6</v>
      </c>
      <c r="J383" t="str">
        <f ca="1">FIXED(A380,2)</f>
        <v>0,67</v>
      </c>
      <c r="K383" s="41"/>
    </row>
    <row r="384" spans="1:11" hidden="1" x14ac:dyDescent="0.3">
      <c r="A384" s="31"/>
      <c r="C384">
        <f ca="1">C383+0</f>
        <v>5</v>
      </c>
      <c r="D384" t="s">
        <v>34</v>
      </c>
      <c r="E384" t="s">
        <v>33</v>
      </c>
      <c r="F384" t="s">
        <v>32</v>
      </c>
      <c r="K384" s="27"/>
    </row>
    <row r="385" spans="1:11" hidden="1" x14ac:dyDescent="0.3">
      <c r="A385" s="31"/>
      <c r="D385" t="b">
        <f ca="1">ISODD(D382)</f>
        <v>0</v>
      </c>
      <c r="E385">
        <f ca="1">LEN(A380)</f>
        <v>5</v>
      </c>
      <c r="F385">
        <f ca="1">LEN(E382)+1</f>
        <v>2</v>
      </c>
      <c r="K385" s="27"/>
    </row>
    <row r="386" spans="1:11" hidden="1" x14ac:dyDescent="0.3">
      <c r="A386" s="31"/>
      <c r="K386" s="27"/>
    </row>
    <row r="387" spans="1:11" hidden="1" x14ac:dyDescent="0.3">
      <c r="A387" s="182" t="s">
        <v>45</v>
      </c>
      <c r="B387" s="183"/>
      <c r="C387" s="183"/>
      <c r="D387" s="183"/>
      <c r="E387" s="183"/>
      <c r="F387" s="183"/>
      <c r="G387" s="183"/>
      <c r="H387" s="183"/>
      <c r="I387" s="183"/>
      <c r="J387" s="183"/>
      <c r="K387" s="184"/>
    </row>
    <row r="388" spans="1:11" hidden="1" x14ac:dyDescent="0.3">
      <c r="A388" s="39" t="str">
        <f ca="1">K382</f>
        <v>0,67</v>
      </c>
      <c r="C388" t="str">
        <f ca="1">FIXED(A380,3)</f>
        <v>0,665</v>
      </c>
      <c r="D388" t="str">
        <f ca="1">RIGHT(C388,1)</f>
        <v>5</v>
      </c>
      <c r="E388">
        <f ca="1">D388+0</f>
        <v>5</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 ca="1">RIGHT(A388,2)</f>
        <v>67</v>
      </c>
      <c r="D390" t="str">
        <f ca="1">LEFT(C390,1)</f>
        <v>6</v>
      </c>
      <c r="E390" s="36">
        <f ca="1">TRUNC(A388)</f>
        <v>0</v>
      </c>
      <c r="F390" s="14" t="str">
        <f ca="1">FIXED(A388-E390,G390)</f>
        <v>0,67</v>
      </c>
      <c r="G390">
        <f ca="1">ABS(E393-F393)</f>
        <v>2</v>
      </c>
      <c r="H390" t="str">
        <f ca="1">RIGHT(A388,G390)</f>
        <v>67</v>
      </c>
      <c r="I390">
        <v>0.05</v>
      </c>
      <c r="J390" s="2">
        <f ca="1">(A388-I390)</f>
        <v>0.62</v>
      </c>
      <c r="K390" s="41" t="str">
        <f ca="1">IF(C392=5,IF(AND(E388=0,D393=FALSE),J390,J391),J391)</f>
        <v>0,7</v>
      </c>
    </row>
    <row r="391" spans="1:11" hidden="1" x14ac:dyDescent="0.3">
      <c r="A391" s="31"/>
      <c r="C391" t="str">
        <f ca="1">RIGHT(C390,1)</f>
        <v>7</v>
      </c>
      <c r="D391">
        <f ca="1">D390+0</f>
        <v>6</v>
      </c>
      <c r="J391" t="str">
        <f ca="1">FIXED(A388,1)</f>
        <v>0,7</v>
      </c>
      <c r="K391" s="40"/>
    </row>
    <row r="392" spans="1:11" hidden="1" x14ac:dyDescent="0.3">
      <c r="A392" s="31"/>
      <c r="C392">
        <f ca="1">C391+0</f>
        <v>7</v>
      </c>
      <c r="D392" t="s">
        <v>34</v>
      </c>
      <c r="E392" t="s">
        <v>33</v>
      </c>
      <c r="F392" t="s">
        <v>32</v>
      </c>
      <c r="K392" s="27"/>
    </row>
    <row r="393" spans="1:11" hidden="1" x14ac:dyDescent="0.3">
      <c r="A393" s="31"/>
      <c r="D393" t="b">
        <f ca="1">ISODD(D390)</f>
        <v>0</v>
      </c>
      <c r="E393">
        <f ca="1">LEN(A388)</f>
        <v>4</v>
      </c>
      <c r="F393">
        <f ca="1">LEN(E390)+1</f>
        <v>2</v>
      </c>
      <c r="K393" s="27"/>
    </row>
    <row r="394" spans="1:11" hidden="1" x14ac:dyDescent="0.3">
      <c r="A394" s="31"/>
      <c r="K394" s="27"/>
    </row>
    <row r="395" spans="1:11" hidden="1" x14ac:dyDescent="0.3">
      <c r="A395" s="182" t="s">
        <v>44</v>
      </c>
      <c r="B395" s="183"/>
      <c r="C395" s="183"/>
      <c r="D395" s="183"/>
      <c r="E395" s="183"/>
      <c r="F395" s="183"/>
      <c r="G395" s="183"/>
      <c r="H395" s="183"/>
      <c r="I395" s="183"/>
      <c r="J395" s="183"/>
      <c r="K395" s="184"/>
    </row>
    <row r="396" spans="1:11" hidden="1" x14ac:dyDescent="0.3">
      <c r="A396" s="39" t="str">
        <f ca="1">K390</f>
        <v>0,7</v>
      </c>
      <c r="C396" t="str">
        <f ca="1">FIXED(A388,2)</f>
        <v>0,67</v>
      </c>
      <c r="D396" t="str">
        <f ca="1">RIGHT(C396,1)</f>
        <v>7</v>
      </c>
      <c r="E396">
        <f ca="1">D396+0</f>
        <v>7</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 ca="1">RIGHT(A396,2)</f>
        <v>,7</v>
      </c>
      <c r="D398" t="str">
        <f ca="1">RIGHT(E398,1)</f>
        <v>0</v>
      </c>
      <c r="E398" s="36">
        <f ca="1">TRUNC(A396)</f>
        <v>0</v>
      </c>
      <c r="F398" s="14" t="str">
        <f ca="1">FIXED(A396-E398,G398)</f>
        <v>0,7</v>
      </c>
      <c r="G398">
        <f ca="1">ABS(E401-F401)</f>
        <v>1</v>
      </c>
      <c r="H398" t="str">
        <f ca="1">RIGHT(A396,G398)</f>
        <v>7</v>
      </c>
      <c r="I398">
        <v>0.5</v>
      </c>
      <c r="J398" s="12">
        <f ca="1">(A396-I398)</f>
        <v>0.19999999999999996</v>
      </c>
      <c r="K398" s="35" t="str">
        <f ca="1">IF(C400=5,IF(AND(E396=0,D401=FALSE),J398,J399),J399)</f>
        <v>1</v>
      </c>
    </row>
    <row r="399" spans="1:11" hidden="1" x14ac:dyDescent="0.3">
      <c r="A399" s="31"/>
      <c r="C399" t="str">
        <f ca="1">RIGHT(C398,1)</f>
        <v>7</v>
      </c>
      <c r="D399">
        <f ca="1">D398+0</f>
        <v>0</v>
      </c>
      <c r="J399" t="str">
        <f ca="1">FIXED(A396,0)</f>
        <v>1</v>
      </c>
      <c r="K399" s="34"/>
    </row>
    <row r="400" spans="1:11" hidden="1" x14ac:dyDescent="0.3">
      <c r="A400" s="31"/>
      <c r="C400">
        <f ca="1">C399+0</f>
        <v>7</v>
      </c>
      <c r="D400" t="s">
        <v>34</v>
      </c>
      <c r="E400" t="s">
        <v>33</v>
      </c>
      <c r="F400" t="s">
        <v>32</v>
      </c>
      <c r="K400" s="27"/>
    </row>
    <row r="401" spans="1:11" ht="15" hidden="1" thickBot="1" x14ac:dyDescent="0.35">
      <c r="A401" s="33"/>
      <c r="B401" s="33"/>
      <c r="C401" s="33"/>
      <c r="D401" s="33" t="b">
        <f ca="1">ISODD(D398)</f>
        <v>0</v>
      </c>
      <c r="E401" s="33">
        <f ca="1">LEN(A396)</f>
        <v>3</v>
      </c>
      <c r="F401" s="33">
        <f ca="1">LEN(E398)+1</f>
        <v>2</v>
      </c>
      <c r="G401" s="33"/>
      <c r="H401" s="33"/>
      <c r="I401" s="33"/>
      <c r="J401" s="33"/>
      <c r="K401" s="32"/>
    </row>
    <row r="402" spans="1:11" ht="15" thickBot="1" x14ac:dyDescent="0.35">
      <c r="A402" s="185" t="s">
        <v>48</v>
      </c>
      <c r="B402" s="186"/>
      <c r="C402" s="186"/>
      <c r="D402" s="186"/>
      <c r="E402" s="186"/>
      <c r="F402" s="186"/>
      <c r="G402" s="186"/>
      <c r="H402" s="186"/>
      <c r="I402" s="186"/>
      <c r="J402" s="186"/>
      <c r="K402" s="18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82" t="s">
        <v>47</v>
      </c>
      <c r="B411" s="183"/>
      <c r="C411" s="183"/>
      <c r="D411" s="183"/>
      <c r="E411" s="183"/>
      <c r="F411" s="183"/>
      <c r="G411" s="183"/>
      <c r="H411" s="183"/>
      <c r="I411" s="183"/>
      <c r="J411" s="183"/>
      <c r="K411" s="18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82" t="s">
        <v>46</v>
      </c>
      <c r="B419" s="183"/>
      <c r="C419" s="183"/>
      <c r="D419" s="183"/>
      <c r="E419" s="183"/>
      <c r="F419" s="183"/>
      <c r="G419" s="183"/>
      <c r="H419" s="183"/>
      <c r="I419" s="183"/>
      <c r="J419" s="183"/>
      <c r="K419" s="18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82" t="s">
        <v>45</v>
      </c>
      <c r="B427" s="183"/>
      <c r="C427" s="183"/>
      <c r="D427" s="183"/>
      <c r="E427" s="183"/>
      <c r="F427" s="183"/>
      <c r="G427" s="183"/>
      <c r="H427" s="183"/>
      <c r="I427" s="183"/>
      <c r="J427" s="183"/>
      <c r="K427" s="18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82" t="s">
        <v>44</v>
      </c>
      <c r="B435" s="183"/>
      <c r="C435" s="183"/>
      <c r="D435" s="183"/>
      <c r="E435" s="183"/>
      <c r="F435" s="183"/>
      <c r="G435" s="183"/>
      <c r="H435" s="183"/>
      <c r="I435" s="183"/>
      <c r="J435" s="183"/>
      <c r="K435" s="18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85" t="s">
        <v>31</v>
      </c>
      <c r="B442" s="186"/>
      <c r="C442" s="186"/>
      <c r="D442" s="186"/>
      <c r="E442" s="186"/>
      <c r="F442" s="186"/>
      <c r="G442" s="186"/>
      <c r="H442" s="186"/>
      <c r="I442" s="186"/>
      <c r="J442" s="186"/>
      <c r="K442" s="18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82" t="s">
        <v>47</v>
      </c>
      <c r="D451" s="183"/>
      <c r="E451" s="183"/>
      <c r="F451" s="183"/>
      <c r="G451" s="183"/>
      <c r="H451" s="183"/>
      <c r="I451" s="183"/>
      <c r="J451" s="183"/>
      <c r="K451" s="183"/>
      <c r="L451" s="183"/>
      <c r="M451" s="18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82" t="s">
        <v>46</v>
      </c>
      <c r="D459" s="183"/>
      <c r="E459" s="183"/>
      <c r="F459" s="183"/>
      <c r="G459" s="183"/>
      <c r="H459" s="183"/>
      <c r="I459" s="183"/>
      <c r="J459" s="183"/>
      <c r="K459" s="183"/>
      <c r="L459" s="183"/>
      <c r="M459" s="18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82" t="s">
        <v>45</v>
      </c>
      <c r="D467" s="183"/>
      <c r="E467" s="183"/>
      <c r="F467" s="183"/>
      <c r="G467" s="183"/>
      <c r="H467" s="183"/>
      <c r="I467" s="183"/>
      <c r="J467" s="183"/>
      <c r="K467" s="183"/>
      <c r="L467" s="183"/>
      <c r="M467" s="18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82" t="s">
        <v>44</v>
      </c>
      <c r="D475" s="183"/>
      <c r="E475" s="183"/>
      <c r="F475" s="183"/>
      <c r="G475" s="183"/>
      <c r="H475" s="183"/>
      <c r="I475" s="183"/>
      <c r="J475" s="183"/>
      <c r="K475" s="183"/>
      <c r="L475" s="183"/>
      <c r="M475" s="18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2:AE49"/>
  <sheetViews>
    <sheetView topLeftCell="A17" zoomScaleNormal="100" workbookViewId="0">
      <selection activeCell="Q28" sqref="Q28"/>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2" spans="1:31" x14ac:dyDescent="0.3">
      <c r="A2"/>
      <c r="P2"/>
      <c r="Q2"/>
    </row>
    <row r="3" spans="1:31" x14ac:dyDescent="0.3">
      <c r="A3"/>
      <c r="P3"/>
      <c r="Q3"/>
      <c r="R3" s="188" t="s">
        <v>190</v>
      </c>
      <c r="S3" s="188"/>
      <c r="T3" s="188"/>
      <c r="U3" s="188"/>
      <c r="V3" s="188"/>
      <c r="W3" s="188"/>
      <c r="X3" s="188"/>
      <c r="Y3" s="188"/>
      <c r="Z3" s="188"/>
      <c r="AA3" s="188"/>
      <c r="AB3" s="188"/>
      <c r="AC3" s="188"/>
      <c r="AD3" s="188"/>
      <c r="AE3" s="188"/>
    </row>
    <row r="4" spans="1:31" ht="25.8" customHeight="1" x14ac:dyDescent="0.3">
      <c r="A4"/>
      <c r="P4"/>
      <c r="Q4"/>
      <c r="R4" s="129" t="s">
        <v>156</v>
      </c>
      <c r="S4" s="129"/>
      <c r="T4" s="125" t="s">
        <v>132</v>
      </c>
      <c r="U4" s="125"/>
      <c r="V4" s="125"/>
      <c r="W4" s="125"/>
      <c r="X4" s="125"/>
      <c r="Y4" s="125"/>
      <c r="Z4" s="125"/>
      <c r="AA4" s="125"/>
      <c r="AB4" s="93"/>
      <c r="AC4" s="94"/>
      <c r="AD4" s="94"/>
      <c r="AE4" s="94"/>
    </row>
    <row r="5" spans="1:31" x14ac:dyDescent="0.3">
      <c r="A5"/>
      <c r="P5"/>
      <c r="Q5"/>
      <c r="R5" s="129"/>
      <c r="S5" s="129"/>
      <c r="T5" s="128" t="s">
        <v>138</v>
      </c>
      <c r="U5" s="128"/>
      <c r="V5" s="128" t="s">
        <v>139</v>
      </c>
      <c r="W5" s="128"/>
      <c r="X5" s="128" t="s">
        <v>140</v>
      </c>
      <c r="Y5" s="128"/>
      <c r="Z5" s="128" t="s">
        <v>141</v>
      </c>
      <c r="AA5" s="128"/>
      <c r="AB5" s="129" t="s">
        <v>142</v>
      </c>
      <c r="AC5" s="129"/>
      <c r="AD5" s="129" t="s">
        <v>201</v>
      </c>
      <c r="AE5" s="129"/>
    </row>
    <row r="6" spans="1:31" x14ac:dyDescent="0.3">
      <c r="A6"/>
      <c r="P6"/>
      <c r="Q6"/>
      <c r="R6" s="190">
        <v>5</v>
      </c>
      <c r="S6" s="190"/>
      <c r="T6" s="191">
        <f ca="1">4.7 + (5.3 - 4.7) * RAND()</f>
        <v>5.1009388142292513</v>
      </c>
      <c r="U6" s="191"/>
      <c r="V6" s="189">
        <f ca="1">T6+((RAND()*(0.1)*RANDBETWEEN(-1,1)))</f>
        <v>5.1009388142292513</v>
      </c>
      <c r="W6" s="189"/>
      <c r="X6" s="189">
        <f ca="1">V6+((RAND()*(0.1)*RANDBETWEEN(-1,1)))</f>
        <v>5.0691440709699407</v>
      </c>
      <c r="Y6" s="189"/>
      <c r="Z6" s="189">
        <f ca="1">X6+((RAND()*(0.1)*RANDBETWEEN(-1,1)))</f>
        <v>5.0044414536263906</v>
      </c>
      <c r="AA6" s="189"/>
      <c r="AB6" s="189">
        <f ca="1">AVERAGE(T6:AA6)</f>
        <v>5.0688657882637083</v>
      </c>
      <c r="AC6" s="189"/>
      <c r="AD6" s="189">
        <f ca="1">AB6-R6</f>
        <v>6.8865788263708261E-2</v>
      </c>
      <c r="AE6" s="189"/>
    </row>
    <row r="7" spans="1:31" x14ac:dyDescent="0.3">
      <c r="A7"/>
      <c r="P7"/>
      <c r="Q7"/>
      <c r="R7" s="190">
        <v>10</v>
      </c>
      <c r="S7" s="190"/>
      <c r="T7" s="191">
        <f ca="1">IF((T6 - R6) &lt; 0, R7 - MIN(0.6, ABS(R6 - T6) + RAND()/2), R7 + MIN(0.6, ABS(R6 - T6) + RAND()/2))</f>
        <v>10.155079747685868</v>
      </c>
      <c r="U7" s="191"/>
      <c r="V7" s="189">
        <f t="shared" ref="V7:V9" ca="1" si="0">T7+((RAND()*(0.1)*RANDBETWEEN(-1,1)))</f>
        <v>10.147547735113017</v>
      </c>
      <c r="W7" s="189"/>
      <c r="X7" s="189">
        <f t="shared" ref="X7:X9" ca="1" si="1">V7+((RAND()*(0.1)*RANDBETWEEN(-1,1)))</f>
        <v>10.156244691103357</v>
      </c>
      <c r="Y7" s="189"/>
      <c r="Z7" s="189">
        <f t="shared" ref="Z7:Z9" ca="1" si="2">X7+((RAND()*(0.1)*RANDBETWEEN(-1,1)))</f>
        <v>10.156244691103357</v>
      </c>
      <c r="AA7" s="189"/>
      <c r="AB7" s="189">
        <f t="shared" ref="AB7:AB9" ca="1" si="3">AVERAGE(T7:AA7)</f>
        <v>10.153779216251399</v>
      </c>
      <c r="AC7" s="189"/>
      <c r="AD7" s="189">
        <f t="shared" ref="AD7:AD9" ca="1" si="4">AB7-R7</f>
        <v>0.15377921625139912</v>
      </c>
      <c r="AE7" s="189"/>
    </row>
    <row r="8" spans="1:31" x14ac:dyDescent="0.3">
      <c r="A8"/>
      <c r="P8"/>
      <c r="Q8"/>
      <c r="R8" s="190">
        <v>20</v>
      </c>
      <c r="S8" s="190"/>
      <c r="T8" s="191">
        <f ca="1">IF((T7 - R7) &lt; 0, R8 - MIN(1, ABS(R7 - T7) + RAND()), R8 + MIN(1, ABS(R7 - T7) + RAND()))</f>
        <v>20.706721340490247</v>
      </c>
      <c r="U8" s="191"/>
      <c r="V8" s="189">
        <f t="shared" ca="1" si="0"/>
        <v>20.666526099778309</v>
      </c>
      <c r="W8" s="189"/>
      <c r="X8" s="189">
        <f t="shared" ca="1" si="1"/>
        <v>20.666526099778309</v>
      </c>
      <c r="Y8" s="189"/>
      <c r="Z8" s="189">
        <f t="shared" ca="1" si="2"/>
        <v>20.666526099778309</v>
      </c>
      <c r="AA8" s="189"/>
      <c r="AB8" s="189">
        <f t="shared" ca="1" si="3"/>
        <v>20.676574909956294</v>
      </c>
      <c r="AC8" s="189"/>
      <c r="AD8" s="189">
        <f t="shared" ca="1" si="4"/>
        <v>0.67657490995629388</v>
      </c>
      <c r="AE8" s="189"/>
    </row>
    <row r="9" spans="1:31" x14ac:dyDescent="0.3">
      <c r="A9"/>
      <c r="P9"/>
      <c r="Q9"/>
      <c r="R9" s="190">
        <v>40</v>
      </c>
      <c r="S9" s="190"/>
      <c r="T9" s="191">
        <f ca="1">IF((T8 - R8) &lt; 0, R9 - MIN(1.5, ABS(R8 - T8) + RAND()*1.5), R9 + MIN(1.5, ABS(R8 - T8) + RAND()*1.5))</f>
        <v>41.305753932267194</v>
      </c>
      <c r="U9" s="191"/>
      <c r="V9" s="189">
        <f t="shared" ca="1" si="0"/>
        <v>41.341959227135149</v>
      </c>
      <c r="W9" s="189"/>
      <c r="X9" s="189">
        <f t="shared" ca="1" si="1"/>
        <v>41.274829320558602</v>
      </c>
      <c r="Y9" s="189"/>
      <c r="Z9" s="189">
        <f t="shared" ca="1" si="2"/>
        <v>41.203788325070072</v>
      </c>
      <c r="AA9" s="189"/>
      <c r="AB9" s="189">
        <f t="shared" ca="1" si="3"/>
        <v>41.281582701257754</v>
      </c>
      <c r="AC9" s="189"/>
      <c r="AD9" s="189">
        <f t="shared" ca="1" si="4"/>
        <v>1.2815827012577543</v>
      </c>
      <c r="AE9" s="189"/>
    </row>
    <row r="10" spans="1:31" x14ac:dyDescent="0.3">
      <c r="A10"/>
      <c r="P10"/>
      <c r="Q10"/>
      <c r="R10"/>
      <c r="S10"/>
      <c r="T10"/>
      <c r="U10"/>
      <c r="V10"/>
      <c r="W10"/>
      <c r="X10"/>
      <c r="Y10"/>
      <c r="Z10"/>
      <c r="AA10"/>
      <c r="AB10"/>
      <c r="AC10"/>
      <c r="AD10"/>
      <c r="AE10"/>
    </row>
    <row r="11" spans="1:31" x14ac:dyDescent="0.3">
      <c r="A11"/>
      <c r="B11" s="188" t="s">
        <v>183</v>
      </c>
      <c r="C11" s="188"/>
      <c r="D11" s="188"/>
      <c r="E11" s="188"/>
      <c r="F11" s="188"/>
      <c r="G11" s="188"/>
      <c r="H11" s="188"/>
      <c r="I11" s="188"/>
      <c r="J11" s="188"/>
      <c r="K11" s="188"/>
      <c r="L11" s="188"/>
      <c r="M11" s="188"/>
      <c r="N11" s="188"/>
      <c r="O11" s="188"/>
      <c r="P11"/>
      <c r="Q11"/>
      <c r="R11" s="188" t="s">
        <v>191</v>
      </c>
      <c r="S11" s="188"/>
      <c r="T11" s="188"/>
      <c r="U11" s="188"/>
      <c r="V11" s="188"/>
      <c r="W11" s="188"/>
      <c r="X11" s="188"/>
      <c r="Y11" s="188"/>
      <c r="Z11" s="188"/>
      <c r="AA11" s="188"/>
      <c r="AB11" s="188"/>
      <c r="AC11" s="188"/>
      <c r="AD11" s="188"/>
      <c r="AE11" s="188"/>
    </row>
    <row r="12" spans="1:31" customFormat="1" ht="28.2" customHeight="1" x14ac:dyDescent="0.3">
      <c r="B12" s="129" t="s">
        <v>188</v>
      </c>
      <c r="C12" s="129"/>
      <c r="D12" s="125" t="s">
        <v>132</v>
      </c>
      <c r="E12" s="125"/>
      <c r="F12" s="125"/>
      <c r="G12" s="125"/>
      <c r="H12" s="125"/>
      <c r="I12" s="125"/>
      <c r="J12" s="125"/>
      <c r="K12" s="125"/>
      <c r="L12" s="93"/>
      <c r="M12" s="94"/>
      <c r="N12" s="94"/>
      <c r="O12" s="94"/>
      <c r="R12" s="129" t="s">
        <v>195</v>
      </c>
      <c r="S12" s="129"/>
      <c r="T12" s="125" t="s">
        <v>132</v>
      </c>
      <c r="U12" s="125"/>
      <c r="V12" s="125"/>
      <c r="W12" s="125"/>
      <c r="X12" s="125"/>
      <c r="Y12" s="125"/>
      <c r="Z12" s="125"/>
      <c r="AA12" s="125"/>
      <c r="AB12" s="93"/>
      <c r="AC12" s="94"/>
      <c r="AD12" s="94"/>
      <c r="AE12" s="94"/>
    </row>
    <row r="13" spans="1:31" customFormat="1" x14ac:dyDescent="0.3">
      <c r="B13" s="129"/>
      <c r="C13" s="129"/>
      <c r="D13" s="128" t="s">
        <v>184</v>
      </c>
      <c r="E13" s="128"/>
      <c r="F13" s="128" t="s">
        <v>185</v>
      </c>
      <c r="G13" s="128"/>
      <c r="H13" s="128" t="s">
        <v>125</v>
      </c>
      <c r="I13" s="128"/>
      <c r="J13" s="128" t="s">
        <v>130</v>
      </c>
      <c r="K13" s="128"/>
      <c r="L13" s="129" t="s">
        <v>186</v>
      </c>
      <c r="M13" s="129"/>
      <c r="N13" s="129" t="s">
        <v>187</v>
      </c>
      <c r="O13" s="129"/>
      <c r="R13" s="129"/>
      <c r="S13" s="129"/>
      <c r="T13" s="128" t="s">
        <v>196</v>
      </c>
      <c r="U13" s="128"/>
      <c r="V13" s="128" t="s">
        <v>197</v>
      </c>
      <c r="W13" s="128"/>
      <c r="X13" s="128" t="s">
        <v>198</v>
      </c>
      <c r="Y13" s="128"/>
      <c r="Z13" s="128" t="s">
        <v>199</v>
      </c>
      <c r="AA13" s="128"/>
      <c r="AB13" s="129" t="s">
        <v>154</v>
      </c>
      <c r="AC13" s="129"/>
      <c r="AD13" s="129" t="s">
        <v>200</v>
      </c>
      <c r="AE13" s="129"/>
    </row>
    <row r="14" spans="1:31" customFormat="1" x14ac:dyDescent="0.3">
      <c r="B14" s="190">
        <v>21</v>
      </c>
      <c r="C14" s="190"/>
      <c r="D14" s="191">
        <f ca="1">20.8 + (21.5 - 20.8) * RAND()</f>
        <v>21.316275526502483</v>
      </c>
      <c r="E14" s="191"/>
      <c r="F14" s="189">
        <f ca="1">D14+((RAND()*(0.4-0.1)+0.1)*RANDBETWEEN(-1,1))</f>
        <v>21.630947666388625</v>
      </c>
      <c r="G14" s="189"/>
      <c r="H14" s="189">
        <f ca="1">D14+((RAND()*(0.3-0.1)+0.1)*RANDBETWEEN(-1,1))</f>
        <v>21.100343912111338</v>
      </c>
      <c r="I14" s="189"/>
      <c r="J14" s="189">
        <f ca="1">D14+((RAND()*(0.3-0.1)+0.1)*RANDBETWEEN(-1,1))</f>
        <v>21.316275526502483</v>
      </c>
      <c r="K14" s="189"/>
      <c r="L14" s="189">
        <f ca="1">AVERAGE(D14:K14)</f>
        <v>21.340960657876231</v>
      </c>
      <c r="M14" s="189"/>
      <c r="N14" s="189">
        <f ca="1">L14-B14</f>
        <v>0.34096065787623075</v>
      </c>
      <c r="O14" s="189"/>
      <c r="R14" s="190">
        <v>8</v>
      </c>
      <c r="S14" s="190"/>
      <c r="T14" s="191">
        <v>8</v>
      </c>
      <c r="U14" s="191"/>
      <c r="V14" s="189">
        <f>T14</f>
        <v>8</v>
      </c>
      <c r="W14" s="189"/>
      <c r="X14" s="189">
        <f t="shared" ref="X14" si="5">V14</f>
        <v>8</v>
      </c>
      <c r="Y14" s="189"/>
      <c r="Z14" s="189">
        <f t="shared" ref="Z14" si="6">X14</f>
        <v>8</v>
      </c>
      <c r="AA14" s="189"/>
      <c r="AB14" s="189">
        <f>AVERAGE(T14:AA14)</f>
        <v>8</v>
      </c>
      <c r="AC14" s="189"/>
      <c r="AD14" s="189">
        <f>AB14-R14</f>
        <v>0</v>
      </c>
      <c r="AE14" s="189"/>
    </row>
    <row r="15" spans="1:31" customFormat="1" x14ac:dyDescent="0.3">
      <c r="B15" s="190">
        <v>50</v>
      </c>
      <c r="C15" s="190"/>
      <c r="D15" s="191">
        <f ca="1">IF((D14 - B14) &lt; 0, B15 - MIN(1, ABS(B14 - D14) + RAND()/2), B15 - MIN(1, ABS(B14 - D14) + RAND()/2))</f>
        <v>49.52372348798076</v>
      </c>
      <c r="E15" s="191"/>
      <c r="F15" s="189">
        <f t="shared" ref="F15:F17" ca="1" si="7">D15+((RAND()*(0.4-0.1)+0.1)*RANDBETWEEN(-1,1))</f>
        <v>49.814221082883279</v>
      </c>
      <c r="G15" s="189"/>
      <c r="H15" s="189">
        <f t="shared" ref="H15:H17" ca="1" si="8">D15+((RAND()*(0.3-0.1)+0.1)*RANDBETWEEN(-1,1))</f>
        <v>49.52372348798076</v>
      </c>
      <c r="I15" s="189"/>
      <c r="J15" s="189">
        <f t="shared" ref="J15:J17" ca="1" si="9">D15+((RAND()*(0.3-0.1)+0.1)*RANDBETWEEN(-1,1))</f>
        <v>49.233434099861952</v>
      </c>
      <c r="K15" s="189"/>
      <c r="L15" s="189">
        <f t="shared" ref="L15:L17" ca="1" si="10">AVERAGE(D15:K15)</f>
        <v>49.523775539676691</v>
      </c>
      <c r="M15" s="189"/>
      <c r="N15" s="189">
        <f t="shared" ref="N15:N17" ca="1" si="11">L15-B15</f>
        <v>-0.47622446032330856</v>
      </c>
      <c r="O15" s="189"/>
      <c r="R15" s="190">
        <v>10</v>
      </c>
      <c r="S15" s="190"/>
      <c r="T15" s="191">
        <v>10</v>
      </c>
      <c r="U15" s="191"/>
      <c r="V15" s="189">
        <f t="shared" ref="V15:V16" si="12">T15</f>
        <v>10</v>
      </c>
      <c r="W15" s="189"/>
      <c r="X15" s="189">
        <f t="shared" ref="X15:X17" si="13">V15</f>
        <v>10</v>
      </c>
      <c r="Y15" s="189"/>
      <c r="Z15" s="189">
        <f t="shared" ref="Z15:Z17" si="14">X15</f>
        <v>10</v>
      </c>
      <c r="AA15" s="189"/>
      <c r="AB15" s="189">
        <f t="shared" ref="AB15:AB16" si="15">AVERAGE(T15:AA15)</f>
        <v>10</v>
      </c>
      <c r="AC15" s="189"/>
      <c r="AD15" s="189">
        <f t="shared" ref="AD15:AD17" si="16">AB15-R15</f>
        <v>0</v>
      </c>
      <c r="AE15" s="189"/>
    </row>
    <row r="16" spans="1:31" customFormat="1" x14ac:dyDescent="0.3">
      <c r="A16" s="16"/>
      <c r="B16" s="190">
        <v>70</v>
      </c>
      <c r="C16" s="190"/>
      <c r="D16" s="191">
        <f ca="1">IF((D15 - B15) &lt; 0, B16 - MIN(1, ABS(B15 - D15) + RAND()/2), B16 - MIN(1, ABS(B15 - D15) + RAND()/2))</f>
        <v>69.51187257509541</v>
      </c>
      <c r="E16" s="191"/>
      <c r="F16" s="189">
        <f t="shared" ca="1" si="7"/>
        <v>69.15877868201143</v>
      </c>
      <c r="G16" s="189"/>
      <c r="H16" s="189">
        <f t="shared" ca="1" si="8"/>
        <v>69.247659602809748</v>
      </c>
      <c r="I16" s="189"/>
      <c r="J16" s="189">
        <f t="shared" ca="1" si="9"/>
        <v>69.767784373568489</v>
      </c>
      <c r="K16" s="189"/>
      <c r="L16" s="189">
        <f t="shared" ca="1" si="10"/>
        <v>69.421523808371262</v>
      </c>
      <c r="M16" s="189"/>
      <c r="N16" s="189">
        <f t="shared" ca="1" si="11"/>
        <v>-0.57847619162873798</v>
      </c>
      <c r="O16" s="189"/>
      <c r="R16" s="190">
        <v>20</v>
      </c>
      <c r="S16" s="190"/>
      <c r="T16" s="191">
        <v>20</v>
      </c>
      <c r="U16" s="191"/>
      <c r="V16" s="189">
        <f t="shared" si="12"/>
        <v>20</v>
      </c>
      <c r="W16" s="189"/>
      <c r="X16" s="189">
        <f t="shared" si="13"/>
        <v>20</v>
      </c>
      <c r="Y16" s="189"/>
      <c r="Z16" s="189">
        <f t="shared" si="14"/>
        <v>20</v>
      </c>
      <c r="AA16" s="189"/>
      <c r="AB16" s="189">
        <f t="shared" si="15"/>
        <v>20</v>
      </c>
      <c r="AC16" s="189"/>
      <c r="AD16" s="189">
        <f t="shared" si="16"/>
        <v>0</v>
      </c>
      <c r="AE16" s="189"/>
    </row>
    <row r="17" spans="1:31" customFormat="1" x14ac:dyDescent="0.3">
      <c r="B17" s="190">
        <v>100</v>
      </c>
      <c r="C17" s="190"/>
      <c r="D17" s="191">
        <f ca="1">IF((D16 - B16) &lt; 0, B17 - MIN(1.5, ABS(B16 - D16) + RAND()/2), B17 - MIN(1.5, ABS(B16 - D16) + RAND()/2))</f>
        <v>99.050549756829184</v>
      </c>
      <c r="E17" s="191"/>
      <c r="F17" s="189">
        <f t="shared" ca="1" si="7"/>
        <v>99.310434941911183</v>
      </c>
      <c r="G17" s="189"/>
      <c r="H17" s="189">
        <f t="shared" ca="1" si="8"/>
        <v>98.905135560177911</v>
      </c>
      <c r="I17" s="189"/>
      <c r="J17" s="189">
        <f t="shared" ca="1" si="9"/>
        <v>99.294007025223692</v>
      </c>
      <c r="K17" s="189"/>
      <c r="L17" s="189">
        <f t="shared" ca="1" si="10"/>
        <v>99.140031821035478</v>
      </c>
      <c r="M17" s="189"/>
      <c r="N17" s="189">
        <f t="shared" ca="1" si="11"/>
        <v>-0.85996817896452171</v>
      </c>
      <c r="O17" s="189"/>
      <c r="R17" s="190">
        <v>40</v>
      </c>
      <c r="S17" s="190"/>
      <c r="T17" s="191">
        <f ca="1">39.8 + (40.1 - 39.8) * RAND()</f>
        <v>39.97012780446844</v>
      </c>
      <c r="U17" s="191"/>
      <c r="V17" s="189">
        <f ca="1">T17</f>
        <v>39.97012780446844</v>
      </c>
      <c r="W17" s="189"/>
      <c r="X17" s="189">
        <f t="shared" ca="1" si="13"/>
        <v>39.97012780446844</v>
      </c>
      <c r="Y17" s="189"/>
      <c r="Z17" s="189">
        <f t="shared" ca="1" si="14"/>
        <v>39.97012780446844</v>
      </c>
      <c r="AA17" s="189"/>
      <c r="AB17" s="189">
        <f ca="1">AVERAGE(T17:AA17)</f>
        <v>39.97012780446844</v>
      </c>
      <c r="AC17" s="189"/>
      <c r="AD17" s="189">
        <f t="shared" ca="1" si="16"/>
        <v>-2.9872195531559953E-2</v>
      </c>
      <c r="AE17" s="189"/>
    </row>
    <row r="18" spans="1:31" customFormat="1" x14ac:dyDescent="0.3">
      <c r="B18" s="118"/>
      <c r="C18" s="118"/>
      <c r="D18" s="119"/>
      <c r="E18" s="119"/>
      <c r="F18" s="120"/>
      <c r="G18" s="120"/>
      <c r="H18" s="120"/>
      <c r="I18" s="120"/>
      <c r="J18" s="120"/>
      <c r="K18" s="120"/>
      <c r="L18" s="120"/>
      <c r="M18" s="120"/>
      <c r="N18" s="120"/>
      <c r="O18" s="120"/>
    </row>
    <row r="19" spans="1:31" customFormat="1" x14ac:dyDescent="0.3"/>
    <row r="20" spans="1:31" customFormat="1" ht="14.4" customHeight="1" x14ac:dyDescent="0.3">
      <c r="B20" s="188" t="s">
        <v>189</v>
      </c>
      <c r="C20" s="188"/>
      <c r="D20" s="188"/>
      <c r="E20" s="188"/>
      <c r="F20" s="188"/>
      <c r="G20" s="188"/>
      <c r="H20" s="188"/>
      <c r="I20" s="188"/>
      <c r="J20" s="188"/>
      <c r="K20" s="188"/>
      <c r="L20" s="188"/>
      <c r="M20" s="188"/>
      <c r="N20" s="188"/>
      <c r="O20" s="188"/>
      <c r="R20" s="188" t="s">
        <v>202</v>
      </c>
      <c r="S20" s="188"/>
      <c r="T20" s="188"/>
      <c r="U20" s="188"/>
      <c r="V20" s="188"/>
      <c r="W20" s="188"/>
      <c r="X20" s="188"/>
      <c r="Y20" s="188"/>
      <c r="Z20" s="188"/>
      <c r="AA20" s="188"/>
      <c r="AB20" s="188"/>
      <c r="AC20" s="188"/>
      <c r="AD20" s="188"/>
      <c r="AE20" s="188"/>
    </row>
    <row r="21" spans="1:31" customFormat="1" ht="27.6" customHeight="1" x14ac:dyDescent="0.3">
      <c r="B21" s="129" t="s">
        <v>156</v>
      </c>
      <c r="C21" s="129"/>
      <c r="D21" s="125" t="s">
        <v>132</v>
      </c>
      <c r="E21" s="125"/>
      <c r="F21" s="125"/>
      <c r="G21" s="125"/>
      <c r="H21" s="125"/>
      <c r="I21" s="125"/>
      <c r="J21" s="125"/>
      <c r="K21" s="125"/>
      <c r="L21" s="93"/>
      <c r="M21" s="94"/>
      <c r="N21" s="94"/>
      <c r="O21" s="94"/>
      <c r="R21" s="129" t="s">
        <v>203</v>
      </c>
      <c r="S21" s="129"/>
      <c r="T21" s="125" t="s">
        <v>194</v>
      </c>
      <c r="U21" s="125"/>
      <c r="V21" s="125"/>
      <c r="W21" s="125"/>
      <c r="X21" s="125"/>
      <c r="Y21" s="125"/>
      <c r="Z21" s="125"/>
      <c r="AA21" s="125"/>
      <c r="AB21" s="93"/>
      <c r="AC21" s="94"/>
      <c r="AD21" s="94"/>
      <c r="AE21" s="94"/>
    </row>
    <row r="22" spans="1:31" customFormat="1" x14ac:dyDescent="0.3">
      <c r="B22" s="129"/>
      <c r="C22" s="129"/>
      <c r="D22" s="128" t="s">
        <v>138</v>
      </c>
      <c r="E22" s="128"/>
      <c r="F22" s="128" t="s">
        <v>139</v>
      </c>
      <c r="G22" s="128"/>
      <c r="H22" s="128" t="s">
        <v>140</v>
      </c>
      <c r="I22" s="128"/>
      <c r="J22" s="128" t="s">
        <v>141</v>
      </c>
      <c r="K22" s="128"/>
      <c r="L22" s="129" t="s">
        <v>142</v>
      </c>
      <c r="M22" s="129"/>
      <c r="N22" s="129" t="s">
        <v>143</v>
      </c>
      <c r="O22" s="129"/>
      <c r="R22" s="129"/>
      <c r="S22" s="129"/>
      <c r="T22" s="128" t="s">
        <v>204</v>
      </c>
      <c r="U22" s="128"/>
      <c r="V22" s="128" t="s">
        <v>205</v>
      </c>
      <c r="W22" s="128"/>
      <c r="X22" s="128" t="s">
        <v>206</v>
      </c>
      <c r="Y22" s="128"/>
      <c r="Z22" s="128" t="s">
        <v>207</v>
      </c>
      <c r="AA22" s="128"/>
      <c r="AB22" s="129" t="s">
        <v>209</v>
      </c>
      <c r="AC22" s="129"/>
      <c r="AD22" s="129" t="s">
        <v>210</v>
      </c>
      <c r="AE22" s="129"/>
    </row>
    <row r="23" spans="1:31" x14ac:dyDescent="0.3">
      <c r="A23"/>
      <c r="B23" s="190">
        <v>2</v>
      </c>
      <c r="C23" s="190"/>
      <c r="D23" s="191">
        <f ca="1">1.8 + (2.2 - 1.8) * RAND()</f>
        <v>1.8848959144215638</v>
      </c>
      <c r="E23" s="191"/>
      <c r="F23" s="194">
        <f ca="1">D23+((RAND()*(0.1)*RANDBETWEEN(-1,1)))</f>
        <v>1.8848959144215638</v>
      </c>
      <c r="G23" s="195"/>
      <c r="H23" s="194">
        <f ca="1">F23+((RAND()*(0.1)*RANDBETWEEN(-1,1)))</f>
        <v>1.833961816441402</v>
      </c>
      <c r="I23" s="195"/>
      <c r="J23" s="194">
        <f ca="1">H23+((RAND()*(0.1)*RANDBETWEEN(-1,1)))</f>
        <v>1.833961816441402</v>
      </c>
      <c r="K23" s="195"/>
      <c r="L23" s="189">
        <f ca="1">AVERAGE(D23:K23)</f>
        <v>1.8594288654314828</v>
      </c>
      <c r="M23" s="189"/>
      <c r="N23" s="189">
        <f ca="1">L23-B23</f>
        <v>-0.14057113456851722</v>
      </c>
      <c r="O23" s="189"/>
      <c r="R23" s="114" t="s">
        <v>227</v>
      </c>
      <c r="S23" s="114" t="s">
        <v>227</v>
      </c>
      <c r="T23" s="111" t="s">
        <v>221</v>
      </c>
      <c r="U23" s="121">
        <f ca="1">ROUND(0.96 + (1.04 - 0.96) * RAND(), 2)</f>
        <v>0.97</v>
      </c>
      <c r="V23" s="112" t="str">
        <f>T23</f>
        <v>1,00</v>
      </c>
      <c r="W23" s="113">
        <f ca="1">U23+((RAND()*(0.01)+0.007)*(RANDBETWEEN(-1,1)))</f>
        <v>0.98111019608121952</v>
      </c>
      <c r="X23" s="113" t="str">
        <f>T23</f>
        <v>1,00</v>
      </c>
      <c r="Y23" s="113">
        <f ca="1">W23+((RAND()*(0.01)+0.007)*(RANDBETWEEN(-1,1)))</f>
        <v>0.98111019608121952</v>
      </c>
      <c r="Z23" s="113" t="str">
        <f>T23</f>
        <v>1,00</v>
      </c>
      <c r="AA23" s="113">
        <f ca="1">Y23+((RAND()*(0.01)+0.007)*(RANDBETWEEN(-1,1)))</f>
        <v>0.98111019608121952</v>
      </c>
      <c r="AB23" s="113" t="str">
        <f>T23</f>
        <v>1,00</v>
      </c>
      <c r="AC23" s="113">
        <f ca="1">AVERAGE(U23,W23,Y23,AA23)</f>
        <v>0.97833264706091461</v>
      </c>
      <c r="AD23" s="113">
        <f>AB23-R23</f>
        <v>0</v>
      </c>
      <c r="AE23" s="113">
        <f ca="1">S23-AC23</f>
        <v>2.1667352939085394E-2</v>
      </c>
    </row>
    <row r="24" spans="1:31" customFormat="1" x14ac:dyDescent="0.3">
      <c r="B24" s="190">
        <v>6</v>
      </c>
      <c r="C24" s="190"/>
      <c r="D24" s="192">
        <f ca="1">IF((D23 - B23) &lt; 0, B24 - MIN(0.6, ABS(B23 - D23) + RAND()/2), B24 + MIN(0.6, ABS(B23 - D23) + RAND()/2))</f>
        <v>5.6206546429129096</v>
      </c>
      <c r="E24" s="193"/>
      <c r="F24" s="194">
        <f t="shared" ref="F24:F26" ca="1" si="17">D24+((RAND()*(0.1)*RANDBETWEEN(-1,1)))</f>
        <v>5.6876166921311233</v>
      </c>
      <c r="G24" s="195"/>
      <c r="H24" s="194">
        <f t="shared" ref="H24:H26" ca="1" si="18">F24+((RAND()*(0.1)*RANDBETWEEN(-1,1)))</f>
        <v>5.738393185000052</v>
      </c>
      <c r="I24" s="195"/>
      <c r="J24" s="194">
        <f t="shared" ref="J24:J26" ca="1" si="19">H24+((RAND()*(0.1)*RANDBETWEEN(-1,1)))</f>
        <v>5.755156147201161</v>
      </c>
      <c r="K24" s="195"/>
      <c r="L24" s="189">
        <f t="shared" ref="L24:L26" ca="1" si="20">AVERAGE(D24:K24)</f>
        <v>5.7004551668113113</v>
      </c>
      <c r="M24" s="189"/>
      <c r="N24" s="189">
        <f t="shared" ref="N24:N26" ca="1" si="21">L24-B24</f>
        <v>-0.29954483318868874</v>
      </c>
      <c r="O24" s="189"/>
      <c r="R24" s="114" t="s">
        <v>227</v>
      </c>
      <c r="S24" s="114" t="s">
        <v>228</v>
      </c>
      <c r="T24" s="111" t="s">
        <v>221</v>
      </c>
      <c r="U24" s="121">
        <f ca="1">ROUND(IF((U23 - S23) &lt; 0, S24 - MIN(0.1, ABS(S23 - U23) + RAND()/10), S24 + MIN(0.1, ABS(S23 - U23) + RAND()/10)), 2)</f>
        <v>1.92</v>
      </c>
      <c r="V24" s="112" t="str">
        <f t="shared" ref="V24:V25" si="22">T24</f>
        <v>1,00</v>
      </c>
      <c r="W24" s="113">
        <f t="shared" ref="W24:AA25" ca="1" si="23">U24+((RAND()*(0.01)+0.007)*(RANDBETWEEN(-1,1)))</f>
        <v>1.9307564430067305</v>
      </c>
      <c r="X24" s="113" t="str">
        <f t="shared" ref="X24:X25" si="24">T24</f>
        <v>1,00</v>
      </c>
      <c r="Y24" s="113">
        <f t="shared" ca="1" si="23"/>
        <v>1.9307564430067305</v>
      </c>
      <c r="Z24" s="113" t="str">
        <f t="shared" ref="Z24:Z25" si="25">T24</f>
        <v>1,00</v>
      </c>
      <c r="AA24" s="113">
        <f t="shared" ca="1" si="23"/>
        <v>1.9228467023627276</v>
      </c>
      <c r="AB24" s="113" t="str">
        <f t="shared" ref="AB24:AB25" si="26">T24</f>
        <v>1,00</v>
      </c>
      <c r="AC24" s="113">
        <f t="shared" ref="AC24:AC25" ca="1" si="27">AVERAGE(U24,W24,Y24,AA24)</f>
        <v>1.9260898970940472</v>
      </c>
      <c r="AD24" s="113">
        <f t="shared" ref="AD24:AD25" si="28">AB24-R24</f>
        <v>0</v>
      </c>
      <c r="AE24" s="113">
        <f t="shared" ref="AE24:AE25" ca="1" si="29">S24-AC24</f>
        <v>7.391010290595279E-2</v>
      </c>
    </row>
    <row r="25" spans="1:31" customFormat="1" x14ac:dyDescent="0.3">
      <c r="B25" s="190">
        <v>8</v>
      </c>
      <c r="C25" s="190"/>
      <c r="D25" s="192">
        <f ca="1">IF((D24 - B24) &lt; 0, B25 - MIN(1, ABS(B24 - D24) + RAND()), B25 + MIN(1, ABS(B24 - D24) + RAND()))</f>
        <v>7</v>
      </c>
      <c r="E25" s="193"/>
      <c r="F25" s="194">
        <f t="shared" ca="1" si="17"/>
        <v>7</v>
      </c>
      <c r="G25" s="195"/>
      <c r="H25" s="194">
        <f t="shared" ca="1" si="18"/>
        <v>6.9741482817005789</v>
      </c>
      <c r="I25" s="195"/>
      <c r="J25" s="194">
        <f t="shared" ca="1" si="19"/>
        <v>6.9127085046158783</v>
      </c>
      <c r="K25" s="195"/>
      <c r="L25" s="189">
        <f t="shared" ca="1" si="20"/>
        <v>6.9717141965791143</v>
      </c>
      <c r="M25" s="189"/>
      <c r="N25" s="189">
        <f t="shared" ca="1" si="21"/>
        <v>-1.0282858034208857</v>
      </c>
      <c r="O25" s="189"/>
      <c r="R25" s="114" t="s">
        <v>227</v>
      </c>
      <c r="S25" s="114" t="s">
        <v>229</v>
      </c>
      <c r="T25" s="111" t="s">
        <v>221</v>
      </c>
      <c r="U25" s="121">
        <f ca="1">ROUND(IF((U24 - S24) &lt; 0, S25 - MIN(0.15, ABS(S24 - U24) + RAND()/10), S25 + MIN(0.15, ABS(S24 - U24) + RAND()/10)), 2)</f>
        <v>2.85</v>
      </c>
      <c r="V25" s="112" t="str">
        <f t="shared" si="22"/>
        <v>1,00</v>
      </c>
      <c r="W25" s="113">
        <f t="shared" ca="1" si="23"/>
        <v>2.8371814115112111</v>
      </c>
      <c r="X25" s="113" t="str">
        <f t="shared" si="24"/>
        <v>1,00</v>
      </c>
      <c r="Y25" s="113">
        <f t="shared" ca="1" si="23"/>
        <v>2.8286215082108908</v>
      </c>
      <c r="Z25" s="113" t="str">
        <f t="shared" si="25"/>
        <v>1,00</v>
      </c>
      <c r="AA25" s="113">
        <f t="shared" ca="1" si="23"/>
        <v>2.8420400672921904</v>
      </c>
      <c r="AB25" s="113" t="str">
        <f t="shared" si="26"/>
        <v>1,00</v>
      </c>
      <c r="AC25" s="113">
        <f t="shared" ca="1" si="27"/>
        <v>2.8394607467535731</v>
      </c>
      <c r="AD25" s="113">
        <f t="shared" si="28"/>
        <v>0</v>
      </c>
      <c r="AE25" s="113">
        <f t="shared" ca="1" si="29"/>
        <v>0.16053925324642693</v>
      </c>
    </row>
    <row r="26" spans="1:31" customFormat="1" x14ac:dyDescent="0.3">
      <c r="B26" s="190">
        <v>10</v>
      </c>
      <c r="C26" s="190"/>
      <c r="D26" s="192">
        <f ca="1">IF((D25 - B25) &lt; 0, B26 - MIN(1.5, ABS(B25 - D25) + RAND()*1.5), B26 + MIN(1.5, ABS(B25 - D25) + RAND()*1.5))</f>
        <v>8.5</v>
      </c>
      <c r="E26" s="193"/>
      <c r="F26" s="194">
        <f t="shared" ca="1" si="17"/>
        <v>8.5148476975525664</v>
      </c>
      <c r="G26" s="195"/>
      <c r="H26" s="194">
        <f t="shared" ca="1" si="18"/>
        <v>8.5948992203998706</v>
      </c>
      <c r="I26" s="195"/>
      <c r="J26" s="194">
        <f t="shared" ca="1" si="19"/>
        <v>8.5948992203998706</v>
      </c>
      <c r="K26" s="195"/>
      <c r="L26" s="189">
        <f t="shared" ca="1" si="20"/>
        <v>8.5511615345880774</v>
      </c>
      <c r="M26" s="189"/>
      <c r="N26" s="189">
        <f t="shared" ca="1" si="21"/>
        <v>-1.4488384654119226</v>
      </c>
      <c r="O26" s="189"/>
    </row>
    <row r="27" spans="1:31" customFormat="1" x14ac:dyDescent="0.3"/>
    <row r="28" spans="1:31" customFormat="1" x14ac:dyDescent="0.3"/>
    <row r="29" spans="1:31" customFormat="1" ht="17.399999999999999" customHeight="1" x14ac:dyDescent="0.3"/>
    <row r="30" spans="1:31" customFormat="1" ht="23.4" customHeight="1" x14ac:dyDescent="0.3">
      <c r="V30" s="36"/>
    </row>
    <row r="31" spans="1:31" customFormat="1" x14ac:dyDescent="0.3"/>
    <row r="32" spans="1:31" customFormat="1" x14ac:dyDescent="0.3"/>
    <row r="33" spans="1:15" customFormat="1" x14ac:dyDescent="0.3"/>
    <row r="34" spans="1:15" customFormat="1" x14ac:dyDescent="0.3"/>
    <row r="35" spans="1:15" customFormat="1" x14ac:dyDescent="0.3"/>
    <row r="36" spans="1:15" customFormat="1" x14ac:dyDescent="0.3"/>
    <row r="37" spans="1:15" customFormat="1" x14ac:dyDescent="0.3"/>
    <row r="38" spans="1:15" customFormat="1" x14ac:dyDescent="0.3"/>
    <row r="39" spans="1:15" customFormat="1" x14ac:dyDescent="0.3"/>
    <row r="40" spans="1:15" customFormat="1" x14ac:dyDescent="0.3"/>
    <row r="41" spans="1:15" customFormat="1" x14ac:dyDescent="0.3"/>
    <row r="42" spans="1:15" customFormat="1" ht="30" customHeight="1" x14ac:dyDescent="0.3">
      <c r="A42" s="16"/>
    </row>
    <row r="43" spans="1:15" customFormat="1" x14ac:dyDescent="0.3">
      <c r="A43" s="16"/>
    </row>
    <row r="44" spans="1:15" customFormat="1" x14ac:dyDescent="0.3">
      <c r="A44" s="16"/>
    </row>
    <row r="45" spans="1:15" customFormat="1" x14ac:dyDescent="0.3">
      <c r="A45" s="16"/>
    </row>
    <row r="46" spans="1:15" customFormat="1" x14ac:dyDescent="0.3">
      <c r="A46" s="16"/>
    </row>
    <row r="47" spans="1:15" customFormat="1" x14ac:dyDescent="0.3">
      <c r="A47" s="16"/>
    </row>
    <row r="48" spans="1:15" customFormat="1" x14ac:dyDescent="0.3">
      <c r="A48" s="16"/>
      <c r="B48" s="16"/>
      <c r="C48" s="16"/>
      <c r="D48" s="16"/>
      <c r="E48" s="16"/>
      <c r="F48" s="16"/>
      <c r="G48" s="16"/>
      <c r="H48" s="16"/>
      <c r="I48" s="16"/>
      <c r="J48" s="16"/>
      <c r="K48" s="16"/>
      <c r="L48" s="16"/>
      <c r="M48" s="16"/>
      <c r="N48" s="16"/>
      <c r="O48" s="16"/>
    </row>
    <row r="49" spans="17:31" x14ac:dyDescent="0.3">
      <c r="Q49"/>
      <c r="R49"/>
      <c r="S49"/>
      <c r="T49"/>
      <c r="U49"/>
      <c r="V49"/>
      <c r="W49"/>
      <c r="X49"/>
      <c r="Y49"/>
      <c r="Z49"/>
      <c r="AA49"/>
      <c r="AB49"/>
      <c r="AC49"/>
      <c r="AD49"/>
      <c r="AE49"/>
    </row>
  </sheetData>
  <mergeCells count="157">
    <mergeCell ref="Z15:AA15"/>
    <mergeCell ref="AD13:AE13"/>
    <mergeCell ref="R4:S5"/>
    <mergeCell ref="R12:S13"/>
    <mergeCell ref="R21:S22"/>
    <mergeCell ref="AB16:AC16"/>
    <mergeCell ref="AD16:AE16"/>
    <mergeCell ref="R17:S17"/>
    <mergeCell ref="T17:U17"/>
    <mergeCell ref="V17:W17"/>
    <mergeCell ref="X17:Y17"/>
    <mergeCell ref="Z17:AA17"/>
    <mergeCell ref="AB17:AC17"/>
    <mergeCell ref="AD17:AE17"/>
    <mergeCell ref="R16:S16"/>
    <mergeCell ref="T16:U16"/>
    <mergeCell ref="V16:W16"/>
    <mergeCell ref="X16:Y16"/>
    <mergeCell ref="Z16:AA16"/>
    <mergeCell ref="AB14:AC14"/>
    <mergeCell ref="AD14:AE14"/>
    <mergeCell ref="R15:S15"/>
    <mergeCell ref="T15:U15"/>
    <mergeCell ref="V15:W15"/>
    <mergeCell ref="X15:Y15"/>
    <mergeCell ref="R3:AE3"/>
    <mergeCell ref="T4:AA4"/>
    <mergeCell ref="R6:S6"/>
    <mergeCell ref="R7:S7"/>
    <mergeCell ref="R8:S8"/>
    <mergeCell ref="R9:S9"/>
    <mergeCell ref="AD8:AE8"/>
    <mergeCell ref="T9:U9"/>
    <mergeCell ref="V9:W9"/>
    <mergeCell ref="X9:Y9"/>
    <mergeCell ref="Z9:AA9"/>
    <mergeCell ref="AB9:AC9"/>
    <mergeCell ref="AD9:AE9"/>
    <mergeCell ref="T8:U8"/>
    <mergeCell ref="V8:W8"/>
    <mergeCell ref="X8:Y8"/>
    <mergeCell ref="Z8:AA8"/>
    <mergeCell ref="AB8:AC8"/>
    <mergeCell ref="AD6:AE6"/>
    <mergeCell ref="T7:U7"/>
    <mergeCell ref="V7:W7"/>
    <mergeCell ref="X7:Y7"/>
    <mergeCell ref="Z7:AA7"/>
    <mergeCell ref="T5:U5"/>
    <mergeCell ref="V5:W5"/>
    <mergeCell ref="X5:Y5"/>
    <mergeCell ref="Z5:AA5"/>
    <mergeCell ref="AB5:AC5"/>
    <mergeCell ref="AD5:AE5"/>
    <mergeCell ref="T6:U6"/>
    <mergeCell ref="V6:W6"/>
    <mergeCell ref="X6:Y6"/>
    <mergeCell ref="Z6:AA6"/>
    <mergeCell ref="AB6:AC6"/>
    <mergeCell ref="L23:M23"/>
    <mergeCell ref="N23:O23"/>
    <mergeCell ref="B20:O20"/>
    <mergeCell ref="D21:K21"/>
    <mergeCell ref="D22:E22"/>
    <mergeCell ref="F22:G22"/>
    <mergeCell ref="H22:I22"/>
    <mergeCell ref="J22:K22"/>
    <mergeCell ref="L25:M25"/>
    <mergeCell ref="N25:O25"/>
    <mergeCell ref="B24:C24"/>
    <mergeCell ref="D24:E24"/>
    <mergeCell ref="F24:G24"/>
    <mergeCell ref="H24:I24"/>
    <mergeCell ref="J24:K24"/>
    <mergeCell ref="L24:M24"/>
    <mergeCell ref="N24:O24"/>
    <mergeCell ref="B23:C23"/>
    <mergeCell ref="D23:E23"/>
    <mergeCell ref="F23:G23"/>
    <mergeCell ref="H23:I23"/>
    <mergeCell ref="J23:K23"/>
    <mergeCell ref="L22:M22"/>
    <mergeCell ref="N22:O22"/>
    <mergeCell ref="B26:C26"/>
    <mergeCell ref="D26:E26"/>
    <mergeCell ref="F26:G26"/>
    <mergeCell ref="H26:I26"/>
    <mergeCell ref="J26:K26"/>
    <mergeCell ref="L26:M26"/>
    <mergeCell ref="N26:O26"/>
    <mergeCell ref="B25:C25"/>
    <mergeCell ref="D25:E25"/>
    <mergeCell ref="F25:G25"/>
    <mergeCell ref="H25:I25"/>
    <mergeCell ref="J25:K25"/>
    <mergeCell ref="L17:M17"/>
    <mergeCell ref="N17:O17"/>
    <mergeCell ref="B17:C17"/>
    <mergeCell ref="D17:E17"/>
    <mergeCell ref="F17:G17"/>
    <mergeCell ref="H17:I17"/>
    <mergeCell ref="J17:K17"/>
    <mergeCell ref="B21:C22"/>
    <mergeCell ref="L15:M15"/>
    <mergeCell ref="N15:O15"/>
    <mergeCell ref="B16:C16"/>
    <mergeCell ref="D16:E16"/>
    <mergeCell ref="F16:G16"/>
    <mergeCell ref="H16:I16"/>
    <mergeCell ref="J16:K16"/>
    <mergeCell ref="L16:M16"/>
    <mergeCell ref="N16:O16"/>
    <mergeCell ref="B15:C15"/>
    <mergeCell ref="D15:E15"/>
    <mergeCell ref="F15:G15"/>
    <mergeCell ref="H15:I15"/>
    <mergeCell ref="J15:K15"/>
    <mergeCell ref="B11:O11"/>
    <mergeCell ref="L13:M13"/>
    <mergeCell ref="N13:O13"/>
    <mergeCell ref="B14:C14"/>
    <mergeCell ref="D14:E14"/>
    <mergeCell ref="F14:G14"/>
    <mergeCell ref="H14:I14"/>
    <mergeCell ref="J14:K14"/>
    <mergeCell ref="L14:M14"/>
    <mergeCell ref="N14:O14"/>
    <mergeCell ref="B12:C13"/>
    <mergeCell ref="D12:K12"/>
    <mergeCell ref="D13:E13"/>
    <mergeCell ref="F13:G13"/>
    <mergeCell ref="H13:I13"/>
    <mergeCell ref="J13:K13"/>
    <mergeCell ref="R20:AE20"/>
    <mergeCell ref="T21:AA21"/>
    <mergeCell ref="T22:U22"/>
    <mergeCell ref="V22:W22"/>
    <mergeCell ref="X22:Y22"/>
    <mergeCell ref="Z22:AA22"/>
    <mergeCell ref="AB22:AC22"/>
    <mergeCell ref="AD22:AE22"/>
    <mergeCell ref="AD7:AE7"/>
    <mergeCell ref="AB15:AC15"/>
    <mergeCell ref="AD15:AE15"/>
    <mergeCell ref="R14:S14"/>
    <mergeCell ref="T14:U14"/>
    <mergeCell ref="V14:W14"/>
    <mergeCell ref="X14:Y14"/>
    <mergeCell ref="Z14:AA14"/>
    <mergeCell ref="R11:AE11"/>
    <mergeCell ref="T12:AA12"/>
    <mergeCell ref="T13:U13"/>
    <mergeCell ref="V13:W13"/>
    <mergeCell ref="X13:Y13"/>
    <mergeCell ref="Z13:AA13"/>
    <mergeCell ref="AB13:AC13"/>
    <mergeCell ref="AB7:AC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15" workbookViewId="0">
      <selection activeCell="H51" sqref="H51"/>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202" t="s">
        <v>133</v>
      </c>
      <c r="D2" s="202"/>
      <c r="E2" s="202"/>
      <c r="F2" s="202"/>
      <c r="G2" s="202"/>
      <c r="H2" s="202"/>
      <c r="I2" s="202"/>
      <c r="J2" s="202"/>
      <c r="K2" s="202"/>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203" t="s">
        <v>13</v>
      </c>
      <c r="C34" s="203"/>
      <c r="D34" s="203"/>
      <c r="E34" s="203"/>
      <c r="F34" s="203"/>
      <c r="G34" s="203"/>
      <c r="H34" s="203"/>
      <c r="I34" s="203"/>
      <c r="J34" s="203"/>
      <c r="K34" s="203"/>
      <c r="L34" s="203"/>
      <c r="M34" s="203"/>
      <c r="N34" s="3"/>
      <c r="O34" s="3"/>
      <c r="P34" s="3"/>
      <c r="Q34" s="3"/>
    </row>
    <row r="35" spans="2:17" x14ac:dyDescent="0.3">
      <c r="B35" s="196" t="s">
        <v>12</v>
      </c>
      <c r="C35" s="196"/>
      <c r="D35" s="196"/>
      <c r="E35" s="196"/>
      <c r="F35" s="196"/>
      <c r="G35" s="199" t="s">
        <v>168</v>
      </c>
      <c r="H35" s="200"/>
      <c r="I35" s="200"/>
      <c r="J35" s="200"/>
      <c r="K35" s="200"/>
      <c r="L35" s="200"/>
      <c r="M35" s="201"/>
      <c r="N35" s="9"/>
      <c r="O35" s="9"/>
      <c r="P35" s="9"/>
      <c r="Q35" s="9"/>
    </row>
    <row r="36" spans="2:17" x14ac:dyDescent="0.3">
      <c r="B36" s="196" t="s">
        <v>7</v>
      </c>
      <c r="C36" s="196"/>
      <c r="D36" s="196"/>
      <c r="E36" s="196"/>
      <c r="F36" s="196"/>
      <c r="G36" s="199" t="s">
        <v>169</v>
      </c>
      <c r="H36" s="200"/>
      <c r="I36" s="200"/>
      <c r="J36" s="200"/>
      <c r="K36" s="200"/>
      <c r="L36" s="200"/>
      <c r="M36" s="201"/>
      <c r="N36" s="9"/>
      <c r="O36" s="9"/>
      <c r="P36" s="9"/>
      <c r="Q36" s="9"/>
    </row>
    <row r="37" spans="2:17" x14ac:dyDescent="0.3">
      <c r="B37" s="196" t="s">
        <v>6</v>
      </c>
      <c r="C37" s="196"/>
      <c r="D37" s="196"/>
      <c r="E37" s="196"/>
      <c r="F37" s="196"/>
      <c r="G37" s="199">
        <v>4070</v>
      </c>
      <c r="H37" s="200"/>
      <c r="I37" s="200"/>
      <c r="J37" s="200"/>
      <c r="K37" s="200"/>
      <c r="L37" s="200"/>
      <c r="M37" s="201"/>
      <c r="N37" s="9"/>
      <c r="O37" s="9"/>
      <c r="P37" s="9"/>
      <c r="Q37" s="9"/>
    </row>
    <row r="38" spans="2:17" x14ac:dyDescent="0.3">
      <c r="B38" s="196" t="s">
        <v>4</v>
      </c>
      <c r="C38" s="196"/>
      <c r="D38" s="196"/>
      <c r="E38" s="196"/>
      <c r="F38" s="196"/>
      <c r="G38" s="199">
        <v>40712037006</v>
      </c>
      <c r="H38" s="200"/>
      <c r="I38" s="200"/>
      <c r="J38" s="200"/>
      <c r="K38" s="200"/>
      <c r="L38" s="200"/>
      <c r="M38" s="201"/>
      <c r="N38" s="9"/>
      <c r="O38" s="9"/>
      <c r="P38" s="9"/>
      <c r="Q38" s="9"/>
    </row>
    <row r="39" spans="2:17" x14ac:dyDescent="0.3">
      <c r="B39" s="196" t="s">
        <v>11</v>
      </c>
      <c r="C39" s="196"/>
      <c r="D39" s="196"/>
      <c r="E39" s="196"/>
      <c r="F39" s="197"/>
      <c r="G39" s="204">
        <v>44970</v>
      </c>
      <c r="H39" s="204"/>
      <c r="I39" s="204"/>
      <c r="J39" s="204"/>
      <c r="K39" s="204"/>
      <c r="L39" s="204"/>
      <c r="M39" s="204"/>
      <c r="N39" s="10"/>
      <c r="O39" s="10"/>
      <c r="P39" s="10"/>
      <c r="Q39" s="10"/>
    </row>
    <row r="40" spans="2:17" x14ac:dyDescent="0.3">
      <c r="B40" s="196" t="s">
        <v>10</v>
      </c>
      <c r="C40" s="196"/>
      <c r="D40" s="196"/>
      <c r="E40" s="196"/>
      <c r="F40" s="196"/>
      <c r="G40" s="198" t="s">
        <v>170</v>
      </c>
      <c r="H40" s="198"/>
      <c r="I40" s="198"/>
      <c r="J40" s="198"/>
      <c r="K40" s="198"/>
      <c r="L40" s="198"/>
      <c r="M40" s="198"/>
      <c r="N40" s="9"/>
      <c r="O40" s="9"/>
      <c r="P40" s="9"/>
      <c r="Q40" s="9"/>
    </row>
    <row r="41" spans="2:17" x14ac:dyDescent="0.3">
      <c r="B41" s="196" t="s">
        <v>171</v>
      </c>
      <c r="C41" s="196"/>
      <c r="D41" s="196"/>
      <c r="E41" s="196"/>
      <c r="F41" s="196"/>
      <c r="G41" s="199">
        <v>5.5</v>
      </c>
      <c r="H41" s="200"/>
      <c r="I41" s="200"/>
      <c r="J41" s="200"/>
      <c r="K41" s="200"/>
      <c r="L41" s="200"/>
      <c r="M41" s="201"/>
      <c r="N41" s="4"/>
      <c r="O41" s="4"/>
      <c r="P41" s="4"/>
      <c r="Q41" s="4"/>
    </row>
    <row r="42" spans="2:17" x14ac:dyDescent="0.3">
      <c r="B42" s="196" t="s">
        <v>172</v>
      </c>
      <c r="C42" s="196"/>
      <c r="D42" s="196"/>
      <c r="E42" s="196"/>
      <c r="F42" s="196"/>
      <c r="G42" s="199">
        <v>0.11</v>
      </c>
      <c r="H42" s="200"/>
      <c r="I42" s="200"/>
      <c r="J42" s="200"/>
      <c r="K42" s="200"/>
      <c r="L42" s="200"/>
      <c r="M42" s="201"/>
      <c r="N42" s="4"/>
      <c r="O42" s="4"/>
      <c r="P42" s="4"/>
      <c r="Q42" s="4"/>
    </row>
    <row r="43" spans="2:17" x14ac:dyDescent="0.3">
      <c r="B43" s="196" t="s">
        <v>173</v>
      </c>
      <c r="C43" s="196"/>
      <c r="D43" s="196"/>
      <c r="E43" s="196"/>
      <c r="F43" s="197"/>
      <c r="G43" s="199">
        <v>3</v>
      </c>
      <c r="H43" s="200"/>
      <c r="I43" s="200"/>
      <c r="J43" s="200"/>
      <c r="K43" s="200"/>
      <c r="L43" s="200"/>
      <c r="M43" s="201"/>
      <c r="N43" s="4"/>
      <c r="O43" s="4"/>
      <c r="P43" s="4"/>
      <c r="Q43" s="4"/>
    </row>
    <row r="44" spans="2:17" x14ac:dyDescent="0.3">
      <c r="B44" s="196" t="s">
        <v>174</v>
      </c>
      <c r="C44" s="196"/>
      <c r="D44" s="196"/>
      <c r="E44" s="196"/>
      <c r="F44" s="197"/>
      <c r="G44" s="199">
        <v>0.2</v>
      </c>
      <c r="H44" s="200"/>
      <c r="I44" s="200"/>
      <c r="J44" s="200"/>
      <c r="K44" s="200"/>
      <c r="L44" s="200"/>
      <c r="M44" s="201"/>
    </row>
    <row r="45" spans="2:17" x14ac:dyDescent="0.3">
      <c r="B45" s="196" t="s">
        <v>175</v>
      </c>
      <c r="C45" s="196"/>
      <c r="D45" s="196"/>
      <c r="E45" s="196"/>
      <c r="F45" s="197"/>
      <c r="G45" s="199">
        <v>0.1</v>
      </c>
      <c r="H45" s="200"/>
      <c r="I45" s="200"/>
      <c r="J45" s="200"/>
      <c r="K45" s="200"/>
      <c r="L45" s="200"/>
      <c r="M45" s="201"/>
    </row>
    <row r="46" spans="2:17" x14ac:dyDescent="0.3">
      <c r="B46" s="196" t="s">
        <v>176</v>
      </c>
      <c r="C46" s="196"/>
      <c r="D46" s="196"/>
      <c r="E46" s="196"/>
      <c r="F46" s="197"/>
      <c r="G46" s="199">
        <v>0.1</v>
      </c>
      <c r="H46" s="200"/>
      <c r="I46" s="200"/>
      <c r="J46" s="200"/>
      <c r="K46" s="200"/>
      <c r="L46" s="200"/>
      <c r="M46" s="201"/>
    </row>
    <row r="47" spans="2:17" x14ac:dyDescent="0.3">
      <c r="B47" s="196" t="s">
        <v>9</v>
      </c>
      <c r="C47" s="196"/>
      <c r="D47" s="196"/>
      <c r="E47" s="196"/>
      <c r="F47" s="197"/>
      <c r="G47" s="199">
        <v>2</v>
      </c>
      <c r="H47" s="200"/>
      <c r="I47" s="200"/>
      <c r="J47" s="200"/>
      <c r="K47" s="200"/>
      <c r="L47" s="200"/>
      <c r="M47" s="201"/>
    </row>
    <row r="81" spans="3:16" x14ac:dyDescent="0.3">
      <c r="N81" s="4"/>
      <c r="O81" s="4"/>
      <c r="P81" s="26"/>
    </row>
    <row r="82" spans="3:16" x14ac:dyDescent="0.3">
      <c r="N82" s="17"/>
      <c r="O82" s="17"/>
      <c r="P82" s="26"/>
    </row>
    <row r="83" spans="3:16" x14ac:dyDescent="0.3">
      <c r="N83" s="17"/>
      <c r="O83" s="17"/>
      <c r="P83" s="26"/>
    </row>
    <row r="84" spans="3:16" x14ac:dyDescent="0.3">
      <c r="N84" s="17"/>
      <c r="O84" s="17"/>
      <c r="P84" s="26"/>
    </row>
    <row r="85" spans="3:16" x14ac:dyDescent="0.3">
      <c r="N85" s="17"/>
      <c r="O85" s="17"/>
      <c r="P85" s="26"/>
    </row>
    <row r="86" spans="3:16" x14ac:dyDescent="0.3">
      <c r="N86" s="17"/>
      <c r="O86" s="17"/>
      <c r="P86" s="26"/>
    </row>
    <row r="87" spans="3:16" x14ac:dyDescent="0.3">
      <c r="N87" s="17"/>
      <c r="O87" s="17"/>
      <c r="P87" s="26"/>
    </row>
    <row r="95" spans="3:16" x14ac:dyDescent="0.3">
      <c r="C95" s="132"/>
      <c r="D95" s="132"/>
      <c r="E95" s="132"/>
    </row>
    <row r="98" spans="14:15" x14ac:dyDescent="0.3">
      <c r="N98" s="4"/>
      <c r="O98" s="4"/>
    </row>
    <row r="99" spans="14:15" x14ac:dyDescent="0.3">
      <c r="N99" s="17"/>
      <c r="O99" s="17"/>
    </row>
    <row r="100" spans="14:15" x14ac:dyDescent="0.3">
      <c r="N100" s="17"/>
      <c r="O100" s="17"/>
    </row>
    <row r="101" spans="14:15" x14ac:dyDescent="0.3">
      <c r="N101" s="17"/>
      <c r="O101" s="17"/>
    </row>
    <row r="102" spans="14:15" x14ac:dyDescent="0.3">
      <c r="N102" s="17"/>
      <c r="O102" s="17"/>
    </row>
    <row r="103" spans="14:15" x14ac:dyDescent="0.3">
      <c r="N103" s="17"/>
      <c r="O103" s="17"/>
    </row>
    <row r="104" spans="14:15" x14ac:dyDescent="0.3">
      <c r="N104" s="17"/>
      <c r="O104" s="17"/>
    </row>
  </sheetData>
  <mergeCells count="29">
    <mergeCell ref="C2:K2"/>
    <mergeCell ref="B44:F44"/>
    <mergeCell ref="B45:F45"/>
    <mergeCell ref="B46:F46"/>
    <mergeCell ref="B47:F47"/>
    <mergeCell ref="G47:M47"/>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B42:F42"/>
    <mergeCell ref="B43:F43"/>
    <mergeCell ref="G44:M44"/>
    <mergeCell ref="G45:M45"/>
    <mergeCell ref="G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41"/>
  <sheetViews>
    <sheetView topLeftCell="A17" zoomScaleNormal="100" workbookViewId="0">
      <selection activeCell="N36" sqref="N3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05" t="s">
        <v>177</v>
      </c>
      <c r="C2" s="206"/>
      <c r="D2" s="206"/>
      <c r="E2" s="206"/>
      <c r="F2" s="206"/>
      <c r="G2" s="206"/>
      <c r="H2" s="206"/>
      <c r="I2" s="206"/>
      <c r="J2" s="206"/>
      <c r="K2" s="206"/>
      <c r="L2" s="207"/>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t="e">
        <f>MEDIDA!#REF!</f>
        <v>#REF!</v>
      </c>
      <c r="C4" s="8">
        <f>PATRON!G$41/2</f>
        <v>2.75</v>
      </c>
      <c r="D4" s="8">
        <f>PATRON!G$43/SQRT(3)</f>
        <v>1.7320508075688774</v>
      </c>
      <c r="E4" s="8">
        <v>0</v>
      </c>
      <c r="F4" s="8">
        <f>1/SQRT(12)</f>
        <v>0.28867513459481292</v>
      </c>
      <c r="G4" s="96">
        <f>PATRON!G$45/SQRT(12)</f>
        <v>2.8867513459481291E-2</v>
      </c>
      <c r="H4" s="7" t="e">
        <f>STDEVA(MEDIDA!#REF!)/SQRT(4)</f>
        <v>#REF!</v>
      </c>
      <c r="I4" s="8" t="e">
        <f>SQRT(SUMSQ(C4:H4))</f>
        <v>#REF!</v>
      </c>
      <c r="J4" s="15" t="e">
        <f>I4^4/(C4^4/200+D4^4/200+E4^4/200+F4^4/200+G4^4/200+H4^4/3)</f>
        <v>#REF!</v>
      </c>
      <c r="K4" s="11" t="e">
        <f>TINV(0.0455,J4)</f>
        <v>#REF!</v>
      </c>
      <c r="L4" s="7" t="e">
        <f>I4*K4</f>
        <v>#REF!</v>
      </c>
    </row>
    <row r="5" spans="1:12" x14ac:dyDescent="0.3">
      <c r="A5" s="52"/>
      <c r="B5" s="6" t="e">
        <f>MEDIDA!#REF!</f>
        <v>#REF!</v>
      </c>
      <c r="C5" s="8">
        <f>PATRON!G$41/2</f>
        <v>2.75</v>
      </c>
      <c r="D5" s="8">
        <f>PATRON!G$43/SQRT(3)</f>
        <v>1.7320508075688774</v>
      </c>
      <c r="E5" s="8">
        <v>0</v>
      </c>
      <c r="F5" s="8">
        <f t="shared" ref="F5:F7" si="0">1/SQRT(12)</f>
        <v>0.28867513459481292</v>
      </c>
      <c r="G5" s="96">
        <f>PATRON!G$45/SQRT(12)</f>
        <v>2.8867513459481291E-2</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2.75</v>
      </c>
      <c r="D6" s="8">
        <f>PATRON!G$43/SQRT(3)</f>
        <v>1.7320508075688774</v>
      </c>
      <c r="E6" s="8">
        <v>0</v>
      </c>
      <c r="F6" s="8">
        <f t="shared" si="0"/>
        <v>0.28867513459481292</v>
      </c>
      <c r="G6" s="96">
        <f>PATRON!G$45/SQRT(12)</f>
        <v>2.8867513459481291E-2</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2.75</v>
      </c>
      <c r="D7" s="8">
        <f>PATRON!G$43/SQRT(3)</f>
        <v>1.7320508075688774</v>
      </c>
      <c r="E7" s="8">
        <v>0</v>
      </c>
      <c r="F7" s="8">
        <f t="shared" si="0"/>
        <v>0.28867513459481292</v>
      </c>
      <c r="G7" s="96">
        <f>PATRON!G$45/SQRT(12)</f>
        <v>2.8867513459481291E-2</v>
      </c>
      <c r="H7" s="7" t="e">
        <f>STDEVA(MEDIDA!#REF!)/SQRT(4)</f>
        <v>#REF!</v>
      </c>
      <c r="I7" s="8" t="e">
        <f>SQRT(SUMSQ(C7:H7))</f>
        <v>#REF!</v>
      </c>
      <c r="J7" s="15" t="e">
        <f>I7^4/(C7^4/200+D7^4/200+E7^4/200+F7^4/200+G7^4/200+H7^4/3)</f>
        <v>#REF!</v>
      </c>
      <c r="K7" s="11" t="e">
        <f t="shared" si="1"/>
        <v>#REF!</v>
      </c>
      <c r="L7" s="7" t="e">
        <f t="shared" si="2"/>
        <v>#REF!</v>
      </c>
    </row>
    <row r="9" spans="1:12" x14ac:dyDescent="0.3">
      <c r="B9" s="205" t="s">
        <v>178</v>
      </c>
      <c r="C9" s="206"/>
      <c r="D9" s="206"/>
      <c r="E9" s="206"/>
      <c r="F9" s="206"/>
      <c r="G9" s="206"/>
      <c r="H9" s="206"/>
      <c r="I9" s="206"/>
      <c r="J9" s="206"/>
      <c r="K9" s="206"/>
      <c r="L9" s="207"/>
    </row>
    <row r="10" spans="1:12" ht="22.8" x14ac:dyDescent="0.3">
      <c r="B10" s="19" t="s">
        <v>59</v>
      </c>
      <c r="C10" s="19" t="s">
        <v>23</v>
      </c>
      <c r="D10" s="19" t="s">
        <v>22</v>
      </c>
      <c r="E10" s="19" t="s">
        <v>19</v>
      </c>
      <c r="F10" s="19" t="s">
        <v>24</v>
      </c>
      <c r="G10" s="19" t="s">
        <v>60</v>
      </c>
      <c r="H10" s="19" t="s">
        <v>20</v>
      </c>
      <c r="I10" s="19" t="s">
        <v>21</v>
      </c>
      <c r="J10" s="19" t="s">
        <v>2</v>
      </c>
      <c r="K10" s="19" t="s">
        <v>1</v>
      </c>
      <c r="L10" s="19" t="s">
        <v>0</v>
      </c>
    </row>
    <row r="11" spans="1:12" x14ac:dyDescent="0.3">
      <c r="B11" s="6">
        <f>MEDIDA!B14</f>
        <v>21</v>
      </c>
      <c r="C11" s="8">
        <f>0.083/2</f>
        <v>4.1500000000000002E-2</v>
      </c>
      <c r="D11" s="8">
        <f>0.2/SQRT(3)</f>
        <v>0.11547005383792516</v>
      </c>
      <c r="E11" s="8">
        <v>0</v>
      </c>
      <c r="F11" s="8">
        <f>1/SQRT(12)</f>
        <v>0.28867513459481292</v>
      </c>
      <c r="G11" s="96">
        <f>0.1/SQRT(12)</f>
        <v>2.8867513459481291E-2</v>
      </c>
      <c r="H11" s="7">
        <f ca="1">STDEVA(MEDIDA!D14:K14)/SQRT(4)</f>
        <v>0.10924269421427869</v>
      </c>
      <c r="I11" s="8">
        <f ca="1">SQRT(SUMSQ(C11:H11))</f>
        <v>0.33340098416050667</v>
      </c>
      <c r="J11" s="15">
        <f ca="1">I11^4/(C11^4/200+D11^4/200+E11^4/200+F11^4/200+G11^4/200+H11^4/3)</f>
        <v>148.68012296307253</v>
      </c>
      <c r="K11" s="11">
        <f ca="1">TINV(0.0455,J11)</f>
        <v>2.0170350906927164</v>
      </c>
      <c r="L11" s="7">
        <f ca="1">I11*K11</f>
        <v>0.67248148432322852</v>
      </c>
    </row>
    <row r="12" spans="1:12" x14ac:dyDescent="0.3">
      <c r="B12" s="6">
        <f>MEDIDA!B15</f>
        <v>50</v>
      </c>
      <c r="C12" s="8">
        <f t="shared" ref="C12:C14" si="3">0.083/2</f>
        <v>4.1500000000000002E-2</v>
      </c>
      <c r="D12" s="8">
        <f t="shared" ref="D12:D14" si="4">0.2/SQRT(3)</f>
        <v>0.11547005383792516</v>
      </c>
      <c r="E12" s="8">
        <v>0</v>
      </c>
      <c r="F12" s="8">
        <f t="shared" ref="F12:F14" si="5">1/SQRT(12)</f>
        <v>0.28867513459481292</v>
      </c>
      <c r="G12" s="96">
        <f t="shared" ref="G12:G14" si="6">0.1/SQRT(12)</f>
        <v>2.8867513459481291E-2</v>
      </c>
      <c r="H12" s="7">
        <f ca="1">STDEVA(MEDIDA!D15:K15)/SQRT(4)</f>
        <v>0.11855265028002798</v>
      </c>
      <c r="I12" s="8">
        <f ca="1">SQRT(SUMSQ(C12:H12))</f>
        <v>0.33656645835320348</v>
      </c>
      <c r="J12" s="15">
        <f ca="1">I12^4/(C12^4/200+D12^4/200+E12^4/200+F12^4/200+G12^4/200+H12^4/3)</f>
        <v>126.45212208739918</v>
      </c>
      <c r="K12" s="11">
        <f ca="1">TINV(0.0455,J12)</f>
        <v>2.020038115739196</v>
      </c>
      <c r="L12" s="7">
        <f ca="1">I12*K12</f>
        <v>0.67987707435281974</v>
      </c>
    </row>
    <row r="13" spans="1:12" x14ac:dyDescent="0.3">
      <c r="B13" s="6">
        <f>MEDIDA!B16</f>
        <v>70</v>
      </c>
      <c r="C13" s="8">
        <f t="shared" si="3"/>
        <v>4.1500000000000002E-2</v>
      </c>
      <c r="D13" s="8">
        <f t="shared" si="4"/>
        <v>0.11547005383792516</v>
      </c>
      <c r="E13" s="8">
        <v>0</v>
      </c>
      <c r="F13" s="8">
        <f t="shared" si="5"/>
        <v>0.28867513459481292</v>
      </c>
      <c r="G13" s="96">
        <f t="shared" si="6"/>
        <v>2.8867513459481291E-2</v>
      </c>
      <c r="H13" s="7">
        <f ca="1">STDEVA(MEDIDA!D16:K16)/SQRT(4)</f>
        <v>0.13763570335631725</v>
      </c>
      <c r="I13" s="8">
        <f ca="1">SQRT(SUMSQ(C13:H13))</f>
        <v>0.34375258084614896</v>
      </c>
      <c r="J13" s="15">
        <f ca="1">I13^4/(C13^4/200+D13^4/200+E13^4/200+F13^4/200+G13^4/200+H13^4/3)</f>
        <v>89.940310570415548</v>
      </c>
      <c r="K13" s="11">
        <f t="shared" ref="K13:K14" ca="1" si="7">TINV(0.0455,J13)</f>
        <v>2.0284831387776574</v>
      </c>
      <c r="L13" s="7">
        <f t="shared" ref="L13:L14" ca="1" si="8">I13*K13</f>
        <v>0.69729631415771665</v>
      </c>
    </row>
    <row r="14" spans="1:12" x14ac:dyDescent="0.3">
      <c r="B14" s="6">
        <f>MEDIDA!B17</f>
        <v>100</v>
      </c>
      <c r="C14" s="8">
        <f t="shared" si="3"/>
        <v>4.1500000000000002E-2</v>
      </c>
      <c r="D14" s="8">
        <f t="shared" si="4"/>
        <v>0.11547005383792516</v>
      </c>
      <c r="E14" s="8">
        <v>0</v>
      </c>
      <c r="F14" s="8">
        <f t="shared" si="5"/>
        <v>0.28867513459481292</v>
      </c>
      <c r="G14" s="96">
        <f t="shared" si="6"/>
        <v>2.8867513459481291E-2</v>
      </c>
      <c r="H14" s="7">
        <f ca="1">STDEVA(MEDIDA!D17:K17)/SQRT(4)</f>
        <v>9.8289063603429372E-2</v>
      </c>
      <c r="I14" s="8">
        <f ca="1">SQRT(SUMSQ(C14:H14))</f>
        <v>0.32997422630265988</v>
      </c>
      <c r="J14" s="15">
        <f ca="1">I14^4/(C14^4/200+D14^4/200+E14^4/200+F14^4/200+G14^4/200+H14^4/3)</f>
        <v>177.63883208512212</v>
      </c>
      <c r="K14" s="11">
        <f t="shared" ca="1" si="7"/>
        <v>2.0142250534560064</v>
      </c>
      <c r="L14" s="7">
        <f t="shared" ca="1" si="8"/>
        <v>0.66464235361357948</v>
      </c>
    </row>
    <row r="15" spans="1:12" x14ac:dyDescent="0.3">
      <c r="C15" s="8"/>
    </row>
    <row r="16" spans="1:12" x14ac:dyDescent="0.3">
      <c r="B16" s="205" t="s">
        <v>179</v>
      </c>
      <c r="C16" s="206"/>
      <c r="D16" s="206"/>
      <c r="E16" s="206"/>
      <c r="F16" s="206"/>
      <c r="G16" s="206"/>
      <c r="H16" s="206"/>
      <c r="I16" s="206"/>
      <c r="J16" s="206"/>
      <c r="K16" s="206"/>
      <c r="L16" s="207"/>
    </row>
    <row r="17" spans="2:12" ht="22.8" x14ac:dyDescent="0.3">
      <c r="B17" s="19" t="s">
        <v>59</v>
      </c>
      <c r="C17" s="19" t="s">
        <v>23</v>
      </c>
      <c r="D17" s="19" t="s">
        <v>22</v>
      </c>
      <c r="E17" s="19" t="s">
        <v>19</v>
      </c>
      <c r="F17" s="19" t="s">
        <v>24</v>
      </c>
      <c r="G17" s="19" t="s">
        <v>60</v>
      </c>
      <c r="H17" s="19" t="s">
        <v>20</v>
      </c>
      <c r="I17" s="19" t="s">
        <v>21</v>
      </c>
      <c r="J17" s="19" t="s">
        <v>2</v>
      </c>
      <c r="K17" s="19" t="s">
        <v>1</v>
      </c>
      <c r="L17" s="19" t="s">
        <v>0</v>
      </c>
    </row>
    <row r="18" spans="2:12" x14ac:dyDescent="0.3">
      <c r="B18" s="6">
        <f>MEDIDA!B23</f>
        <v>2</v>
      </c>
      <c r="C18" s="8">
        <f>PATRON!G$42/2</f>
        <v>5.5E-2</v>
      </c>
      <c r="D18" s="8">
        <f>PATRON!G$44/SQRT(3)</f>
        <v>0.11547005383792516</v>
      </c>
      <c r="E18" s="8">
        <v>0</v>
      </c>
      <c r="F18" s="8">
        <f>1/SQRT(12)</f>
        <v>0.28867513459481292</v>
      </c>
      <c r="G18" s="96">
        <f>PATRON!G$46/SQRT(12)</f>
        <v>2.8867513459481291E-2</v>
      </c>
      <c r="H18" s="7">
        <f ca="1">STDEVA(MEDIDA!D23:K23)/SQRT(4)</f>
        <v>1.4703407589888593E-2</v>
      </c>
      <c r="I18" s="8">
        <f ca="1">SQRT(SUMSQ(C18:H18))</f>
        <v>0.31739752707725122</v>
      </c>
      <c r="J18" s="15">
        <f ca="1">I18^4/(C18^4/200+D18^4/200+E18^4/200+F18^4/200+G18^4/200+H18^4/3)</f>
        <v>284.47167108832269</v>
      </c>
      <c r="K18" s="11">
        <f ca="1">TINV(0.0455,J18)</f>
        <v>2.0088433839668212</v>
      </c>
      <c r="L18" s="7">
        <f ca="1">I18*K18</f>
        <v>0.6376019223565661</v>
      </c>
    </row>
    <row r="19" spans="2:12" x14ac:dyDescent="0.3">
      <c r="B19" s="6">
        <f>MEDIDA!B24</f>
        <v>6</v>
      </c>
      <c r="C19" s="8">
        <f>PATRON!G$42/2</f>
        <v>5.5E-2</v>
      </c>
      <c r="D19" s="8">
        <f>PATRON!G$44/SQRT(3)</f>
        <v>0.11547005383792516</v>
      </c>
      <c r="E19" s="8">
        <v>0</v>
      </c>
      <c r="F19" s="8">
        <f t="shared" ref="F19:F21" si="9">1/SQRT(12)</f>
        <v>0.28867513459481292</v>
      </c>
      <c r="G19" s="96">
        <f>PATRON!G$46/SQRT(12)</f>
        <v>2.8867513459481291E-2</v>
      </c>
      <c r="H19" s="7">
        <f ca="1">STDEVA(MEDIDA!D24:K24)/SQRT(4)</f>
        <v>3.0227526812318418E-2</v>
      </c>
      <c r="I19" s="8">
        <f ca="1">SQRT(SUMSQ(C19:H19))</f>
        <v>0.31849443225461488</v>
      </c>
      <c r="J19" s="15">
        <f ca="1">I19^4/(C19^4/200+D19^4/200+E19^4/200+F19^4/200+G19^4/200+H19^4/3)</f>
        <v>286.31623122866529</v>
      </c>
      <c r="K19" s="11">
        <f ca="1">TINV(0.0455,J19)</f>
        <v>2.0087812938093701</v>
      </c>
      <c r="L19" s="7">
        <f ca="1">I19*K19</f>
        <v>0.6397856576955061</v>
      </c>
    </row>
    <row r="20" spans="2:12" x14ac:dyDescent="0.3">
      <c r="B20" s="6">
        <f>MEDIDA!B25</f>
        <v>8</v>
      </c>
      <c r="C20" s="8">
        <f>PATRON!G$42/2</f>
        <v>5.5E-2</v>
      </c>
      <c r="D20" s="8">
        <f>PATRON!G$44/SQRT(3)</f>
        <v>0.11547005383792516</v>
      </c>
      <c r="E20" s="8">
        <v>0</v>
      </c>
      <c r="F20" s="8">
        <f t="shared" si="9"/>
        <v>0.28867513459481292</v>
      </c>
      <c r="G20" s="96">
        <f>PATRON!G$46/SQRT(12)</f>
        <v>2.8867513459481291E-2</v>
      </c>
      <c r="H20" s="7">
        <f ca="1">STDEVA(MEDIDA!D25:K25)/SQRT(4)</f>
        <v>2.0590794473843585E-2</v>
      </c>
      <c r="I20" s="8">
        <f ca="1">SQRT(SUMSQ(C20:H20))</f>
        <v>0.31772469343295323</v>
      </c>
      <c r="J20" s="15">
        <f ca="1">I20^4/(C20^4/200+D20^4/200+E20^4/200+F20^4/200+G20^4/200+H20^4/3)</f>
        <v>285.2918137712544</v>
      </c>
      <c r="K20" s="11">
        <f t="shared" ref="K20:K21" ca="1" si="10">TINV(0.0455,J20)</f>
        <v>2.0088122294892075</v>
      </c>
      <c r="L20" s="7">
        <f t="shared" ref="L20:L21" ca="1" si="11">I20*K20</f>
        <v>0.63824924977882569</v>
      </c>
    </row>
    <row r="21" spans="2:12" x14ac:dyDescent="0.3">
      <c r="B21" s="6">
        <f>MEDIDA!B26</f>
        <v>10</v>
      </c>
      <c r="C21" s="8">
        <f>PATRON!G$42/2</f>
        <v>5.5E-2</v>
      </c>
      <c r="D21" s="8">
        <f>PATRON!G$44/SQRT(3)</f>
        <v>0.11547005383792516</v>
      </c>
      <c r="E21" s="8">
        <v>0</v>
      </c>
      <c r="F21" s="8">
        <f t="shared" si="9"/>
        <v>0.28867513459481292</v>
      </c>
      <c r="G21" s="96">
        <f>PATRON!G$46/SQRT(12)</f>
        <v>2.8867513459481291E-2</v>
      </c>
      <c r="H21" s="7">
        <f ca="1">STDEVA(MEDIDA!D26:K26)/SQRT(4)</f>
        <v>2.5433193045688293E-2</v>
      </c>
      <c r="I21" s="8">
        <f ca="1">SQRT(SUMSQ(C21:H21))</f>
        <v>0.31807522272019129</v>
      </c>
      <c r="J21" s="15">
        <f ca="1">I21^4/(C21^4/200+D21^4/200+E21^4/200+F21^4/200+G21^4/200+H21^4/3)</f>
        <v>285.91614210090347</v>
      </c>
      <c r="K21" s="11">
        <f t="shared" ca="1" si="10"/>
        <v>2.0088122294892075</v>
      </c>
      <c r="L21" s="7">
        <f t="shared" ca="1" si="11"/>
        <v>0.63895339729782363</v>
      </c>
    </row>
    <row r="23" spans="2:12" x14ac:dyDescent="0.3">
      <c r="B23" s="205" t="s">
        <v>180</v>
      </c>
      <c r="C23" s="206"/>
      <c r="D23" s="206"/>
      <c r="E23" s="206"/>
      <c r="F23" s="206"/>
      <c r="G23" s="206"/>
      <c r="H23" s="206"/>
      <c r="I23" s="206"/>
      <c r="J23" s="206"/>
      <c r="K23" s="206"/>
      <c r="L23" s="207"/>
    </row>
    <row r="24" spans="2:12" ht="22.8" x14ac:dyDescent="0.3">
      <c r="B24" s="19" t="s">
        <v>59</v>
      </c>
      <c r="C24" s="19" t="s">
        <v>23</v>
      </c>
      <c r="D24" s="19" t="s">
        <v>22</v>
      </c>
      <c r="E24" s="19" t="s">
        <v>19</v>
      </c>
      <c r="F24" s="19" t="s">
        <v>24</v>
      </c>
      <c r="G24" s="19" t="s">
        <v>60</v>
      </c>
      <c r="H24" s="19" t="s">
        <v>20</v>
      </c>
      <c r="I24" s="19" t="s">
        <v>21</v>
      </c>
      <c r="J24" s="19" t="s">
        <v>2</v>
      </c>
      <c r="K24" s="19" t="s">
        <v>1</v>
      </c>
      <c r="L24" s="19" t="s">
        <v>0</v>
      </c>
    </row>
    <row r="25" spans="2:12" x14ac:dyDescent="0.3">
      <c r="B25" s="6">
        <f>MEDIDA!R6</f>
        <v>5</v>
      </c>
      <c r="C25" s="8">
        <f>PATRON!G$42/2</f>
        <v>5.5E-2</v>
      </c>
      <c r="D25" s="8">
        <f>PATRON!G$44/SQRT(3)</f>
        <v>0.11547005383792516</v>
      </c>
      <c r="E25" s="8">
        <v>0</v>
      </c>
      <c r="F25" s="8">
        <f>1/SQRT(12)</f>
        <v>0.28867513459481292</v>
      </c>
      <c r="G25" s="96">
        <f>PATRON!G$46/SQRT(12)</f>
        <v>2.8867513459481291E-2</v>
      </c>
      <c r="H25" s="7">
        <f ca="1">STDEVA(MEDIDA!T6:AA6)/SQRT(4)</f>
        <v>2.274483517178218E-2</v>
      </c>
      <c r="I25" s="8">
        <f ca="1">SQRT(SUMSQ(C25:H25))</f>
        <v>0.317871558222801</v>
      </c>
      <c r="J25" s="15">
        <f ca="1">I25^4/(C25^4/200+D25^4/200+E25^4/200+F25^4/200+G25^4/200+H25^4/3)</f>
        <v>285.58550179759652</v>
      </c>
      <c r="K25" s="11">
        <f ca="1">TINV(0.0455,J25)</f>
        <v>2.0088122294892075</v>
      </c>
      <c r="L25" s="7">
        <f ca="1">I25*K25</f>
        <v>0.6385442735647533</v>
      </c>
    </row>
    <row r="26" spans="2:12" x14ac:dyDescent="0.3">
      <c r="B26" s="6">
        <f>MEDIDA!R7</f>
        <v>10</v>
      </c>
      <c r="C26" s="8">
        <f>PATRON!G$42/2</f>
        <v>5.5E-2</v>
      </c>
      <c r="D26" s="8">
        <f>PATRON!G$44/SQRT(3)</f>
        <v>0.11547005383792516</v>
      </c>
      <c r="E26" s="8">
        <v>0</v>
      </c>
      <c r="F26" s="8">
        <f t="shared" ref="F26:F28" si="12">1/SQRT(12)</f>
        <v>0.28867513459481292</v>
      </c>
      <c r="G26" s="96">
        <f>PATRON!G$46/SQRT(12)</f>
        <v>2.8867513459481291E-2</v>
      </c>
      <c r="H26" s="7">
        <f ca="1">STDEVA(MEDIDA!T7:AA7)/SQRT(4)</f>
        <v>2.0952301321757096E-3</v>
      </c>
      <c r="I26" s="8">
        <f ca="1">SQRT(SUMSQ(C26:H26))</f>
        <v>0.31706370020755581</v>
      </c>
      <c r="J26" s="15">
        <f ca="1">I26^4/(C26^4/200+D26^4/200+E26^4/200+F26^4/200+G26^4/200+H26^4/3)</f>
        <v>283.40047892888606</v>
      </c>
      <c r="K26" s="11">
        <f ca="1">TINV(0.0455,J26)</f>
        <v>2.008874759571639</v>
      </c>
      <c r="L26" s="7">
        <f ca="1">I26*K26</f>
        <v>0.63694126452334787</v>
      </c>
    </row>
    <row r="27" spans="2:12" x14ac:dyDescent="0.3">
      <c r="B27" s="6">
        <f>MEDIDA!R8</f>
        <v>20</v>
      </c>
      <c r="C27" s="8">
        <f>PATRON!G$42/2</f>
        <v>5.5E-2</v>
      </c>
      <c r="D27" s="8">
        <f>PATRON!G$44/SQRT(3)</f>
        <v>0.11547005383792516</v>
      </c>
      <c r="E27" s="8">
        <v>0</v>
      </c>
      <c r="F27" s="8">
        <f t="shared" si="12"/>
        <v>0.28867513459481292</v>
      </c>
      <c r="G27" s="96">
        <f>PATRON!G$46/SQRT(12)</f>
        <v>2.8867513459481291E-2</v>
      </c>
      <c r="H27" s="7">
        <f ca="1">STDEVA(MEDIDA!T8:AA8)/SQRT(4)</f>
        <v>1.0048810177984533E-2</v>
      </c>
      <c r="I27" s="8">
        <f ca="1">SQRT(SUMSQ(C27:H27))</f>
        <v>0.31721598097509718</v>
      </c>
      <c r="J27" s="15">
        <f ca="1">I27^4/(C27^4/200+D27^4/200+E27^4/200+F27^4/200+G27^4/200+H27^4/3)</f>
        <v>283.91831273515004</v>
      </c>
      <c r="K27" s="11">
        <f t="shared" ref="K27:K28" ca="1" si="13">TINV(0.0455,J27)</f>
        <v>2.008874759571639</v>
      </c>
      <c r="L27" s="7">
        <f t="shared" ref="L27:L28" ca="1" si="14">I27*K27</f>
        <v>0.63724717751362991</v>
      </c>
    </row>
    <row r="28" spans="2:12" x14ac:dyDescent="0.3">
      <c r="B28" s="6">
        <f>MEDIDA!R9</f>
        <v>40</v>
      </c>
      <c r="C28" s="8">
        <f>PATRON!G$42/2</f>
        <v>5.5E-2</v>
      </c>
      <c r="D28" s="8">
        <f>PATRON!G$44/SQRT(3)</f>
        <v>0.11547005383792516</v>
      </c>
      <c r="E28" s="8">
        <v>0</v>
      </c>
      <c r="F28" s="8">
        <f t="shared" si="12"/>
        <v>0.28867513459481292</v>
      </c>
      <c r="G28" s="96">
        <f>PATRON!G$46/SQRT(12)</f>
        <v>2.8867513459481291E-2</v>
      </c>
      <c r="H28" s="7">
        <f ca="1">STDEVA(MEDIDA!T9:AA9)/SQRT(4)</f>
        <v>2.9335908603100796E-2</v>
      </c>
      <c r="I28" s="8">
        <f ca="1">SQRT(SUMSQ(C28:H28))</f>
        <v>0.31841104807083803</v>
      </c>
      <c r="J28" s="15">
        <f ca="1">I28^4/(C28^4/200+D28^4/200+E28^4/200+F28^4/200+G28^4/200+H28^4/3)</f>
        <v>286.26670229975048</v>
      </c>
      <c r="K28" s="11">
        <f t="shared" ca="1" si="13"/>
        <v>2.0087812938093701</v>
      </c>
      <c r="L28" s="7">
        <f t="shared" ca="1" si="14"/>
        <v>0.63961815710693559</v>
      </c>
    </row>
    <row r="30" spans="2:12" x14ac:dyDescent="0.3">
      <c r="B30" s="205" t="s">
        <v>181</v>
      </c>
      <c r="C30" s="206"/>
      <c r="D30" s="206"/>
      <c r="E30" s="206"/>
      <c r="F30" s="206"/>
      <c r="G30" s="206"/>
      <c r="H30" s="206"/>
      <c r="I30" s="206"/>
      <c r="J30" s="206"/>
      <c r="K30" s="206"/>
      <c r="L30" s="207"/>
    </row>
    <row r="31" spans="2:12" ht="22.8" x14ac:dyDescent="0.3">
      <c r="B31" s="19" t="s">
        <v>59</v>
      </c>
      <c r="C31" s="19" t="s">
        <v>23</v>
      </c>
      <c r="D31" s="19" t="s">
        <v>22</v>
      </c>
      <c r="E31" s="19" t="s">
        <v>19</v>
      </c>
      <c r="F31" s="19" t="s">
        <v>24</v>
      </c>
      <c r="G31" s="19" t="s">
        <v>60</v>
      </c>
      <c r="H31" s="19" t="s">
        <v>20</v>
      </c>
      <c r="I31" s="19" t="s">
        <v>21</v>
      </c>
      <c r="J31" s="19" t="s">
        <v>2</v>
      </c>
      <c r="K31" s="19" t="s">
        <v>1</v>
      </c>
      <c r="L31" s="19" t="s">
        <v>0</v>
      </c>
    </row>
    <row r="32" spans="2:12" x14ac:dyDescent="0.3">
      <c r="B32" s="6">
        <f>MEDIDA!R14</f>
        <v>8</v>
      </c>
      <c r="C32" s="8">
        <v>0</v>
      </c>
      <c r="D32" s="8">
        <v>0</v>
      </c>
      <c r="E32" s="8">
        <v>0</v>
      </c>
      <c r="F32" s="8">
        <f>1/SQRT(12)</f>
        <v>0.28867513459481292</v>
      </c>
      <c r="G32" s="8">
        <f>1/SQRT(12)</f>
        <v>0.28867513459481292</v>
      </c>
      <c r="H32" s="7">
        <f>STDEVA(MEDIDA!T14:AA14)/SQRT(4)</f>
        <v>0</v>
      </c>
      <c r="I32" s="8">
        <f>SQRT(SUMSQ(C32:H32))</f>
        <v>0.40824829046386307</v>
      </c>
      <c r="J32" s="15">
        <f>I32^4/(C32^4/200+D32^4/200+E32^4/200+F32^4/200+G32^4/200+H32^4/3)</f>
        <v>400</v>
      </c>
      <c r="K32" s="11">
        <f>TINV(0.0455,J32)</f>
        <v>2.0062716492261359</v>
      </c>
      <c r="L32" s="7">
        <f>I32*K32</f>
        <v>0.81905697100268515</v>
      </c>
    </row>
    <row r="33" spans="2:12" x14ac:dyDescent="0.3">
      <c r="B33" s="6">
        <f>MEDIDA!R15</f>
        <v>10</v>
      </c>
      <c r="C33" s="8">
        <v>0</v>
      </c>
      <c r="D33" s="8">
        <v>0</v>
      </c>
      <c r="E33" s="8">
        <v>0</v>
      </c>
      <c r="F33" s="8">
        <f t="shared" ref="F33:G35" si="15">1/SQRT(12)</f>
        <v>0.28867513459481292</v>
      </c>
      <c r="G33" s="8">
        <f t="shared" si="15"/>
        <v>0.28867513459481292</v>
      </c>
      <c r="H33" s="7">
        <f>STDEVA(MEDIDA!T15:AA15)/SQRT(4)</f>
        <v>0</v>
      </c>
      <c r="I33" s="8">
        <f>SQRT(SUMSQ(C33:H33))</f>
        <v>0.40824829046386307</v>
      </c>
      <c r="J33" s="15">
        <f>I33^4/(C33^4/200+D33^4/200+E33^4/200+F33^4/200+G33^4/200+H33^4/3)</f>
        <v>400</v>
      </c>
      <c r="K33" s="11">
        <f>TINV(0.0455,J33)</f>
        <v>2.0062716492261359</v>
      </c>
      <c r="L33" s="7">
        <f>I33*K33</f>
        <v>0.81905697100268515</v>
      </c>
    </row>
    <row r="34" spans="2:12" x14ac:dyDescent="0.3">
      <c r="B34" s="6">
        <f>MEDIDA!R16</f>
        <v>20</v>
      </c>
      <c r="C34" s="8">
        <v>0</v>
      </c>
      <c r="D34" s="8">
        <v>0</v>
      </c>
      <c r="E34" s="8">
        <v>0</v>
      </c>
      <c r="F34" s="8">
        <f t="shared" si="15"/>
        <v>0.28867513459481292</v>
      </c>
      <c r="G34" s="8">
        <f t="shared" si="15"/>
        <v>0.28867513459481292</v>
      </c>
      <c r="H34" s="7">
        <f>STDEVA(MEDIDA!T16:AA16)/SQRT(4)</f>
        <v>0</v>
      </c>
      <c r="I34" s="8">
        <f>SQRT(SUMSQ(C34:H34))</f>
        <v>0.40824829046386307</v>
      </c>
      <c r="J34" s="15">
        <f>I34^4/(C34^4/200+D34^4/200+E34^4/200+F34^4/200+G34^4/200+H34^4/3)</f>
        <v>400</v>
      </c>
      <c r="K34" s="11">
        <f t="shared" ref="K34:K35" si="16">TINV(0.0455,J34)</f>
        <v>2.0062716492261359</v>
      </c>
      <c r="L34" s="7">
        <f t="shared" ref="L34:L35" si="17">I34*K34</f>
        <v>0.81905697100268515</v>
      </c>
    </row>
    <row r="35" spans="2:12" x14ac:dyDescent="0.3">
      <c r="B35" s="6">
        <f>MEDIDA!R17</f>
        <v>40</v>
      </c>
      <c r="C35" s="8">
        <v>0</v>
      </c>
      <c r="D35" s="8">
        <v>0</v>
      </c>
      <c r="E35" s="8">
        <v>0</v>
      </c>
      <c r="F35" s="8">
        <f t="shared" si="15"/>
        <v>0.28867513459481292</v>
      </c>
      <c r="G35" s="8">
        <f t="shared" si="15"/>
        <v>0.28867513459481292</v>
      </c>
      <c r="H35" s="7">
        <f ca="1">STDEVA(MEDIDA!T17:AA17)/SQRT(4)</f>
        <v>0</v>
      </c>
      <c r="I35" s="8">
        <f ca="1">SQRT(SUMSQ(C35:H35))</f>
        <v>0.40824829046386307</v>
      </c>
      <c r="J35" s="15">
        <f ca="1">I35^4/(C35^4/200+D35^4/200+E35^4/200+F35^4/200+G35^4/200+H35^4/3)</f>
        <v>400</v>
      </c>
      <c r="K35" s="11">
        <f t="shared" ca="1" si="16"/>
        <v>2.0062716492261359</v>
      </c>
      <c r="L35" s="7">
        <f t="shared" ca="1" si="17"/>
        <v>0.81905697100268515</v>
      </c>
    </row>
    <row r="37" spans="2:12" x14ac:dyDescent="0.3">
      <c r="B37" s="205" t="s">
        <v>182</v>
      </c>
      <c r="C37" s="206"/>
      <c r="D37" s="206"/>
      <c r="E37" s="206"/>
      <c r="F37" s="206"/>
      <c r="G37" s="206"/>
      <c r="H37" s="206"/>
      <c r="I37" s="206"/>
      <c r="J37" s="206"/>
      <c r="K37" s="206"/>
      <c r="L37" s="207"/>
    </row>
    <row r="38" spans="2:12" ht="22.8" x14ac:dyDescent="0.3">
      <c r="B38" s="19" t="s">
        <v>59</v>
      </c>
      <c r="C38" s="19" t="s">
        <v>23</v>
      </c>
      <c r="D38" s="19" t="s">
        <v>22</v>
      </c>
      <c r="E38" s="19" t="s">
        <v>19</v>
      </c>
      <c r="F38" s="19" t="s">
        <v>24</v>
      </c>
      <c r="G38" s="19" t="s">
        <v>60</v>
      </c>
      <c r="H38" s="19" t="s">
        <v>20</v>
      </c>
      <c r="I38" s="19" t="s">
        <v>21</v>
      </c>
      <c r="J38" s="19" t="s">
        <v>2</v>
      </c>
      <c r="K38" s="19" t="s">
        <v>1</v>
      </c>
      <c r="L38" s="19" t="s">
        <v>0</v>
      </c>
    </row>
    <row r="39" spans="2:12" x14ac:dyDescent="0.3">
      <c r="B39" s="6" t="str">
        <f>MEDIDA!R23</f>
        <v>1</v>
      </c>
      <c r="C39" s="7">
        <v>0</v>
      </c>
      <c r="D39" s="8">
        <v>0</v>
      </c>
      <c r="E39" s="8">
        <v>0</v>
      </c>
      <c r="F39" s="8">
        <f>1/SQRT(12)</f>
        <v>0.28867513459481292</v>
      </c>
      <c r="G39" s="96">
        <f>0.01/SQRT(12)</f>
        <v>2.886751345948129E-3</v>
      </c>
      <c r="H39" s="7">
        <v>0</v>
      </c>
      <c r="I39" s="8">
        <f>SQRT(SUMSQ(C39:H39))</f>
        <v>0.28868956799071677</v>
      </c>
      <c r="J39" s="15">
        <f>I39^4/(C39^4/200+D39^4/200+E39^4/200+F39^4/200+G39^4/200+H39^4/3)</f>
        <v>200.03999999959993</v>
      </c>
      <c r="K39" s="11">
        <f>TINV(0.0455,J39)</f>
        <v>2.0125794050712815</v>
      </c>
      <c r="L39" s="7">
        <f>I39*K39</f>
        <v>0.58101067899704206</v>
      </c>
    </row>
    <row r="40" spans="2:12" x14ac:dyDescent="0.3">
      <c r="B40" s="6" t="str">
        <f>MEDIDA!R24</f>
        <v>1</v>
      </c>
      <c r="C40" s="7">
        <v>0</v>
      </c>
      <c r="D40" s="8">
        <v>0</v>
      </c>
      <c r="E40" s="8">
        <v>0</v>
      </c>
      <c r="F40" s="8">
        <f t="shared" ref="F40:F41" si="18">1/SQRT(12)</f>
        <v>0.28867513459481292</v>
      </c>
      <c r="G40" s="96">
        <f t="shared" ref="G40:G41" si="19">0.01/SQRT(12)</f>
        <v>2.886751345948129E-3</v>
      </c>
      <c r="H40" s="7">
        <v>0</v>
      </c>
      <c r="I40" s="8">
        <f t="shared" ref="I40:I41" si="20">SQRT(SUMSQ(C40:H40))</f>
        <v>0.28868956799071677</v>
      </c>
      <c r="J40" s="15">
        <f t="shared" ref="J40:J41" si="21">I40^4/(C40^4/200+D40^4/200+E40^4/200+F40^4/200+G40^4/200+H40^4/3)</f>
        <v>200.03999999959993</v>
      </c>
      <c r="K40" s="11">
        <f t="shared" ref="K40:K41" si="22">TINV(0.0455,J40)</f>
        <v>2.0125794050712815</v>
      </c>
      <c r="L40" s="7">
        <f t="shared" ref="L40:L41" si="23">I40*K40</f>
        <v>0.58101067899704206</v>
      </c>
    </row>
    <row r="41" spans="2:12" x14ac:dyDescent="0.3">
      <c r="B41" s="6" t="str">
        <f>MEDIDA!R25</f>
        <v>1</v>
      </c>
      <c r="C41" s="7">
        <v>0</v>
      </c>
      <c r="D41" s="8">
        <v>0</v>
      </c>
      <c r="E41" s="8">
        <v>0</v>
      </c>
      <c r="F41" s="8">
        <f t="shared" si="18"/>
        <v>0.28867513459481292</v>
      </c>
      <c r="G41" s="96">
        <f t="shared" si="19"/>
        <v>2.886751345948129E-3</v>
      </c>
      <c r="H41" s="7">
        <v>0</v>
      </c>
      <c r="I41" s="8">
        <f t="shared" si="20"/>
        <v>0.28868956799071677</v>
      </c>
      <c r="J41" s="15">
        <f t="shared" si="21"/>
        <v>200.03999999959993</v>
      </c>
      <c r="K41" s="11">
        <f t="shared" si="22"/>
        <v>2.0125794050712815</v>
      </c>
      <c r="L41" s="7">
        <f t="shared" si="23"/>
        <v>0.58101067899704206</v>
      </c>
    </row>
  </sheetData>
  <mergeCells count="6">
    <mergeCell ref="B37:L37"/>
    <mergeCell ref="B2:L2"/>
    <mergeCell ref="B9:L9"/>
    <mergeCell ref="B16:L16"/>
    <mergeCell ref="B23:L23"/>
    <mergeCell ref="B30:L3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1"/>
  <sheetViews>
    <sheetView tabSelected="1" view="pageLayout" zoomScaleNormal="100" workbookViewId="0">
      <selection activeCell="P73" sqref="P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56"/>
      <c r="J1" s="156"/>
      <c r="K1" s="156"/>
      <c r="M1" s="63"/>
      <c r="O1" s="154" t="s">
        <v>79</v>
      </c>
      <c r="P1" s="154"/>
      <c r="Q1" s="154"/>
      <c r="R1" s="155">
        <f>INFORMACIÓN!G3</f>
        <v>0</v>
      </c>
      <c r="S1" s="155"/>
    </row>
    <row r="2" spans="1:27" ht="16.95" customHeight="1" x14ac:dyDescent="0.3">
      <c r="G2" s="158"/>
      <c r="H2" s="158"/>
      <c r="I2" s="158"/>
      <c r="J2" s="157"/>
      <c r="K2" s="157"/>
    </row>
    <row r="3" spans="1:27" ht="16.95" customHeight="1" x14ac:dyDescent="0.3">
      <c r="B3" s="82"/>
      <c r="C3" s="159" t="s">
        <v>70</v>
      </c>
      <c r="D3" s="159"/>
      <c r="E3" s="159"/>
      <c r="F3" s="159"/>
      <c r="G3" s="159"/>
      <c r="H3" s="159"/>
      <c r="I3" s="159"/>
      <c r="J3" s="159"/>
      <c r="K3" s="159"/>
      <c r="L3" s="159"/>
      <c r="M3" s="159"/>
      <c r="N3" s="159"/>
      <c r="O3" s="159"/>
      <c r="P3" s="159"/>
      <c r="Q3" s="159"/>
      <c r="R3" s="159"/>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54" t="s">
        <v>61</v>
      </c>
      <c r="D5" s="154"/>
      <c r="E5" s="154"/>
      <c r="F5" s="154"/>
      <c r="G5" s="154"/>
      <c r="H5" s="51"/>
      <c r="I5" s="141">
        <f>INFORMACIÓN!A3</f>
        <v>0</v>
      </c>
      <c r="J5" s="141"/>
      <c r="K5" s="141"/>
      <c r="L5" s="141"/>
      <c r="M5" s="141"/>
      <c r="N5" s="141"/>
      <c r="O5" s="141"/>
      <c r="P5" s="141"/>
      <c r="Q5" s="141"/>
      <c r="R5" s="141"/>
      <c r="S5"/>
      <c r="T5"/>
      <c r="U5"/>
      <c r="V5"/>
      <c r="W5"/>
      <c r="X5"/>
      <c r="Y5"/>
      <c r="Z5"/>
      <c r="AA5"/>
    </row>
    <row r="6" spans="1:27" s="53" customFormat="1" ht="16.95" customHeight="1" x14ac:dyDescent="0.3">
      <c r="B6" s="77"/>
      <c r="C6" s="154" t="s">
        <v>62</v>
      </c>
      <c r="D6" s="154"/>
      <c r="E6" s="154"/>
      <c r="F6" s="154"/>
      <c r="G6" s="154"/>
      <c r="H6" s="51"/>
      <c r="I6" s="141">
        <f>INFORMACIÓN!B3</f>
        <v>0</v>
      </c>
      <c r="J6" s="141"/>
      <c r="K6" s="141"/>
      <c r="L6" s="141"/>
      <c r="M6" s="141"/>
      <c r="N6" s="141"/>
      <c r="O6" s="141"/>
      <c r="P6" s="141"/>
      <c r="Q6" s="141"/>
      <c r="R6" s="141"/>
      <c r="S6"/>
      <c r="T6"/>
      <c r="U6"/>
      <c r="V6"/>
      <c r="W6"/>
      <c r="X6"/>
      <c r="Y6"/>
      <c r="Z6"/>
      <c r="AA6"/>
    </row>
    <row r="7" spans="1:27" s="53" customFormat="1" ht="16.95" customHeight="1" x14ac:dyDescent="0.3">
      <c r="B7" s="77"/>
      <c r="C7" s="154" t="s">
        <v>63</v>
      </c>
      <c r="D7" s="154"/>
      <c r="E7" s="154"/>
      <c r="F7" s="154"/>
      <c r="G7" s="154"/>
      <c r="H7" s="51"/>
      <c r="I7" s="141">
        <f>INFORMACIÓN!C3</f>
        <v>0</v>
      </c>
      <c r="J7" s="141"/>
      <c r="K7" s="141"/>
      <c r="L7" s="141"/>
      <c r="M7" s="141"/>
      <c r="N7" s="141"/>
      <c r="O7" s="141"/>
      <c r="P7" s="141"/>
      <c r="Q7" s="141"/>
      <c r="R7" s="141"/>
      <c r="S7"/>
      <c r="T7"/>
      <c r="U7"/>
      <c r="V7"/>
      <c r="W7"/>
      <c r="X7"/>
      <c r="Y7"/>
      <c r="Z7"/>
      <c r="AA7"/>
    </row>
    <row r="8" spans="1:27" s="53" customFormat="1" ht="16.95" customHeight="1" x14ac:dyDescent="0.3">
      <c r="B8" s="77"/>
      <c r="C8" s="154" t="s">
        <v>64</v>
      </c>
      <c r="D8" s="154"/>
      <c r="E8" s="154"/>
      <c r="F8" s="154"/>
      <c r="G8" s="154"/>
      <c r="H8" s="51"/>
      <c r="I8" s="140">
        <f>INFORMACIÓN!D3</f>
        <v>0</v>
      </c>
      <c r="J8" s="141"/>
      <c r="K8" s="141"/>
      <c r="L8" s="141"/>
      <c r="M8" s="141"/>
      <c r="N8" s="141"/>
      <c r="O8" s="141"/>
      <c r="P8" s="141"/>
      <c r="Q8" s="141"/>
      <c r="R8" s="141"/>
      <c r="S8"/>
      <c r="T8"/>
      <c r="U8"/>
      <c r="V8"/>
      <c r="W8"/>
      <c r="X8"/>
      <c r="Y8"/>
      <c r="Z8"/>
      <c r="AA8"/>
    </row>
    <row r="9" spans="1:27" s="53" customFormat="1" ht="16.95" customHeight="1" x14ac:dyDescent="0.3">
      <c r="B9" s="77"/>
      <c r="C9" s="154" t="s">
        <v>65</v>
      </c>
      <c r="D9" s="154"/>
      <c r="E9" s="154"/>
      <c r="F9" s="154"/>
      <c r="G9" s="154"/>
      <c r="H9" s="51"/>
      <c r="I9" s="140">
        <f>INFORMACIÓN!F3</f>
        <v>0</v>
      </c>
      <c r="J9" s="141"/>
      <c r="K9" s="141"/>
      <c r="L9" s="141"/>
      <c r="M9" s="141"/>
      <c r="N9" s="141"/>
      <c r="O9" s="141"/>
      <c r="P9" s="141"/>
      <c r="Q9" s="141"/>
      <c r="R9" s="141"/>
      <c r="S9"/>
      <c r="T9"/>
      <c r="U9"/>
      <c r="V9"/>
      <c r="W9"/>
      <c r="X9"/>
      <c r="Y9"/>
      <c r="Z9"/>
      <c r="AA9"/>
    </row>
    <row r="10" spans="1:27" s="53" customFormat="1" ht="16.95" customHeight="1" x14ac:dyDescent="0.3">
      <c r="B10" s="77"/>
      <c r="C10" s="154" t="s">
        <v>67</v>
      </c>
      <c r="D10" s="154"/>
      <c r="E10" s="154"/>
      <c r="F10" s="154"/>
      <c r="G10" s="154"/>
      <c r="H10" s="51"/>
      <c r="I10" s="142">
        <f>INFORMACIÓN!E3</f>
        <v>0</v>
      </c>
      <c r="J10" s="141"/>
      <c r="K10" s="141"/>
      <c r="L10" s="141"/>
      <c r="M10" s="141"/>
      <c r="N10" s="141"/>
      <c r="O10" s="141"/>
      <c r="P10" s="141"/>
      <c r="Q10" s="141"/>
      <c r="R10" s="141"/>
      <c r="S10"/>
      <c r="T10"/>
      <c r="U10"/>
      <c r="V10"/>
      <c r="W10"/>
      <c r="X10"/>
      <c r="Y10"/>
      <c r="Z10"/>
      <c r="AA10"/>
    </row>
    <row r="11" spans="1:27" s="53" customFormat="1" ht="16.95" customHeight="1" x14ac:dyDescent="0.3">
      <c r="B11" s="77"/>
      <c r="C11" s="154" t="s">
        <v>66</v>
      </c>
      <c r="D11" s="154"/>
      <c r="E11" s="154"/>
      <c r="F11" s="154"/>
      <c r="G11" s="154"/>
      <c r="H11" s="51"/>
      <c r="I11" s="141" t="str">
        <f>INFORMACIÓN!B8</f>
        <v>BUEN ESTADO</v>
      </c>
      <c r="J11" s="141"/>
      <c r="K11" s="141"/>
      <c r="L11" s="141"/>
      <c r="M11" s="141"/>
      <c r="N11" s="141"/>
      <c r="O11" s="141"/>
      <c r="P11" s="141"/>
      <c r="Q11" s="141"/>
      <c r="R11" s="141"/>
      <c r="S11"/>
      <c r="T11"/>
      <c r="U11"/>
      <c r="V11"/>
      <c r="W11"/>
      <c r="X11"/>
      <c r="Y11"/>
      <c r="Z11"/>
      <c r="AA11"/>
    </row>
    <row r="12" spans="1:27" s="53" customFormat="1" ht="16.95" customHeight="1" x14ac:dyDescent="0.3">
      <c r="B12" s="77"/>
      <c r="C12" s="154" t="s">
        <v>76</v>
      </c>
      <c r="D12" s="154"/>
      <c r="E12" s="154"/>
      <c r="F12" s="154"/>
      <c r="G12" s="154"/>
      <c r="H12" s="78"/>
      <c r="I12" s="143">
        <f>INFORMACIÓN!H3</f>
        <v>0</v>
      </c>
      <c r="J12" s="143"/>
      <c r="K12" s="143"/>
      <c r="L12" s="143"/>
      <c r="M12" s="143"/>
      <c r="N12" s="143"/>
      <c r="O12" s="143"/>
      <c r="P12" s="143"/>
      <c r="Q12" s="143"/>
      <c r="R12" s="143"/>
      <c r="S12"/>
      <c r="T12"/>
      <c r="U12"/>
      <c r="V12"/>
      <c r="W12"/>
      <c r="X12"/>
      <c r="Y12"/>
      <c r="Z12"/>
      <c r="AA12"/>
    </row>
    <row r="13" spans="1:27" s="53" customFormat="1" ht="16.95" customHeight="1" x14ac:dyDescent="0.3">
      <c r="B13" s="77"/>
      <c r="C13" s="154" t="s">
        <v>75</v>
      </c>
      <c r="D13" s="154"/>
      <c r="E13" s="154"/>
      <c r="F13" s="154"/>
      <c r="G13" s="154"/>
      <c r="H13" s="78"/>
      <c r="I13" s="143">
        <f>INFORMACIÓN!B9</f>
        <v>0</v>
      </c>
      <c r="J13" s="143"/>
      <c r="K13" s="143"/>
      <c r="L13" s="143"/>
      <c r="M13" s="143"/>
      <c r="N13" s="143"/>
      <c r="O13" s="143"/>
      <c r="P13" s="143"/>
      <c r="Q13" s="143"/>
      <c r="R13" s="143"/>
      <c r="S13"/>
      <c r="T13"/>
      <c r="U13"/>
      <c r="V13"/>
      <c r="W13"/>
      <c r="X13"/>
      <c r="Y13"/>
      <c r="Z13"/>
      <c r="AA13"/>
    </row>
    <row r="14" spans="1:27" ht="16.95" customHeight="1" x14ac:dyDescent="0.3"/>
    <row r="15" spans="1:27" ht="16.95" customHeight="1" x14ac:dyDescent="0.3">
      <c r="B15" s="63"/>
      <c r="C15" s="152" t="s">
        <v>69</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0"/>
      <c r="C17" s="138" t="s">
        <v>71</v>
      </c>
      <c r="D17" s="138"/>
      <c r="E17" s="138"/>
      <c r="F17" s="138"/>
      <c r="G17" s="138"/>
      <c r="H17" s="49"/>
      <c r="I17" s="144" t="str">
        <f>INFORMACIÓN!E7</f>
        <v xml:space="preserve">HOSPITAL DE ALTA COMPLEJIDAD DEL MAGDALENA CENTRO </v>
      </c>
      <c r="J17" s="144"/>
      <c r="K17" s="144"/>
      <c r="L17" s="144"/>
      <c r="M17" s="144"/>
      <c r="N17" s="144"/>
      <c r="O17" s="144"/>
      <c r="P17" s="144"/>
      <c r="Q17" s="144"/>
      <c r="R17" s="144"/>
    </row>
    <row r="18" spans="1:18" ht="16.95" customHeight="1" x14ac:dyDescent="0.3">
      <c r="B18" s="50"/>
      <c r="C18" s="138" t="s">
        <v>72</v>
      </c>
      <c r="D18" s="138"/>
      <c r="E18" s="138"/>
      <c r="F18" s="138"/>
      <c r="G18" s="138"/>
      <c r="H18" s="49"/>
      <c r="I18" s="144" t="str">
        <f>INFORMACIÓN!E8</f>
        <v>901.532.463-8</v>
      </c>
      <c r="J18" s="144"/>
      <c r="K18" s="144"/>
      <c r="L18" s="144"/>
      <c r="M18" s="144"/>
      <c r="N18" s="144"/>
      <c r="O18" s="144"/>
      <c r="P18" s="144"/>
      <c r="Q18" s="144"/>
      <c r="R18" s="144"/>
    </row>
    <row r="19" spans="1:18" ht="16.95" customHeight="1" x14ac:dyDescent="0.3">
      <c r="B19" s="50"/>
      <c r="C19" s="138" t="s">
        <v>89</v>
      </c>
      <c r="D19" s="138"/>
      <c r="E19" s="138"/>
      <c r="F19" s="138"/>
      <c r="G19" s="138"/>
      <c r="H19" s="49"/>
      <c r="I19" s="144">
        <f>INFORMACIÓN!E9</f>
        <v>3007835072</v>
      </c>
      <c r="J19" s="144"/>
      <c r="K19" s="144"/>
      <c r="L19" s="144"/>
      <c r="M19" s="144"/>
      <c r="N19" s="144"/>
      <c r="O19" s="144"/>
      <c r="P19" s="144"/>
      <c r="Q19" s="144"/>
      <c r="R19" s="144"/>
    </row>
    <row r="20" spans="1:18" ht="16.95" customHeight="1" x14ac:dyDescent="0.3">
      <c r="B20" s="50"/>
      <c r="C20" s="138" t="s">
        <v>73</v>
      </c>
      <c r="D20" s="138"/>
      <c r="E20" s="138"/>
      <c r="F20" s="138"/>
      <c r="G20" s="138"/>
      <c r="H20" s="49"/>
      <c r="I20" s="144" t="str">
        <f>INFORMACIÓN!E10</f>
        <v>CARRERA 15 ENTRE CALLE 18 y 19</v>
      </c>
      <c r="J20" s="144"/>
      <c r="K20" s="144"/>
      <c r="L20" s="144"/>
      <c r="M20" s="144"/>
      <c r="N20" s="144"/>
      <c r="O20" s="144"/>
      <c r="P20" s="144"/>
      <c r="Q20" s="144"/>
      <c r="R20" s="144"/>
    </row>
    <row r="21" spans="1:18" ht="16.95" customHeight="1" x14ac:dyDescent="0.3">
      <c r="B21" s="50"/>
      <c r="C21" s="138" t="s">
        <v>74</v>
      </c>
      <c r="D21" s="138"/>
      <c r="E21" s="138"/>
      <c r="F21" s="138"/>
      <c r="G21" s="138"/>
      <c r="H21" s="49"/>
      <c r="I21" s="144" t="str">
        <f>INFORMACIÓN!E11</f>
        <v>LA DORADA - CALDAS</v>
      </c>
      <c r="J21" s="144"/>
      <c r="K21" s="144"/>
      <c r="L21" s="144"/>
      <c r="M21" s="144"/>
      <c r="N21" s="144"/>
      <c r="O21" s="144"/>
      <c r="P21" s="144"/>
      <c r="Q21" s="144"/>
      <c r="R21" s="14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5" t="s">
        <v>232</v>
      </c>
      <c r="D23" s="145"/>
      <c r="E23" s="145"/>
      <c r="F23" s="145"/>
      <c r="G23" s="145"/>
      <c r="H23" s="145"/>
      <c r="I23" s="145"/>
      <c r="J23" s="145"/>
      <c r="K23" s="145"/>
      <c r="L23" s="145"/>
      <c r="M23" s="145"/>
      <c r="N23" s="145"/>
      <c r="O23" s="145"/>
      <c r="P23" s="145"/>
      <c r="Q23" s="145"/>
      <c r="R23" s="145"/>
    </row>
    <row r="24" spans="1:18" ht="16.95" customHeight="1" x14ac:dyDescent="0.3">
      <c r="A24" s="76"/>
      <c r="B24" s="76"/>
      <c r="C24" s="146"/>
      <c r="D24" s="146"/>
      <c r="E24" s="146"/>
      <c r="F24" s="146"/>
      <c r="G24" s="146"/>
      <c r="H24" s="146"/>
      <c r="I24" s="146"/>
      <c r="J24" s="146"/>
      <c r="K24" s="146"/>
      <c r="L24" s="146"/>
      <c r="M24" s="146"/>
      <c r="N24" s="146"/>
      <c r="O24" s="146"/>
      <c r="P24" s="146"/>
      <c r="Q24" s="146"/>
      <c r="R24" s="146"/>
    </row>
    <row r="25" spans="1:18" ht="16.95" customHeight="1" x14ac:dyDescent="0.3">
      <c r="A25" s="76"/>
      <c r="B25" s="76"/>
      <c r="C25" s="146"/>
      <c r="D25" s="146"/>
      <c r="E25" s="146"/>
      <c r="F25" s="146"/>
      <c r="G25" s="146"/>
      <c r="H25" s="146"/>
      <c r="I25" s="146"/>
      <c r="J25" s="146"/>
      <c r="K25" s="146"/>
      <c r="L25" s="146"/>
      <c r="M25" s="146"/>
      <c r="N25" s="146"/>
      <c r="O25" s="146"/>
      <c r="P25" s="146"/>
      <c r="Q25" s="146"/>
      <c r="R25" s="146"/>
    </row>
    <row r="26" spans="1:18" ht="16.95" customHeight="1" x14ac:dyDescent="0.3">
      <c r="A26" s="76"/>
      <c r="B26" s="76"/>
      <c r="C26" s="146"/>
      <c r="D26" s="146"/>
      <c r="E26" s="146"/>
      <c r="F26" s="146"/>
      <c r="G26" s="146"/>
      <c r="H26" s="146"/>
      <c r="I26" s="146"/>
      <c r="J26" s="146"/>
      <c r="K26" s="146"/>
      <c r="L26" s="146"/>
      <c r="M26" s="146"/>
      <c r="N26" s="146"/>
      <c r="O26" s="146"/>
      <c r="P26" s="146"/>
      <c r="Q26" s="146"/>
      <c r="R26" s="146"/>
    </row>
    <row r="27" spans="1:18" ht="16.95" customHeight="1" x14ac:dyDescent="0.3">
      <c r="A27" s="76"/>
      <c r="B27" s="76"/>
      <c r="C27" s="146"/>
      <c r="D27" s="146"/>
      <c r="E27" s="146"/>
      <c r="F27" s="146"/>
      <c r="G27" s="146"/>
      <c r="H27" s="146"/>
      <c r="I27" s="146"/>
      <c r="J27" s="146"/>
      <c r="K27" s="146"/>
      <c r="L27" s="146"/>
      <c r="M27" s="146"/>
      <c r="N27" s="146"/>
      <c r="O27" s="146"/>
      <c r="P27" s="146"/>
      <c r="Q27" s="146"/>
      <c r="R27" s="146"/>
    </row>
    <row r="28" spans="1:18" ht="16.95" customHeight="1" x14ac:dyDescent="0.3">
      <c r="A28" s="76"/>
      <c r="B28" s="76"/>
      <c r="C28" s="147"/>
      <c r="D28" s="147"/>
      <c r="E28" s="147"/>
      <c r="F28" s="147"/>
      <c r="G28" s="147"/>
      <c r="H28" s="147"/>
      <c r="I28" s="147"/>
      <c r="J28" s="147"/>
      <c r="K28" s="147"/>
      <c r="L28" s="147"/>
      <c r="M28" s="147"/>
      <c r="N28" s="147"/>
      <c r="O28" s="147"/>
      <c r="P28" s="147"/>
      <c r="Q28" s="147"/>
      <c r="R28" s="14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8" t="s">
        <v>77</v>
      </c>
      <c r="J31" s="138"/>
      <c r="K31" s="138"/>
      <c r="L31" s="138"/>
      <c r="M31" s="144" t="str">
        <f>INFORMACIÓN!B15</f>
        <v>ING. GABRIEL DURÁN</v>
      </c>
      <c r="N31" s="144"/>
      <c r="O31" s="144"/>
      <c r="P31" s="144"/>
      <c r="Q31" s="144"/>
      <c r="R31" s="144"/>
    </row>
    <row r="32" spans="1:18" ht="16.95" customHeight="1" x14ac:dyDescent="0.3">
      <c r="F32" s="50"/>
      <c r="G32" s="50"/>
      <c r="H32" s="50"/>
      <c r="I32" s="138" t="s">
        <v>78</v>
      </c>
      <c r="J32" s="138"/>
      <c r="K32" s="138"/>
      <c r="L32" s="138"/>
      <c r="M32" s="153">
        <f>INFORMACIÓN!B10</f>
        <v>0</v>
      </c>
      <c r="N32" s="153"/>
      <c r="O32" s="153"/>
      <c r="P32" s="62"/>
      <c r="Q32" s="62"/>
      <c r="R32" s="50"/>
    </row>
    <row r="33" spans="1:19" ht="16.95" customHeight="1" x14ac:dyDescent="0.3">
      <c r="I33" s="138" t="s">
        <v>82</v>
      </c>
      <c r="J33" s="138"/>
      <c r="K33" s="138"/>
      <c r="L33" s="138"/>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8" t="str">
        <f>O1</f>
        <v>CERTIFICADO N°:</v>
      </c>
      <c r="P38" s="138"/>
      <c r="Q38" s="138"/>
      <c r="R38" s="137">
        <f>R1</f>
        <v>0</v>
      </c>
      <c r="S38" s="137"/>
    </row>
    <row r="39" spans="1:19" ht="16.95" customHeight="1" x14ac:dyDescent="0.3"/>
    <row r="40" spans="1:19" ht="16.95" customHeight="1" x14ac:dyDescent="0.3">
      <c r="B40" s="163" t="s">
        <v>83</v>
      </c>
      <c r="C40" s="163"/>
      <c r="D40" s="163"/>
      <c r="E40" s="163"/>
      <c r="F40" s="163"/>
      <c r="G40" s="163"/>
      <c r="H40" s="163"/>
      <c r="I40" s="163"/>
      <c r="J40" s="163"/>
      <c r="K40" s="163"/>
      <c r="L40" s="163"/>
      <c r="M40" s="163"/>
      <c r="N40" s="163"/>
      <c r="O40" s="163"/>
      <c r="P40" s="163"/>
      <c r="Q40" s="163"/>
      <c r="R40" s="163"/>
      <c r="S40" s="163"/>
    </row>
    <row r="41" spans="1:19" ht="16.95" customHeight="1" x14ac:dyDescent="0.3">
      <c r="B41" s="150" t="s">
        <v>233</v>
      </c>
      <c r="C41" s="150"/>
      <c r="D41" s="150"/>
      <c r="E41" s="150"/>
      <c r="F41" s="150"/>
      <c r="G41" s="150"/>
      <c r="H41" s="150"/>
      <c r="I41" s="150"/>
      <c r="J41" s="150"/>
      <c r="K41" s="150"/>
      <c r="L41" s="150"/>
      <c r="M41" s="150"/>
      <c r="N41" s="150"/>
      <c r="O41" s="150"/>
      <c r="P41" s="150"/>
      <c r="Q41" s="150"/>
      <c r="R41" s="150"/>
      <c r="S41" s="150"/>
    </row>
    <row r="42" spans="1:19" ht="16.95" customHeight="1" x14ac:dyDescent="0.3">
      <c r="A42" s="85"/>
      <c r="B42" s="151"/>
      <c r="C42" s="151"/>
      <c r="D42" s="151"/>
      <c r="E42" s="151"/>
      <c r="F42" s="151"/>
      <c r="G42" s="151"/>
      <c r="H42" s="151"/>
      <c r="I42" s="151"/>
      <c r="J42" s="151"/>
      <c r="K42" s="151"/>
      <c r="L42" s="151"/>
      <c r="M42" s="151"/>
      <c r="N42" s="151"/>
      <c r="O42" s="151"/>
      <c r="P42" s="151"/>
      <c r="Q42" s="151"/>
      <c r="R42" s="151"/>
      <c r="S42" s="151"/>
    </row>
    <row r="43" spans="1:19" ht="16.95" customHeight="1" x14ac:dyDescent="0.3">
      <c r="A43" s="85"/>
      <c r="B43" s="151"/>
      <c r="C43" s="151"/>
      <c r="D43" s="151"/>
      <c r="E43" s="151"/>
      <c r="F43" s="151"/>
      <c r="G43" s="151"/>
      <c r="H43" s="151"/>
      <c r="I43" s="151"/>
      <c r="J43" s="151"/>
      <c r="K43" s="151"/>
      <c r="L43" s="151"/>
      <c r="M43" s="151"/>
      <c r="N43" s="151"/>
      <c r="O43" s="151"/>
      <c r="P43" s="151"/>
      <c r="Q43" s="151"/>
      <c r="R43" s="151"/>
      <c r="S43" s="151"/>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64" t="s">
        <v>84</v>
      </c>
      <c r="G45" s="165"/>
      <c r="H45" s="165"/>
      <c r="I45" s="165"/>
      <c r="J45" s="166"/>
      <c r="K45" s="173" t="s">
        <v>85</v>
      </c>
      <c r="L45" s="174"/>
      <c r="M45" s="174"/>
      <c r="N45" s="174"/>
      <c r="O45" s="175"/>
    </row>
    <row r="46" spans="1:19" ht="16.95" customHeight="1" x14ac:dyDescent="0.3">
      <c r="E46" s="74"/>
      <c r="F46" s="168">
        <f>AVERAGE(INFORMACIÓN!B11:B12)</f>
        <v>24.3</v>
      </c>
      <c r="G46" s="169"/>
      <c r="H46" s="70" t="s">
        <v>86</v>
      </c>
      <c r="I46" s="71">
        <f>ABS(INFORMACIÓN!B11-INFORMACIÓN!B12)</f>
        <v>0.39999999999999858</v>
      </c>
      <c r="J46" s="75"/>
      <c r="K46" s="170">
        <f>AVERAGE(INFORMACIÓN!B13:B14)</f>
        <v>61.5</v>
      </c>
      <c r="L46" s="171"/>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67" t="s">
        <v>234</v>
      </c>
      <c r="G48" s="167"/>
      <c r="H48" s="167"/>
      <c r="I48" s="167"/>
      <c r="J48" s="167"/>
      <c r="K48" s="172" t="s">
        <v>235</v>
      </c>
      <c r="L48" s="172"/>
      <c r="M48" s="172"/>
      <c r="N48" s="172"/>
      <c r="O48" s="172"/>
      <c r="P48" s="172"/>
    </row>
    <row r="49" spans="1:19" ht="13.2" customHeight="1" x14ac:dyDescent="0.3"/>
    <row r="50" spans="1:19" ht="16.95" customHeight="1" x14ac:dyDescent="0.3">
      <c r="B50" s="132" t="s">
        <v>87</v>
      </c>
      <c r="C50" s="132"/>
      <c r="D50" s="132"/>
      <c r="E50" s="132"/>
      <c r="F50" s="132"/>
      <c r="G50" s="132"/>
      <c r="H50" s="132"/>
      <c r="I50" s="132"/>
      <c r="J50" s="132"/>
      <c r="K50" s="132"/>
      <c r="L50" s="132"/>
      <c r="M50" s="132"/>
      <c r="N50" s="132"/>
      <c r="O50" s="132"/>
      <c r="P50" s="132"/>
      <c r="Q50" s="132"/>
      <c r="R50" s="132"/>
      <c r="S50" s="132"/>
    </row>
    <row r="51" spans="1:19" ht="16.95" customHeight="1" x14ac:dyDescent="0.3">
      <c r="B51" s="150" t="s">
        <v>236</v>
      </c>
      <c r="C51" s="150"/>
      <c r="D51" s="150"/>
      <c r="E51" s="150"/>
      <c r="F51" s="150"/>
      <c r="G51" s="150"/>
      <c r="H51" s="150"/>
      <c r="I51" s="150"/>
      <c r="J51" s="150"/>
      <c r="K51" s="150"/>
      <c r="L51" s="150"/>
      <c r="M51" s="150"/>
      <c r="N51" s="150"/>
      <c r="O51" s="150"/>
      <c r="P51" s="150"/>
      <c r="Q51" s="150"/>
      <c r="R51" s="150"/>
      <c r="S51" s="150"/>
    </row>
    <row r="52" spans="1:19" ht="16.95" customHeight="1" x14ac:dyDescent="0.3">
      <c r="A52" s="85"/>
      <c r="B52" s="151"/>
      <c r="C52" s="151"/>
      <c r="D52" s="151"/>
      <c r="E52" s="151"/>
      <c r="F52" s="151"/>
      <c r="G52" s="151"/>
      <c r="H52" s="151"/>
      <c r="I52" s="151"/>
      <c r="J52" s="151"/>
      <c r="K52" s="151"/>
      <c r="L52" s="151"/>
      <c r="M52" s="151"/>
      <c r="N52" s="151"/>
      <c r="O52" s="151"/>
      <c r="P52" s="151"/>
      <c r="Q52" s="151"/>
      <c r="R52" s="151"/>
      <c r="S52" s="151"/>
    </row>
    <row r="53" spans="1:19" ht="16.95" customHeight="1" x14ac:dyDescent="0.3">
      <c r="A53" s="85"/>
      <c r="B53" s="151"/>
      <c r="C53" s="151"/>
      <c r="D53" s="151"/>
      <c r="E53" s="151"/>
      <c r="F53" s="151"/>
      <c r="G53" s="151"/>
      <c r="H53" s="151"/>
      <c r="I53" s="151"/>
      <c r="J53" s="151"/>
      <c r="K53" s="151"/>
      <c r="L53" s="151"/>
      <c r="M53" s="151"/>
      <c r="N53" s="151"/>
      <c r="O53" s="151"/>
      <c r="P53" s="151"/>
      <c r="Q53" s="151"/>
      <c r="R53" s="151"/>
      <c r="S53" s="151"/>
    </row>
    <row r="54" spans="1:19" ht="16.95" customHeight="1" x14ac:dyDescent="0.3">
      <c r="A54" s="85"/>
      <c r="B54" s="151"/>
      <c r="C54" s="151"/>
      <c r="D54" s="151"/>
      <c r="E54" s="151"/>
      <c r="F54" s="151"/>
      <c r="G54" s="151"/>
      <c r="H54" s="151"/>
      <c r="I54" s="151"/>
      <c r="J54" s="151"/>
      <c r="K54" s="151"/>
      <c r="L54" s="151"/>
      <c r="M54" s="151"/>
      <c r="N54" s="151"/>
      <c r="O54" s="151"/>
      <c r="P54" s="151"/>
      <c r="Q54" s="151"/>
      <c r="R54" s="151"/>
      <c r="S54" s="151"/>
    </row>
    <row r="55" spans="1:19" ht="16.95" customHeight="1" x14ac:dyDescent="0.3">
      <c r="A55" s="85"/>
      <c r="B55" s="151"/>
      <c r="C55" s="151"/>
      <c r="D55" s="151"/>
      <c r="E55" s="151"/>
      <c r="F55" s="151"/>
      <c r="G55" s="151"/>
      <c r="H55" s="151"/>
      <c r="I55" s="151"/>
      <c r="J55" s="151"/>
      <c r="K55" s="151"/>
      <c r="L55" s="151"/>
      <c r="M55" s="151"/>
      <c r="N55" s="151"/>
      <c r="O55" s="151"/>
      <c r="P55" s="151"/>
      <c r="Q55" s="151"/>
      <c r="R55" s="151"/>
      <c r="S55" s="151"/>
    </row>
    <row r="56" spans="1:19" ht="16.95" customHeight="1" x14ac:dyDescent="0.3">
      <c r="A56" s="85"/>
      <c r="B56" s="151"/>
      <c r="C56" s="151"/>
      <c r="D56" s="151"/>
      <c r="E56" s="151"/>
      <c r="F56" s="151"/>
      <c r="G56" s="151"/>
      <c r="H56" s="151"/>
      <c r="I56" s="151"/>
      <c r="J56" s="151"/>
      <c r="K56" s="151"/>
      <c r="L56" s="151"/>
      <c r="M56" s="151"/>
      <c r="N56" s="151"/>
      <c r="O56" s="151"/>
      <c r="P56" s="151"/>
      <c r="Q56" s="151"/>
      <c r="R56" s="151"/>
      <c r="S56" s="151"/>
    </row>
    <row r="57" spans="1:19" ht="16.95" customHeight="1" x14ac:dyDescent="0.3">
      <c r="A57" s="85"/>
      <c r="B57" s="151"/>
      <c r="C57" s="151"/>
      <c r="D57" s="151"/>
      <c r="E57" s="151"/>
      <c r="F57" s="151"/>
      <c r="G57" s="151"/>
      <c r="H57" s="151"/>
      <c r="I57" s="151"/>
      <c r="J57" s="151"/>
      <c r="K57" s="151"/>
      <c r="L57" s="151"/>
      <c r="M57" s="151"/>
      <c r="N57" s="151"/>
      <c r="O57" s="151"/>
      <c r="P57" s="151"/>
      <c r="Q57" s="151"/>
      <c r="R57" s="151"/>
      <c r="S57" s="151"/>
    </row>
    <row r="58" spans="1:19" ht="16.95" customHeight="1" x14ac:dyDescent="0.3">
      <c r="A58" s="85"/>
      <c r="B58" s="151"/>
      <c r="C58" s="151"/>
      <c r="D58" s="151"/>
      <c r="E58" s="151"/>
      <c r="F58" s="151"/>
      <c r="G58" s="151"/>
      <c r="H58" s="151"/>
      <c r="I58" s="151"/>
      <c r="J58" s="151"/>
      <c r="K58" s="151"/>
      <c r="L58" s="151"/>
      <c r="M58" s="151"/>
      <c r="N58" s="151"/>
      <c r="O58" s="151"/>
      <c r="P58" s="151"/>
      <c r="Q58" s="151"/>
      <c r="R58" s="151"/>
      <c r="S58" s="151"/>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63" t="s">
        <v>88</v>
      </c>
      <c r="C60" s="163"/>
      <c r="D60" s="163"/>
      <c r="E60" s="163"/>
      <c r="F60" s="163"/>
      <c r="G60" s="163"/>
      <c r="H60" s="163"/>
      <c r="I60" s="163"/>
      <c r="J60" s="163"/>
      <c r="K60" s="163"/>
      <c r="L60" s="163"/>
      <c r="M60" s="163"/>
      <c r="N60" s="163"/>
      <c r="O60" s="163"/>
      <c r="P60" s="163"/>
      <c r="Q60" s="163"/>
      <c r="R60" s="163"/>
      <c r="S60" s="163"/>
    </row>
    <row r="61" spans="1:19" ht="16.95" customHeight="1" x14ac:dyDescent="0.3">
      <c r="B61" s="150" t="s">
        <v>237</v>
      </c>
      <c r="C61" s="150"/>
      <c r="D61" s="150"/>
      <c r="E61" s="150"/>
      <c r="F61" s="150"/>
      <c r="G61" s="150"/>
      <c r="H61" s="150"/>
      <c r="I61" s="150"/>
      <c r="J61" s="150"/>
      <c r="K61" s="150"/>
      <c r="L61" s="150"/>
      <c r="M61" s="150"/>
      <c r="N61" s="150"/>
      <c r="O61" s="150"/>
      <c r="P61" s="150"/>
      <c r="Q61" s="150"/>
      <c r="R61" s="150"/>
      <c r="S61" s="150"/>
    </row>
    <row r="62" spans="1:19" ht="16.95" customHeight="1" x14ac:dyDescent="0.3">
      <c r="A62" s="85"/>
      <c r="B62" s="151"/>
      <c r="C62" s="151"/>
      <c r="D62" s="151"/>
      <c r="E62" s="151"/>
      <c r="F62" s="151"/>
      <c r="G62" s="151"/>
      <c r="H62" s="151"/>
      <c r="I62" s="151"/>
      <c r="J62" s="151"/>
      <c r="K62" s="151"/>
      <c r="L62" s="151"/>
      <c r="M62" s="151"/>
      <c r="N62" s="151"/>
      <c r="O62" s="151"/>
      <c r="P62" s="151"/>
      <c r="Q62" s="151"/>
      <c r="R62" s="151"/>
      <c r="S62" s="151"/>
    </row>
    <row r="63" spans="1:19" ht="13.8" customHeight="1" x14ac:dyDescent="0.3"/>
    <row r="64" spans="1:19" ht="15" customHeight="1" x14ac:dyDescent="0.3">
      <c r="B64" s="163" t="s">
        <v>94</v>
      </c>
      <c r="C64" s="163"/>
      <c r="D64" s="163"/>
      <c r="E64" s="163"/>
      <c r="F64" s="163"/>
      <c r="G64" s="163"/>
      <c r="H64" s="163"/>
      <c r="I64" s="163"/>
      <c r="J64" s="163"/>
      <c r="K64" s="163"/>
      <c r="L64" s="163"/>
      <c r="M64" s="163"/>
      <c r="N64" s="163"/>
      <c r="O64" s="163"/>
      <c r="P64" s="163"/>
      <c r="Q64" s="163"/>
      <c r="R64" s="163"/>
      <c r="S64" s="163"/>
    </row>
    <row r="65" spans="1:19" ht="19.2" customHeight="1" x14ac:dyDescent="0.3">
      <c r="B65" s="150" t="s">
        <v>238</v>
      </c>
      <c r="C65" s="150"/>
      <c r="D65" s="150"/>
      <c r="E65" s="150"/>
      <c r="F65" s="150"/>
      <c r="G65" s="150"/>
      <c r="H65" s="150"/>
      <c r="I65" s="150"/>
      <c r="J65" s="150"/>
      <c r="K65" s="150"/>
      <c r="L65" s="150"/>
      <c r="M65" s="150"/>
      <c r="N65" s="150"/>
      <c r="O65" s="150"/>
      <c r="P65" s="150"/>
      <c r="Q65" s="150"/>
      <c r="R65" s="150"/>
      <c r="S65" s="150"/>
    </row>
    <row r="66" spans="1:19" ht="16.95" customHeight="1" x14ac:dyDescent="0.3">
      <c r="A66" s="85"/>
      <c r="B66" s="151"/>
      <c r="C66" s="151"/>
      <c r="D66" s="151"/>
      <c r="E66" s="151"/>
      <c r="F66" s="151"/>
      <c r="G66" s="151"/>
      <c r="H66" s="151"/>
      <c r="I66" s="151"/>
      <c r="J66" s="151"/>
      <c r="K66" s="151"/>
      <c r="L66" s="151"/>
      <c r="M66" s="151"/>
      <c r="N66" s="151"/>
      <c r="O66" s="151"/>
      <c r="P66" s="151"/>
      <c r="Q66" s="151"/>
      <c r="R66" s="151"/>
      <c r="S66" s="151"/>
    </row>
    <row r="67" spans="1:19" ht="16.95" customHeight="1" x14ac:dyDescent="0.3">
      <c r="A67" s="85"/>
      <c r="B67" s="151"/>
      <c r="C67" s="151"/>
      <c r="D67" s="151"/>
      <c r="E67" s="151"/>
      <c r="F67" s="151"/>
      <c r="G67" s="151"/>
      <c r="H67" s="151"/>
      <c r="I67" s="151"/>
      <c r="J67" s="151"/>
      <c r="K67" s="151"/>
      <c r="L67" s="151"/>
      <c r="M67" s="151"/>
      <c r="N67" s="151"/>
      <c r="O67" s="151"/>
      <c r="P67" s="151"/>
      <c r="Q67" s="151"/>
      <c r="R67" s="151"/>
      <c r="S67" s="151"/>
    </row>
    <row r="68" spans="1:19" ht="16.95" customHeight="1" x14ac:dyDescent="0.3">
      <c r="A68" s="85"/>
      <c r="B68" s="151"/>
      <c r="C68" s="151"/>
      <c r="D68" s="151"/>
      <c r="E68" s="151"/>
      <c r="F68" s="151"/>
      <c r="G68" s="151"/>
      <c r="H68" s="151"/>
      <c r="I68" s="151"/>
      <c r="J68" s="151"/>
      <c r="K68" s="151"/>
      <c r="L68" s="151"/>
      <c r="M68" s="151"/>
      <c r="N68" s="151"/>
      <c r="O68" s="151"/>
      <c r="P68" s="151"/>
      <c r="Q68" s="151"/>
      <c r="R68" s="151"/>
      <c r="S68" s="151"/>
    </row>
    <row r="69" spans="1:19" ht="16.95" customHeight="1" x14ac:dyDescent="0.3"/>
    <row r="70" spans="1:19" ht="16.95" customHeight="1" x14ac:dyDescent="0.3">
      <c r="B70" s="148" t="s">
        <v>90</v>
      </c>
      <c r="C70" s="148"/>
      <c r="D70" s="148"/>
      <c r="E70" s="148"/>
      <c r="F70" s="148"/>
      <c r="G70" s="148"/>
      <c r="H70" s="148" t="s">
        <v>91</v>
      </c>
      <c r="I70" s="148"/>
      <c r="J70" s="148"/>
      <c r="K70" s="148"/>
      <c r="L70" s="148"/>
      <c r="M70" s="148" t="s">
        <v>92</v>
      </c>
      <c r="N70" s="148"/>
      <c r="O70" s="148"/>
      <c r="P70" s="148" t="s">
        <v>93</v>
      </c>
      <c r="Q70" s="148"/>
      <c r="R70" s="148"/>
      <c r="S70" s="148"/>
    </row>
    <row r="71" spans="1:19" ht="16.95" customHeight="1" x14ac:dyDescent="0.3">
      <c r="B71" s="160" t="s">
        <v>168</v>
      </c>
      <c r="C71" s="160"/>
      <c r="D71" s="160"/>
      <c r="E71" s="160"/>
      <c r="F71" s="160"/>
      <c r="G71" s="160"/>
      <c r="H71" s="162">
        <v>40712037006</v>
      </c>
      <c r="I71" s="162"/>
      <c r="J71" s="162"/>
      <c r="K71" s="162"/>
      <c r="L71" s="162"/>
      <c r="M71" s="149">
        <v>46072</v>
      </c>
      <c r="N71" s="149"/>
      <c r="O71" s="149"/>
      <c r="P71" s="161" t="s">
        <v>231</v>
      </c>
      <c r="Q71" s="161"/>
      <c r="R71" s="161"/>
      <c r="S71" s="16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8" t="str">
        <f>O1</f>
        <v>CERTIFICADO N°:</v>
      </c>
      <c r="P76" s="138"/>
      <c r="Q76" s="138"/>
      <c r="R76" s="137">
        <f>R1</f>
        <v>0</v>
      </c>
      <c r="S76" s="137"/>
    </row>
    <row r="77" spans="1:19" ht="16.95" customHeight="1" x14ac:dyDescent="0.3">
      <c r="O77" s="99"/>
      <c r="P77" s="99"/>
      <c r="Q77" s="99"/>
      <c r="R77" s="98"/>
      <c r="S77" s="98"/>
    </row>
    <row r="78" spans="1:19" ht="16.95" customHeight="1" x14ac:dyDescent="0.3">
      <c r="B78" s="139" t="s">
        <v>95</v>
      </c>
      <c r="C78" s="139"/>
      <c r="D78" s="139"/>
      <c r="E78" s="139"/>
      <c r="F78" s="139"/>
      <c r="G78" s="139"/>
      <c r="H78" s="139"/>
      <c r="I78" s="139"/>
      <c r="J78" s="139"/>
      <c r="K78" s="139"/>
      <c r="L78" s="139"/>
      <c r="M78" s="139"/>
      <c r="N78" s="139"/>
      <c r="O78" s="139"/>
      <c r="P78" s="139"/>
      <c r="Q78" s="139"/>
      <c r="R78" s="139"/>
      <c r="S78" s="139"/>
    </row>
    <row r="79" spans="1:19" ht="16.649999999999999" customHeight="1" x14ac:dyDescent="0.3"/>
    <row r="80" spans="1:19" ht="16.8" customHeight="1" x14ac:dyDescent="0.3"/>
    <row r="81" spans="2:20" ht="16.649999999999999" customHeight="1" x14ac:dyDescent="0.3">
      <c r="B81" s="50" t="s">
        <v>126</v>
      </c>
      <c r="C81" s="50"/>
      <c r="D81" s="50"/>
      <c r="E81" s="50"/>
      <c r="F81" s="50"/>
      <c r="G81" s="50"/>
      <c r="H81" s="50"/>
      <c r="I81" s="123" t="s">
        <v>97</v>
      </c>
      <c r="J81" s="123"/>
      <c r="K81" s="123"/>
      <c r="L81" s="123"/>
      <c r="M81" s="123"/>
      <c r="N81" s="124" t="s">
        <v>127</v>
      </c>
      <c r="O81" s="124"/>
      <c r="P81" s="123" t="s">
        <v>98</v>
      </c>
      <c r="Q81" s="123"/>
      <c r="R81" s="123"/>
      <c r="S81" s="88">
        <v>1</v>
      </c>
    </row>
    <row r="82" spans="2:20" ht="24" customHeight="1" x14ac:dyDescent="0.3"/>
    <row r="83" spans="2:20" x14ac:dyDescent="0.3">
      <c r="B83" s="129" t="s">
        <v>134</v>
      </c>
      <c r="C83" s="129"/>
      <c r="D83" s="125" t="s">
        <v>132</v>
      </c>
      <c r="E83" s="125"/>
      <c r="F83" s="125"/>
      <c r="G83" s="125"/>
      <c r="H83" s="125"/>
      <c r="I83" s="125"/>
      <c r="J83" s="125"/>
      <c r="K83" s="125"/>
      <c r="L83" s="135" t="s">
        <v>131</v>
      </c>
      <c r="M83" s="136"/>
      <c r="N83" s="136"/>
      <c r="O83" s="136"/>
      <c r="P83" s="136"/>
      <c r="Q83" s="136"/>
      <c r="R83" s="136"/>
      <c r="S83" s="136"/>
    </row>
    <row r="84" spans="2:20" ht="24" customHeight="1" x14ac:dyDescent="0.3">
      <c r="B84" s="129"/>
      <c r="C84" s="129"/>
      <c r="D84" s="128" t="s">
        <v>129</v>
      </c>
      <c r="E84" s="128"/>
      <c r="F84" s="128" t="s">
        <v>128</v>
      </c>
      <c r="G84" s="128"/>
      <c r="H84" s="128" t="s">
        <v>101</v>
      </c>
      <c r="I84" s="128"/>
      <c r="J84" s="128" t="s">
        <v>130</v>
      </c>
      <c r="K84" s="128"/>
      <c r="L84" s="129" t="s">
        <v>99</v>
      </c>
      <c r="M84" s="129"/>
      <c r="N84" s="129" t="s">
        <v>100</v>
      </c>
      <c r="O84" s="129"/>
      <c r="P84" s="128" t="s">
        <v>96</v>
      </c>
      <c r="Q84" s="128"/>
      <c r="R84" s="128"/>
      <c r="S84" s="87" t="s">
        <v>14</v>
      </c>
    </row>
    <row r="85" spans="2:20" x14ac:dyDescent="0.3">
      <c r="B85" s="131">
        <f>MEDIDA!B14</f>
        <v>21</v>
      </c>
      <c r="C85" s="131"/>
      <c r="D85" s="130">
        <f ca="1">MEDIDA!D14</f>
        <v>21.316275526502483</v>
      </c>
      <c r="E85" s="130"/>
      <c r="F85" s="130">
        <f ca="1">MEDIDA!F14</f>
        <v>21.630947666388625</v>
      </c>
      <c r="G85" s="130"/>
      <c r="H85" s="130">
        <f ca="1">MEDIDA!H14</f>
        <v>21.100343912111338</v>
      </c>
      <c r="I85" s="130"/>
      <c r="J85" s="130">
        <f ca="1">MEDIDA!J14</f>
        <v>21.316275526502483</v>
      </c>
      <c r="K85" s="130"/>
      <c r="L85" s="130">
        <f ca="1">MEDIDA!L14</f>
        <v>21.340960657876231</v>
      </c>
      <c r="M85" s="130"/>
      <c r="N85" s="130">
        <f ca="1">MEDIDA!N14</f>
        <v>0.34096065787623075</v>
      </c>
      <c r="O85" s="130"/>
      <c r="P85" s="130">
        <v>7.2</v>
      </c>
      <c r="Q85" s="130"/>
      <c r="R85" s="130"/>
      <c r="S85" s="95">
        <f ca="1">INCERTIDUMBRE!K11</f>
        <v>2.0170350906927164</v>
      </c>
    </row>
    <row r="86" spans="2:20" x14ac:dyDescent="0.3">
      <c r="B86" s="131">
        <f>MEDIDA!B15</f>
        <v>50</v>
      </c>
      <c r="C86" s="131"/>
      <c r="D86" s="130">
        <f ca="1">MEDIDA!D15</f>
        <v>49.52372348798076</v>
      </c>
      <c r="E86" s="130"/>
      <c r="F86" s="130">
        <f ca="1">MEDIDA!F15</f>
        <v>49.814221082883279</v>
      </c>
      <c r="G86" s="130"/>
      <c r="H86" s="130">
        <f ca="1">MEDIDA!H15</f>
        <v>49.52372348798076</v>
      </c>
      <c r="I86" s="130"/>
      <c r="J86" s="130">
        <f ca="1">MEDIDA!J15</f>
        <v>49.233434099861952</v>
      </c>
      <c r="K86" s="130"/>
      <c r="L86" s="130">
        <f ca="1">MEDIDA!L15</f>
        <v>49.523775539676691</v>
      </c>
      <c r="M86" s="130"/>
      <c r="N86" s="130">
        <f ca="1">MEDIDA!N15</f>
        <v>-0.47622446032330856</v>
      </c>
      <c r="O86" s="130"/>
      <c r="P86" s="130">
        <v>14.6</v>
      </c>
      <c r="Q86" s="130"/>
      <c r="R86" s="130"/>
      <c r="S86" s="95">
        <f ca="1">INCERTIDUMBRE!K12</f>
        <v>2.020038115739196</v>
      </c>
      <c r="T86" s="89"/>
    </row>
    <row r="87" spans="2:20" x14ac:dyDescent="0.3">
      <c r="B87" s="131">
        <f>MEDIDA!B16</f>
        <v>70</v>
      </c>
      <c r="C87" s="131"/>
      <c r="D87" s="130">
        <f ca="1">MEDIDA!D16</f>
        <v>69.51187257509541</v>
      </c>
      <c r="E87" s="130"/>
      <c r="F87" s="130">
        <f ca="1">MEDIDA!F16</f>
        <v>69.15877868201143</v>
      </c>
      <c r="G87" s="130"/>
      <c r="H87" s="130">
        <f ca="1">MEDIDA!H16</f>
        <v>69.247659602809748</v>
      </c>
      <c r="I87" s="130"/>
      <c r="J87" s="130">
        <f ca="1">MEDIDA!J16</f>
        <v>69.767784373568489</v>
      </c>
      <c r="K87" s="130"/>
      <c r="L87" s="130">
        <f ca="1">MEDIDA!L16</f>
        <v>69.421523808371262</v>
      </c>
      <c r="M87" s="130"/>
      <c r="N87" s="130">
        <f ca="1">MEDIDA!N16</f>
        <v>-0.57847619162873798</v>
      </c>
      <c r="O87" s="130"/>
      <c r="P87" s="130">
        <v>21.8</v>
      </c>
      <c r="Q87" s="130"/>
      <c r="R87" s="130"/>
      <c r="S87" s="95">
        <f ca="1">INCERTIDUMBRE!K13</f>
        <v>2.0284831387776574</v>
      </c>
    </row>
    <row r="88" spans="2:20" x14ac:dyDescent="0.3">
      <c r="B88" s="131">
        <f>MEDIDA!B17</f>
        <v>100</v>
      </c>
      <c r="C88" s="131"/>
      <c r="D88" s="130">
        <f ca="1">MEDIDA!D17</f>
        <v>99.050549756829184</v>
      </c>
      <c r="E88" s="130"/>
      <c r="F88" s="130">
        <f ca="1">MEDIDA!F17</f>
        <v>99.310434941911183</v>
      </c>
      <c r="G88" s="130"/>
      <c r="H88" s="130">
        <f ca="1">MEDIDA!H17</f>
        <v>98.905135560177911</v>
      </c>
      <c r="I88" s="130"/>
      <c r="J88" s="130">
        <f ca="1">MEDIDA!J17</f>
        <v>99.294007025223692</v>
      </c>
      <c r="K88" s="130"/>
      <c r="L88" s="130">
        <f ca="1">MEDIDA!L17</f>
        <v>99.140031821035478</v>
      </c>
      <c r="M88" s="130"/>
      <c r="N88" s="130">
        <f ca="1">MEDIDA!N17</f>
        <v>-0.85996817896452171</v>
      </c>
      <c r="O88" s="130"/>
      <c r="P88" s="130">
        <v>31.7</v>
      </c>
      <c r="Q88" s="130"/>
      <c r="R88" s="130"/>
      <c r="S88" s="95">
        <f ca="1">INCERTIDUMBRE!K14</f>
        <v>2.0142250534560064</v>
      </c>
    </row>
    <row r="89" spans="2:20" ht="16.95" customHeight="1" x14ac:dyDescent="0.3"/>
    <row r="90" spans="2:20" ht="16.95" customHeight="1" x14ac:dyDescent="0.3"/>
    <row r="91" spans="2:20" ht="16.95" customHeight="1" x14ac:dyDescent="0.3">
      <c r="B91" s="50" t="s">
        <v>135</v>
      </c>
      <c r="C91" s="50"/>
      <c r="D91" s="50"/>
      <c r="E91" s="50"/>
      <c r="F91" s="50"/>
      <c r="G91" s="50"/>
      <c r="H91" s="50"/>
      <c r="I91" s="123" t="s">
        <v>136</v>
      </c>
      <c r="J91" s="123"/>
      <c r="K91" s="123"/>
      <c r="L91" s="123"/>
      <c r="M91" s="123"/>
      <c r="N91" s="124" t="s">
        <v>230</v>
      </c>
      <c r="O91" s="124"/>
      <c r="P91" s="123" t="s">
        <v>137</v>
      </c>
      <c r="Q91" s="123"/>
      <c r="R91" s="123"/>
      <c r="S91" s="88">
        <v>1</v>
      </c>
    </row>
    <row r="92" spans="2:20" ht="24" customHeight="1" x14ac:dyDescent="0.3"/>
    <row r="93" spans="2:20" x14ac:dyDescent="0.3">
      <c r="B93" s="129" t="s">
        <v>156</v>
      </c>
      <c r="C93" s="129"/>
      <c r="D93" s="125" t="s">
        <v>132</v>
      </c>
      <c r="E93" s="125"/>
      <c r="F93" s="125"/>
      <c r="G93" s="125"/>
      <c r="H93" s="125"/>
      <c r="I93" s="125"/>
      <c r="J93" s="125"/>
      <c r="K93" s="125"/>
      <c r="L93" s="135" t="s">
        <v>157</v>
      </c>
      <c r="M93" s="136"/>
      <c r="N93" s="136"/>
      <c r="O93" s="136"/>
      <c r="P93" s="136"/>
      <c r="Q93" s="136"/>
      <c r="R93" s="136"/>
      <c r="S93" s="136"/>
    </row>
    <row r="94" spans="2:20" ht="22.2" customHeight="1" x14ac:dyDescent="0.3">
      <c r="B94" s="129"/>
      <c r="C94" s="129"/>
      <c r="D94" s="128" t="s">
        <v>138</v>
      </c>
      <c r="E94" s="128"/>
      <c r="F94" s="128" t="s">
        <v>139</v>
      </c>
      <c r="G94" s="128"/>
      <c r="H94" s="128" t="s">
        <v>140</v>
      </c>
      <c r="I94" s="128"/>
      <c r="J94" s="128" t="s">
        <v>141</v>
      </c>
      <c r="K94" s="128"/>
      <c r="L94" s="129" t="s">
        <v>142</v>
      </c>
      <c r="M94" s="129"/>
      <c r="N94" s="129" t="s">
        <v>143</v>
      </c>
      <c r="O94" s="129"/>
      <c r="P94" s="128" t="s">
        <v>96</v>
      </c>
      <c r="Q94" s="128"/>
      <c r="R94" s="128"/>
      <c r="S94" s="87" t="s">
        <v>14</v>
      </c>
    </row>
    <row r="95" spans="2:20" x14ac:dyDescent="0.3">
      <c r="B95" s="131">
        <f>MEDIDA!B23</f>
        <v>2</v>
      </c>
      <c r="C95" s="131"/>
      <c r="D95" s="130">
        <f ca="1">MEDIDA!D23</f>
        <v>1.8848959144215638</v>
      </c>
      <c r="E95" s="130"/>
      <c r="F95" s="130">
        <f ca="1">MEDIDA!F23</f>
        <v>1.8848959144215638</v>
      </c>
      <c r="G95" s="130"/>
      <c r="H95" s="130">
        <f ca="1">MEDIDA!H23</f>
        <v>1.833961816441402</v>
      </c>
      <c r="I95" s="130"/>
      <c r="J95" s="130">
        <f ca="1">MEDIDA!J23</f>
        <v>1.833961816441402</v>
      </c>
      <c r="K95" s="130"/>
      <c r="L95" s="130">
        <f ca="1">MEDIDA!L23</f>
        <v>1.8594288654314828</v>
      </c>
      <c r="M95" s="130"/>
      <c r="N95" s="130">
        <f ca="1">MEDIDA!N23</f>
        <v>-0.14057113456851722</v>
      </c>
      <c r="O95" s="130"/>
      <c r="P95" s="122">
        <f ca="1">INCERTIDUMBRE!L18</f>
        <v>0.6376019223565661</v>
      </c>
      <c r="Q95" s="122"/>
      <c r="R95" s="122"/>
      <c r="S95" s="95">
        <f ca="1">INCERTIDUMBRE!K18</f>
        <v>2.0088433839668212</v>
      </c>
    </row>
    <row r="96" spans="2:20" x14ac:dyDescent="0.3">
      <c r="B96" s="131">
        <f>MEDIDA!B24</f>
        <v>6</v>
      </c>
      <c r="C96" s="131"/>
      <c r="D96" s="130">
        <f ca="1">MEDIDA!D24</f>
        <v>5.6206546429129096</v>
      </c>
      <c r="E96" s="130"/>
      <c r="F96" s="130">
        <f ca="1">MEDIDA!F24</f>
        <v>5.6876166921311233</v>
      </c>
      <c r="G96" s="130"/>
      <c r="H96" s="130">
        <f ca="1">MEDIDA!H24</f>
        <v>5.738393185000052</v>
      </c>
      <c r="I96" s="130"/>
      <c r="J96" s="130">
        <f ca="1">MEDIDA!J24</f>
        <v>5.755156147201161</v>
      </c>
      <c r="K96" s="130"/>
      <c r="L96" s="130">
        <f ca="1">MEDIDA!L24</f>
        <v>5.7004551668113113</v>
      </c>
      <c r="M96" s="130"/>
      <c r="N96" s="130">
        <f ca="1">MEDIDA!N24</f>
        <v>-0.29954483318868874</v>
      </c>
      <c r="O96" s="130"/>
      <c r="P96" s="122">
        <f ca="1">INCERTIDUMBRE!L19</f>
        <v>0.6397856576955061</v>
      </c>
      <c r="Q96" s="122"/>
      <c r="R96" s="122"/>
      <c r="S96" s="95">
        <f ca="1">INCERTIDUMBRE!K19</f>
        <v>2.0087812938093701</v>
      </c>
    </row>
    <row r="97" spans="2:19" x14ac:dyDescent="0.3">
      <c r="B97" s="131">
        <f>MEDIDA!B25</f>
        <v>8</v>
      </c>
      <c r="C97" s="131"/>
      <c r="D97" s="130">
        <f ca="1">MEDIDA!D25</f>
        <v>7</v>
      </c>
      <c r="E97" s="130"/>
      <c r="F97" s="130">
        <f ca="1">MEDIDA!F25</f>
        <v>7</v>
      </c>
      <c r="G97" s="130"/>
      <c r="H97" s="130">
        <f ca="1">MEDIDA!H25</f>
        <v>6.9741482817005789</v>
      </c>
      <c r="I97" s="130"/>
      <c r="J97" s="130">
        <f ca="1">MEDIDA!J25</f>
        <v>6.9127085046158783</v>
      </c>
      <c r="K97" s="130"/>
      <c r="L97" s="130">
        <f ca="1">MEDIDA!L25</f>
        <v>6.9717141965791143</v>
      </c>
      <c r="M97" s="130"/>
      <c r="N97" s="130">
        <f ca="1">MEDIDA!N25</f>
        <v>-1.0282858034208857</v>
      </c>
      <c r="O97" s="130"/>
      <c r="P97" s="122">
        <f ca="1">INCERTIDUMBRE!L20</f>
        <v>0.63824924977882569</v>
      </c>
      <c r="Q97" s="122"/>
      <c r="R97" s="122"/>
      <c r="S97" s="95">
        <f ca="1">INCERTIDUMBRE!K20</f>
        <v>2.0088122294892075</v>
      </c>
    </row>
    <row r="98" spans="2:19" x14ac:dyDescent="0.3">
      <c r="B98" s="131">
        <f>MEDIDA!B26</f>
        <v>10</v>
      </c>
      <c r="C98" s="131"/>
      <c r="D98" s="130">
        <f ca="1">MEDIDA!D26</f>
        <v>8.5</v>
      </c>
      <c r="E98" s="130"/>
      <c r="F98" s="130">
        <f ca="1">MEDIDA!F26</f>
        <v>8.5148476975525664</v>
      </c>
      <c r="G98" s="130"/>
      <c r="H98" s="130">
        <f ca="1">MEDIDA!H26</f>
        <v>8.5948992203998706</v>
      </c>
      <c r="I98" s="130"/>
      <c r="J98" s="130">
        <f ca="1">MEDIDA!J26</f>
        <v>8.5948992203998706</v>
      </c>
      <c r="K98" s="130"/>
      <c r="L98" s="130">
        <f ca="1">MEDIDA!L26</f>
        <v>8.5511615345880774</v>
      </c>
      <c r="M98" s="130"/>
      <c r="N98" s="130">
        <f ca="1">MEDIDA!N26</f>
        <v>-1.4488384654119226</v>
      </c>
      <c r="O98" s="130"/>
      <c r="P98" s="122">
        <f ca="1">INCERTIDUMBRE!L21</f>
        <v>0.63895339729782363</v>
      </c>
      <c r="Q98" s="122"/>
      <c r="R98" s="122"/>
      <c r="S98" s="95">
        <f ca="1">INCERTIDUMBRE!K21</f>
        <v>2.0088122294892075</v>
      </c>
    </row>
    <row r="99" spans="2:19" ht="16.95" customHeight="1" x14ac:dyDescent="0.3"/>
    <row r="100" spans="2:19" x14ac:dyDescent="0.3">
      <c r="O100" s="99"/>
      <c r="P100" s="99"/>
      <c r="Q100" s="99"/>
      <c r="R100" s="98"/>
      <c r="S100" s="98"/>
    </row>
    <row r="101" spans="2:19" x14ac:dyDescent="0.3">
      <c r="B101" s="50" t="s">
        <v>144</v>
      </c>
      <c r="C101" s="50"/>
      <c r="D101" s="50"/>
      <c r="E101" s="50"/>
      <c r="F101" s="50"/>
      <c r="G101" s="50"/>
      <c r="H101" s="50"/>
      <c r="I101" s="123" t="s">
        <v>136</v>
      </c>
      <c r="J101" s="123"/>
      <c r="K101" s="123"/>
      <c r="L101" s="123"/>
      <c r="M101" s="123"/>
      <c r="N101" s="124" t="s">
        <v>145</v>
      </c>
      <c r="O101" s="124"/>
      <c r="P101" s="123" t="s">
        <v>137</v>
      </c>
      <c r="Q101" s="123"/>
      <c r="R101" s="123"/>
      <c r="S101" s="88">
        <v>1</v>
      </c>
    </row>
    <row r="103" spans="2:19" ht="16.8" customHeight="1" x14ac:dyDescent="0.3">
      <c r="B103" s="129" t="s">
        <v>156</v>
      </c>
      <c r="C103" s="129"/>
      <c r="D103" s="125" t="s">
        <v>132</v>
      </c>
      <c r="E103" s="125"/>
      <c r="F103" s="125"/>
      <c r="G103" s="125"/>
      <c r="H103" s="125"/>
      <c r="I103" s="125"/>
      <c r="J103" s="125"/>
      <c r="K103" s="125"/>
      <c r="L103" s="135" t="s">
        <v>157</v>
      </c>
      <c r="M103" s="136"/>
      <c r="N103" s="136"/>
      <c r="O103" s="136"/>
      <c r="P103" s="136"/>
      <c r="Q103" s="136"/>
      <c r="R103" s="136"/>
      <c r="S103" s="136"/>
    </row>
    <row r="104" spans="2:19" ht="29.4" customHeight="1" x14ac:dyDescent="0.3">
      <c r="B104" s="129"/>
      <c r="C104" s="129"/>
      <c r="D104" s="128" t="s">
        <v>138</v>
      </c>
      <c r="E104" s="128"/>
      <c r="F104" s="128" t="s">
        <v>139</v>
      </c>
      <c r="G104" s="128"/>
      <c r="H104" s="128" t="s">
        <v>140</v>
      </c>
      <c r="I104" s="128"/>
      <c r="J104" s="128" t="s">
        <v>141</v>
      </c>
      <c r="K104" s="128"/>
      <c r="L104" s="129" t="s">
        <v>142</v>
      </c>
      <c r="M104" s="129"/>
      <c r="N104" s="129" t="s">
        <v>143</v>
      </c>
      <c r="O104" s="129"/>
      <c r="P104" s="128" t="s">
        <v>96</v>
      </c>
      <c r="Q104" s="128"/>
      <c r="R104" s="128"/>
      <c r="S104" s="87" t="s">
        <v>14</v>
      </c>
    </row>
    <row r="105" spans="2:19" ht="16.8" customHeight="1" x14ac:dyDescent="0.3">
      <c r="B105" s="131">
        <f>MEDIDA!R6</f>
        <v>5</v>
      </c>
      <c r="C105" s="131"/>
      <c r="D105" s="130">
        <f ca="1">MEDIDA!T6</f>
        <v>5.1009388142292513</v>
      </c>
      <c r="E105" s="130"/>
      <c r="F105" s="130">
        <f ca="1">MEDIDA!V6</f>
        <v>5.1009388142292513</v>
      </c>
      <c r="G105" s="130"/>
      <c r="H105" s="130">
        <f ca="1">MEDIDA!X6</f>
        <v>5.0691440709699407</v>
      </c>
      <c r="I105" s="130"/>
      <c r="J105" s="130">
        <f ca="1">MEDIDA!Z6</f>
        <v>5.0044414536263906</v>
      </c>
      <c r="K105" s="130"/>
      <c r="L105" s="130">
        <f ca="1">MEDIDA!AB6</f>
        <v>5.0688657882637083</v>
      </c>
      <c r="M105" s="130"/>
      <c r="N105" s="130">
        <f ca="1">MEDIDA!AD6</f>
        <v>6.8865788263708261E-2</v>
      </c>
      <c r="O105" s="130"/>
      <c r="P105" s="122">
        <v>0.4</v>
      </c>
      <c r="Q105" s="122"/>
      <c r="R105" s="122"/>
      <c r="S105" s="95">
        <f>INCERTIDUMBRE!K32</f>
        <v>2.0062716492261359</v>
      </c>
    </row>
    <row r="106" spans="2:19" x14ac:dyDescent="0.3">
      <c r="B106" s="131">
        <f>MEDIDA!R7</f>
        <v>10</v>
      </c>
      <c r="C106" s="131"/>
      <c r="D106" s="130">
        <f ca="1">MEDIDA!T7</f>
        <v>10.155079747685868</v>
      </c>
      <c r="E106" s="130"/>
      <c r="F106" s="130">
        <f ca="1">MEDIDA!V7</f>
        <v>10.147547735113017</v>
      </c>
      <c r="G106" s="130"/>
      <c r="H106" s="130">
        <f ca="1">MEDIDA!X7</f>
        <v>10.156244691103357</v>
      </c>
      <c r="I106" s="130"/>
      <c r="J106" s="130">
        <f ca="1">MEDIDA!Z7</f>
        <v>10.156244691103357</v>
      </c>
      <c r="K106" s="130"/>
      <c r="L106" s="130">
        <f ca="1">MEDIDA!AB7</f>
        <v>10.153779216251399</v>
      </c>
      <c r="M106" s="130"/>
      <c r="N106" s="130">
        <f ca="1">MEDIDA!AD7</f>
        <v>0.15377921625139912</v>
      </c>
      <c r="O106" s="130"/>
      <c r="P106" s="122">
        <v>0.4</v>
      </c>
      <c r="Q106" s="122"/>
      <c r="R106" s="122"/>
      <c r="S106" s="95">
        <f>INCERTIDUMBRE!K33</f>
        <v>2.0062716492261359</v>
      </c>
    </row>
    <row r="107" spans="2:19" ht="16.649999999999999" customHeight="1" x14ac:dyDescent="0.3">
      <c r="B107" s="131">
        <f>MEDIDA!R8</f>
        <v>20</v>
      </c>
      <c r="C107" s="131"/>
      <c r="D107" s="130">
        <f ca="1">MEDIDA!T8</f>
        <v>20.706721340490247</v>
      </c>
      <c r="E107" s="130"/>
      <c r="F107" s="130">
        <f ca="1">MEDIDA!V8</f>
        <v>20.666526099778309</v>
      </c>
      <c r="G107" s="130"/>
      <c r="H107" s="130">
        <f ca="1">MEDIDA!X8</f>
        <v>20.666526099778309</v>
      </c>
      <c r="I107" s="130"/>
      <c r="J107" s="130">
        <f ca="1">MEDIDA!Z8</f>
        <v>20.666526099778309</v>
      </c>
      <c r="K107" s="130"/>
      <c r="L107" s="130">
        <f ca="1">MEDIDA!AB8</f>
        <v>20.676574909956294</v>
      </c>
      <c r="M107" s="130"/>
      <c r="N107" s="130">
        <f ca="1">MEDIDA!AD8</f>
        <v>0.67657490995629388</v>
      </c>
      <c r="O107" s="130"/>
      <c r="P107" s="122">
        <v>0.4</v>
      </c>
      <c r="Q107" s="122"/>
      <c r="R107" s="122"/>
      <c r="S107" s="95">
        <f>INCERTIDUMBRE!K34</f>
        <v>2.0062716492261359</v>
      </c>
    </row>
    <row r="108" spans="2:19" ht="16.649999999999999" customHeight="1" x14ac:dyDescent="0.3">
      <c r="B108" s="131">
        <f>MEDIDA!R9</f>
        <v>40</v>
      </c>
      <c r="C108" s="131"/>
      <c r="D108" s="130">
        <f ca="1">MEDIDA!T9</f>
        <v>41.305753932267194</v>
      </c>
      <c r="E108" s="130"/>
      <c r="F108" s="130">
        <f ca="1">MEDIDA!V9</f>
        <v>41.341959227135149</v>
      </c>
      <c r="G108" s="130"/>
      <c r="H108" s="130">
        <f ca="1">MEDIDA!X9</f>
        <v>41.274829320558602</v>
      </c>
      <c r="I108" s="130"/>
      <c r="J108" s="130">
        <f ca="1">MEDIDA!Z9</f>
        <v>41.203788325070072</v>
      </c>
      <c r="K108" s="130"/>
      <c r="L108" s="130">
        <f ca="1">MEDIDA!AB9</f>
        <v>41.281582701257754</v>
      </c>
      <c r="M108" s="130"/>
      <c r="N108" s="130">
        <f ca="1">MEDIDA!AD9</f>
        <v>1.2815827012577543</v>
      </c>
      <c r="O108" s="130"/>
      <c r="P108" s="122">
        <v>0.4</v>
      </c>
      <c r="Q108" s="122"/>
      <c r="R108" s="122"/>
      <c r="S108" s="95">
        <f ca="1">INCERTIDUMBRE!K35</f>
        <v>2.0062716492261359</v>
      </c>
    </row>
    <row r="109" spans="2:19" ht="16.649999999999999" customHeight="1" x14ac:dyDescent="0.3">
      <c r="B109" s="115"/>
      <c r="C109" s="115"/>
      <c r="D109" s="116"/>
      <c r="E109" s="116"/>
      <c r="F109" s="116"/>
      <c r="G109" s="116"/>
      <c r="H109" s="116"/>
      <c r="I109" s="116"/>
      <c r="J109" s="116"/>
      <c r="K109" s="116"/>
      <c r="L109" s="116"/>
      <c r="M109" s="116"/>
      <c r="N109" s="116"/>
      <c r="O109" s="116"/>
      <c r="P109" s="117"/>
      <c r="Q109" s="117"/>
      <c r="R109" s="117"/>
      <c r="S109" s="116"/>
    </row>
    <row r="110" spans="2:19" ht="16.649999999999999" customHeight="1" x14ac:dyDescent="0.3">
      <c r="B110" s="115"/>
      <c r="C110" s="115"/>
      <c r="D110" s="116"/>
      <c r="E110" s="116"/>
      <c r="F110" s="116"/>
      <c r="G110" s="116"/>
      <c r="H110" s="116"/>
      <c r="I110" s="116"/>
      <c r="J110" s="116"/>
      <c r="K110" s="116"/>
      <c r="L110" s="116"/>
      <c r="M110" s="116"/>
      <c r="N110" s="116"/>
      <c r="O110" s="116"/>
      <c r="P110" s="117"/>
      <c r="Q110" s="117"/>
      <c r="R110" s="117"/>
      <c r="S110" s="116"/>
    </row>
    <row r="111" spans="2:19" ht="16.649999999999999" customHeight="1" x14ac:dyDescent="0.3"/>
    <row r="112" spans="2:19" ht="21.6" customHeight="1" x14ac:dyDescent="0.3">
      <c r="O112" s="132" t="str">
        <f>O76</f>
        <v>CERTIFICADO N°:</v>
      </c>
      <c r="P112" s="132"/>
      <c r="Q112" s="132"/>
      <c r="R112" s="133">
        <f>R76</f>
        <v>0</v>
      </c>
      <c r="S112" s="133"/>
    </row>
    <row r="113" spans="2:19" ht="16.649999999999999" customHeight="1" x14ac:dyDescent="0.3"/>
    <row r="114" spans="2:19" ht="16.8" customHeight="1" x14ac:dyDescent="0.3">
      <c r="B114" s="50" t="s">
        <v>146</v>
      </c>
      <c r="C114" s="50"/>
      <c r="D114" s="50"/>
      <c r="E114" s="50"/>
      <c r="F114" s="50"/>
      <c r="G114" s="50"/>
      <c r="H114" s="50"/>
      <c r="I114" s="123" t="s">
        <v>147</v>
      </c>
      <c r="J114" s="123"/>
      <c r="K114" s="123"/>
      <c r="L114" s="123"/>
      <c r="M114" s="123"/>
      <c r="N114" s="124" t="s">
        <v>149</v>
      </c>
      <c r="O114" s="124"/>
      <c r="P114" s="134" t="s">
        <v>148</v>
      </c>
      <c r="Q114" s="134"/>
      <c r="R114" s="134"/>
      <c r="S114" s="88">
        <v>1</v>
      </c>
    </row>
    <row r="115" spans="2:19" ht="16.8" customHeight="1" x14ac:dyDescent="0.3"/>
    <row r="116" spans="2:19" ht="24" customHeight="1" x14ac:dyDescent="0.3">
      <c r="B116" s="129" t="s">
        <v>192</v>
      </c>
      <c r="C116" s="129"/>
      <c r="D116" s="125" t="s">
        <v>132</v>
      </c>
      <c r="E116" s="125"/>
      <c r="F116" s="125"/>
      <c r="G116" s="125"/>
      <c r="H116" s="125"/>
      <c r="I116" s="125"/>
      <c r="J116" s="125"/>
      <c r="K116" s="125"/>
      <c r="L116" s="126"/>
      <c r="M116" s="127"/>
      <c r="N116" s="127"/>
      <c r="O116" s="127"/>
      <c r="P116" s="127"/>
      <c r="Q116" s="127"/>
      <c r="R116" s="127"/>
      <c r="S116" s="127"/>
    </row>
    <row r="117" spans="2:19" ht="26.4" customHeight="1" x14ac:dyDescent="0.3">
      <c r="B117" s="129"/>
      <c r="C117" s="129"/>
      <c r="D117" s="128" t="s">
        <v>150</v>
      </c>
      <c r="E117" s="128"/>
      <c r="F117" s="128" t="s">
        <v>151</v>
      </c>
      <c r="G117" s="128"/>
      <c r="H117" s="128" t="s">
        <v>152</v>
      </c>
      <c r="I117" s="128"/>
      <c r="J117" s="128" t="s">
        <v>153</v>
      </c>
      <c r="K117" s="128"/>
      <c r="L117" s="129" t="s">
        <v>154</v>
      </c>
      <c r="M117" s="129"/>
      <c r="N117" s="129" t="s">
        <v>155</v>
      </c>
      <c r="O117" s="129"/>
      <c r="P117" s="128" t="s">
        <v>96</v>
      </c>
      <c r="Q117" s="128"/>
      <c r="R117" s="128"/>
      <c r="S117" s="87" t="s">
        <v>14</v>
      </c>
    </row>
    <row r="118" spans="2:19" x14ac:dyDescent="0.3">
      <c r="B118" s="131">
        <f>MEDIDA!R14</f>
        <v>8</v>
      </c>
      <c r="C118" s="131"/>
      <c r="D118" s="130">
        <f>MEDIDA!T14</f>
        <v>8</v>
      </c>
      <c r="E118" s="130"/>
      <c r="F118" s="130">
        <f>MEDIDA!V14</f>
        <v>8</v>
      </c>
      <c r="G118" s="130"/>
      <c r="H118" s="130">
        <f>MEDIDA!X14</f>
        <v>8</v>
      </c>
      <c r="I118" s="130"/>
      <c r="J118" s="130">
        <f>MEDIDA!Z14</f>
        <v>8</v>
      </c>
      <c r="K118" s="130"/>
      <c r="L118" s="130">
        <f>MEDIDA!AB14</f>
        <v>8</v>
      </c>
      <c r="M118" s="130"/>
      <c r="N118" s="130">
        <f>MEDIDA!AD14</f>
        <v>0</v>
      </c>
      <c r="O118" s="130"/>
      <c r="P118" s="122">
        <v>0.4</v>
      </c>
      <c r="Q118" s="122"/>
      <c r="R118" s="122"/>
      <c r="S118" s="95">
        <f>INCERTIDUMBRE!K32</f>
        <v>2.0062716492261359</v>
      </c>
    </row>
    <row r="119" spans="2:19" x14ac:dyDescent="0.3">
      <c r="B119" s="131">
        <f>MEDIDA!R15</f>
        <v>10</v>
      </c>
      <c r="C119" s="131"/>
      <c r="D119" s="130">
        <f>MEDIDA!T15</f>
        <v>10</v>
      </c>
      <c r="E119" s="130"/>
      <c r="F119" s="130">
        <f>MEDIDA!V15</f>
        <v>10</v>
      </c>
      <c r="G119" s="130"/>
      <c r="H119" s="130">
        <f>MEDIDA!X15</f>
        <v>10</v>
      </c>
      <c r="I119" s="130"/>
      <c r="J119" s="130">
        <f>MEDIDA!Z15</f>
        <v>10</v>
      </c>
      <c r="K119" s="130"/>
      <c r="L119" s="130">
        <f>MEDIDA!AB15</f>
        <v>10</v>
      </c>
      <c r="M119" s="130"/>
      <c r="N119" s="130">
        <f>MEDIDA!AD15</f>
        <v>0</v>
      </c>
      <c r="O119" s="130"/>
      <c r="P119" s="122">
        <v>0.4</v>
      </c>
      <c r="Q119" s="122"/>
      <c r="R119" s="122"/>
      <c r="S119" s="95">
        <f>INCERTIDUMBRE!K33</f>
        <v>2.0062716492261359</v>
      </c>
    </row>
    <row r="120" spans="2:19" x14ac:dyDescent="0.3">
      <c r="B120" s="131">
        <f>MEDIDA!R16</f>
        <v>20</v>
      </c>
      <c r="C120" s="131"/>
      <c r="D120" s="130">
        <f>MEDIDA!T16</f>
        <v>20</v>
      </c>
      <c r="E120" s="130"/>
      <c r="F120" s="130">
        <f>MEDIDA!V16</f>
        <v>20</v>
      </c>
      <c r="G120" s="130"/>
      <c r="H120" s="130">
        <f>MEDIDA!X16</f>
        <v>20</v>
      </c>
      <c r="I120" s="130"/>
      <c r="J120" s="130">
        <f>MEDIDA!Z16</f>
        <v>20</v>
      </c>
      <c r="K120" s="130"/>
      <c r="L120" s="130">
        <f>MEDIDA!AB16</f>
        <v>20</v>
      </c>
      <c r="M120" s="130"/>
      <c r="N120" s="130">
        <f>MEDIDA!AD16</f>
        <v>0</v>
      </c>
      <c r="O120" s="130"/>
      <c r="P120" s="122">
        <v>0.4</v>
      </c>
      <c r="Q120" s="122"/>
      <c r="R120" s="122"/>
      <c r="S120" s="95">
        <f>INCERTIDUMBRE!K34</f>
        <v>2.0062716492261359</v>
      </c>
    </row>
    <row r="121" spans="2:19" x14ac:dyDescent="0.3">
      <c r="B121" s="131">
        <f>MEDIDA!R17</f>
        <v>40</v>
      </c>
      <c r="C121" s="131"/>
      <c r="D121" s="130">
        <f ca="1">MEDIDA!T17</f>
        <v>39.97012780446844</v>
      </c>
      <c r="E121" s="130"/>
      <c r="F121" s="130">
        <f ca="1">MEDIDA!V17</f>
        <v>39.97012780446844</v>
      </c>
      <c r="G121" s="130"/>
      <c r="H121" s="130">
        <f ca="1">MEDIDA!X17</f>
        <v>39.97012780446844</v>
      </c>
      <c r="I121" s="130"/>
      <c r="J121" s="130">
        <f ca="1">MEDIDA!Z17</f>
        <v>39.97012780446844</v>
      </c>
      <c r="K121" s="130"/>
      <c r="L121" s="130">
        <f ca="1">MEDIDA!AB17</f>
        <v>39.97012780446844</v>
      </c>
      <c r="M121" s="130"/>
      <c r="N121" s="130">
        <f ca="1">MEDIDA!AD17</f>
        <v>-2.9872195531559953E-2</v>
      </c>
      <c r="O121" s="130"/>
      <c r="P121" s="122">
        <v>0.4</v>
      </c>
      <c r="Q121" s="122"/>
      <c r="R121" s="122"/>
      <c r="S121" s="95">
        <f ca="1">INCERTIDUMBRE!K35</f>
        <v>2.0062716492261359</v>
      </c>
    </row>
    <row r="122" spans="2:19" x14ac:dyDescent="0.3">
      <c r="B122" s="17"/>
      <c r="C122" s="17"/>
      <c r="D122" s="17"/>
      <c r="E122" s="17"/>
      <c r="F122" s="17"/>
      <c r="G122" s="17"/>
      <c r="H122" s="17"/>
      <c r="I122" s="17"/>
      <c r="J122" s="17"/>
      <c r="K122" s="17"/>
      <c r="L122" s="17"/>
      <c r="M122" s="17"/>
      <c r="N122" s="17"/>
      <c r="O122" s="17"/>
      <c r="P122" s="17"/>
      <c r="Q122" s="17"/>
      <c r="R122" s="17"/>
    </row>
    <row r="123" spans="2:19" x14ac:dyDescent="0.3">
      <c r="B123" s="50" t="s">
        <v>158</v>
      </c>
      <c r="C123" s="50"/>
      <c r="D123" s="50"/>
      <c r="E123" s="50"/>
      <c r="F123" s="50"/>
      <c r="G123" s="50"/>
      <c r="H123" s="50"/>
      <c r="I123" s="123" t="s">
        <v>160</v>
      </c>
      <c r="J123" s="123"/>
      <c r="K123" s="123"/>
      <c r="L123" s="123"/>
      <c r="M123" s="123"/>
      <c r="N123" s="124" t="s">
        <v>159</v>
      </c>
      <c r="O123" s="124"/>
      <c r="P123" s="123" t="s">
        <v>161</v>
      </c>
      <c r="Q123" s="123"/>
      <c r="R123" s="123"/>
      <c r="S123" s="88">
        <v>1</v>
      </c>
    </row>
    <row r="125" spans="2:19" ht="24" customHeight="1" x14ac:dyDescent="0.3">
      <c r="B125" s="129" t="s">
        <v>193</v>
      </c>
      <c r="C125" s="129"/>
      <c r="D125" s="125" t="s">
        <v>194</v>
      </c>
      <c r="E125" s="125"/>
      <c r="F125" s="125"/>
      <c r="G125" s="125"/>
      <c r="H125" s="125"/>
      <c r="I125" s="125"/>
      <c r="J125" s="125"/>
      <c r="K125" s="125"/>
      <c r="L125" s="126" t="s">
        <v>163</v>
      </c>
      <c r="M125" s="127"/>
      <c r="N125" s="127"/>
      <c r="O125" s="127"/>
      <c r="P125" s="127"/>
      <c r="Q125" s="127"/>
      <c r="R125" s="127"/>
      <c r="S125" s="127"/>
    </row>
    <row r="126" spans="2:19" ht="27" customHeight="1" x14ac:dyDescent="0.3">
      <c r="B126" s="129"/>
      <c r="C126" s="129"/>
      <c r="D126" s="128" t="s">
        <v>164</v>
      </c>
      <c r="E126" s="128"/>
      <c r="F126" s="128" t="s">
        <v>165</v>
      </c>
      <c r="G126" s="128"/>
      <c r="H126" s="128" t="s">
        <v>166</v>
      </c>
      <c r="I126" s="128"/>
      <c r="J126" s="128" t="s">
        <v>167</v>
      </c>
      <c r="K126" s="128"/>
      <c r="L126" s="129" t="s">
        <v>208</v>
      </c>
      <c r="M126" s="129"/>
      <c r="N126" s="129" t="s">
        <v>162</v>
      </c>
      <c r="O126" s="129"/>
      <c r="P126" s="128" t="s">
        <v>96</v>
      </c>
      <c r="Q126" s="128"/>
      <c r="R126" s="128"/>
      <c r="S126" s="87" t="s">
        <v>14</v>
      </c>
    </row>
    <row r="127" spans="2:19" x14ac:dyDescent="0.3">
      <c r="B127" s="101" t="str">
        <f>MEDIDA!R23</f>
        <v>1</v>
      </c>
      <c r="C127" s="101" t="str">
        <f>MEDIDA!S23</f>
        <v>1</v>
      </c>
      <c r="D127" s="110" t="str">
        <f>MEDIDA!T23</f>
        <v>1,00</v>
      </c>
      <c r="E127" s="110">
        <f ca="1">MEDIDA!U23</f>
        <v>0.97</v>
      </c>
      <c r="F127" s="110" t="str">
        <f>MEDIDA!V23</f>
        <v>1,00</v>
      </c>
      <c r="G127" s="110">
        <f ca="1">MEDIDA!W23</f>
        <v>0.98111019608121952</v>
      </c>
      <c r="H127" s="110" t="str">
        <f>MEDIDA!X23</f>
        <v>1,00</v>
      </c>
      <c r="I127" s="110">
        <f ca="1">MEDIDA!Y23</f>
        <v>0.98111019608121952</v>
      </c>
      <c r="J127" s="110" t="str">
        <f>MEDIDA!Z23</f>
        <v>1,00</v>
      </c>
      <c r="K127" s="110">
        <f ca="1">MEDIDA!AA23</f>
        <v>0.98111019608121952</v>
      </c>
      <c r="L127" s="110" t="str">
        <f>MEDIDA!AB23</f>
        <v>1,00</v>
      </c>
      <c r="M127" s="110">
        <f ca="1">MEDIDA!AC23</f>
        <v>0.97833264706091461</v>
      </c>
      <c r="N127" s="110">
        <f>MEDIDA!AD23</f>
        <v>0</v>
      </c>
      <c r="O127" s="110">
        <f ca="1">MEDIDA!AE23</f>
        <v>2.1667352939085394E-2</v>
      </c>
      <c r="P127" s="122">
        <f>INCERTIDUMBRE!L39</f>
        <v>0.58101067899704206</v>
      </c>
      <c r="Q127" s="122"/>
      <c r="R127" s="122"/>
      <c r="S127" s="95">
        <f>INCERTIDUMBRE!K39</f>
        <v>2.0125794050712815</v>
      </c>
    </row>
    <row r="128" spans="2:19" x14ac:dyDescent="0.3">
      <c r="B128" s="101" t="str">
        <f>MEDIDA!R24</f>
        <v>1</v>
      </c>
      <c r="C128" s="101" t="str">
        <f>MEDIDA!S24</f>
        <v>2</v>
      </c>
      <c r="D128" s="110" t="str">
        <f>MEDIDA!T24</f>
        <v>1,00</v>
      </c>
      <c r="E128" s="110">
        <f ca="1">MEDIDA!U24</f>
        <v>1.92</v>
      </c>
      <c r="F128" s="110" t="str">
        <f>MEDIDA!V24</f>
        <v>1,00</v>
      </c>
      <c r="G128" s="110">
        <f ca="1">MEDIDA!W24</f>
        <v>1.9307564430067305</v>
      </c>
      <c r="H128" s="110" t="str">
        <f>MEDIDA!X24</f>
        <v>1,00</v>
      </c>
      <c r="I128" s="110">
        <f ca="1">MEDIDA!Y24</f>
        <v>1.9307564430067305</v>
      </c>
      <c r="J128" s="110" t="str">
        <f>MEDIDA!Z24</f>
        <v>1,00</v>
      </c>
      <c r="K128" s="110">
        <f ca="1">MEDIDA!AA24</f>
        <v>1.9228467023627276</v>
      </c>
      <c r="L128" s="110" t="str">
        <f>MEDIDA!AB24</f>
        <v>1,00</v>
      </c>
      <c r="M128" s="110">
        <f ca="1">MEDIDA!AC24</f>
        <v>1.9260898970940472</v>
      </c>
      <c r="N128" s="110">
        <f>MEDIDA!AD24</f>
        <v>0</v>
      </c>
      <c r="O128" s="110">
        <f ca="1">MEDIDA!AE24</f>
        <v>7.391010290595279E-2</v>
      </c>
      <c r="P128" s="122">
        <f>INCERTIDUMBRE!L40</f>
        <v>0.58101067899704206</v>
      </c>
      <c r="Q128" s="122"/>
      <c r="R128" s="122"/>
      <c r="S128" s="95">
        <f>INCERTIDUMBRE!K40</f>
        <v>2.0125794050712815</v>
      </c>
    </row>
    <row r="129" spans="2:19" x14ac:dyDescent="0.3">
      <c r="B129" s="101" t="str">
        <f>MEDIDA!R25</f>
        <v>1</v>
      </c>
      <c r="C129" s="101" t="str">
        <f>MEDIDA!S25</f>
        <v>3</v>
      </c>
      <c r="D129" s="110" t="str">
        <f>MEDIDA!T25</f>
        <v>1,00</v>
      </c>
      <c r="E129" s="110">
        <f ca="1">MEDIDA!U25</f>
        <v>2.85</v>
      </c>
      <c r="F129" s="110" t="str">
        <f>MEDIDA!V25</f>
        <v>1,00</v>
      </c>
      <c r="G129" s="110">
        <f ca="1">MEDIDA!W25</f>
        <v>2.8371814115112111</v>
      </c>
      <c r="H129" s="110" t="str">
        <f>MEDIDA!X25</f>
        <v>1,00</v>
      </c>
      <c r="I129" s="110">
        <f ca="1">MEDIDA!Y25</f>
        <v>2.8286215082108908</v>
      </c>
      <c r="J129" s="110" t="str">
        <f>MEDIDA!Z25</f>
        <v>1,00</v>
      </c>
      <c r="K129" s="110">
        <f ca="1">MEDIDA!AA25</f>
        <v>2.8420400672921904</v>
      </c>
      <c r="L129" s="110" t="str">
        <f>MEDIDA!AB25</f>
        <v>1,00</v>
      </c>
      <c r="M129" s="110">
        <f ca="1">MEDIDA!AC25</f>
        <v>2.8394607467535731</v>
      </c>
      <c r="N129" s="110">
        <f>MEDIDA!AD25</f>
        <v>0</v>
      </c>
      <c r="O129" s="110">
        <f ca="1">MEDIDA!AE25</f>
        <v>0.16053925324642693</v>
      </c>
      <c r="P129" s="122">
        <f>INCERTIDUMBRE!L41</f>
        <v>0.58101067899704206</v>
      </c>
      <c r="Q129" s="122"/>
      <c r="R129" s="122"/>
      <c r="S129" s="95">
        <f>INCERTIDUMBRE!K41</f>
        <v>2.0125794050712815</v>
      </c>
    </row>
    <row r="130" spans="2:19" ht="16.8" customHeight="1" x14ac:dyDescent="0.3"/>
    <row r="132" spans="2:19" x14ac:dyDescent="0.3">
      <c r="B132" s="139" t="s">
        <v>102</v>
      </c>
      <c r="C132" s="139"/>
      <c r="D132" s="139"/>
      <c r="E132" s="139"/>
      <c r="F132" s="139"/>
      <c r="G132" s="139"/>
      <c r="H132" s="139"/>
      <c r="I132" s="139"/>
      <c r="J132" s="139"/>
      <c r="K132" s="139"/>
      <c r="L132" s="139"/>
      <c r="M132" s="139"/>
      <c r="N132" s="139"/>
      <c r="O132" s="139"/>
      <c r="P132" s="139"/>
      <c r="Q132" s="139"/>
      <c r="R132" s="139"/>
      <c r="S132" s="139"/>
    </row>
    <row r="134" spans="2:19" ht="24" customHeight="1" x14ac:dyDescent="0.3">
      <c r="B134" s="154" t="s">
        <v>103</v>
      </c>
      <c r="C134" s="154"/>
      <c r="D134" s="154"/>
      <c r="E134" s="154"/>
      <c r="F134" s="154"/>
      <c r="G134" s="154"/>
      <c r="I134" s="76" t="s">
        <v>104</v>
      </c>
      <c r="J134" s="76"/>
      <c r="K134" s="76"/>
      <c r="L134" s="76"/>
      <c r="M134" s="76"/>
      <c r="N134" s="76"/>
      <c r="O134" s="76"/>
      <c r="P134" s="76"/>
      <c r="Q134" s="76"/>
      <c r="R134" s="76"/>
      <c r="S134" s="76"/>
    </row>
    <row r="135" spans="2:19" x14ac:dyDescent="0.3">
      <c r="B135" s="155" t="s">
        <v>105</v>
      </c>
      <c r="C135" s="155"/>
      <c r="D135" s="155"/>
      <c r="E135" s="155"/>
      <c r="F135" s="155"/>
      <c r="G135" s="155"/>
      <c r="I135" s="76" t="s">
        <v>104</v>
      </c>
    </row>
    <row r="136" spans="2:19" x14ac:dyDescent="0.3">
      <c r="B136" s="154" t="s">
        <v>106</v>
      </c>
      <c r="C136" s="154"/>
      <c r="D136" s="154"/>
      <c r="E136" s="154"/>
      <c r="F136" s="154"/>
      <c r="G136" s="154"/>
      <c r="I136" s="76" t="s">
        <v>104</v>
      </c>
      <c r="J136" s="76"/>
      <c r="K136" s="76"/>
      <c r="L136" s="76"/>
      <c r="M136" s="76"/>
      <c r="N136" s="76"/>
      <c r="O136" s="76"/>
      <c r="P136" s="76"/>
      <c r="Q136" s="76"/>
      <c r="R136" s="76"/>
      <c r="S136" s="76"/>
    </row>
    <row r="137" spans="2:19" x14ac:dyDescent="0.3">
      <c r="B137" s="176" t="s">
        <v>107</v>
      </c>
      <c r="C137" s="176"/>
      <c r="D137" s="176"/>
      <c r="E137" s="176"/>
      <c r="F137" s="176"/>
      <c r="G137" s="176"/>
      <c r="I137" s="177" t="s">
        <v>211</v>
      </c>
      <c r="J137" s="177"/>
      <c r="K137" s="177"/>
      <c r="L137" s="177"/>
      <c r="M137" s="86"/>
      <c r="N137" s="86"/>
      <c r="O137" s="86"/>
      <c r="P137" s="86"/>
      <c r="Q137" s="86"/>
      <c r="R137" s="86"/>
      <c r="S137" s="86"/>
    </row>
    <row r="140" spans="2:19" x14ac:dyDescent="0.3">
      <c r="B140" s="152" t="s">
        <v>239</v>
      </c>
      <c r="C140" s="152"/>
      <c r="D140" s="152"/>
      <c r="E140" s="152"/>
      <c r="F140" s="152"/>
      <c r="G140" s="152"/>
      <c r="H140" s="152"/>
      <c r="I140" s="152"/>
      <c r="J140" s="152"/>
      <c r="K140" s="152"/>
      <c r="L140" s="152"/>
      <c r="M140" s="152"/>
      <c r="N140" s="152"/>
      <c r="O140" s="152"/>
      <c r="P140" s="152"/>
      <c r="Q140" s="152"/>
      <c r="R140" s="152"/>
      <c r="S140" s="152"/>
    </row>
    <row r="146" spans="20:20" ht="16.2" customHeight="1" x14ac:dyDescent="0.3">
      <c r="T146" s="50"/>
    </row>
    <row r="147" spans="20:20" ht="11.4" customHeight="1" x14ac:dyDescent="0.3"/>
    <row r="151" spans="20:20" ht="16.8" customHeight="1" x14ac:dyDescent="0.3"/>
    <row r="152" spans="20:20" ht="24" customHeight="1" x14ac:dyDescent="0.3"/>
    <row r="156" spans="20:20" ht="16.8" customHeight="1" x14ac:dyDescent="0.3"/>
    <row r="160" spans="20:20" ht="24" customHeight="1" x14ac:dyDescent="0.3"/>
    <row r="171" spans="20:20" x14ac:dyDescent="0.3">
      <c r="T171" s="86"/>
    </row>
  </sheetData>
  <mergeCells count="273">
    <mergeCell ref="B132:S132"/>
    <mergeCell ref="B134:G134"/>
    <mergeCell ref="B135:G135"/>
    <mergeCell ref="N81:O81"/>
    <mergeCell ref="B136:G136"/>
    <mergeCell ref="N85:O85"/>
    <mergeCell ref="P85:R85"/>
    <mergeCell ref="B83:C84"/>
    <mergeCell ref="L83:S83"/>
    <mergeCell ref="D83:K83"/>
    <mergeCell ref="D84:E84"/>
    <mergeCell ref="F84:G84"/>
    <mergeCell ref="H84:I84"/>
    <mergeCell ref="J84:K84"/>
    <mergeCell ref="L84:M84"/>
    <mergeCell ref="N84:O84"/>
    <mergeCell ref="P84:R84"/>
    <mergeCell ref="I81:M81"/>
    <mergeCell ref="P81:R81"/>
    <mergeCell ref="L86:M86"/>
    <mergeCell ref="F87:G87"/>
    <mergeCell ref="H87:I87"/>
    <mergeCell ref="J87:K87"/>
    <mergeCell ref="L87:M87"/>
    <mergeCell ref="B137:G137"/>
    <mergeCell ref="I137:L137"/>
    <mergeCell ref="B140:S140"/>
    <mergeCell ref="B116:C117"/>
    <mergeCell ref="B125:C126"/>
    <mergeCell ref="L118:M118"/>
    <mergeCell ref="N118:O118"/>
    <mergeCell ref="P118:R118"/>
    <mergeCell ref="B119:C119"/>
    <mergeCell ref="D119:E119"/>
    <mergeCell ref="F119:G119"/>
    <mergeCell ref="H119:I119"/>
    <mergeCell ref="J119:K119"/>
    <mergeCell ref="L119:M119"/>
    <mergeCell ref="N119:O119"/>
    <mergeCell ref="P119:R119"/>
    <mergeCell ref="B118:C118"/>
    <mergeCell ref="D118:E118"/>
    <mergeCell ref="F118:G118"/>
    <mergeCell ref="B121:C121"/>
    <mergeCell ref="D121:E121"/>
    <mergeCell ref="F121:G121"/>
    <mergeCell ref="H121:I121"/>
    <mergeCell ref="J121:K121"/>
    <mergeCell ref="B71:G71"/>
    <mergeCell ref="C20:G20"/>
    <mergeCell ref="C21:G21"/>
    <mergeCell ref="B65:S68"/>
    <mergeCell ref="P71:S71"/>
    <mergeCell ref="H70:L70"/>
    <mergeCell ref="H71:L71"/>
    <mergeCell ref="I31:L31"/>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9:R19"/>
    <mergeCell ref="I20:R20"/>
    <mergeCell ref="M32:O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7:R7"/>
    <mergeCell ref="I8:R8"/>
    <mergeCell ref="R76:S76"/>
    <mergeCell ref="O76:Q76"/>
    <mergeCell ref="B78:S78"/>
    <mergeCell ref="I9:R9"/>
    <mergeCell ref="I10:R10"/>
    <mergeCell ref="I11:R11"/>
    <mergeCell ref="I12:R12"/>
    <mergeCell ref="I21:R21"/>
    <mergeCell ref="C23:R28"/>
    <mergeCell ref="I32:L32"/>
    <mergeCell ref="C19:G19"/>
    <mergeCell ref="M70:O70"/>
    <mergeCell ref="M71:O71"/>
    <mergeCell ref="P70:S70"/>
    <mergeCell ref="B70:G70"/>
    <mergeCell ref="B51:S58"/>
    <mergeCell ref="B61:S62"/>
    <mergeCell ref="C15:R15"/>
    <mergeCell ref="C17:G17"/>
    <mergeCell ref="C18:G18"/>
    <mergeCell ref="I13:R13"/>
    <mergeCell ref="M31:R31"/>
    <mergeCell ref="I17:R17"/>
    <mergeCell ref="I18:R18"/>
    <mergeCell ref="N87:O87"/>
    <mergeCell ref="P87:R87"/>
    <mergeCell ref="B86:C86"/>
    <mergeCell ref="D86:E86"/>
    <mergeCell ref="F86:G86"/>
    <mergeCell ref="H86:I86"/>
    <mergeCell ref="J86:K86"/>
    <mergeCell ref="B85:C85"/>
    <mergeCell ref="D85:E85"/>
    <mergeCell ref="F85:G85"/>
    <mergeCell ref="H85:I85"/>
    <mergeCell ref="J85:K85"/>
    <mergeCell ref="L85:M85"/>
    <mergeCell ref="N86:O86"/>
    <mergeCell ref="P86:R86"/>
    <mergeCell ref="B87:C87"/>
    <mergeCell ref="D87:E87"/>
    <mergeCell ref="I91:M91"/>
    <mergeCell ref="P94:R94"/>
    <mergeCell ref="L93:S93"/>
    <mergeCell ref="P91:R91"/>
    <mergeCell ref="L88:M88"/>
    <mergeCell ref="N88:O88"/>
    <mergeCell ref="P88:R88"/>
    <mergeCell ref="B88:C88"/>
    <mergeCell ref="D88:E88"/>
    <mergeCell ref="F88:G88"/>
    <mergeCell ref="H88:I88"/>
    <mergeCell ref="J88:K88"/>
    <mergeCell ref="N91:O91"/>
    <mergeCell ref="B93:C94"/>
    <mergeCell ref="L95:M95"/>
    <mergeCell ref="N95:O95"/>
    <mergeCell ref="P95:R95"/>
    <mergeCell ref="L96:M96"/>
    <mergeCell ref="N96:O96"/>
    <mergeCell ref="P96:R96"/>
    <mergeCell ref="D93:K93"/>
    <mergeCell ref="D94:E94"/>
    <mergeCell ref="F94:G94"/>
    <mergeCell ref="H94:I94"/>
    <mergeCell ref="J94:K94"/>
    <mergeCell ref="L94:M94"/>
    <mergeCell ref="N94:O94"/>
    <mergeCell ref="B96:C96"/>
    <mergeCell ref="D96:E96"/>
    <mergeCell ref="F96:G96"/>
    <mergeCell ref="H96:I96"/>
    <mergeCell ref="J96:K96"/>
    <mergeCell ref="B95:C95"/>
    <mergeCell ref="D95:E95"/>
    <mergeCell ref="F95:G95"/>
    <mergeCell ref="H95:I95"/>
    <mergeCell ref="J95:K95"/>
    <mergeCell ref="B97:C97"/>
    <mergeCell ref="D97:E97"/>
    <mergeCell ref="F97:G97"/>
    <mergeCell ref="H97:I97"/>
    <mergeCell ref="J97:K97"/>
    <mergeCell ref="L97:M97"/>
    <mergeCell ref="N97:O97"/>
    <mergeCell ref="P97:R97"/>
    <mergeCell ref="P98:R98"/>
    <mergeCell ref="B98:C98"/>
    <mergeCell ref="D98:E98"/>
    <mergeCell ref="F98:G98"/>
    <mergeCell ref="H98:I98"/>
    <mergeCell ref="J98:K98"/>
    <mergeCell ref="B103:C104"/>
    <mergeCell ref="L105:M105"/>
    <mergeCell ref="N105:O105"/>
    <mergeCell ref="P105:R105"/>
    <mergeCell ref="D103:K103"/>
    <mergeCell ref="D104:E104"/>
    <mergeCell ref="F104:G104"/>
    <mergeCell ref="H104:I104"/>
    <mergeCell ref="J104:K104"/>
    <mergeCell ref="L103:S103"/>
    <mergeCell ref="L104:M104"/>
    <mergeCell ref="N104:O104"/>
    <mergeCell ref="P104:R104"/>
    <mergeCell ref="B105:C105"/>
    <mergeCell ref="D105:E105"/>
    <mergeCell ref="F105:G105"/>
    <mergeCell ref="I101:M101"/>
    <mergeCell ref="N101:O101"/>
    <mergeCell ref="P101:R101"/>
    <mergeCell ref="L98:M98"/>
    <mergeCell ref="N98:O98"/>
    <mergeCell ref="L117:M117"/>
    <mergeCell ref="N117:O117"/>
    <mergeCell ref="P117:R117"/>
    <mergeCell ref="I114:M114"/>
    <mergeCell ref="N114:O114"/>
    <mergeCell ref="P114:R114"/>
    <mergeCell ref="H105:I105"/>
    <mergeCell ref="J105:K105"/>
    <mergeCell ref="L108:M108"/>
    <mergeCell ref="N108:O108"/>
    <mergeCell ref="P108:R108"/>
    <mergeCell ref="L106:M106"/>
    <mergeCell ref="N106:O106"/>
    <mergeCell ref="P106:R106"/>
    <mergeCell ref="H107:I107"/>
    <mergeCell ref="J107:K107"/>
    <mergeCell ref="L107:M107"/>
    <mergeCell ref="N107:O107"/>
    <mergeCell ref="P107:R107"/>
    <mergeCell ref="B108:C108"/>
    <mergeCell ref="D108:E108"/>
    <mergeCell ref="F108:G108"/>
    <mergeCell ref="H108:I108"/>
    <mergeCell ref="J108:K108"/>
    <mergeCell ref="B107:C107"/>
    <mergeCell ref="D107:E107"/>
    <mergeCell ref="F107:G107"/>
    <mergeCell ref="B106:C106"/>
    <mergeCell ref="D106:E106"/>
    <mergeCell ref="F106:G106"/>
    <mergeCell ref="H106:I106"/>
    <mergeCell ref="J106:K106"/>
    <mergeCell ref="L121:M121"/>
    <mergeCell ref="N121:O121"/>
    <mergeCell ref="P121:R121"/>
    <mergeCell ref="B120:C120"/>
    <mergeCell ref="D120:E120"/>
    <mergeCell ref="F120:G120"/>
    <mergeCell ref="H120:I120"/>
    <mergeCell ref="J120:K120"/>
    <mergeCell ref="O112:Q112"/>
    <mergeCell ref="R112:S112"/>
    <mergeCell ref="J118:K118"/>
    <mergeCell ref="L120:M120"/>
    <mergeCell ref="N120:O120"/>
    <mergeCell ref="P120:R120"/>
    <mergeCell ref="F117:G117"/>
    <mergeCell ref="H117:I117"/>
    <mergeCell ref="J117:K117"/>
    <mergeCell ref="H118:I118"/>
    <mergeCell ref="D116:K116"/>
    <mergeCell ref="L116:S116"/>
    <mergeCell ref="D117:E117"/>
    <mergeCell ref="P129:R129"/>
    <mergeCell ref="P127:R127"/>
    <mergeCell ref="P128:R128"/>
    <mergeCell ref="I123:M123"/>
    <mergeCell ref="N123:O123"/>
    <mergeCell ref="P123:R123"/>
    <mergeCell ref="D125:K125"/>
    <mergeCell ref="L125:S125"/>
    <mergeCell ref="D126:E126"/>
    <mergeCell ref="F126:G126"/>
    <mergeCell ref="H126:I126"/>
    <mergeCell ref="J126:K126"/>
    <mergeCell ref="L126:M126"/>
    <mergeCell ref="N126:O126"/>
    <mergeCell ref="P126:R12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2023-11-03T14:42:39Z</cp:lastPrinted>
  <dcterms:created xsi:type="dcterms:W3CDTF">2012-07-25T22:15:54Z</dcterms:created>
  <dcterms:modified xsi:type="dcterms:W3CDTF">2026-05-05T03:02:00Z</dcterms:modified>
</cp:coreProperties>
</file>