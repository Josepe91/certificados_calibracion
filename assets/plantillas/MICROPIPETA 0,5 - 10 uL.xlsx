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85232CA4-1434-403C-A89C-C5456D528ABF}"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20" l="1"/>
  <c r="F6" i="20" l="1"/>
  <c r="D7" i="20"/>
  <c r="F7" i="20" s="1"/>
  <c r="D8" i="20"/>
  <c r="F8" i="20" s="1"/>
  <c r="J8" i="20" l="1"/>
  <c r="H8" i="20"/>
  <c r="J7" i="20"/>
  <c r="H7" i="20"/>
  <c r="H6" i="20"/>
  <c r="J6" i="20"/>
  <c r="N46" i="3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7" i="20"/>
  <c r="L85" i="31" s="1"/>
  <c r="L8" i="20"/>
  <c r="N8" i="20" s="1"/>
  <c r="N86" i="31" s="1"/>
  <c r="L6" i="20"/>
  <c r="N6" i="20" s="1"/>
  <c r="N84" i="31" s="1"/>
  <c r="J85" i="31"/>
  <c r="J86" i="31"/>
  <c r="J84" i="31"/>
  <c r="H85" i="31"/>
  <c r="H86" i="31"/>
  <c r="H84" i="31"/>
  <c r="F85" i="31"/>
  <c r="F86" i="31"/>
  <c r="F84" i="31"/>
  <c r="D85" i="31"/>
  <c r="D86" i="31"/>
  <c r="D84" i="31"/>
  <c r="B85" i="31"/>
  <c r="B86"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A83" i="29" s="1"/>
  <c r="I5" i="21"/>
  <c r="J5" i="21" s="1"/>
  <c r="K5" i="21" s="1"/>
  <c r="S85" i="31" s="1"/>
  <c r="L84" i="31"/>
  <c r="R38" i="31"/>
  <c r="L86" i="31"/>
  <c r="N7" i="20"/>
  <c r="N85" i="31" s="1"/>
  <c r="S86" i="31" l="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K85" i="29" s="1"/>
  <c r="A91" i="29" s="1"/>
  <c r="D86" i="29"/>
  <c r="H82" i="29" l="1"/>
  <c r="D5" i="29"/>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C27" i="29"/>
  <c r="D27" i="29" s="1"/>
  <c r="E27" i="29" s="1"/>
  <c r="D145" i="29"/>
  <c r="C143" i="29"/>
  <c r="C144" i="29" s="1"/>
  <c r="K142" i="29" s="1"/>
  <c r="F142" i="29"/>
  <c r="A107" i="29"/>
  <c r="J110" i="29" s="1"/>
  <c r="B83" i="29"/>
  <c r="G21" i="29" l="1"/>
  <c r="H21" i="29" s="1"/>
  <c r="C22" i="29"/>
  <c r="C23" i="29" s="1"/>
  <c r="D21" i="29"/>
  <c r="C109" i="29"/>
  <c r="C110" i="29" s="1"/>
  <c r="C111" i="29" s="1"/>
  <c r="K109" i="29" s="1"/>
  <c r="A115" i="29" s="1"/>
  <c r="E109" i="29"/>
  <c r="F112" i="29" s="1"/>
  <c r="C115" i="29"/>
  <c r="D115" i="29" s="1"/>
  <c r="E115" i="29" s="1"/>
  <c r="J109" i="29"/>
  <c r="E112" i="29"/>
  <c r="A148" i="29"/>
  <c r="J151" i="29" s="1"/>
  <c r="B124" i="29"/>
  <c r="F21" i="29" l="1"/>
  <c r="D109" i="29"/>
  <c r="D24" i="29"/>
  <c r="K21" i="29" s="1"/>
  <c r="A27" i="29" s="1"/>
  <c r="D22" i="29"/>
  <c r="G109" i="29"/>
  <c r="H109" i="29" s="1"/>
  <c r="E153" i="29"/>
  <c r="C150" i="29"/>
  <c r="D150" i="29" s="1"/>
  <c r="D153" i="29" s="1"/>
  <c r="J150" i="29"/>
  <c r="C156" i="29"/>
  <c r="D156" i="29" s="1"/>
  <c r="E156" i="29" s="1"/>
  <c r="E150" i="29"/>
  <c r="F153" i="29" s="1"/>
  <c r="G150" i="29" s="1"/>
  <c r="F150" i="29" s="1"/>
  <c r="D151" i="29"/>
  <c r="E120" i="29"/>
  <c r="J118" i="29"/>
  <c r="E117" i="29"/>
  <c r="C117" i="29"/>
  <c r="C118" i="29" s="1"/>
  <c r="C119" i="29" s="1"/>
  <c r="J117" i="29"/>
  <c r="D110" i="29" l="1"/>
  <c r="D112" i="29"/>
  <c r="F109" i="29"/>
  <c r="E32" i="29"/>
  <c r="J29" i="29"/>
  <c r="E29" i="29"/>
  <c r="F32" i="29" s="1"/>
  <c r="J30" i="29"/>
  <c r="C35" i="29"/>
  <c r="D35" i="29" s="1"/>
  <c r="E35" i="29" s="1"/>
  <c r="C29" i="29"/>
  <c r="C151" i="29"/>
  <c r="C152" i="29" s="1"/>
  <c r="K150" i="29" s="1"/>
  <c r="A156" i="29" s="1"/>
  <c r="E161" i="29" s="1"/>
  <c r="H150" i="29"/>
  <c r="K117" i="29"/>
  <c r="D117" i="29"/>
  <c r="F120" i="29"/>
  <c r="G117" i="29" s="1"/>
  <c r="G29" i="29" l="1"/>
  <c r="H29" i="29" s="1"/>
  <c r="D29" i="29"/>
  <c r="C30" i="29"/>
  <c r="C31" i="29" s="1"/>
  <c r="C158" i="29"/>
  <c r="C159" i="29" s="1"/>
  <c r="C160" i="29" s="1"/>
  <c r="J159" i="29"/>
  <c r="E158" i="29"/>
  <c r="D158" i="29" s="1"/>
  <c r="D159" i="29" s="1"/>
  <c r="J158" i="29"/>
  <c r="K158" i="29"/>
  <c r="F161" i="29"/>
  <c r="G158" i="29" s="1"/>
  <c r="H158" i="29" s="1"/>
  <c r="D161" i="29"/>
  <c r="H117" i="29"/>
  <c r="F117" i="29"/>
  <c r="D118" i="29"/>
  <c r="D120" i="29"/>
  <c r="F29" i="29" l="1"/>
  <c r="D32" i="29"/>
  <c r="K29" i="29" s="1"/>
  <c r="A35" i="29" s="1"/>
  <c r="D30" i="29"/>
  <c r="F158" i="29"/>
  <c r="E40" i="29" l="1"/>
  <c r="E37" i="29"/>
  <c r="F40" i="29" s="1"/>
  <c r="G37" i="29" s="1"/>
  <c r="C37" i="29"/>
  <c r="C38" i="29" s="1"/>
  <c r="C39" i="29" s="1"/>
  <c r="J38" i="29"/>
  <c r="J37" i="29"/>
  <c r="D37" i="29" l="1"/>
  <c r="D40" i="29" s="1"/>
  <c r="K37" i="29"/>
  <c r="B3" i="29" s="1"/>
  <c r="H37" i="29"/>
  <c r="F37" i="29"/>
  <c r="D38" i="29" l="1"/>
</calcChain>
</file>

<file path=xl/sharedStrings.xml><?xml version="1.0" encoding="utf-8"?>
<sst xmlns="http://schemas.openxmlformats.org/spreadsheetml/2006/main" count="971" uniqueCount="167">
  <si>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</si>
  <si>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</si>
  <si>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</si>
  <si>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</si>
  <si>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</si>
  <si>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</si>
  <si>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</si>
  <si>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</si>
  <si>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</si>
  <si>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</si>
  <si>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</si>
  <si>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</si>
  <si>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</si>
  <si>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</si>
  <si>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</si>
  <si>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</si>
  <si>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</si>
  <si>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</si>
  <si>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</si>
  <si>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</si>
  <si>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</si>
  <si>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</si>
  <si>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</si>
  <si>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</si>
  <si>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</si>
  <si>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</si>
  <si>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</si>
  <si>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</si>
  <si>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</si>
  <si>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</si>
  <si>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</si>
  <si>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</si>
  <si>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</si>
  <si>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</si>
  <si>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</si>
  <si>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</si>
  <si>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</si>
  <si>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</si>
  <si>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</si>
  <si>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</si>
  <si>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</si>
  <si>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</si>
  <si>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</si>
  <si>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</si>
  <si>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</si>
  <si>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</si>
  <si>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</si>
  <si>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</si>
  <si>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</si>
  <si>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</si>
  <si>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</si>
  <si>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</si>
  <si>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</si>
  <si>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</si>
  <si>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</si>
  <si>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</si>
  <si>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</si>
  <si>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</si>
  <si>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</si>
  <si>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</si>
  <si>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</si>
  <si>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</si>
  <si>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</si>
  <si>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</si>
  <si>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</si>
  <si>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</si>
  <si>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</si>
  <si>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</si>
  <si>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</si>
  <si>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</si>
  <si>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</si>
  <si>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</si>
  <si>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</si>
  <si>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</si>
  <si>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</si>
  <si>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</si>
  <si>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</si>
  <si>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</si>
  <si>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</si>
  <si>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</si>
  <si>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</si>
  <si>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</si>
  <si>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</si>
  <si>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</si>
  <si>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</si>
  <si>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</si>
  <si>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</si>
  <si>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</si>
  <si>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</si>
  <si>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</si>
  <si>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</si>
  <si>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</si>
  <si>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</si>
  <si>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</si>
  <si>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</si>
  <si>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</si>
  <si>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</si>
  <si>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</si>
  <si>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</si>
  <si>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</si>
  <si>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</si>
  <si>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</si>
  <si>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</si>
  <si>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</si>
  <si>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</si>
  <si>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</si>
  <si>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</si>
  <si>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</si>
  <si>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</si>
  <si>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</si>
  <si>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</si>
  <si>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</si>
  <si>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</si>
  <si>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</si>
  <si>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</si>
  <si>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</si>
  <si>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</si>
  <si>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</si>
  <si>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</si>
  <si>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</si>
  <si>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</si>
  <si>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</si>
  <si>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</si>
  <si>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</si>
  <si>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</si>
  <si>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</si>
  <si>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</si>
  <si>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</si>
  <si>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</si>
  <si>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</si>
  <si>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</si>
  <si>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</si>
  <si>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</si>
  <si>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</si>
  <si>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</si>
  <si>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</si>
  <si>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</si>
  <si>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</si>
  <si>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Equipo bajo prueba     (µL)</t>
  </si>
  <si>
    <t>Lectura 1 (µL)</t>
  </si>
  <si>
    <t>Lectura 2 (µL)</t>
  </si>
  <si>
    <t>Lectura 3  (µL)</t>
  </si>
  <si>
    <t>Promedio (µL)</t>
  </si>
  <si>
    <t>Error           (µL)</t>
  </si>
  <si>
    <t>Intervalo de medición (µL):</t>
  </si>
  <si>
    <t>Resolución (µL):</t>
  </si>
  <si>
    <t>*µL= Microlitros</t>
  </si>
  <si>
    <t>Intrumento</t>
  </si>
  <si>
    <t>Marca</t>
  </si>
  <si>
    <t>Modelo</t>
  </si>
  <si>
    <t>Serie</t>
  </si>
  <si>
    <t>Ubicación</t>
  </si>
  <si>
    <t>Número de Certificado</t>
  </si>
  <si>
    <t>Fecha de Recepción</t>
  </si>
  <si>
    <t>Estado Físico:</t>
  </si>
  <si>
    <t>ING. GABRIEL DURÁN</t>
  </si>
  <si>
    <t>Inventario</t>
  </si>
  <si>
    <t>0,5 a 10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</si>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</sst>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
      <patternFill patternType="solid">
        <fgColor theme="0" tint="-0.14999847407452621"/>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3">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168"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15" fillId="0" borderId="5" xfId="0" applyFont="1" applyBorder="1" applyAlignment="1">
      <alignment horizont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0" fontId="27" fillId="14" borderId="5" xfId="0" applyFont="1" applyFill="1" applyBorder="1" applyAlignment="1">
      <alignment horizontal="center"/>
    </xf>
    <xf numFmtId="2" fontId="27" fillId="14" borderId="5" xfId="0" applyNumberFormat="1" applyFont="1" applyFill="1" applyBorder="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168" fontId="27" fillId="0" borderId="5" xfId="0" applyNumberFormat="1" applyFont="1" applyBorder="1" applyAlignment="1">
      <alignment horizont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0" i="0" u="none" strike="noStrike" kern="1200" spc="0" baseline="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1339924252587692"/>
          <c:y val="0.14883494187051069"/>
          <c:w val="0.84337846530651561"/>
          <c:h val="0.74068488304165736"/>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MEDIDA!$B$6:$B$8</c:f>
              <c:numCache>
                <c:formatCode>General</c:formatCode>
                <c:ptCount val="3"/>
                <c:pt idx="0">
                  <c:v>0.5</c:v>
                </c:pt>
                <c:pt idx="1">
                  <c:v>5</c:v>
                </c:pt>
                <c:pt idx="2">
                  <c:v>10</c:v>
                </c:pt>
              </c:numCache>
            </c:numRef>
          </c:xVal>
          <c:yVal>
            <c:numRef>
              <c:f>MEDIDA!$C$6:$C$8</c:f>
              <c:numCache>
                <c:formatCode>General</c:formatCode>
                <c:ptCount val="3"/>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0.01</c:v>
                  </c:pt>
                  <c:pt idx="1">
                    <c:v>0.01</c:v>
                  </c:pt>
                  <c:pt idx="2">
                    <c:v>0.01</c:v>
                  </c:pt>
                  <c:pt idx="3">
                    <c:v>0</c:v>
                  </c:pt>
                  <c:pt idx="4">
                    <c:v>0</c:v>
                  </c:pt>
                </c:numCache>
              </c:numRef>
            </c:plus>
            <c:minus>
              <c:numRef>
                <c:f>INCERTIDUMBRE!$L$4:$L$8</c:f>
                <c:numCache>
                  <c:formatCode>General</c:formatCode>
                  <c:ptCount val="5"/>
                  <c:pt idx="0">
                    <c:v>0.01</c:v>
                  </c:pt>
                  <c:pt idx="1">
                    <c:v>0.01</c:v>
                  </c:pt>
                  <c:pt idx="2">
                    <c:v>0.01</c:v>
                  </c:pt>
                  <c:pt idx="3">
                    <c:v>0</c:v>
                  </c:pt>
                  <c:pt idx="4">
                    <c:v>0</c:v>
                  </c:pt>
                </c:numCache>
              </c:numRef>
            </c:minus>
            <c:spPr>
              <a:noFill/>
              <a:ln w="9525" cap="flat" cmpd="sng" algn="ctr">
                <a:solidFill>
                  <a:schemeClr val="accent2"/>
                </a:solidFill>
                <a:round/>
              </a:ln>
              <a:effectLst/>
            </c:spPr>
          </c:errBars>
          <c:xVal>
            <c:numRef>
              <c:f>MEDIDA!$B$6:$B$8</c:f>
              <c:numCache>
                <c:formatCode>General</c:formatCode>
                <c:ptCount val="3"/>
                <c:pt idx="0">
                  <c:v>0.5</c:v>
                </c:pt>
                <c:pt idx="1">
                  <c:v>5</c:v>
                </c:pt>
                <c:pt idx="2">
                  <c:v>10</c:v>
                </c:pt>
              </c:numCache>
            </c:numRef>
          </c:xVal>
          <c:yVal>
            <c:numRef>
              <c:f>MEDIDA!$N$6:$N$8</c:f>
              <c:numCache>
                <c:formatCode>0.00</c:formatCode>
                <c:ptCount val="3"/>
                <c:pt idx="0">
                  <c:v>-1.9663823858734109E-2</c:v>
                </c:pt>
                <c:pt idx="1">
                  <c:v>-5.2036855354068656E-2</c:v>
                </c:pt>
                <c:pt idx="2">
                  <c:v>-0.13998724578470068</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MEDIDA!$B$6:$B$8</c:f>
              <c:numCache>
                <c:formatCode>General</c:formatCode>
                <c:ptCount val="3"/>
                <c:pt idx="0">
                  <c:v>0.5</c:v>
                </c:pt>
                <c:pt idx="1">
                  <c:v>5</c:v>
                </c:pt>
                <c:pt idx="2">
                  <c:v>10</c:v>
                </c:pt>
              </c:numCache>
            </c:numRef>
          </c:xVal>
          <c:yVal>
            <c:numRef>
              <c:f>MEDIDA!$O$6:$O$8</c:f>
              <c:numCache>
                <c:formatCode>0.00</c:formatCode>
                <c:ptCount val="3"/>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(µL)</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(µL)</a:t>
                </a:r>
              </a:p>
            </c:rich>
          </c:tx>
          <c:layout>
            <c:manualLayout>
              <c:xMode val="edge"/>
              <c:yMode val="edge"/>
              <c:x val="1.3018613499000698E-2"/>
              <c:y val="0.2156562913961773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53340</xdr:colOff>
      <xdr:row>86</xdr:row>
      <xdr:rowOff>190500</xdr:rowOff>
    </xdr:from>
    <xdr:to>
      <xdr:col>19</xdr:col>
      <xdr:colOff>7620</xdr:colOff>
      <xdr:row>97</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B21" sqref="B21"/>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147</v>
      </c>
      <c r="B2" s="98" t="s">
        <v>148</v>
      </c>
      <c r="C2" s="98" t="s">
        <v>149</v>
      </c>
      <c r="D2" s="98" t="s">
        <v>150</v>
      </c>
      <c r="E2" s="98" t="s">
        <v>151</v>
      </c>
      <c r="F2" s="98" t="s">
        <v>156</v>
      </c>
      <c r="G2" s="98" t="s">
        <v>152</v>
      </c>
      <c r="H2" s="98" t="s">
        <v>153</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154</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str">
        <f>FIXED(A3,6)</f>
        <v>0,010000</v>
      </c>
      <c r="D2" t="str">
        <f>RIGHT(C2,1)</f>
        <v>0</v>
      </c>
      <c r="E2">
        <f>D2/1000000</f>
        <v>0</v>
      </c>
      <c r="F2" s="30">
        <f>A3-E2</f>
        <v>0.01</v>
      </c>
      <c r="H2" t="str">
        <f>IF(C7=5,IF(AND(D3=0,D8=FALSE),J5,J6),J6)</f>
        <v>0,0100</v>
      </c>
      <c r="K2" s="27"/>
    </row>
    <row r="3" spans="1:11" ht="18.600000000000001" thickBot="1" x14ac:dyDescent="0.4">
      <c r="A3" s="29">
        <f>INCERTIDUMBRE!L5</f>
        <v>0.01</v>
      </c>
      <c r="B3" s="28" t="str">
        <f>IF(A3&gt;=10,K37,IF(A3&gt;=1,K29,IF(A3&gt;=0.1,K21,IF(A3&gt;=0.01,K13,IF(A3&gt;=0.001,K5)))))</f>
        <v>0,010</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01</v>
      </c>
      <c r="D5" t="str">
        <f>LEFT(C5,1)</f>
        <v>0</v>
      </c>
      <c r="E5" s="30">
        <f>TRUNC(A3)</f>
        <v>0</v>
      </c>
      <c r="F5" s="14" t="str">
        <f>FIXED(A3-E5,G5)</f>
        <v>0,01</v>
      </c>
      <c r="G5">
        <f>ABS(E8-F8)</f>
        <v>2</v>
      </c>
      <c r="H5" t="str">
        <f>RIGHT(A3,G5)</f>
        <v>01</v>
      </c>
      <c r="I5">
        <v>5.0000000000000002E-5</v>
      </c>
      <c r="J5" s="14">
        <f>(A3-I5)</f>
        <v>9.9500000000000005E-3</v>
      </c>
      <c r="K5" s="45" t="str">
        <f>IF(C7=5,IF(AND(D3=0,D8=FALSE),J5,J6),J6)</f>
        <v>0,0100</v>
      </c>
    </row>
    <row r="6" spans="1:11" hidden="1" x14ac:dyDescent="0.3">
      <c r="A6" s="31"/>
      <c r="C6" t="str">
        <f>RIGHT(C5,1)</f>
        <v>1</v>
      </c>
      <c r="D6">
        <f>D5+0</f>
        <v>0</v>
      </c>
      <c r="J6" t="str">
        <f>FIXED(A3,4)</f>
        <v>0,0100</v>
      </c>
      <c r="K6" s="27"/>
    </row>
    <row r="7" spans="1:11" hidden="1" x14ac:dyDescent="0.3">
      <c r="A7" s="31"/>
      <c r="C7">
        <f>C6+0</f>
        <v>1</v>
      </c>
      <c r="D7" t="s">
        <v>34</v>
      </c>
      <c r="E7" t="s">
        <v>33</v>
      </c>
      <c r="F7" t="s">
        <v>32</v>
      </c>
      <c r="K7" s="27"/>
    </row>
    <row r="8" spans="1:11" hidden="1" x14ac:dyDescent="0.3">
      <c r="A8" s="31"/>
      <c r="D8" t="b">
        <f>ISODD(D5)</f>
        <v>0</v>
      </c>
      <c r="E8">
        <f>LEN(A3)</f>
        <v>4</v>
      </c>
      <c r="F8">
        <f>LEN(E5)+1</f>
        <v>2</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str">
        <f>K5</f>
        <v>0,0100</v>
      </c>
      <c r="C11" t="str">
        <f>FIXED(A3,5)</f>
        <v>0,01000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0</v>
      </c>
      <c r="F13" s="14" t="str">
        <f>FIXED(A11-E13,G13)</f>
        <v>0,0100</v>
      </c>
      <c r="G13">
        <f>ABS(E16-F16)</f>
        <v>4</v>
      </c>
      <c r="H13" t="str">
        <f>RIGHT(A11,G13)</f>
        <v>0100</v>
      </c>
      <c r="I13">
        <v>5.0000000000000001E-4</v>
      </c>
      <c r="J13" s="44">
        <f>(A11-I13)</f>
        <v>9.4999999999999998E-3</v>
      </c>
      <c r="K13" s="43" t="str">
        <f>IF(C15=5,IF(AND(E11=0,D16=FALSE),J13,J14),J14)</f>
        <v>0,010</v>
      </c>
    </row>
    <row r="14" spans="1:11" hidden="1" x14ac:dyDescent="0.3">
      <c r="A14" s="31"/>
      <c r="C14" t="str">
        <f>RIGHT(C13,1)</f>
        <v>0</v>
      </c>
      <c r="D14">
        <f>D13+0</f>
        <v>0</v>
      </c>
      <c r="J14" t="str">
        <f>FIXED(A11,3)</f>
        <v>0,010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str">
        <f>K13</f>
        <v>0,010</v>
      </c>
      <c r="C19" t="str">
        <f>FIXED(A11,4)</f>
        <v>0,0100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10</v>
      </c>
      <c r="D21" t="str">
        <f>LEFT(C21,1)</f>
        <v>1</v>
      </c>
      <c r="E21" s="36">
        <f>TRUNC(A19)</f>
        <v>0</v>
      </c>
      <c r="F21" s="14" t="str">
        <f>FIXED(A19-E21,G21)</f>
        <v>0,010</v>
      </c>
      <c r="G21">
        <f>ABS(E24-F24)</f>
        <v>3</v>
      </c>
      <c r="H21" t="str">
        <f>RIGHT(A19,G21)</f>
        <v>010</v>
      </c>
      <c r="I21">
        <v>5.0000000000000001E-3</v>
      </c>
      <c r="J21" s="2">
        <f>(A19-I21)</f>
        <v>5.0000000000000001E-3</v>
      </c>
      <c r="K21" s="41" t="str">
        <f>IF(C23=5,IF(AND(E19=0,D24=FALSE),J21,J22),J22)</f>
        <v>0,01</v>
      </c>
    </row>
    <row r="22" spans="1:11" ht="18" hidden="1" x14ac:dyDescent="0.35">
      <c r="A22" s="31"/>
      <c r="C22" t="str">
        <f>RIGHT(C21,1)</f>
        <v>0</v>
      </c>
      <c r="D22">
        <f>D21+0</f>
        <v>1</v>
      </c>
      <c r="J22" t="str">
        <f>FIXED(A19,2)</f>
        <v>0,01</v>
      </c>
      <c r="K22" s="41"/>
    </row>
    <row r="23" spans="1:11" hidden="1" x14ac:dyDescent="0.3">
      <c r="A23" s="31"/>
      <c r="C23">
        <f>C22+0</f>
        <v>0</v>
      </c>
      <c r="D23" t="s">
        <v>34</v>
      </c>
      <c r="E23" t="s">
        <v>33</v>
      </c>
      <c r="F23" t="s">
        <v>32</v>
      </c>
      <c r="K23" s="27"/>
    </row>
    <row r="24" spans="1:11" hidden="1" x14ac:dyDescent="0.3">
      <c r="A24" s="31"/>
      <c r="D24" t="b">
        <f>ISODD(D21)</f>
        <v>1</v>
      </c>
      <c r="E24">
        <f>LEN(A19)</f>
        <v>5</v>
      </c>
      <c r="F24">
        <f>LEN(E21)+1</f>
        <v>2</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str">
        <f>K21</f>
        <v>0,01</v>
      </c>
      <c r="C27" t="str">
        <f>FIXED(A19,3)</f>
        <v>0,010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01</v>
      </c>
      <c r="D29" t="str">
        <f>LEFT(C29,1)</f>
        <v>0</v>
      </c>
      <c r="E29" s="36">
        <f>TRUNC(A27)</f>
        <v>0</v>
      </c>
      <c r="F29" s="14" t="str">
        <f>FIXED(A27-E29,G29)</f>
        <v>0,01</v>
      </c>
      <c r="G29">
        <f>ABS(E32-F32)</f>
        <v>2</v>
      </c>
      <c r="H29" t="str">
        <f>RIGHT(A27,G29)</f>
        <v>01</v>
      </c>
      <c r="I29">
        <v>0.05</v>
      </c>
      <c r="J29" s="2">
        <f>(A27-I29)</f>
        <v>-0.04</v>
      </c>
      <c r="K29" s="41" t="str">
        <f>IF(C31=5,IF(AND(E27=0,D32=FALSE),J29,J30),J30)</f>
        <v>0,0</v>
      </c>
    </row>
    <row r="30" spans="1:11" hidden="1" x14ac:dyDescent="0.3">
      <c r="A30" s="31"/>
      <c r="C30" t="str">
        <f>RIGHT(C29,1)</f>
        <v>1</v>
      </c>
      <c r="D30">
        <f>D29+0</f>
        <v>0</v>
      </c>
      <c r="J30" t="str">
        <f>FIXED(A27,1)</f>
        <v>0,0</v>
      </c>
      <c r="K30" s="40"/>
    </row>
    <row r="31" spans="1:11" hidden="1" x14ac:dyDescent="0.3">
      <c r="A31" s="31"/>
      <c r="C31">
        <f>C30+0</f>
        <v>1</v>
      </c>
      <c r="D31" t="s">
        <v>34</v>
      </c>
      <c r="E31" t="s">
        <v>33</v>
      </c>
      <c r="F31" t="s">
        <v>32</v>
      </c>
      <c r="K31" s="27"/>
    </row>
    <row r="32" spans="1:11" hidden="1" x14ac:dyDescent="0.3">
      <c r="A32" s="31"/>
      <c r="D32" t="b">
        <f>ISODD(D29)</f>
        <v>0</v>
      </c>
      <c r="E32">
        <f>LEN(A27)</f>
        <v>4</v>
      </c>
      <c r="F32">
        <f>LEN(E29)+1</f>
        <v>2</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str">
        <f>K29</f>
        <v>0,0</v>
      </c>
      <c r="C35" t="str">
        <f>FIXED(A27,2)</f>
        <v>0,01</v>
      </c>
      <c r="D35" t="str">
        <f>RIGHT(C35,1)</f>
        <v>1</v>
      </c>
      <c r="E35">
        <f>D35+0</f>
        <v>1</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,0</v>
      </c>
      <c r="D37" t="str">
        <f>RIGHT(E37,1)</f>
        <v>0</v>
      </c>
      <c r="E37" s="36">
        <f>TRUNC(A35)</f>
        <v>0</v>
      </c>
      <c r="F37" s="14" t="str">
        <f>FIXED(A35-E37,G37)</f>
        <v>0,0</v>
      </c>
      <c r="G37">
        <f>ABS(E40-F40)</f>
        <v>1</v>
      </c>
      <c r="H37" t="str">
        <f>RIGHT(A35,G37)</f>
        <v>0</v>
      </c>
      <c r="I37">
        <v>0.5</v>
      </c>
      <c r="J37" s="12">
        <f>(A35-I37)</f>
        <v>-0.5</v>
      </c>
      <c r="K37" s="35" t="str">
        <f>IF(C39=5,IF(AND(E35=0,D40=FALSE),J37,J38),J38)</f>
        <v>0</v>
      </c>
    </row>
    <row r="38" spans="1:11" hidden="1" x14ac:dyDescent="0.3">
      <c r="A38" s="31"/>
      <c r="C38" t="str">
        <f>RIGHT(C37,1)</f>
        <v>0</v>
      </c>
      <c r="D38">
        <f>D37+0</f>
        <v>0</v>
      </c>
      <c r="J38" t="str">
        <f>FIXED(A35,0)</f>
        <v>0</v>
      </c>
      <c r="K38" s="34"/>
    </row>
    <row r="39" spans="1:11" hidden="1" x14ac:dyDescent="0.3">
      <c r="A39" s="31"/>
      <c r="C39">
        <f>C38+0</f>
        <v>0</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str">
        <f>FIXED(A83,6)</f>
        <v>0,010000</v>
      </c>
      <c r="D82" t="str">
        <f>RIGHT(C82,1)</f>
        <v>0</v>
      </c>
      <c r="E82">
        <f>D82/1000000</f>
        <v>0</v>
      </c>
      <c r="F82" s="30">
        <f>A83-E82</f>
        <v>0.01</v>
      </c>
      <c r="H82" t="str">
        <f>IF(C87=5,IF(AND(D83=0,D88=FALSE),J85,J86),J86)</f>
        <v>0,0100</v>
      </c>
      <c r="K82" s="27"/>
    </row>
    <row r="83" spans="1:11" ht="18.600000000000001" thickBot="1" x14ac:dyDescent="0.4">
      <c r="A83" s="29">
        <f>INCERTIDUMBRE!L6</f>
        <v>0.01</v>
      </c>
      <c r="B83" s="28" t="str">
        <f>IF(A83&gt;=10,K117,IF(A83&gt;=1,K109,IF(A83&gt;=0.1,K101,IF(A83&gt;=0.01,K93,IF(A83&gt;=0.001,K85)))))</f>
        <v>0,010</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01</v>
      </c>
      <c r="D85" t="str">
        <f>LEFT(C85,1)</f>
        <v>0</v>
      </c>
      <c r="E85" s="30">
        <f>TRUNC(A83)</f>
        <v>0</v>
      </c>
      <c r="F85" s="14" t="str">
        <f>FIXED(A83-E85,G85)</f>
        <v>0,01</v>
      </c>
      <c r="G85">
        <f>ABS(E88-F88)</f>
        <v>2</v>
      </c>
      <c r="H85" t="str">
        <f>RIGHT(A83,G85)</f>
        <v>01</v>
      </c>
      <c r="I85">
        <v>5.0000000000000002E-5</v>
      </c>
      <c r="J85" s="14">
        <f>(A83-I85)</f>
        <v>9.9500000000000005E-3</v>
      </c>
      <c r="K85" s="45" t="str">
        <f>IF(C87=5,IF(AND(D83=0,D88=FALSE),J85,J86),J86)</f>
        <v>0,0100</v>
      </c>
    </row>
    <row r="86" spans="1:11" hidden="1" x14ac:dyDescent="0.3">
      <c r="A86" s="31"/>
      <c r="C86" t="str">
        <f>RIGHT(C85,1)</f>
        <v>1</v>
      </c>
      <c r="D86">
        <f>D85+0</f>
        <v>0</v>
      </c>
      <c r="J86" t="str">
        <f>FIXED(A83,4)</f>
        <v>0,0100</v>
      </c>
      <c r="K86" s="27"/>
    </row>
    <row r="87" spans="1:11" hidden="1" x14ac:dyDescent="0.3">
      <c r="A87" s="31"/>
      <c r="C87">
        <f>C86+0</f>
        <v>1</v>
      </c>
      <c r="D87" t="s">
        <v>34</v>
      </c>
      <c r="E87" t="s">
        <v>33</v>
      </c>
      <c r="F87" t="s">
        <v>32</v>
      </c>
      <c r="K87" s="27"/>
    </row>
    <row r="88" spans="1:11" hidden="1" x14ac:dyDescent="0.3">
      <c r="A88" s="31"/>
      <c r="D88" t="b">
        <f>ISODD(D85)</f>
        <v>0</v>
      </c>
      <c r="E88">
        <f>LEN(A83)</f>
        <v>4</v>
      </c>
      <c r="F88">
        <f>LEN(E85)+1</f>
        <v>2</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str">
        <f>K85</f>
        <v>0,0100</v>
      </c>
      <c r="C91" t="str">
        <f>FIXED(A83,5)</f>
        <v>0,01000</v>
      </c>
      <c r="D91" t="str">
        <f>RIGHT(C91,1)</f>
        <v>0</v>
      </c>
      <c r="E91">
        <f>D91+0</f>
        <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RIGHT(A91,2)</f>
        <v>00</v>
      </c>
      <c r="D93" t="str">
        <f>LEFT(C93,1)</f>
        <v>0</v>
      </c>
      <c r="E93" s="36">
        <f>TRUNC(A91)</f>
        <v>0</v>
      </c>
      <c r="F93" s="14" t="str">
        <f>FIXED(A91-E93,G93)</f>
        <v>0,0100</v>
      </c>
      <c r="G93">
        <f>ABS(E96-F96)</f>
        <v>4</v>
      </c>
      <c r="H93" t="str">
        <f>RIGHT(A91,G93)</f>
        <v>0100</v>
      </c>
      <c r="I93">
        <v>5.0000000000000001E-4</v>
      </c>
      <c r="J93" s="44">
        <f>(A91-I93)</f>
        <v>9.4999999999999998E-3</v>
      </c>
      <c r="K93" s="43" t="str">
        <f>IF(C95=5,IF(AND(E91=0,D96=FALSE),J93,J94),J94)</f>
        <v>0,010</v>
      </c>
    </row>
    <row r="94" spans="1:11" hidden="1" x14ac:dyDescent="0.3">
      <c r="A94" s="31"/>
      <c r="C94" t="str">
        <f>RIGHT(C93,1)</f>
        <v>0</v>
      </c>
      <c r="D94">
        <f>D93+0</f>
        <v>0</v>
      </c>
      <c r="J94" t="str">
        <f>FIXED(A91,3)</f>
        <v>0,010</v>
      </c>
      <c r="K94" s="27"/>
    </row>
    <row r="95" spans="1:11" hidden="1" x14ac:dyDescent="0.3">
      <c r="A95" s="31"/>
      <c r="C95">
        <f>C94+0</f>
        <v>0</v>
      </c>
      <c r="D95" t="s">
        <v>34</v>
      </c>
      <c r="E95" t="s">
        <v>33</v>
      </c>
      <c r="F95" t="s">
        <v>32</v>
      </c>
      <c r="K95" s="27"/>
    </row>
    <row r="96" spans="1:11" hidden="1" x14ac:dyDescent="0.3">
      <c r="A96" s="31"/>
      <c r="D96" t="b">
        <f>ISODD(D93)</f>
        <v>0</v>
      </c>
      <c r="E96">
        <f>LEN(A91)</f>
        <v>6</v>
      </c>
      <c r="F96">
        <f>LEN(E93)+1</f>
        <v>2</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str">
        <f>K93</f>
        <v>0,010</v>
      </c>
      <c r="C99" t="str">
        <f>FIXED(A91,4)</f>
        <v>0,0100</v>
      </c>
      <c r="D99" t="str">
        <f>RIGHT(C99,1)</f>
        <v>0</v>
      </c>
      <c r="E99">
        <f>D99+0</f>
        <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RIGHT(A99,2)</f>
        <v>10</v>
      </c>
      <c r="D101" t="str">
        <f>LEFT(C101,1)</f>
        <v>1</v>
      </c>
      <c r="E101" s="36">
        <f>TRUNC(A99)</f>
        <v>0</v>
      </c>
      <c r="F101" s="14" t="str">
        <f>FIXED(A99-E101,G101)</f>
        <v>0,010</v>
      </c>
      <c r="G101">
        <f>ABS(E104-F104)</f>
        <v>3</v>
      </c>
      <c r="H101" t="str">
        <f>RIGHT(A99,G101)</f>
        <v>010</v>
      </c>
      <c r="I101">
        <v>5.0000000000000001E-3</v>
      </c>
      <c r="J101" s="2">
        <f>(A99-I101)</f>
        <v>5.0000000000000001E-3</v>
      </c>
      <c r="K101" s="41" t="str">
        <f>IF(C103=5,IF(AND(E99=0,D104=FALSE),J101,J102),J102)</f>
        <v>0,01</v>
      </c>
    </row>
    <row r="102" spans="1:11" ht="18" hidden="1" x14ac:dyDescent="0.35">
      <c r="A102" s="31"/>
      <c r="C102" t="str">
        <f>RIGHT(C101,1)</f>
        <v>0</v>
      </c>
      <c r="D102">
        <f>D101+0</f>
        <v>1</v>
      </c>
      <c r="J102" t="str">
        <f>FIXED(A99,2)</f>
        <v>0,01</v>
      </c>
      <c r="K102" s="41"/>
    </row>
    <row r="103" spans="1:11" hidden="1" x14ac:dyDescent="0.3">
      <c r="A103" s="31"/>
      <c r="C103">
        <f>C102+0</f>
        <v>0</v>
      </c>
      <c r="D103" t="s">
        <v>34</v>
      </c>
      <c r="E103" t="s">
        <v>33</v>
      </c>
      <c r="F103" t="s">
        <v>32</v>
      </c>
      <c r="K103" s="27"/>
    </row>
    <row r="104" spans="1:11" hidden="1" x14ac:dyDescent="0.3">
      <c r="A104" s="31"/>
      <c r="D104" t="b">
        <f>ISODD(D101)</f>
        <v>1</v>
      </c>
      <c r="E104">
        <f>LEN(A99)</f>
        <v>5</v>
      </c>
      <c r="F104">
        <f>LEN(E101)+1</f>
        <v>2</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str">
        <f>K101</f>
        <v>0,01</v>
      </c>
      <c r="C107" t="str">
        <f>FIXED(A99,3)</f>
        <v>0,010</v>
      </c>
      <c r="D107" t="str">
        <f>RIGHT(C107,1)</f>
        <v>0</v>
      </c>
      <c r="E107">
        <f>D107+0</f>
        <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RIGHT(A107,2)</f>
        <v>01</v>
      </c>
      <c r="D109" t="str">
        <f>LEFT(C109,1)</f>
        <v>0</v>
      </c>
      <c r="E109" s="36">
        <f>TRUNC(A107)</f>
        <v>0</v>
      </c>
      <c r="F109" s="14" t="str">
        <f>FIXED(A107-E109,G109)</f>
        <v>0,01</v>
      </c>
      <c r="G109">
        <f>ABS(E112-F112)</f>
        <v>2</v>
      </c>
      <c r="H109" t="str">
        <f>RIGHT(A107,G109)</f>
        <v>01</v>
      </c>
      <c r="I109">
        <v>0.05</v>
      </c>
      <c r="J109" s="2">
        <f>(A107-I109)</f>
        <v>-0.04</v>
      </c>
      <c r="K109" s="41" t="str">
        <f>IF(C111=5,IF(AND(E107=0,D112=FALSE),J109,J110),J110)</f>
        <v>0,0</v>
      </c>
    </row>
    <row r="110" spans="1:11" hidden="1" x14ac:dyDescent="0.3">
      <c r="A110" s="31"/>
      <c r="C110" t="str">
        <f>RIGHT(C109,1)</f>
        <v>1</v>
      </c>
      <c r="D110">
        <f>D109+0</f>
        <v>0</v>
      </c>
      <c r="J110" t="str">
        <f>FIXED(A107,1)</f>
        <v>0,0</v>
      </c>
      <c r="K110" s="40"/>
    </row>
    <row r="111" spans="1:11" hidden="1" x14ac:dyDescent="0.3">
      <c r="A111" s="31"/>
      <c r="C111">
        <f>C110+0</f>
        <v>1</v>
      </c>
      <c r="D111" t="s">
        <v>34</v>
      </c>
      <c r="E111" t="s">
        <v>33</v>
      </c>
      <c r="F111" t="s">
        <v>32</v>
      </c>
      <c r="K111" s="27"/>
    </row>
    <row r="112" spans="1:11" hidden="1" x14ac:dyDescent="0.3">
      <c r="A112" s="31"/>
      <c r="D112" t="b">
        <f>ISODD(D109)</f>
        <v>0</v>
      </c>
      <c r="E112">
        <f>LEN(A107)</f>
        <v>4</v>
      </c>
      <c r="F112">
        <f>LEN(E109)+1</f>
        <v>2</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str">
        <f>K109</f>
        <v>0,0</v>
      </c>
      <c r="C115" t="str">
        <f>FIXED(A107,2)</f>
        <v>0,01</v>
      </c>
      <c r="D115" t="str">
        <f>RIGHT(C115,1)</f>
        <v>1</v>
      </c>
      <c r="E115">
        <f>D115+0</f>
        <v>1</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RIGHT(A115,2)</f>
        <v>,0</v>
      </c>
      <c r="D117" t="str">
        <f>RIGHT(E117,1)</f>
        <v>0</v>
      </c>
      <c r="E117" s="36">
        <f>TRUNC(A115)</f>
        <v>0</v>
      </c>
      <c r="F117" s="14" t="str">
        <f>FIXED(A115-E117,G117)</f>
        <v>0,0</v>
      </c>
      <c r="G117">
        <f>ABS(E120-F120)</f>
        <v>1</v>
      </c>
      <c r="H117" t="str">
        <f>RIGHT(A115,G117)</f>
        <v>0</v>
      </c>
      <c r="I117">
        <v>0.5</v>
      </c>
      <c r="J117" s="12">
        <f>(A115-I117)</f>
        <v>-0.5</v>
      </c>
      <c r="K117" s="35" t="str">
        <f>IF(C119=5,IF(AND(E115=0,D120=FALSE),J117,J118),J118)</f>
        <v>0</v>
      </c>
    </row>
    <row r="118" spans="1:11" hidden="1" x14ac:dyDescent="0.3">
      <c r="A118" s="31"/>
      <c r="C118" t="str">
        <f>RIGHT(C117,1)</f>
        <v>0</v>
      </c>
      <c r="D118">
        <f>D117+0</f>
        <v>0</v>
      </c>
      <c r="J118" t="str">
        <f>FIXED(A115,0)</f>
        <v>0</v>
      </c>
      <c r="K118" s="34"/>
    </row>
    <row r="119" spans="1:11" hidden="1" x14ac:dyDescent="0.3">
      <c r="A119" s="31"/>
      <c r="C119">
        <f>C118+0</f>
        <v>0</v>
      </c>
      <c r="D119" t="s">
        <v>34</v>
      </c>
      <c r="E119" t="s">
        <v>33</v>
      </c>
      <c r="F119" t="s">
        <v>32</v>
      </c>
      <c r="K119" s="27"/>
    </row>
    <row r="120" spans="1:11" ht="15" hidden="1" thickBot="1" x14ac:dyDescent="0.35">
      <c r="A120" s="33"/>
      <c r="B120" s="33"/>
      <c r="C120" s="33"/>
      <c r="D120" s="33" t="b">
        <f>ISODD(D117)</f>
        <v>0</v>
      </c>
      <c r="E120" s="33">
        <f>LEN(A115)</f>
        <v>3</v>
      </c>
      <c r="F120" s="33">
        <f>LEN(E117)+1</f>
        <v>2</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8"/>
  <sheetViews>
    <sheetView topLeftCell="A2" zoomScaleNormal="100" workbookViewId="0">
      <selection activeCell="K14" sqref="K14"/>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121</v>
      </c>
      <c r="C3" s="167"/>
      <c r="D3" s="167"/>
      <c r="E3" s="167"/>
      <c r="F3" s="167"/>
      <c r="G3" s="167"/>
      <c r="H3" s="167"/>
      <c r="I3" s="167"/>
      <c r="J3" s="167"/>
      <c r="K3" s="167"/>
      <c r="L3" s="167"/>
      <c r="M3" s="167"/>
      <c r="N3" s="167"/>
      <c r="O3" s="167"/>
      <c r="P3"/>
      <c r="Q3"/>
      <c r="R3"/>
      <c r="S3"/>
      <c r="T3"/>
      <c r="U3"/>
      <c r="V3"/>
      <c r="W3"/>
      <c r="X3"/>
      <c r="Y3"/>
      <c r="Z3"/>
      <c r="AA3"/>
      <c r="AB3"/>
      <c r="AC3"/>
      <c r="AD3"/>
      <c r="AE3"/>
      <c r="AF3"/>
    </row>
    <row r="4" spans="1:32" x14ac:dyDescent="0.3">
      <c r="A4"/>
      <c r="B4" s="116" t="s">
        <v>126</v>
      </c>
      <c r="C4" s="116"/>
      <c r="D4" s="152" t="s">
        <v>120</v>
      </c>
      <c r="E4" s="152"/>
      <c r="F4" s="152"/>
      <c r="G4" s="152"/>
      <c r="H4" s="152"/>
      <c r="I4" s="152"/>
      <c r="J4" s="152"/>
      <c r="K4" s="152"/>
      <c r="L4" s="91"/>
      <c r="M4" s="92"/>
      <c r="N4" s="92"/>
      <c r="O4" s="92"/>
      <c r="P4"/>
      <c r="Q4"/>
      <c r="R4"/>
      <c r="S4"/>
      <c r="T4"/>
      <c r="U4"/>
      <c r="V4"/>
      <c r="W4"/>
      <c r="X4"/>
      <c r="Y4"/>
      <c r="Z4"/>
      <c r="AA4"/>
      <c r="AB4"/>
      <c r="AC4"/>
      <c r="AD4"/>
      <c r="AE4"/>
      <c r="AF4"/>
    </row>
    <row r="5" spans="1:32" ht="25.8" customHeight="1" x14ac:dyDescent="0.3">
      <c r="A5"/>
      <c r="B5" s="116"/>
      <c r="C5" s="116"/>
      <c r="D5" s="113" t="s">
        <v>125</v>
      </c>
      <c r="E5" s="113"/>
      <c r="F5" s="113" t="s">
        <v>127</v>
      </c>
      <c r="G5" s="113"/>
      <c r="H5" s="113" t="s">
        <v>128</v>
      </c>
      <c r="I5" s="113"/>
      <c r="J5" s="113" t="s">
        <v>129</v>
      </c>
      <c r="K5" s="113"/>
      <c r="L5" s="116" t="s">
        <v>130</v>
      </c>
      <c r="M5" s="116"/>
      <c r="N5" s="116" t="s">
        <v>131</v>
      </c>
      <c r="O5" s="116"/>
      <c r="P5"/>
      <c r="Q5"/>
      <c r="R5"/>
      <c r="S5"/>
      <c r="T5"/>
      <c r="U5"/>
      <c r="V5"/>
      <c r="W5"/>
      <c r="X5"/>
      <c r="Y5"/>
      <c r="Z5"/>
      <c r="AA5"/>
      <c r="AB5"/>
      <c r="AC5"/>
      <c r="AD5"/>
      <c r="AE5"/>
      <c r="AF5"/>
    </row>
    <row r="6" spans="1:32" x14ac:dyDescent="0.3">
      <c r="A6"/>
      <c r="B6" s="168">
        <v>0.5</v>
      </c>
      <c r="C6" s="168"/>
      <c r="D6" s="182">
        <f ca="1">RAND()*(0.515-0.492)+0.492</f>
        <v>0.50867748099327026</v>
      </c>
      <c r="E6" s="182"/>
      <c r="F6" s="169">
        <f ca="1">D6+((RAND()*(0.05)+0.008)*(RANDBETWEEN(-1,1)))</f>
        <v>0.56192205734027212</v>
      </c>
      <c r="G6" s="169"/>
      <c r="H6" s="169">
        <f ca="1">D6+((RAND()*(0.05)+0.008)*(RANDBETWEEN(-1,1)))</f>
        <v>0.49937827610812396</v>
      </c>
      <c r="I6" s="169"/>
      <c r="J6" s="169">
        <f ca="1">D6+((RAND()*(0.05)+0.008)*(RANDBETWEEN(-1,1)))</f>
        <v>0.50867748099327026</v>
      </c>
      <c r="K6" s="169"/>
      <c r="L6" s="169">
        <f ca="1">AVERAGE(D6:K6)</f>
        <v>0.51966382385873411</v>
      </c>
      <c r="M6" s="169"/>
      <c r="N6" s="169">
        <f ca="1">B6-L6</f>
        <v>-1.9663823858734109E-2</v>
      </c>
      <c r="O6" s="169"/>
      <c r="P6"/>
      <c r="Q6"/>
      <c r="R6"/>
      <c r="S6"/>
      <c r="T6"/>
      <c r="U6"/>
      <c r="V6"/>
      <c r="W6"/>
      <c r="X6"/>
      <c r="Y6"/>
      <c r="Z6"/>
      <c r="AA6"/>
      <c r="AB6"/>
      <c r="AC6"/>
      <c r="AD6"/>
      <c r="AE6"/>
      <c r="AF6"/>
    </row>
    <row r="7" spans="1:32" x14ac:dyDescent="0.3">
      <c r="A7"/>
      <c r="B7" s="168">
        <v>5</v>
      </c>
      <c r="C7" s="168"/>
      <c r="D7" s="182">
        <f ca="1">RAND()*(5.15-4.96)+4.96</f>
        <v>5.0540014473948505</v>
      </c>
      <c r="E7" s="182"/>
      <c r="F7" s="169">
        <f t="shared" ref="F7:F8" ca="1" si="0">D7+((RAND()*(0.05)+0.008)*(RANDBETWEEN(-1,1)))</f>
        <v>5.0686647076633475</v>
      </c>
      <c r="G7" s="169"/>
      <c r="H7" s="169">
        <f t="shared" ref="H7:H8" ca="1" si="1">D7+((RAND()*(0.05)+0.008)*(RANDBETWEEN(-1,1)))</f>
        <v>5.0841899884168154</v>
      </c>
      <c r="I7" s="169"/>
      <c r="J7" s="169">
        <f t="shared" ref="J7:J8" ca="1" si="2">D7+((RAND()*(0.05)+0.008)*(RANDBETWEEN(-1,1)))</f>
        <v>5.0012912779412613</v>
      </c>
      <c r="K7" s="169"/>
      <c r="L7" s="169">
        <f t="shared" ref="L7:L8" ca="1" si="3">AVERAGE(D7:K7)</f>
        <v>5.0520368553540687</v>
      </c>
      <c r="M7" s="169"/>
      <c r="N7" s="169">
        <f t="shared" ref="N7:N8" ca="1" si="4">B7-L7</f>
        <v>-5.2036855354068656E-2</v>
      </c>
      <c r="O7" s="169"/>
      <c r="P7"/>
      <c r="Q7"/>
      <c r="R7"/>
      <c r="S7"/>
      <c r="T7"/>
      <c r="U7"/>
      <c r="V7"/>
      <c r="W7"/>
      <c r="X7"/>
      <c r="Y7"/>
      <c r="Z7"/>
      <c r="AA7"/>
      <c r="AB7"/>
      <c r="AC7"/>
      <c r="AD7"/>
      <c r="AE7"/>
      <c r="AF7"/>
    </row>
    <row r="8" spans="1:32" x14ac:dyDescent="0.3">
      <c r="A8"/>
      <c r="B8" s="168">
        <v>10</v>
      </c>
      <c r="C8" s="168"/>
      <c r="D8" s="182">
        <f ca="1">RAND()*(10.35-9.91)+9.91</f>
        <v>10.114474963298273</v>
      </c>
      <c r="E8" s="182"/>
      <c r="F8" s="169">
        <f t="shared" ca="1" si="0"/>
        <v>10.16382726012921</v>
      </c>
      <c r="G8" s="169"/>
      <c r="H8" s="169">
        <f t="shared" ca="1" si="1"/>
        <v>10.167171796413051</v>
      </c>
      <c r="I8" s="169"/>
      <c r="J8" s="169">
        <f t="shared" ca="1" si="2"/>
        <v>10.114474963298273</v>
      </c>
      <c r="K8" s="169"/>
      <c r="L8" s="169">
        <f t="shared" ca="1" si="3"/>
        <v>10.139987245784701</v>
      </c>
      <c r="M8" s="169"/>
      <c r="N8" s="169">
        <f t="shared" ca="1" si="4"/>
        <v>-0.13998724578470068</v>
      </c>
      <c r="O8" s="169"/>
      <c r="P8"/>
      <c r="Q8"/>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customFormat="1" ht="26.4" customHeight="1" x14ac:dyDescent="0.3"/>
    <row r="12" spans="1:32" customFormat="1" x14ac:dyDescent="0.3"/>
    <row r="13" spans="1:32" customFormat="1" x14ac:dyDescent="0.3"/>
    <row r="14" spans="1:32" customFormat="1" x14ac:dyDescent="0.3">
      <c r="J14" t="s">
        <v>166</v>
      </c>
      <c r="K14" t="s">
        <v>166</v>
      </c>
      <c r="L14" t="s">
        <v>166</v>
      </c>
      <c r="M14" t="s">
        <v>166</v>
      </c>
      <c r="N14" t="s">
        <v>166</v>
      </c>
      <c r="O14" t="s">
        <v>166</v>
      </c>
      <c r="P14" t="s">
        <v>166</v>
      </c>
    </row>
    <row r="15" spans="1:32" customFormat="1" x14ac:dyDescent="0.3"/>
    <row r="16" spans="1:32" customFormat="1" x14ac:dyDescent="0.3"/>
    <row r="17" spans="1:32" customFormat="1" x14ac:dyDescent="0.3"/>
    <row r="18" spans="1:32" customFormat="1" x14ac:dyDescent="0.3"/>
    <row r="19" spans="1:32" customFormat="1" ht="14.4" customHeight="1" x14ac:dyDescent="0.3"/>
    <row r="20" spans="1:32" customFormat="1" ht="27.6" customHeight="1" x14ac:dyDescent="0.3"/>
    <row r="21" spans="1:32" customFormat="1" x14ac:dyDescent="0.3"/>
    <row r="22" spans="1:32" x14ac:dyDescent="0.3">
      <c r="A22"/>
      <c r="B22"/>
      <c r="C22"/>
      <c r="D22"/>
      <c r="E22"/>
      <c r="F22"/>
      <c r="G22"/>
      <c r="H22"/>
      <c r="I22"/>
      <c r="J22"/>
      <c r="K22"/>
      <c r="L22"/>
      <c r="M22"/>
      <c r="N22"/>
      <c r="O22"/>
      <c r="P22"/>
      <c r="R22"/>
      <c r="S22"/>
      <c r="T22"/>
      <c r="U22"/>
      <c r="V22"/>
      <c r="W22"/>
      <c r="X22"/>
      <c r="Y22"/>
      <c r="Z22"/>
      <c r="AA22"/>
      <c r="AB22"/>
      <c r="AC22"/>
      <c r="AD22"/>
      <c r="AE22"/>
      <c r="AF22"/>
    </row>
    <row r="23" spans="1:32" customFormat="1" x14ac:dyDescent="0.3"/>
    <row r="24" spans="1:32" customFormat="1" x14ac:dyDescent="0.3"/>
    <row r="25" spans="1:32" customFormat="1" x14ac:dyDescent="0.3"/>
    <row r="26" spans="1:32" customFormat="1" x14ac:dyDescent="0.3"/>
    <row r="27" spans="1:32" customFormat="1" x14ac:dyDescent="0.3"/>
    <row r="28" spans="1:32" customFormat="1" ht="17.399999999999999" customHeight="1" x14ac:dyDescent="0.3"/>
    <row r="29" spans="1:32" customFormat="1" ht="23.4" customHeigh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x14ac:dyDescent="0.3"/>
    <row r="40" spans="2:17" customFormat="1" x14ac:dyDescent="0.3"/>
    <row r="41" spans="2:17" customFormat="1" ht="30" customHeight="1" x14ac:dyDescent="0.3"/>
    <row r="42" spans="2:17" customFormat="1" x14ac:dyDescent="0.3"/>
    <row r="43" spans="2:17" customFormat="1" x14ac:dyDescent="0.3"/>
    <row r="44" spans="2:17" customFormat="1" x14ac:dyDescent="0.3"/>
    <row r="45" spans="2:17" customFormat="1" x14ac:dyDescent="0.3"/>
    <row r="46" spans="2:17" customFormat="1" x14ac:dyDescent="0.3">
      <c r="B46" s="16"/>
      <c r="C46" s="16"/>
      <c r="D46" s="16"/>
      <c r="E46" s="16"/>
      <c r="F46" s="16"/>
      <c r="G46" s="16"/>
      <c r="H46" s="16"/>
      <c r="I46" s="16"/>
      <c r="J46" s="16"/>
      <c r="K46" s="16"/>
      <c r="L46" s="16"/>
      <c r="M46" s="16"/>
      <c r="N46" s="16"/>
      <c r="O46" s="16"/>
    </row>
    <row r="47" spans="2:17" customFormat="1" x14ac:dyDescent="0.3">
      <c r="B47" s="16"/>
      <c r="C47" s="16"/>
      <c r="D47" s="16"/>
      <c r="E47" s="16"/>
      <c r="F47" s="16"/>
      <c r="G47" s="16"/>
      <c r="H47" s="16"/>
      <c r="I47" s="16"/>
      <c r="J47" s="16"/>
      <c r="K47" s="16"/>
      <c r="L47" s="16"/>
      <c r="M47" s="16"/>
      <c r="N47" s="16"/>
      <c r="O47" s="16"/>
    </row>
    <row r="48" spans="2:17" x14ac:dyDescent="0.3">
      <c r="Q48"/>
    </row>
  </sheetData>
  <mergeCells count="30">
    <mergeCell ref="N7:O7"/>
    <mergeCell ref="L5:M5"/>
    <mergeCell ref="N5:O5"/>
    <mergeCell ref="B6:C6"/>
    <mergeCell ref="D6:E6"/>
    <mergeCell ref="F6:G6"/>
    <mergeCell ref="H6:I6"/>
    <mergeCell ref="J6:K6"/>
    <mergeCell ref="B4:C5"/>
    <mergeCell ref="D4:K4"/>
    <mergeCell ref="D5:E5"/>
    <mergeCell ref="F5:G5"/>
    <mergeCell ref="H5:I5"/>
    <mergeCell ref="J5:K5"/>
    <mergeCell ref="B3:O3"/>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0" t="s">
        <v>121</v>
      </c>
      <c r="D2" s="170"/>
      <c r="E2" s="170"/>
      <c r="F2" s="170"/>
      <c r="G2" s="170"/>
      <c r="H2" s="170"/>
      <c r="I2" s="170"/>
      <c r="J2" s="170"/>
      <c r="K2" s="170"/>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6" t="s">
        <v>13</v>
      </c>
      <c r="C34" s="176"/>
      <c r="D34" s="176"/>
      <c r="E34" s="176"/>
      <c r="F34" s="176"/>
      <c r="G34" s="176"/>
      <c r="H34" s="176"/>
      <c r="I34" s="176"/>
      <c r="J34" s="176"/>
      <c r="K34" s="176"/>
      <c r="L34" s="176"/>
      <c r="M34" s="176"/>
      <c r="N34" s="3"/>
      <c r="O34" s="3"/>
      <c r="P34" s="3"/>
      <c r="Q34" s="3"/>
    </row>
    <row r="35" spans="2:17" x14ac:dyDescent="0.3">
      <c r="B35" s="171" t="s">
        <v>12</v>
      </c>
      <c r="C35" s="171"/>
      <c r="D35" s="171"/>
      <c r="E35" s="171"/>
      <c r="F35" s="171"/>
      <c r="G35" s="173" t="s">
        <v>132</v>
      </c>
      <c r="H35" s="174"/>
      <c r="I35" s="174"/>
      <c r="J35" s="174"/>
      <c r="K35" s="174"/>
      <c r="L35" s="174"/>
      <c r="M35" s="175"/>
      <c r="N35" s="9"/>
      <c r="O35" s="9"/>
      <c r="P35" s="9"/>
      <c r="Q35" s="9"/>
    </row>
    <row r="36" spans="2:17" x14ac:dyDescent="0.3">
      <c r="B36" s="171" t="s">
        <v>7</v>
      </c>
      <c r="C36" s="171"/>
      <c r="D36" s="171"/>
      <c r="E36" s="171"/>
      <c r="F36" s="171"/>
      <c r="G36" s="173" t="s">
        <v>122</v>
      </c>
      <c r="H36" s="174"/>
      <c r="I36" s="174"/>
      <c r="J36" s="174"/>
      <c r="K36" s="174"/>
      <c r="L36" s="174"/>
      <c r="M36" s="175"/>
      <c r="N36" s="9"/>
      <c r="O36" s="9"/>
      <c r="P36" s="9"/>
      <c r="Q36" s="9"/>
    </row>
    <row r="37" spans="2:17" x14ac:dyDescent="0.3">
      <c r="B37" s="171" t="s">
        <v>6</v>
      </c>
      <c r="C37" s="171"/>
      <c r="D37" s="171"/>
      <c r="E37" s="171"/>
      <c r="F37" s="171"/>
      <c r="G37" s="173">
        <v>4070</v>
      </c>
      <c r="H37" s="174"/>
      <c r="I37" s="174"/>
      <c r="J37" s="174"/>
      <c r="K37" s="174"/>
      <c r="L37" s="174"/>
      <c r="M37" s="175"/>
      <c r="N37" s="9"/>
      <c r="O37" s="9"/>
      <c r="P37" s="9"/>
      <c r="Q37" s="9"/>
    </row>
    <row r="38" spans="2:17" x14ac:dyDescent="0.3">
      <c r="B38" s="171" t="s">
        <v>4</v>
      </c>
      <c r="C38" s="171"/>
      <c r="D38" s="171"/>
      <c r="E38" s="171"/>
      <c r="F38" s="171"/>
      <c r="G38" s="173" t="s">
        <v>133</v>
      </c>
      <c r="H38" s="174"/>
      <c r="I38" s="174"/>
      <c r="J38" s="174"/>
      <c r="K38" s="174"/>
      <c r="L38" s="174"/>
      <c r="M38" s="175"/>
      <c r="N38" s="9"/>
      <c r="O38" s="9"/>
      <c r="P38" s="9"/>
      <c r="Q38" s="9"/>
    </row>
    <row r="39" spans="2:17" x14ac:dyDescent="0.3">
      <c r="B39" s="171" t="s">
        <v>11</v>
      </c>
      <c r="C39" s="171"/>
      <c r="D39" s="171"/>
      <c r="E39" s="171"/>
      <c r="F39" s="172"/>
      <c r="G39" s="177">
        <v>44997</v>
      </c>
      <c r="H39" s="177"/>
      <c r="I39" s="177"/>
      <c r="J39" s="177"/>
      <c r="K39" s="177"/>
      <c r="L39" s="177"/>
      <c r="M39" s="177"/>
      <c r="N39" s="10"/>
      <c r="O39" s="10"/>
      <c r="P39" s="10"/>
      <c r="Q39" s="10"/>
    </row>
    <row r="40" spans="2:17" x14ac:dyDescent="0.3">
      <c r="B40" s="171" t="s">
        <v>10</v>
      </c>
      <c r="C40" s="171"/>
      <c r="D40" s="171"/>
      <c r="E40" s="171"/>
      <c r="F40" s="171"/>
      <c r="G40" s="178" t="s">
        <v>134</v>
      </c>
      <c r="H40" s="178"/>
      <c r="I40" s="178"/>
      <c r="J40" s="178"/>
      <c r="K40" s="178"/>
      <c r="L40" s="178"/>
      <c r="M40" s="178"/>
      <c r="N40" s="9"/>
      <c r="O40" s="9"/>
      <c r="P40" s="9"/>
      <c r="Q40" s="9"/>
    </row>
    <row r="41" spans="2:17" x14ac:dyDescent="0.3">
      <c r="B41" s="171" t="s">
        <v>135</v>
      </c>
      <c r="C41" s="171"/>
      <c r="D41" s="171"/>
      <c r="E41" s="171"/>
      <c r="F41" s="171"/>
      <c r="G41" s="173">
        <v>2.7E-2</v>
      </c>
      <c r="H41" s="174"/>
      <c r="I41" s="174"/>
      <c r="J41" s="174"/>
      <c r="K41" s="174"/>
      <c r="L41" s="174"/>
      <c r="M41" s="175"/>
      <c r="N41" s="4"/>
      <c r="O41" s="4"/>
      <c r="P41" s="4"/>
      <c r="Q41" s="4"/>
    </row>
    <row r="42" spans="2:17" x14ac:dyDescent="0.3">
      <c r="B42" s="171" t="s">
        <v>136</v>
      </c>
      <c r="C42" s="171"/>
      <c r="D42" s="171"/>
      <c r="E42" s="171"/>
      <c r="F42" s="172"/>
      <c r="G42" s="173">
        <v>0.2</v>
      </c>
      <c r="H42" s="174"/>
      <c r="I42" s="174"/>
      <c r="J42" s="174"/>
      <c r="K42" s="174"/>
      <c r="L42" s="174"/>
      <c r="M42" s="175"/>
      <c r="N42" s="4"/>
      <c r="O42" s="4"/>
      <c r="P42" s="4"/>
      <c r="Q42" s="4"/>
    </row>
    <row r="43" spans="2:17" x14ac:dyDescent="0.3">
      <c r="B43" s="171" t="s">
        <v>124</v>
      </c>
      <c r="C43" s="171"/>
      <c r="D43" s="171"/>
      <c r="E43" s="171"/>
      <c r="F43" s="172"/>
      <c r="G43" s="173">
        <v>1E-4</v>
      </c>
      <c r="H43" s="174"/>
      <c r="I43" s="174"/>
      <c r="J43" s="174"/>
      <c r="K43" s="174"/>
      <c r="L43" s="174"/>
      <c r="M43" s="175"/>
    </row>
    <row r="44" spans="2:17" x14ac:dyDescent="0.3">
      <c r="B44" s="171" t="s">
        <v>9</v>
      </c>
      <c r="C44" s="171"/>
      <c r="D44" s="171"/>
      <c r="E44" s="171"/>
      <c r="F44" s="172"/>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5"/>
      <c r="D92" s="125"/>
      <c r="E92" s="125"/>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K14" sqref="K1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79" t="s">
        <v>123</v>
      </c>
      <c r="C2" s="180"/>
      <c r="D2" s="180"/>
      <c r="E2" s="180"/>
      <c r="F2" s="180"/>
      <c r="G2" s="180"/>
      <c r="H2" s="180"/>
      <c r="I2" s="180"/>
      <c r="J2" s="180"/>
      <c r="K2" s="180"/>
      <c r="L2" s="181"/>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0.5</v>
      </c>
      <c r="C4" s="8">
        <f>PATRON!G$41/2</f>
        <v>1.35E-2</v>
      </c>
      <c r="D4" s="8">
        <f>PATRON!G$42/SQRT(3)</f>
        <v>0.11547005383792516</v>
      </c>
      <c r="E4" s="8">
        <v>0</v>
      </c>
      <c r="F4" s="8">
        <f>1/SQRT(12)</f>
        <v>0.28867513459481292</v>
      </c>
      <c r="G4" s="94">
        <f>PATRON!G$43/SQRT(12)</f>
        <v>2.8867513459481293E-5</v>
      </c>
      <c r="H4" s="7">
        <f ca="1">STDEVA(MEDIDA!D6:K6)/SQRT(4)</f>
        <v>1.4255587219395538E-2</v>
      </c>
      <c r="I4" s="8">
        <f ca="1">SQRT(SUMSQ(C4:H4))</f>
        <v>0.31153192335131535</v>
      </c>
      <c r="J4" s="15">
        <f ca="1">I4^4/(C4^4/200+D4^4/200+E4^4/200+F4^4/200+G4^4/200+H4^4/3)</f>
        <v>264.39596413242356</v>
      </c>
      <c r="K4" s="11">
        <f ca="1">TINV(0.0455,J4)</f>
        <v>2.0095162677856342</v>
      </c>
      <c r="L4" s="7">
        <v>0.01</v>
      </c>
    </row>
    <row r="5" spans="1:12" x14ac:dyDescent="0.3">
      <c r="A5" s="52"/>
      <c r="B5" s="6">
        <f>MEDIDA!B7</f>
        <v>5</v>
      </c>
      <c r="C5" s="8">
        <f>PATRON!G$41/2</f>
        <v>1.35E-2</v>
      </c>
      <c r="D5" s="8">
        <f>PATRON!G$42/SQRT(3)</f>
        <v>0.11547005383792516</v>
      </c>
      <c r="E5" s="8">
        <v>0</v>
      </c>
      <c r="F5" s="8">
        <f t="shared" ref="F5:F8" si="0">1/SQRT(12)</f>
        <v>0.28867513459481292</v>
      </c>
      <c r="G5" s="94">
        <f>PATRON!G$43/SQRT(12)</f>
        <v>2.8867513459481293E-5</v>
      </c>
      <c r="H5" s="7">
        <f ca="1">STDEVA(MEDIDA!D7:K7)/SQRT(4)</f>
        <v>1.8002968938057171E-2</v>
      </c>
      <c r="I5" s="8">
        <f ca="1">SQRT(SUMSQ(C5:H5))</f>
        <v>0.31172588020660824</v>
      </c>
      <c r="J5" s="15">
        <f ca="1">I5^4/(C5^4/200+D5^4/200+E5^4/200+F5^4/200+G5^4/200+H5^4/3)</f>
        <v>264.89702197954449</v>
      </c>
      <c r="K5" s="11">
        <f ca="1">TINV(0.0455,J5)</f>
        <v>2.0095162677856342</v>
      </c>
      <c r="L5" s="7">
        <v>0.01</v>
      </c>
    </row>
    <row r="6" spans="1:12" x14ac:dyDescent="0.3">
      <c r="A6" s="52"/>
      <c r="B6" s="6">
        <f>MEDIDA!B8</f>
        <v>10</v>
      </c>
      <c r="C6" s="8">
        <f>PATRON!G$41/2</f>
        <v>1.35E-2</v>
      </c>
      <c r="D6" s="8">
        <f>PATRON!G$42/SQRT(3)</f>
        <v>0.11547005383792516</v>
      </c>
      <c r="E6" s="8">
        <v>0</v>
      </c>
      <c r="F6" s="8">
        <f t="shared" si="0"/>
        <v>0.28867513459481292</v>
      </c>
      <c r="G6" s="94">
        <f>PATRON!G$43/SQRT(12)</f>
        <v>2.8867513459481293E-5</v>
      </c>
      <c r="H6" s="7">
        <f ca="1">STDEVA(MEDIDA!D8:K8)/SQRT(4)</f>
        <v>1.4745335963580566E-2</v>
      </c>
      <c r="I6" s="8">
        <f ca="1">SQRT(SUMSQ(C6:H6))</f>
        <v>0.31155471819999592</v>
      </c>
      <c r="J6" s="15">
        <f ca="1">I6^4/(C6^4/200+D6^4/200+E6^4/200+F6^4/200+G6^4/200+H6^4/3)</f>
        <v>264.4585725165972</v>
      </c>
      <c r="K6" s="11">
        <f t="shared" ref="K6:K7" ca="1" si="1">TINV(0.0455,J6)</f>
        <v>2.0095162677856342</v>
      </c>
      <c r="L6" s="7">
        <v>0.01</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ref="L7" si="2">I7*K7</f>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4"/>
  <sheetViews>
    <sheetView tabSelected="1" view="pageLayout" topLeftCell="A83" zoomScaleNormal="100" workbookViewId="0">
      <selection activeCell="T89" sqref="T89"/>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46"/>
      <c r="J1" s="146"/>
      <c r="K1" s="146"/>
      <c r="M1" s="63"/>
      <c r="O1" s="108" t="s">
        <v>79</v>
      </c>
      <c r="P1" s="108"/>
      <c r="Q1" s="108"/>
      <c r="R1" s="109">
        <f>INFORMACIÓN!G3</f>
        <v>0</v>
      </c>
      <c r="S1" s="109"/>
    </row>
    <row r="2" spans="1:30" ht="16.95" customHeight="1" x14ac:dyDescent="0.3">
      <c r="G2" s="148"/>
      <c r="H2" s="148"/>
      <c r="I2" s="148"/>
      <c r="J2" s="147"/>
      <c r="K2" s="147"/>
    </row>
    <row r="3" spans="1:30" ht="16.95" customHeight="1" x14ac:dyDescent="0.3">
      <c r="B3" s="82"/>
      <c r="C3" s="149" t="s">
        <v>70</v>
      </c>
      <c r="D3" s="149"/>
      <c r="E3" s="149"/>
      <c r="F3" s="149"/>
      <c r="G3" s="149"/>
      <c r="H3" s="149"/>
      <c r="I3" s="149"/>
      <c r="J3" s="149"/>
      <c r="K3" s="149"/>
      <c r="L3" s="149"/>
      <c r="M3" s="149"/>
      <c r="N3" s="149"/>
      <c r="O3" s="149"/>
      <c r="P3" s="149"/>
      <c r="Q3" s="149"/>
      <c r="R3" s="149"/>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08" t="s">
        <v>61</v>
      </c>
      <c r="D5" s="108"/>
      <c r="E5" s="108"/>
      <c r="F5" s="108"/>
      <c r="G5" s="108"/>
      <c r="H5" s="51"/>
      <c r="I5" s="145">
        <f>INFORMACIÓN!A3</f>
        <v>0</v>
      </c>
      <c r="J5" s="145"/>
      <c r="K5" s="145"/>
      <c r="L5" s="145"/>
      <c r="M5" s="145"/>
      <c r="N5" s="145"/>
      <c r="O5" s="145"/>
      <c r="P5" s="145"/>
      <c r="Q5" s="145"/>
      <c r="R5" s="145"/>
      <c r="S5"/>
      <c r="T5"/>
      <c r="U5"/>
      <c r="V5"/>
      <c r="W5"/>
      <c r="X5"/>
      <c r="Y5"/>
      <c r="Z5"/>
      <c r="AA5"/>
      <c r="AB5"/>
      <c r="AC5"/>
      <c r="AD5"/>
    </row>
    <row r="6" spans="1:30" s="53" customFormat="1" ht="16.95" customHeight="1" x14ac:dyDescent="0.3">
      <c r="B6" s="77"/>
      <c r="C6" s="108" t="s">
        <v>62</v>
      </c>
      <c r="D6" s="108"/>
      <c r="E6" s="108"/>
      <c r="F6" s="108"/>
      <c r="G6" s="108"/>
      <c r="H6" s="51"/>
      <c r="I6" s="145">
        <f>INFORMACIÓN!B3</f>
        <v>0</v>
      </c>
      <c r="J6" s="145"/>
      <c r="K6" s="145"/>
      <c r="L6" s="145"/>
      <c r="M6" s="145"/>
      <c r="N6" s="145"/>
      <c r="O6" s="145"/>
      <c r="P6" s="145"/>
      <c r="Q6" s="145"/>
      <c r="R6" s="145"/>
      <c r="S6"/>
      <c r="T6"/>
      <c r="U6"/>
      <c r="V6"/>
      <c r="W6"/>
      <c r="X6"/>
      <c r="Y6"/>
      <c r="Z6"/>
      <c r="AA6"/>
      <c r="AB6"/>
      <c r="AC6"/>
      <c r="AD6"/>
    </row>
    <row r="7" spans="1:30" s="53" customFormat="1" ht="16.95" customHeight="1" x14ac:dyDescent="0.3">
      <c r="B7" s="77"/>
      <c r="C7" s="108" t="s">
        <v>63</v>
      </c>
      <c r="D7" s="108"/>
      <c r="E7" s="108"/>
      <c r="F7" s="108"/>
      <c r="G7" s="108"/>
      <c r="H7" s="51"/>
      <c r="I7" s="145">
        <f>INFORMACIÓN!C3</f>
        <v>0</v>
      </c>
      <c r="J7" s="145"/>
      <c r="K7" s="145"/>
      <c r="L7" s="145"/>
      <c r="M7" s="145"/>
      <c r="N7" s="145"/>
      <c r="O7" s="145"/>
      <c r="P7" s="145"/>
      <c r="Q7" s="145"/>
      <c r="R7" s="145"/>
      <c r="S7"/>
      <c r="T7"/>
      <c r="U7"/>
      <c r="V7"/>
      <c r="W7"/>
      <c r="X7"/>
      <c r="Y7"/>
      <c r="Z7"/>
      <c r="AA7"/>
      <c r="AB7"/>
      <c r="AC7"/>
      <c r="AD7"/>
    </row>
    <row r="8" spans="1:30" s="53" customFormat="1" ht="16.95" customHeight="1" x14ac:dyDescent="0.3">
      <c r="B8" s="77"/>
      <c r="C8" s="108" t="s">
        <v>64</v>
      </c>
      <c r="D8" s="108"/>
      <c r="E8" s="108"/>
      <c r="F8" s="108"/>
      <c r="G8" s="108"/>
      <c r="H8" s="51"/>
      <c r="I8" s="150">
        <f>INFORMACIÓN!D3</f>
        <v>0</v>
      </c>
      <c r="J8" s="145"/>
      <c r="K8" s="145"/>
      <c r="L8" s="145"/>
      <c r="M8" s="145"/>
      <c r="N8" s="145"/>
      <c r="O8" s="145"/>
      <c r="P8" s="145"/>
      <c r="Q8" s="145"/>
      <c r="R8" s="145"/>
      <c r="S8"/>
      <c r="T8"/>
      <c r="U8"/>
      <c r="V8"/>
      <c r="W8"/>
      <c r="X8"/>
      <c r="Y8"/>
      <c r="Z8"/>
      <c r="AA8"/>
      <c r="AB8"/>
      <c r="AC8"/>
      <c r="AD8"/>
    </row>
    <row r="9" spans="1:30" s="53" customFormat="1" ht="16.95" customHeight="1" x14ac:dyDescent="0.3">
      <c r="B9" s="77"/>
      <c r="C9" s="108" t="s">
        <v>65</v>
      </c>
      <c r="D9" s="108"/>
      <c r="E9" s="108"/>
      <c r="F9" s="108"/>
      <c r="G9" s="108"/>
      <c r="H9" s="51"/>
      <c r="I9" s="150">
        <f>INFORMACIÓN!F3</f>
        <v>0</v>
      </c>
      <c r="J9" s="145"/>
      <c r="K9" s="145"/>
      <c r="L9" s="145"/>
      <c r="M9" s="145"/>
      <c r="N9" s="145"/>
      <c r="O9" s="145"/>
      <c r="P9" s="145"/>
      <c r="Q9" s="145"/>
      <c r="R9" s="145"/>
      <c r="S9"/>
      <c r="T9"/>
      <c r="U9"/>
      <c r="V9"/>
      <c r="W9"/>
      <c r="X9"/>
      <c r="Y9"/>
      <c r="Z9"/>
      <c r="AA9"/>
      <c r="AB9"/>
      <c r="AC9"/>
      <c r="AD9"/>
    </row>
    <row r="10" spans="1:30" s="53" customFormat="1" ht="16.95" customHeight="1" x14ac:dyDescent="0.3">
      <c r="B10" s="77"/>
      <c r="C10" s="108" t="s">
        <v>67</v>
      </c>
      <c r="D10" s="108"/>
      <c r="E10" s="108"/>
      <c r="F10" s="108"/>
      <c r="G10" s="108"/>
      <c r="H10" s="51"/>
      <c r="I10" s="145">
        <f>INFORMACIÓN!E3</f>
        <v>0</v>
      </c>
      <c r="J10" s="145"/>
      <c r="K10" s="145"/>
      <c r="L10" s="145"/>
      <c r="M10" s="145"/>
      <c r="N10" s="145"/>
      <c r="O10" s="145"/>
      <c r="P10" s="145"/>
      <c r="Q10" s="145"/>
      <c r="R10" s="145"/>
      <c r="S10"/>
      <c r="T10"/>
      <c r="U10"/>
      <c r="V10"/>
      <c r="W10"/>
      <c r="X10"/>
      <c r="Y10"/>
      <c r="Z10"/>
      <c r="AA10"/>
      <c r="AB10"/>
      <c r="AC10"/>
      <c r="AD10"/>
    </row>
    <row r="11" spans="1:30" s="53" customFormat="1" ht="16.95" customHeight="1" x14ac:dyDescent="0.3">
      <c r="B11" s="77"/>
      <c r="C11" s="108" t="s">
        <v>66</v>
      </c>
      <c r="D11" s="108"/>
      <c r="E11" s="108"/>
      <c r="F11" s="108"/>
      <c r="G11" s="108"/>
      <c r="H11" s="51"/>
      <c r="I11" s="145" t="str">
        <f>INFORMACIÓN!B8</f>
        <v>BUEN ESTADO</v>
      </c>
      <c r="J11" s="145"/>
      <c r="K11" s="145"/>
      <c r="L11" s="145"/>
      <c r="M11" s="145"/>
      <c r="N11" s="145"/>
      <c r="O11" s="145"/>
      <c r="P11" s="145"/>
      <c r="Q11" s="145"/>
      <c r="R11" s="145"/>
      <c r="S11"/>
      <c r="T11"/>
      <c r="U11"/>
      <c r="V11"/>
      <c r="W11"/>
      <c r="X11"/>
      <c r="Y11"/>
      <c r="Z11"/>
      <c r="AA11"/>
      <c r="AB11"/>
      <c r="AC11"/>
      <c r="AD11"/>
    </row>
    <row r="12" spans="1:30" s="53" customFormat="1" ht="16.95" customHeight="1" x14ac:dyDescent="0.3">
      <c r="B12" s="77"/>
      <c r="C12" s="108" t="s">
        <v>76</v>
      </c>
      <c r="D12" s="108"/>
      <c r="E12" s="108"/>
      <c r="F12" s="108"/>
      <c r="G12" s="108"/>
      <c r="H12" s="78"/>
      <c r="I12" s="151">
        <f>INFORMACIÓN!H3</f>
        <v>0</v>
      </c>
      <c r="J12" s="151"/>
      <c r="K12" s="151"/>
      <c r="L12" s="151"/>
      <c r="M12" s="151"/>
      <c r="N12" s="151"/>
      <c r="O12" s="151"/>
      <c r="P12" s="151"/>
      <c r="Q12" s="151"/>
      <c r="R12" s="151"/>
      <c r="S12"/>
      <c r="T12"/>
      <c r="U12"/>
      <c r="V12"/>
      <c r="W12"/>
      <c r="X12"/>
      <c r="Y12"/>
      <c r="Z12"/>
      <c r="AA12"/>
      <c r="AB12"/>
      <c r="AC12"/>
      <c r="AD12"/>
    </row>
    <row r="13" spans="1:30" s="53" customFormat="1" ht="16.95" customHeight="1" x14ac:dyDescent="0.3">
      <c r="B13" s="77"/>
      <c r="C13" s="108" t="s">
        <v>75</v>
      </c>
      <c r="D13" s="108"/>
      <c r="E13" s="108"/>
      <c r="F13" s="108"/>
      <c r="G13" s="108"/>
      <c r="H13" s="78"/>
      <c r="I13" s="151">
        <f>INFORMACIÓN!B9</f>
        <v>0</v>
      </c>
      <c r="J13" s="151"/>
      <c r="K13" s="151"/>
      <c r="L13" s="151"/>
      <c r="M13" s="151"/>
      <c r="N13" s="151"/>
      <c r="O13" s="151"/>
      <c r="P13" s="151"/>
      <c r="Q13" s="151"/>
      <c r="R13" s="151"/>
      <c r="S13"/>
      <c r="T13"/>
      <c r="U13"/>
      <c r="V13"/>
      <c r="W13"/>
      <c r="X13"/>
      <c r="Y13"/>
      <c r="Z13"/>
      <c r="AA13"/>
      <c r="AB13"/>
      <c r="AC13"/>
      <c r="AD13"/>
    </row>
    <row r="14" spans="1:30" ht="16.95" customHeight="1" x14ac:dyDescent="0.3"/>
    <row r="15" spans="1:30" ht="16.95" customHeight="1" x14ac:dyDescent="0.3">
      <c r="B15" s="63"/>
      <c r="C15" s="112" t="s">
        <v>69</v>
      </c>
      <c r="D15" s="112"/>
      <c r="E15" s="112"/>
      <c r="F15" s="112"/>
      <c r="G15" s="112"/>
      <c r="H15" s="112"/>
      <c r="I15" s="112"/>
      <c r="J15" s="112"/>
      <c r="K15" s="112"/>
      <c r="L15" s="112"/>
      <c r="M15" s="112"/>
      <c r="N15" s="112"/>
      <c r="O15" s="112"/>
      <c r="P15" s="112"/>
      <c r="Q15" s="112"/>
      <c r="R15" s="112"/>
    </row>
    <row r="16" spans="1:30" ht="16.95" customHeight="1" x14ac:dyDescent="0.3"/>
    <row r="17" spans="1:18" ht="16.95" customHeight="1" x14ac:dyDescent="0.3">
      <c r="B17" s="50"/>
      <c r="C17" s="124" t="s">
        <v>71</v>
      </c>
      <c r="D17" s="124"/>
      <c r="E17" s="124"/>
      <c r="F17" s="124"/>
      <c r="G17" s="124"/>
      <c r="H17" s="49"/>
      <c r="I17" s="140">
        <f>INFORMACIÓN!E7</f>
        <v>0</v>
      </c>
      <c r="J17" s="140"/>
      <c r="K17" s="140"/>
      <c r="L17" s="140"/>
      <c r="M17" s="140"/>
      <c r="N17" s="140"/>
      <c r="O17" s="140"/>
      <c r="P17" s="140"/>
      <c r="Q17" s="140"/>
      <c r="R17" s="140"/>
    </row>
    <row r="18" spans="1:18" ht="16.95" customHeight="1" x14ac:dyDescent="0.3">
      <c r="B18" s="50"/>
      <c r="C18" s="124" t="s">
        <v>72</v>
      </c>
      <c r="D18" s="124"/>
      <c r="E18" s="124"/>
      <c r="F18" s="124"/>
      <c r="G18" s="124"/>
      <c r="H18" s="49"/>
      <c r="I18" s="140">
        <f>INFORMACIÓN!E8</f>
        <v>0</v>
      </c>
      <c r="J18" s="140"/>
      <c r="K18" s="140"/>
      <c r="L18" s="140"/>
      <c r="M18" s="140"/>
      <c r="N18" s="140"/>
      <c r="O18" s="140"/>
      <c r="P18" s="140"/>
      <c r="Q18" s="140"/>
      <c r="R18" s="140"/>
    </row>
    <row r="19" spans="1:18" ht="16.95" customHeight="1" x14ac:dyDescent="0.3">
      <c r="B19" s="50"/>
      <c r="C19" s="124" t="s">
        <v>89</v>
      </c>
      <c r="D19" s="124"/>
      <c r="E19" s="124"/>
      <c r="F19" s="124"/>
      <c r="G19" s="124"/>
      <c r="H19" s="49"/>
      <c r="I19" s="140">
        <f>INFORMACIÓN!E9</f>
        <v>0</v>
      </c>
      <c r="J19" s="140"/>
      <c r="K19" s="140"/>
      <c r="L19" s="140"/>
      <c r="M19" s="140"/>
      <c r="N19" s="140"/>
      <c r="O19" s="140"/>
      <c r="P19" s="140"/>
      <c r="Q19" s="140"/>
      <c r="R19" s="140"/>
    </row>
    <row r="20" spans="1:18" ht="16.95" customHeight="1" x14ac:dyDescent="0.3">
      <c r="B20" s="50"/>
      <c r="C20" s="124" t="s">
        <v>73</v>
      </c>
      <c r="D20" s="124"/>
      <c r="E20" s="124"/>
      <c r="F20" s="124"/>
      <c r="G20" s="124"/>
      <c r="H20" s="49"/>
      <c r="I20" s="140">
        <f>INFORMACIÓN!E10</f>
        <v>0</v>
      </c>
      <c r="J20" s="140"/>
      <c r="K20" s="140"/>
      <c r="L20" s="140"/>
      <c r="M20" s="140"/>
      <c r="N20" s="140"/>
      <c r="O20" s="140"/>
      <c r="P20" s="140"/>
      <c r="Q20" s="140"/>
      <c r="R20" s="140"/>
    </row>
    <row r="21" spans="1:18" ht="16.95" customHeight="1" x14ac:dyDescent="0.3">
      <c r="B21" s="50"/>
      <c r="C21" s="124" t="s">
        <v>74</v>
      </c>
      <c r="D21" s="124"/>
      <c r="E21" s="124"/>
      <c r="F21" s="124"/>
      <c r="G21" s="124"/>
      <c r="H21" s="49"/>
      <c r="I21" s="140">
        <f>INFORMACIÓN!E11</f>
        <v>0</v>
      </c>
      <c r="J21" s="140"/>
      <c r="K21" s="140"/>
      <c r="L21" s="140"/>
      <c r="M21" s="140"/>
      <c r="N21" s="140"/>
      <c r="O21" s="140"/>
      <c r="P21" s="140"/>
      <c r="Q21" s="140"/>
      <c r="R21" s="140"/>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1" t="s">
        <v>158</v>
      </c>
      <c r="D23" s="141"/>
      <c r="E23" s="141"/>
      <c r="F23" s="141"/>
      <c r="G23" s="141"/>
      <c r="H23" s="141"/>
      <c r="I23" s="141"/>
      <c r="J23" s="141"/>
      <c r="K23" s="141"/>
      <c r="L23" s="141"/>
      <c r="M23" s="141"/>
      <c r="N23" s="141"/>
      <c r="O23" s="141"/>
      <c r="P23" s="141"/>
      <c r="Q23" s="141"/>
      <c r="R23" s="141"/>
    </row>
    <row r="24" spans="1:18" ht="16.95" customHeight="1" x14ac:dyDescent="0.3">
      <c r="A24" s="76"/>
      <c r="B24" s="76"/>
      <c r="C24" s="142"/>
      <c r="D24" s="142"/>
      <c r="E24" s="142"/>
      <c r="F24" s="142"/>
      <c r="G24" s="142"/>
      <c r="H24" s="142"/>
      <c r="I24" s="142"/>
      <c r="J24" s="142"/>
      <c r="K24" s="142"/>
      <c r="L24" s="142"/>
      <c r="M24" s="142"/>
      <c r="N24" s="142"/>
      <c r="O24" s="142"/>
      <c r="P24" s="142"/>
      <c r="Q24" s="142"/>
      <c r="R24" s="142"/>
    </row>
    <row r="25" spans="1:18" ht="16.95" customHeight="1" x14ac:dyDescent="0.3">
      <c r="A25" s="76"/>
      <c r="B25" s="76"/>
      <c r="C25" s="142"/>
      <c r="D25" s="142"/>
      <c r="E25" s="142"/>
      <c r="F25" s="142"/>
      <c r="G25" s="142"/>
      <c r="H25" s="142"/>
      <c r="I25" s="142"/>
      <c r="J25" s="142"/>
      <c r="K25" s="142"/>
      <c r="L25" s="142"/>
      <c r="M25" s="142"/>
      <c r="N25" s="142"/>
      <c r="O25" s="142"/>
      <c r="P25" s="142"/>
      <c r="Q25" s="142"/>
      <c r="R25" s="142"/>
    </row>
    <row r="26" spans="1:18" ht="16.95" customHeight="1" x14ac:dyDescent="0.3">
      <c r="A26" s="76"/>
      <c r="B26" s="76"/>
      <c r="C26" s="142"/>
      <c r="D26" s="142"/>
      <c r="E26" s="142"/>
      <c r="F26" s="142"/>
      <c r="G26" s="142"/>
      <c r="H26" s="142"/>
      <c r="I26" s="142"/>
      <c r="J26" s="142"/>
      <c r="K26" s="142"/>
      <c r="L26" s="142"/>
      <c r="M26" s="142"/>
      <c r="N26" s="142"/>
      <c r="O26" s="142"/>
      <c r="P26" s="142"/>
      <c r="Q26" s="142"/>
      <c r="R26" s="142"/>
    </row>
    <row r="27" spans="1:18" ht="16.95" customHeight="1" x14ac:dyDescent="0.3">
      <c r="A27" s="76"/>
      <c r="B27" s="76"/>
      <c r="C27" s="142"/>
      <c r="D27" s="142"/>
      <c r="E27" s="142"/>
      <c r="F27" s="142"/>
      <c r="G27" s="142"/>
      <c r="H27" s="142"/>
      <c r="I27" s="142"/>
      <c r="J27" s="142"/>
      <c r="K27" s="142"/>
      <c r="L27" s="142"/>
      <c r="M27" s="142"/>
      <c r="N27" s="142"/>
      <c r="O27" s="142"/>
      <c r="P27" s="142"/>
      <c r="Q27" s="142"/>
      <c r="R27" s="142"/>
    </row>
    <row r="28" spans="1:18" ht="16.95" customHeight="1" x14ac:dyDescent="0.3">
      <c r="A28" s="76"/>
      <c r="B28" s="76"/>
      <c r="C28" s="143"/>
      <c r="D28" s="143"/>
      <c r="E28" s="143"/>
      <c r="F28" s="143"/>
      <c r="G28" s="143"/>
      <c r="H28" s="143"/>
      <c r="I28" s="143"/>
      <c r="J28" s="143"/>
      <c r="K28" s="143"/>
      <c r="L28" s="143"/>
      <c r="M28" s="143"/>
      <c r="N28" s="143"/>
      <c r="O28" s="143"/>
      <c r="P28" s="143"/>
      <c r="Q28" s="143"/>
      <c r="R28" s="143"/>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24" t="s">
        <v>77</v>
      </c>
      <c r="J31" s="124"/>
      <c r="K31" s="124"/>
      <c r="L31" s="124"/>
      <c r="M31" s="140" t="str">
        <f>INFORMACIÓN!B15</f>
        <v>ING. GABRIEL DURÁN</v>
      </c>
      <c r="N31" s="140"/>
      <c r="O31" s="140"/>
      <c r="P31" s="140"/>
      <c r="Q31" s="140"/>
      <c r="R31" s="140"/>
    </row>
    <row r="32" spans="1:18" ht="16.95" customHeight="1" x14ac:dyDescent="0.3">
      <c r="F32" s="50"/>
      <c r="G32" s="50"/>
      <c r="H32" s="50"/>
      <c r="I32" s="124" t="s">
        <v>78</v>
      </c>
      <c r="J32" s="124"/>
      <c r="K32" s="124"/>
      <c r="L32" s="124"/>
      <c r="M32" s="144">
        <f>INFORMACIÓN!B10</f>
        <v>0</v>
      </c>
      <c r="N32" s="144"/>
      <c r="O32" s="144"/>
      <c r="P32" s="62"/>
      <c r="Q32" s="62"/>
      <c r="R32" s="50"/>
    </row>
    <row r="33" spans="1:19" ht="16.95" customHeight="1" x14ac:dyDescent="0.3">
      <c r="I33" s="124" t="s">
        <v>82</v>
      </c>
      <c r="J33" s="124"/>
      <c r="K33" s="124"/>
      <c r="L33" s="124"/>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4" t="str">
        <f>O1</f>
        <v>CERTIFICADO N°:</v>
      </c>
      <c r="P38" s="124"/>
      <c r="Q38" s="124"/>
      <c r="R38" s="139">
        <f>R1</f>
        <v>0</v>
      </c>
      <c r="S38" s="139"/>
    </row>
    <row r="39" spans="1:19" ht="16.95" customHeight="1" x14ac:dyDescent="0.3"/>
    <row r="40" spans="1:19" ht="16.95" customHeight="1" x14ac:dyDescent="0.3">
      <c r="B40" s="126" t="s">
        <v>83</v>
      </c>
      <c r="C40" s="126"/>
      <c r="D40" s="126"/>
      <c r="E40" s="126"/>
      <c r="F40" s="126"/>
      <c r="G40" s="126"/>
      <c r="H40" s="126"/>
      <c r="I40" s="126"/>
      <c r="J40" s="126"/>
      <c r="K40" s="126"/>
      <c r="L40" s="126"/>
      <c r="M40" s="126"/>
      <c r="N40" s="126"/>
      <c r="O40" s="126"/>
      <c r="P40" s="126"/>
      <c r="Q40" s="126"/>
      <c r="R40" s="126"/>
      <c r="S40" s="126"/>
    </row>
    <row r="41" spans="1:19" ht="16.95" customHeight="1" x14ac:dyDescent="0.3">
      <c r="B41" s="119" t="s">
        <v>159</v>
      </c>
      <c r="C41" s="119"/>
      <c r="D41" s="119"/>
      <c r="E41" s="119"/>
      <c r="F41" s="119"/>
      <c r="G41" s="119"/>
      <c r="H41" s="119"/>
      <c r="I41" s="119"/>
      <c r="J41" s="119"/>
      <c r="K41" s="119"/>
      <c r="L41" s="119"/>
      <c r="M41" s="119"/>
      <c r="N41" s="119"/>
      <c r="O41" s="119"/>
      <c r="P41" s="119"/>
      <c r="Q41" s="119"/>
      <c r="R41" s="119"/>
      <c r="S41" s="119"/>
    </row>
    <row r="42" spans="1:19" ht="16.95" customHeight="1" x14ac:dyDescent="0.3">
      <c r="A42" s="85"/>
      <c r="B42" s="120"/>
      <c r="C42" s="120"/>
      <c r="D42" s="120"/>
      <c r="E42" s="120"/>
      <c r="F42" s="120"/>
      <c r="G42" s="120"/>
      <c r="H42" s="120"/>
      <c r="I42" s="120"/>
      <c r="J42" s="120"/>
      <c r="K42" s="120"/>
      <c r="L42" s="120"/>
      <c r="M42" s="120"/>
      <c r="N42" s="120"/>
      <c r="O42" s="120"/>
      <c r="P42" s="120"/>
      <c r="Q42" s="120"/>
      <c r="R42" s="120"/>
      <c r="S42" s="120"/>
    </row>
    <row r="43" spans="1:19" ht="16.95" customHeight="1" x14ac:dyDescent="0.3">
      <c r="A43" s="85"/>
      <c r="B43" s="120"/>
      <c r="C43" s="120"/>
      <c r="D43" s="120"/>
      <c r="E43" s="120"/>
      <c r="F43" s="120"/>
      <c r="G43" s="120"/>
      <c r="H43" s="120"/>
      <c r="I43" s="120"/>
      <c r="J43" s="120"/>
      <c r="K43" s="120"/>
      <c r="L43" s="120"/>
      <c r="M43" s="120"/>
      <c r="N43" s="120"/>
      <c r="O43" s="120"/>
      <c r="P43" s="120"/>
      <c r="Q43" s="120"/>
      <c r="R43" s="120"/>
      <c r="S43" s="120"/>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27" t="s">
        <v>84</v>
      </c>
      <c r="G45" s="128"/>
      <c r="H45" s="128"/>
      <c r="I45" s="128"/>
      <c r="J45" s="129"/>
      <c r="K45" s="136" t="s">
        <v>85</v>
      </c>
      <c r="L45" s="137"/>
      <c r="M45" s="137"/>
      <c r="N45" s="137"/>
      <c r="O45" s="138"/>
    </row>
    <row r="46" spans="1:19" ht="16.95" customHeight="1" x14ac:dyDescent="0.3">
      <c r="E46" s="74"/>
      <c r="F46" s="131">
        <f>AVERAGE(INFORMACIÓN!B11:B12)</f>
        <v>24.3</v>
      </c>
      <c r="G46" s="132"/>
      <c r="H46" s="70" t="s">
        <v>86</v>
      </c>
      <c r="I46" s="71">
        <f>ABS(INFORMACIÓN!B11-INFORMACIÓN!B12)</f>
        <v>0.39999999999999858</v>
      </c>
      <c r="J46" s="75"/>
      <c r="K46" s="133">
        <f>AVERAGE(INFORMACIÓN!B13:B14)</f>
        <v>61.5</v>
      </c>
      <c r="L46" s="134"/>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0" t="s">
        <v>160</v>
      </c>
      <c r="G48" s="130"/>
      <c r="H48" s="130"/>
      <c r="I48" s="130"/>
      <c r="J48" s="130"/>
      <c r="K48" s="135" t="s">
        <v>161</v>
      </c>
      <c r="L48" s="135"/>
      <c r="M48" s="135"/>
      <c r="N48" s="135"/>
      <c r="O48" s="135"/>
      <c r="P48" s="135"/>
    </row>
    <row r="49" spans="1:19" ht="13.2" customHeight="1" x14ac:dyDescent="0.3"/>
    <row r="50" spans="1:19" ht="16.95" customHeight="1" x14ac:dyDescent="0.3">
      <c r="B50" s="125" t="s">
        <v>87</v>
      </c>
      <c r="C50" s="125"/>
      <c r="D50" s="125"/>
      <c r="E50" s="125"/>
      <c r="F50" s="125"/>
      <c r="G50" s="125"/>
      <c r="H50" s="125"/>
      <c r="I50" s="125"/>
      <c r="J50" s="125"/>
      <c r="K50" s="125"/>
      <c r="L50" s="125"/>
      <c r="M50" s="125"/>
      <c r="N50" s="125"/>
      <c r="O50" s="125"/>
      <c r="P50" s="125"/>
      <c r="Q50" s="125"/>
      <c r="R50" s="125"/>
      <c r="S50" s="125"/>
    </row>
    <row r="51" spans="1:19" ht="16.95" customHeight="1" x14ac:dyDescent="0.3">
      <c r="B51" s="119" t="s">
        <v>162</v>
      </c>
      <c r="C51" s="119"/>
      <c r="D51" s="119"/>
      <c r="E51" s="119"/>
      <c r="F51" s="119"/>
      <c r="G51" s="119"/>
      <c r="H51" s="119"/>
      <c r="I51" s="119"/>
      <c r="J51" s="119"/>
      <c r="K51" s="119"/>
      <c r="L51" s="119"/>
      <c r="M51" s="119"/>
      <c r="N51" s="119"/>
      <c r="O51" s="119"/>
      <c r="P51" s="119"/>
      <c r="Q51" s="119"/>
      <c r="R51" s="119"/>
      <c r="S51" s="119"/>
    </row>
    <row r="52" spans="1:19" ht="16.95" customHeight="1" x14ac:dyDescent="0.3">
      <c r="A52" s="85"/>
      <c r="B52" s="120"/>
      <c r="C52" s="120"/>
      <c r="D52" s="120"/>
      <c r="E52" s="120"/>
      <c r="F52" s="120"/>
      <c r="G52" s="120"/>
      <c r="H52" s="120"/>
      <c r="I52" s="120"/>
      <c r="J52" s="120"/>
      <c r="K52" s="120"/>
      <c r="L52" s="120"/>
      <c r="M52" s="120"/>
      <c r="N52" s="120"/>
      <c r="O52" s="120"/>
      <c r="P52" s="120"/>
      <c r="Q52" s="120"/>
      <c r="R52" s="120"/>
      <c r="S52" s="120"/>
    </row>
    <row r="53" spans="1:19" ht="16.95" customHeight="1" x14ac:dyDescent="0.3">
      <c r="A53" s="85"/>
      <c r="B53" s="120"/>
      <c r="C53" s="120"/>
      <c r="D53" s="120"/>
      <c r="E53" s="120"/>
      <c r="F53" s="120"/>
      <c r="G53" s="120"/>
      <c r="H53" s="120"/>
      <c r="I53" s="120"/>
      <c r="J53" s="120"/>
      <c r="K53" s="120"/>
      <c r="L53" s="120"/>
      <c r="M53" s="120"/>
      <c r="N53" s="120"/>
      <c r="O53" s="120"/>
      <c r="P53" s="120"/>
      <c r="Q53" s="120"/>
      <c r="R53" s="120"/>
      <c r="S53" s="120"/>
    </row>
    <row r="54" spans="1:19" ht="16.95" customHeight="1" x14ac:dyDescent="0.3">
      <c r="A54" s="85"/>
      <c r="B54" s="120"/>
      <c r="C54" s="120"/>
      <c r="D54" s="120"/>
      <c r="E54" s="120"/>
      <c r="F54" s="120"/>
      <c r="G54" s="120"/>
      <c r="H54" s="120"/>
      <c r="I54" s="120"/>
      <c r="J54" s="120"/>
      <c r="K54" s="120"/>
      <c r="L54" s="120"/>
      <c r="M54" s="120"/>
      <c r="N54" s="120"/>
      <c r="O54" s="120"/>
      <c r="P54" s="120"/>
      <c r="Q54" s="120"/>
      <c r="R54" s="120"/>
      <c r="S54" s="120"/>
    </row>
    <row r="55" spans="1:19" ht="16.95" customHeight="1" x14ac:dyDescent="0.3">
      <c r="A55" s="85"/>
      <c r="B55" s="120"/>
      <c r="C55" s="120"/>
      <c r="D55" s="120"/>
      <c r="E55" s="120"/>
      <c r="F55" s="120"/>
      <c r="G55" s="120"/>
      <c r="H55" s="120"/>
      <c r="I55" s="120"/>
      <c r="J55" s="120"/>
      <c r="K55" s="120"/>
      <c r="L55" s="120"/>
      <c r="M55" s="120"/>
      <c r="N55" s="120"/>
      <c r="O55" s="120"/>
      <c r="P55" s="120"/>
      <c r="Q55" s="120"/>
      <c r="R55" s="120"/>
      <c r="S55" s="120"/>
    </row>
    <row r="56" spans="1:19" ht="16.95" customHeight="1" x14ac:dyDescent="0.3">
      <c r="A56" s="85"/>
      <c r="B56" s="120"/>
      <c r="C56" s="120"/>
      <c r="D56" s="120"/>
      <c r="E56" s="120"/>
      <c r="F56" s="120"/>
      <c r="G56" s="120"/>
      <c r="H56" s="120"/>
      <c r="I56" s="120"/>
      <c r="J56" s="120"/>
      <c r="K56" s="120"/>
      <c r="L56" s="120"/>
      <c r="M56" s="120"/>
      <c r="N56" s="120"/>
      <c r="O56" s="120"/>
      <c r="P56" s="120"/>
      <c r="Q56" s="120"/>
      <c r="R56" s="120"/>
      <c r="S56" s="120"/>
    </row>
    <row r="57" spans="1:19" ht="16.95" customHeight="1" x14ac:dyDescent="0.3">
      <c r="A57" s="85"/>
      <c r="B57" s="120"/>
      <c r="C57" s="120"/>
      <c r="D57" s="120"/>
      <c r="E57" s="120"/>
      <c r="F57" s="120"/>
      <c r="G57" s="120"/>
      <c r="H57" s="120"/>
      <c r="I57" s="120"/>
      <c r="J57" s="120"/>
      <c r="K57" s="120"/>
      <c r="L57" s="120"/>
      <c r="M57" s="120"/>
      <c r="N57" s="120"/>
      <c r="O57" s="120"/>
      <c r="P57" s="120"/>
      <c r="Q57" s="120"/>
      <c r="R57" s="120"/>
      <c r="S57" s="120"/>
    </row>
    <row r="58" spans="1:19" ht="16.95" customHeight="1" x14ac:dyDescent="0.3">
      <c r="A58" s="85"/>
      <c r="B58" s="120"/>
      <c r="C58" s="120"/>
      <c r="D58" s="120"/>
      <c r="E58" s="120"/>
      <c r="F58" s="120"/>
      <c r="G58" s="120"/>
      <c r="H58" s="120"/>
      <c r="I58" s="120"/>
      <c r="J58" s="120"/>
      <c r="K58" s="120"/>
      <c r="L58" s="120"/>
      <c r="M58" s="120"/>
      <c r="N58" s="120"/>
      <c r="O58" s="120"/>
      <c r="P58" s="120"/>
      <c r="Q58" s="120"/>
      <c r="R58" s="120"/>
      <c r="S58" s="120"/>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6" t="s">
        <v>88</v>
      </c>
      <c r="C60" s="126"/>
      <c r="D60" s="126"/>
      <c r="E60" s="126"/>
      <c r="F60" s="126"/>
      <c r="G60" s="126"/>
      <c r="H60" s="126"/>
      <c r="I60" s="126"/>
      <c r="J60" s="126"/>
      <c r="K60" s="126"/>
      <c r="L60" s="126"/>
      <c r="M60" s="126"/>
      <c r="N60" s="126"/>
      <c r="O60" s="126"/>
      <c r="P60" s="126"/>
      <c r="Q60" s="126"/>
      <c r="R60" s="126"/>
      <c r="S60" s="126"/>
    </row>
    <row r="61" spans="1:19" ht="16.95" customHeight="1" x14ac:dyDescent="0.3">
      <c r="B61" s="119" t="s">
        <v>163</v>
      </c>
      <c r="C61" s="119"/>
      <c r="D61" s="119"/>
      <c r="E61" s="119"/>
      <c r="F61" s="119"/>
      <c r="G61" s="119"/>
      <c r="H61" s="119"/>
      <c r="I61" s="119"/>
      <c r="J61" s="119"/>
      <c r="K61" s="119"/>
      <c r="L61" s="119"/>
      <c r="M61" s="119"/>
      <c r="N61" s="119"/>
      <c r="O61" s="119"/>
      <c r="P61" s="119"/>
      <c r="Q61" s="119"/>
      <c r="R61" s="119"/>
      <c r="S61" s="119"/>
    </row>
    <row r="62" spans="1:19" ht="16.95" customHeight="1" x14ac:dyDescent="0.3">
      <c r="A62" s="85"/>
      <c r="B62" s="120"/>
      <c r="C62" s="120"/>
      <c r="D62" s="120"/>
      <c r="E62" s="120"/>
      <c r="F62" s="120"/>
      <c r="G62" s="120"/>
      <c r="H62" s="120"/>
      <c r="I62" s="120"/>
      <c r="J62" s="120"/>
      <c r="K62" s="120"/>
      <c r="L62" s="120"/>
      <c r="M62" s="120"/>
      <c r="N62" s="120"/>
      <c r="O62" s="120"/>
      <c r="P62" s="120"/>
      <c r="Q62" s="120"/>
      <c r="R62" s="120"/>
      <c r="S62" s="120"/>
    </row>
    <row r="63" spans="1:19" ht="13.8" customHeight="1" x14ac:dyDescent="0.3"/>
    <row r="64" spans="1:19" ht="15" customHeight="1" x14ac:dyDescent="0.3">
      <c r="B64" s="126" t="s">
        <v>94</v>
      </c>
      <c r="C64" s="126"/>
      <c r="D64" s="126"/>
      <c r="E64" s="126"/>
      <c r="F64" s="126"/>
      <c r="G64" s="126"/>
      <c r="H64" s="126"/>
      <c r="I64" s="126"/>
      <c r="J64" s="126"/>
      <c r="K64" s="126"/>
      <c r="L64" s="126"/>
      <c r="M64" s="126"/>
      <c r="N64" s="126"/>
      <c r="O64" s="126"/>
      <c r="P64" s="126"/>
      <c r="Q64" s="126"/>
      <c r="R64" s="126"/>
      <c r="S64" s="126"/>
    </row>
    <row r="65" spans="1:19" ht="19.2" customHeight="1" x14ac:dyDescent="0.3">
      <c r="B65" s="119" t="s">
        <v>164</v>
      </c>
      <c r="C65" s="119"/>
      <c r="D65" s="119"/>
      <c r="E65" s="119"/>
      <c r="F65" s="119"/>
      <c r="G65" s="119"/>
      <c r="H65" s="119"/>
      <c r="I65" s="119"/>
      <c r="J65" s="119"/>
      <c r="K65" s="119"/>
      <c r="L65" s="119"/>
      <c r="M65" s="119"/>
      <c r="N65" s="119"/>
      <c r="O65" s="119"/>
      <c r="P65" s="119"/>
      <c r="Q65" s="119"/>
      <c r="R65" s="119"/>
      <c r="S65" s="119"/>
    </row>
    <row r="66" spans="1:19" ht="16.95" customHeight="1" x14ac:dyDescent="0.3">
      <c r="A66" s="85"/>
      <c r="B66" s="120"/>
      <c r="C66" s="120"/>
      <c r="D66" s="120"/>
      <c r="E66" s="120"/>
      <c r="F66" s="120"/>
      <c r="G66" s="120"/>
      <c r="H66" s="120"/>
      <c r="I66" s="120"/>
      <c r="J66" s="120"/>
      <c r="K66" s="120"/>
      <c r="L66" s="120"/>
      <c r="M66" s="120"/>
      <c r="N66" s="120"/>
      <c r="O66" s="120"/>
      <c r="P66" s="120"/>
      <c r="Q66" s="120"/>
      <c r="R66" s="120"/>
      <c r="S66" s="120"/>
    </row>
    <row r="67" spans="1:19" ht="16.95" customHeight="1" x14ac:dyDescent="0.3">
      <c r="A67" s="85"/>
      <c r="B67" s="120"/>
      <c r="C67" s="120"/>
      <c r="D67" s="120"/>
      <c r="E67" s="120"/>
      <c r="F67" s="120"/>
      <c r="G67" s="120"/>
      <c r="H67" s="120"/>
      <c r="I67" s="120"/>
      <c r="J67" s="120"/>
      <c r="K67" s="120"/>
      <c r="L67" s="120"/>
      <c r="M67" s="120"/>
      <c r="N67" s="120"/>
      <c r="O67" s="120"/>
      <c r="P67" s="120"/>
      <c r="Q67" s="120"/>
      <c r="R67" s="120"/>
      <c r="S67" s="120"/>
    </row>
    <row r="68" spans="1:19" ht="16.95" customHeight="1" x14ac:dyDescent="0.3">
      <c r="A68" s="85"/>
      <c r="B68" s="120"/>
      <c r="C68" s="120"/>
      <c r="D68" s="120"/>
      <c r="E68" s="120"/>
      <c r="F68" s="120"/>
      <c r="G68" s="120"/>
      <c r="H68" s="120"/>
      <c r="I68" s="120"/>
      <c r="J68" s="120"/>
      <c r="K68" s="120"/>
      <c r="L68" s="120"/>
      <c r="M68" s="120"/>
      <c r="N68" s="120"/>
      <c r="O68" s="120"/>
      <c r="P68" s="120"/>
      <c r="Q68" s="120"/>
      <c r="R68" s="120"/>
      <c r="S68" s="120"/>
    </row>
    <row r="69" spans="1:19" ht="16.95" customHeight="1" x14ac:dyDescent="0.3"/>
    <row r="70" spans="1:19" ht="16.95" customHeight="1" x14ac:dyDescent="0.3">
      <c r="B70" s="117" t="s">
        <v>90</v>
      </c>
      <c r="C70" s="117"/>
      <c r="D70" s="117"/>
      <c r="E70" s="117"/>
      <c r="F70" s="117"/>
      <c r="G70" s="117"/>
      <c r="H70" s="117" t="s">
        <v>91</v>
      </c>
      <c r="I70" s="117"/>
      <c r="J70" s="117"/>
      <c r="K70" s="117"/>
      <c r="L70" s="117"/>
      <c r="M70" s="117" t="s">
        <v>92</v>
      </c>
      <c r="N70" s="117"/>
      <c r="O70" s="117"/>
      <c r="P70" s="117" t="s">
        <v>93</v>
      </c>
      <c r="Q70" s="117"/>
      <c r="R70" s="117"/>
      <c r="S70" s="117"/>
    </row>
    <row r="71" spans="1:19" ht="16.95" customHeight="1" x14ac:dyDescent="0.3">
      <c r="B71" s="118" t="s">
        <v>132</v>
      </c>
      <c r="C71" s="118"/>
      <c r="D71" s="118"/>
      <c r="E71" s="118"/>
      <c r="F71" s="118"/>
      <c r="G71" s="118"/>
      <c r="H71" s="122" t="s">
        <v>133</v>
      </c>
      <c r="I71" s="122"/>
      <c r="J71" s="122"/>
      <c r="K71" s="122"/>
      <c r="L71" s="122"/>
      <c r="M71" s="123">
        <v>46059</v>
      </c>
      <c r="N71" s="123"/>
      <c r="O71" s="123"/>
      <c r="P71" s="121">
        <v>316261</v>
      </c>
      <c r="Q71" s="121"/>
      <c r="R71" s="121"/>
      <c r="S71" s="12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4" t="str">
        <f>O1</f>
        <v>CERTIFICADO N°:</v>
      </c>
      <c r="P76" s="124"/>
      <c r="Q76" s="124"/>
      <c r="R76" s="139">
        <f>R1</f>
        <v>0</v>
      </c>
      <c r="S76" s="139"/>
    </row>
    <row r="77" spans="1:19" ht="16.95" customHeight="1" x14ac:dyDescent="0.3"/>
    <row r="78" spans="1:19" ht="16.95" customHeight="1" x14ac:dyDescent="0.3">
      <c r="B78" s="107" t="s">
        <v>95</v>
      </c>
      <c r="C78" s="107"/>
      <c r="D78" s="107"/>
      <c r="E78" s="107"/>
      <c r="F78" s="107"/>
      <c r="G78" s="107"/>
      <c r="H78" s="107"/>
      <c r="I78" s="107"/>
      <c r="J78" s="107"/>
      <c r="K78" s="107"/>
      <c r="L78" s="107"/>
      <c r="M78" s="107"/>
      <c r="N78" s="107"/>
      <c r="O78" s="107"/>
      <c r="P78" s="107"/>
      <c r="Q78" s="107"/>
      <c r="R78" s="107"/>
      <c r="S78" s="107"/>
    </row>
    <row r="79" spans="1:19" ht="16.649999999999999" customHeight="1" x14ac:dyDescent="0.3"/>
    <row r="80" spans="1:19" ht="16.649999999999999" customHeight="1" x14ac:dyDescent="0.3">
      <c r="B80" s="50" t="s">
        <v>137</v>
      </c>
      <c r="C80" s="50"/>
      <c r="D80" s="50"/>
      <c r="E80" s="50"/>
      <c r="F80" s="50"/>
      <c r="G80" s="50"/>
      <c r="H80" s="50"/>
      <c r="I80" s="154" t="s">
        <v>144</v>
      </c>
      <c r="J80" s="154"/>
      <c r="K80" s="154"/>
      <c r="L80" s="154"/>
      <c r="M80" s="154"/>
      <c r="N80" s="153" t="s">
        <v>157</v>
      </c>
      <c r="O80" s="153"/>
      <c r="P80" s="154" t="s">
        <v>145</v>
      </c>
      <c r="Q80" s="154"/>
      <c r="R80" s="154"/>
      <c r="S80" s="88">
        <v>1</v>
      </c>
    </row>
    <row r="81" spans="2:19" ht="16.8" customHeight="1" x14ac:dyDescent="0.3"/>
    <row r="82" spans="2:19" ht="16.649999999999999" customHeight="1" x14ac:dyDescent="0.3">
      <c r="B82" s="116" t="s">
        <v>138</v>
      </c>
      <c r="C82" s="116"/>
      <c r="D82" s="152" t="s">
        <v>120</v>
      </c>
      <c r="E82" s="152"/>
      <c r="F82" s="152"/>
      <c r="G82" s="152"/>
      <c r="H82" s="152"/>
      <c r="I82" s="152"/>
      <c r="J82" s="152"/>
      <c r="K82" s="152"/>
      <c r="L82" s="155" t="s">
        <v>146</v>
      </c>
      <c r="M82" s="156"/>
      <c r="N82" s="156"/>
      <c r="O82" s="156"/>
      <c r="P82" s="156"/>
      <c r="Q82" s="156"/>
      <c r="R82" s="156"/>
      <c r="S82" s="156"/>
    </row>
    <row r="83" spans="2:19" ht="24" customHeight="1" x14ac:dyDescent="0.3">
      <c r="B83" s="116"/>
      <c r="C83" s="116"/>
      <c r="D83" s="113" t="s">
        <v>139</v>
      </c>
      <c r="E83" s="113"/>
      <c r="F83" s="113" t="s">
        <v>140</v>
      </c>
      <c r="G83" s="113"/>
      <c r="H83" s="113" t="s">
        <v>141</v>
      </c>
      <c r="I83" s="113"/>
      <c r="J83" s="113" t="s">
        <v>129</v>
      </c>
      <c r="K83" s="113"/>
      <c r="L83" s="116" t="s">
        <v>142</v>
      </c>
      <c r="M83" s="116"/>
      <c r="N83" s="116" t="s">
        <v>143</v>
      </c>
      <c r="O83" s="116"/>
      <c r="P83" s="113" t="s">
        <v>96</v>
      </c>
      <c r="Q83" s="113"/>
      <c r="R83" s="113"/>
      <c r="S83" s="87" t="s">
        <v>14</v>
      </c>
    </row>
    <row r="84" spans="2:19" ht="16.8" customHeight="1" x14ac:dyDescent="0.3">
      <c r="B84" s="115">
        <f>MEDIDA!B6</f>
        <v>0.5</v>
      </c>
      <c r="C84" s="115"/>
      <c r="D84" s="114">
        <f ca="1">MEDIDA!D6</f>
        <v>0.50867748099327026</v>
      </c>
      <c r="E84" s="114"/>
      <c r="F84" s="114">
        <f ca="1">MEDIDA!F6</f>
        <v>0.56192205734027212</v>
      </c>
      <c r="G84" s="114"/>
      <c r="H84" s="114">
        <f ca="1">MEDIDA!H6</f>
        <v>0.49937827610812396</v>
      </c>
      <c r="I84" s="114"/>
      <c r="J84" s="114">
        <f ca="1">MEDIDA!J6</f>
        <v>0.50867748099327026</v>
      </c>
      <c r="K84" s="114"/>
      <c r="L84" s="114">
        <f ca="1">MEDIDA!L6</f>
        <v>0.51966382385873411</v>
      </c>
      <c r="M84" s="114"/>
      <c r="N84" s="114">
        <f ca="1">MEDIDA!N6</f>
        <v>-1.9663823858734109E-2</v>
      </c>
      <c r="O84" s="114"/>
      <c r="P84" s="114">
        <v>0.01</v>
      </c>
      <c r="Q84" s="114"/>
      <c r="R84" s="114"/>
      <c r="S84" s="93">
        <f ca="1">INCERTIDUMBRE!K4</f>
        <v>2.0095162677856342</v>
      </c>
    </row>
    <row r="85" spans="2:19" ht="16.8" customHeight="1" x14ac:dyDescent="0.3">
      <c r="B85" s="115">
        <f>MEDIDA!B7</f>
        <v>5</v>
      </c>
      <c r="C85" s="115"/>
      <c r="D85" s="114">
        <f ca="1">MEDIDA!D7</f>
        <v>5.0540014473948505</v>
      </c>
      <c r="E85" s="114"/>
      <c r="F85" s="114">
        <f ca="1">MEDIDA!F7</f>
        <v>5.0686647076633475</v>
      </c>
      <c r="G85" s="114"/>
      <c r="H85" s="114">
        <f ca="1">MEDIDA!H7</f>
        <v>5.0841899884168154</v>
      </c>
      <c r="I85" s="114"/>
      <c r="J85" s="114">
        <f ca="1">MEDIDA!J7</f>
        <v>5.0012912779412613</v>
      </c>
      <c r="K85" s="114"/>
      <c r="L85" s="114">
        <f ca="1">MEDIDA!L7</f>
        <v>5.0520368553540687</v>
      </c>
      <c r="M85" s="114"/>
      <c r="N85" s="114">
        <f ca="1">MEDIDA!N7</f>
        <v>-5.2036855354068656E-2</v>
      </c>
      <c r="O85" s="114"/>
      <c r="P85" s="114">
        <v>0.01</v>
      </c>
      <c r="Q85" s="114"/>
      <c r="R85" s="114"/>
      <c r="S85" s="93">
        <f ca="1">INCERTIDUMBRE!K5</f>
        <v>2.0095162677856342</v>
      </c>
    </row>
    <row r="86" spans="2:19" ht="16.8" customHeight="1" x14ac:dyDescent="0.3">
      <c r="B86" s="115">
        <f>MEDIDA!B8</f>
        <v>10</v>
      </c>
      <c r="C86" s="115"/>
      <c r="D86" s="114">
        <f ca="1">MEDIDA!D8</f>
        <v>10.114474963298273</v>
      </c>
      <c r="E86" s="114"/>
      <c r="F86" s="114">
        <f ca="1">MEDIDA!F8</f>
        <v>10.16382726012921</v>
      </c>
      <c r="G86" s="114"/>
      <c r="H86" s="114">
        <f ca="1">MEDIDA!H8</f>
        <v>10.167171796413051</v>
      </c>
      <c r="I86" s="114"/>
      <c r="J86" s="114">
        <f ca="1">MEDIDA!J8</f>
        <v>10.114474963298273</v>
      </c>
      <c r="K86" s="114"/>
      <c r="L86" s="114">
        <f ca="1">MEDIDA!L8</f>
        <v>10.139987245784701</v>
      </c>
      <c r="M86" s="114"/>
      <c r="N86" s="114">
        <f ca="1">MEDIDA!N8</f>
        <v>-0.13998724578470068</v>
      </c>
      <c r="O86" s="114"/>
      <c r="P86" s="114">
        <v>0.01</v>
      </c>
      <c r="Q86" s="114"/>
      <c r="R86" s="114"/>
      <c r="S86" s="93">
        <f ca="1">INCERTIDUMBRE!K6</f>
        <v>2.0095162677856342</v>
      </c>
    </row>
    <row r="87" spans="2:19" ht="16.2" customHeight="1" x14ac:dyDescent="0.3"/>
    <row r="88" spans="2:19" ht="16.95" customHeight="1" x14ac:dyDescent="0.3"/>
    <row r="89" spans="2:19" ht="16.95" customHeight="1" x14ac:dyDescent="0.3"/>
    <row r="90" spans="2:19" ht="16.95" customHeight="1" x14ac:dyDescent="0.3"/>
    <row r="91" spans="2:19" ht="24"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row r="99" spans="2:19" ht="16.95" customHeight="1" x14ac:dyDescent="0.3"/>
    <row r="100" spans="2:19" ht="16.95" customHeight="1" x14ac:dyDescent="0.3">
      <c r="B100" s="107" t="s">
        <v>97</v>
      </c>
      <c r="C100" s="107"/>
      <c r="D100" s="107"/>
      <c r="E100" s="107"/>
      <c r="F100" s="107"/>
      <c r="G100" s="107"/>
      <c r="H100" s="107"/>
      <c r="I100" s="107"/>
      <c r="J100" s="107"/>
      <c r="K100" s="107"/>
      <c r="L100" s="107"/>
      <c r="M100" s="107"/>
      <c r="N100" s="107"/>
      <c r="O100" s="107"/>
      <c r="P100" s="107"/>
      <c r="Q100" s="107"/>
      <c r="R100" s="107"/>
      <c r="S100" s="107"/>
    </row>
    <row r="101" spans="2:19" ht="16.95" customHeight="1" x14ac:dyDescent="0.3"/>
    <row r="102" spans="2:19" ht="16.95" customHeight="1" x14ac:dyDescent="0.3">
      <c r="B102" s="108" t="s">
        <v>98</v>
      </c>
      <c r="C102" s="108"/>
      <c r="D102" s="108"/>
      <c r="E102" s="108"/>
      <c r="F102" s="108"/>
      <c r="G102" s="108"/>
      <c r="I102" s="76" t="s">
        <v>99</v>
      </c>
      <c r="J102" s="76"/>
      <c r="K102" s="76"/>
      <c r="L102" s="76"/>
      <c r="M102" s="76"/>
      <c r="N102" s="76"/>
      <c r="O102" s="76"/>
      <c r="P102" s="76"/>
      <c r="Q102" s="76"/>
      <c r="R102" s="76"/>
      <c r="S102" s="76"/>
    </row>
    <row r="103" spans="2:19" ht="19.8" customHeight="1" x14ac:dyDescent="0.3">
      <c r="B103" s="109" t="s">
        <v>100</v>
      </c>
      <c r="C103" s="109"/>
      <c r="D103" s="109"/>
      <c r="E103" s="109"/>
      <c r="F103" s="109"/>
      <c r="G103" s="109"/>
      <c r="I103" s="76" t="s">
        <v>99</v>
      </c>
    </row>
    <row r="104" spans="2:19" x14ac:dyDescent="0.3">
      <c r="B104" s="108" t="s">
        <v>101</v>
      </c>
      <c r="C104" s="108"/>
      <c r="D104" s="108"/>
      <c r="E104" s="108"/>
      <c r="F104" s="108"/>
      <c r="G104" s="108"/>
      <c r="I104" s="76" t="s">
        <v>99</v>
      </c>
      <c r="J104" s="76"/>
      <c r="K104" s="76"/>
      <c r="L104" s="76"/>
      <c r="M104" s="76"/>
      <c r="N104" s="76"/>
      <c r="O104" s="76"/>
      <c r="P104" s="76"/>
      <c r="Q104" s="76"/>
      <c r="R104" s="76"/>
      <c r="S104" s="76"/>
    </row>
    <row r="105" spans="2:19" x14ac:dyDescent="0.3">
      <c r="B105" s="110" t="s">
        <v>102</v>
      </c>
      <c r="C105" s="110"/>
      <c r="D105" s="110"/>
      <c r="E105" s="110"/>
      <c r="F105" s="110"/>
      <c r="G105" s="110"/>
      <c r="I105" s="111" t="s">
        <v>99</v>
      </c>
      <c r="J105" s="111"/>
      <c r="K105" s="111"/>
      <c r="L105" s="111"/>
      <c r="M105" s="86"/>
      <c r="N105" s="86"/>
      <c r="O105" s="86"/>
      <c r="P105" s="86"/>
      <c r="Q105" s="86"/>
      <c r="R105" s="86"/>
      <c r="S105" s="86"/>
    </row>
    <row r="106" spans="2:19" ht="16.649999999999999" customHeight="1" x14ac:dyDescent="0.3"/>
    <row r="107" spans="2:19" ht="16.8" customHeight="1" x14ac:dyDescent="0.3"/>
    <row r="108" spans="2:19" ht="16.8" customHeight="1" x14ac:dyDescent="0.3">
      <c r="B108" s="112" t="s">
        <v>165</v>
      </c>
      <c r="C108" s="112"/>
      <c r="D108" s="112"/>
      <c r="E108" s="112"/>
      <c r="F108" s="112"/>
      <c r="G108" s="112"/>
      <c r="H108" s="112"/>
      <c r="I108" s="112"/>
      <c r="J108" s="112"/>
      <c r="K108" s="112"/>
      <c r="L108" s="112"/>
      <c r="M108" s="112"/>
      <c r="N108" s="112"/>
      <c r="O108" s="112"/>
      <c r="P108" s="112"/>
      <c r="Q108" s="112"/>
      <c r="R108" s="112"/>
      <c r="S108" s="112"/>
    </row>
    <row r="109" spans="2:19" ht="16.8" customHeight="1" x14ac:dyDescent="0.3"/>
    <row r="110" spans="2:19" ht="16.8" customHeight="1" x14ac:dyDescent="0.3"/>
    <row r="114" ht="16.649999999999999" customHeight="1" x14ac:dyDescent="0.3"/>
    <row r="115" ht="16.649999999999999" customHeight="1" x14ac:dyDescent="0.3"/>
    <row r="116" ht="16.649999999999999" customHeight="1" x14ac:dyDescent="0.3"/>
    <row r="117" ht="16.8" customHeight="1" x14ac:dyDescent="0.3"/>
    <row r="118" ht="16.8" customHeight="1" x14ac:dyDescent="0.3"/>
    <row r="119" ht="24" customHeight="1" x14ac:dyDescent="0.3"/>
    <row r="120" ht="16.8" customHeight="1" x14ac:dyDescent="0.3"/>
    <row r="121" ht="16.8" customHeight="1" x14ac:dyDescent="0.3"/>
    <row r="122" ht="16.8" customHeight="1" x14ac:dyDescent="0.3"/>
    <row r="123" ht="16.8" customHeight="1" x14ac:dyDescent="0.3"/>
    <row r="124" ht="16.8" customHeight="1" x14ac:dyDescent="0.3"/>
    <row r="128" ht="24" customHeight="1" x14ac:dyDescent="0.3"/>
    <row r="129" ht="16.8" customHeight="1" x14ac:dyDescent="0.3"/>
    <row r="130" ht="16.8" customHeight="1" x14ac:dyDescent="0.3"/>
    <row r="131" ht="16.8" customHeight="1" x14ac:dyDescent="0.3"/>
    <row r="132" ht="16.8" customHeight="1" x14ac:dyDescent="0.3"/>
    <row r="133" ht="16.8" customHeight="1" x14ac:dyDescent="0.3"/>
    <row r="137" ht="24" customHeight="1" x14ac:dyDescent="0.3"/>
    <row r="149" spans="20:20" ht="16.2" customHeight="1" x14ac:dyDescent="0.3">
      <c r="T149" s="50"/>
    </row>
    <row r="150" spans="20:20" ht="11.4" customHeight="1" x14ac:dyDescent="0.3"/>
    <row r="154" spans="20:20" ht="16.8" customHeight="1" x14ac:dyDescent="0.3"/>
    <row r="155" spans="20:20" ht="24" customHeight="1" x14ac:dyDescent="0.3"/>
    <row r="159" spans="20:20" ht="16.8" customHeight="1" x14ac:dyDescent="0.3"/>
    <row r="163" spans="20:20" ht="24" customHeight="1" x14ac:dyDescent="0.3"/>
    <row r="174" spans="20:20" x14ac:dyDescent="0.3">
      <c r="T174" s="86"/>
    </row>
  </sheetData>
  <mergeCells count="112">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 ref="J85:K85"/>
    <mergeCell ref="R76:S76"/>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B70:G70"/>
    <mergeCell ref="B71:G71"/>
    <mergeCell ref="B51:S58"/>
    <mergeCell ref="B61:S62"/>
    <mergeCell ref="B65:S68"/>
    <mergeCell ref="P71:S71"/>
    <mergeCell ref="H70:L70"/>
    <mergeCell ref="H71:L71"/>
    <mergeCell ref="M70:O70"/>
    <mergeCell ref="M71:O71"/>
    <mergeCell ref="P70:S70"/>
    <mergeCell ref="B100:S100"/>
    <mergeCell ref="B102:G102"/>
    <mergeCell ref="B103:G103"/>
    <mergeCell ref="B104:G104"/>
    <mergeCell ref="B105:G105"/>
    <mergeCell ref="I105:L105"/>
    <mergeCell ref="B108:S108"/>
    <mergeCell ref="P83:R83"/>
    <mergeCell ref="L85:M85"/>
    <mergeCell ref="N85:O85"/>
    <mergeCell ref="P85:R85"/>
    <mergeCell ref="B86:C86"/>
    <mergeCell ref="D86:E86"/>
    <mergeCell ref="D83:E83"/>
    <mergeCell ref="F83:G83"/>
    <mergeCell ref="H83:I83"/>
    <mergeCell ref="J83:K83"/>
    <mergeCell ref="L83:M83"/>
    <mergeCell ref="N83:O83"/>
    <mergeCell ref="P86:R86"/>
    <mergeCell ref="B85:C85"/>
    <mergeCell ref="D85:E85"/>
    <mergeCell ref="F85:G85"/>
    <mergeCell ref="H85:I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2026-06-02T17:32:06Z</dcterms:modified>
</cp:coreProperties>
</file>