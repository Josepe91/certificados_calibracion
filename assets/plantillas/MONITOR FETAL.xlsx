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057788CB-E76F-48F9-8868-CC94E34547C9}"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48" i="31" l="1"/>
  <c r="I17" i="31"/>
  <c r="C16" i="20"/>
  <c r="F16" i="20" s="1"/>
  <c r="C15" i="20"/>
  <c r="E15" i="20" s="1"/>
  <c r="C14" i="20"/>
  <c r="E14" i="20" s="1"/>
  <c r="C13" i="20"/>
  <c r="F13" i="20" s="1"/>
  <c r="R1" i="31"/>
  <c r="F13" i="21"/>
  <c r="F14" i="21"/>
  <c r="F15" i="21"/>
  <c r="F12" i="21"/>
  <c r="F5" i="21"/>
  <c r="F6" i="21"/>
  <c r="F7" i="21"/>
  <c r="F4" i="21"/>
  <c r="F8" i="20"/>
  <c r="E8" i="20"/>
  <c r="D8" i="20"/>
  <c r="F7" i="20"/>
  <c r="E7" i="20"/>
  <c r="D7" i="20"/>
  <c r="F6" i="20"/>
  <c r="E6" i="20"/>
  <c r="D6" i="20"/>
  <c r="F5" i="20"/>
  <c r="E5" i="20"/>
  <c r="D5" i="20"/>
  <c r="D13" i="20" l="1"/>
  <c r="F93" i="31" s="1"/>
  <c r="E13" i="20"/>
  <c r="H93" i="31" s="1"/>
  <c r="D14" i="20"/>
  <c r="F94" i="31" s="1"/>
  <c r="D15" i="20"/>
  <c r="F95" i="31" s="1"/>
  <c r="F15" i="20"/>
  <c r="J95" i="31" s="1"/>
  <c r="E16" i="20"/>
  <c r="H96" i="31" s="1"/>
  <c r="F14" i="20"/>
  <c r="J94" i="31" s="1"/>
  <c r="D16" i="20"/>
  <c r="F96" i="31" s="1"/>
  <c r="N46" i="31"/>
  <c r="K46" i="31"/>
  <c r="I46" i="31"/>
  <c r="F46" i="31"/>
  <c r="M32" i="31"/>
  <c r="M31" i="31"/>
  <c r="I18" i="31"/>
  <c r="I19" i="31"/>
  <c r="I20" i="31"/>
  <c r="I21" i="31"/>
  <c r="I13" i="31"/>
  <c r="I12" i="31"/>
  <c r="I11" i="31"/>
  <c r="I10" i="31"/>
  <c r="I9" i="31"/>
  <c r="I8" i="31"/>
  <c r="I7" i="31"/>
  <c r="I6" i="31"/>
  <c r="I5" i="31"/>
  <c r="B10" i="23"/>
  <c r="B9" i="23"/>
  <c r="B85" i="31"/>
  <c r="B86" i="31"/>
  <c r="B87" i="31"/>
  <c r="B84" i="31"/>
  <c r="J96" i="31"/>
  <c r="H94" i="31"/>
  <c r="H95" i="31"/>
  <c r="D94" i="31"/>
  <c r="D95" i="31"/>
  <c r="D96" i="31"/>
  <c r="J93" i="31"/>
  <c r="D93" i="31"/>
  <c r="B94" i="31"/>
  <c r="B95" i="31"/>
  <c r="B96" i="31"/>
  <c r="B93" i="31"/>
  <c r="L95" i="31" l="1"/>
  <c r="N95" i="31" s="1"/>
  <c r="L96" i="31"/>
  <c r="N96" i="31" s="1"/>
  <c r="L94" i="31"/>
  <c r="N94" i="31" s="1"/>
  <c r="L93" i="31"/>
  <c r="N93" i="31" s="1"/>
  <c r="H13" i="21"/>
  <c r="H14" i="21"/>
  <c r="H15" i="21"/>
  <c r="H12" i="21"/>
  <c r="M8" i="20"/>
  <c r="N8" i="20"/>
  <c r="O8" i="20"/>
  <c r="L8" i="20"/>
  <c r="M7" i="20"/>
  <c r="N7" i="20"/>
  <c r="O7" i="20"/>
  <c r="L7" i="20"/>
  <c r="M6" i="20"/>
  <c r="N6" i="20"/>
  <c r="O6" i="20"/>
  <c r="L6" i="20"/>
  <c r="M5" i="20"/>
  <c r="N5" i="20"/>
  <c r="O5" i="20"/>
  <c r="L5" i="20"/>
  <c r="H5" i="21" l="1"/>
  <c r="H6" i="21"/>
  <c r="H7" i="21"/>
  <c r="H4" i="21"/>
  <c r="K6" i="20"/>
  <c r="K7" i="20"/>
  <c r="K8" i="20"/>
  <c r="K5" i="20"/>
  <c r="G15" i="21" l="1"/>
  <c r="D15" i="21"/>
  <c r="C15" i="21"/>
  <c r="B15" i="21"/>
  <c r="G14" i="21"/>
  <c r="D14" i="21"/>
  <c r="C14" i="21"/>
  <c r="B14" i="21"/>
  <c r="G13" i="21"/>
  <c r="D13" i="21"/>
  <c r="C13" i="21"/>
  <c r="B13" i="21"/>
  <c r="G12" i="21"/>
  <c r="D12" i="21"/>
  <c r="C12" i="21"/>
  <c r="B12" i="21"/>
  <c r="H5" i="25"/>
  <c r="H6" i="25"/>
  <c r="H7" i="25"/>
  <c r="H8" i="25"/>
  <c r="H4" i="25"/>
  <c r="G5" i="21"/>
  <c r="G6" i="21"/>
  <c r="G7" i="21"/>
  <c r="G4" i="21"/>
  <c r="B5" i="21"/>
  <c r="B6" i="21"/>
  <c r="B7" i="21"/>
  <c r="B4" i="21"/>
  <c r="J85" i="31"/>
  <c r="J86" i="31"/>
  <c r="J87" i="31"/>
  <c r="H85" i="31"/>
  <c r="H86" i="31"/>
  <c r="H87" i="31"/>
  <c r="F85" i="31"/>
  <c r="F86" i="31"/>
  <c r="F87" i="31"/>
  <c r="D85" i="31"/>
  <c r="H84" i="31"/>
  <c r="J84" i="31"/>
  <c r="F84" i="31"/>
  <c r="D84" i="31"/>
  <c r="J4" i="25"/>
  <c r="D5" i="21"/>
  <c r="D6" i="21"/>
  <c r="D7" i="21"/>
  <c r="D4" i="21"/>
  <c r="P7" i="20" l="1"/>
  <c r="L86" i="31" s="1"/>
  <c r="P8" i="20"/>
  <c r="L87" i="31" s="1"/>
  <c r="P6" i="20"/>
  <c r="L85" i="31" s="1"/>
  <c r="D86" i="31"/>
  <c r="D87" i="31"/>
  <c r="P5" i="20"/>
  <c r="L84" i="31" s="1"/>
  <c r="Q8" i="20" l="1"/>
  <c r="N87" i="31" s="1"/>
  <c r="Q7" i="20"/>
  <c r="N86" i="31" s="1"/>
  <c r="Q5" i="20"/>
  <c r="N84" i="31" s="1"/>
  <c r="Q6" i="20"/>
  <c r="N85" i="31" s="1"/>
  <c r="O76" i="31" l="1"/>
  <c r="R76" i="31"/>
  <c r="O38" i="31"/>
  <c r="R38" i="31"/>
  <c r="C4" i="21"/>
  <c r="C5" i="21"/>
  <c r="C6" i="21"/>
  <c r="C7" i="21"/>
  <c r="C444" i="29"/>
  <c r="C2" i="25"/>
  <c r="E4" i="25"/>
  <c r="A404" i="29"/>
  <c r="J407" i="29" s="1"/>
  <c r="A204" i="29"/>
  <c r="E209" i="29" s="1"/>
  <c r="A164" i="29"/>
  <c r="C163" i="29" s="1"/>
  <c r="D163" i="29" s="1"/>
  <c r="D164" i="29" s="1"/>
  <c r="J167" i="29" l="1"/>
  <c r="C212" i="29"/>
  <c r="D212" i="29" s="1"/>
  <c r="E212" i="29" s="1"/>
  <c r="C412" i="29"/>
  <c r="D412" i="29" s="1"/>
  <c r="E412" i="29" s="1"/>
  <c r="E166" i="29"/>
  <c r="F169" i="29" s="1"/>
  <c r="J406" i="29"/>
  <c r="J166" i="29"/>
  <c r="E206" i="29"/>
  <c r="F209" i="29" s="1"/>
  <c r="G206" i="29" s="1"/>
  <c r="C403" i="29"/>
  <c r="D403" i="29" s="1"/>
  <c r="D404" i="29" s="1"/>
  <c r="J207" i="29"/>
  <c r="C203" i="29"/>
  <c r="D203" i="29" s="1"/>
  <c r="E203" i="29" s="1"/>
  <c r="F203" i="29" s="1"/>
  <c r="C206" i="29" s="1"/>
  <c r="J206" i="29"/>
  <c r="E409" i="29"/>
  <c r="E163" i="29"/>
  <c r="F163" i="29" s="1"/>
  <c r="C166" i="29" s="1"/>
  <c r="G449" i="29"/>
  <c r="L447" i="29"/>
  <c r="L446" i="29"/>
  <c r="D444" i="29"/>
  <c r="E443" i="29"/>
  <c r="F443" i="29" s="1"/>
  <c r="E452" i="29"/>
  <c r="F452" i="29" s="1"/>
  <c r="G452" i="29" s="1"/>
  <c r="G446" i="29"/>
  <c r="H449" i="29" s="1"/>
  <c r="B165" i="29"/>
  <c r="C172" i="29"/>
  <c r="D172" i="29" s="1"/>
  <c r="E172" i="29" s="1"/>
  <c r="E169" i="29"/>
  <c r="E406" i="29"/>
  <c r="A4" i="25"/>
  <c r="I4" i="25"/>
  <c r="E7" i="25"/>
  <c r="E403" i="29" l="1"/>
  <c r="F403" i="29" s="1"/>
  <c r="C406" i="29" s="1"/>
  <c r="C407" i="29" s="1"/>
  <c r="C408" i="29" s="1"/>
  <c r="G166" i="29"/>
  <c r="H166" i="29" s="1"/>
  <c r="D204" i="29"/>
  <c r="D206" i="29"/>
  <c r="C207" i="29"/>
  <c r="C208" i="29" s="1"/>
  <c r="G443" i="29"/>
  <c r="H443" i="29" s="1"/>
  <c r="E446" i="29" s="1"/>
  <c r="F444" i="29"/>
  <c r="F409" i="29"/>
  <c r="G406" i="29" s="1"/>
  <c r="H406" i="29" s="1"/>
  <c r="H206" i="29"/>
  <c r="F206" i="29"/>
  <c r="C167" i="29"/>
  <c r="C168" i="29" s="1"/>
  <c r="D166" i="29"/>
  <c r="I446" i="29"/>
  <c r="I7" i="25"/>
  <c r="E6" i="25"/>
  <c r="I6" i="25" s="1"/>
  <c r="E5" i="25"/>
  <c r="I5" i="25" s="1"/>
  <c r="E8" i="25"/>
  <c r="I8" i="25" s="1"/>
  <c r="K4" i="25" l="1"/>
  <c r="I15" i="21" s="1"/>
  <c r="J15" i="21" s="1"/>
  <c r="K15" i="21" s="1"/>
  <c r="S96" i="31" s="1"/>
  <c r="F166" i="29"/>
  <c r="D406" i="29"/>
  <c r="D407" i="29" s="1"/>
  <c r="F406" i="29"/>
  <c r="K166" i="29"/>
  <c r="A172" i="29" s="1"/>
  <c r="H163" i="29"/>
  <c r="E447" i="29"/>
  <c r="E448" i="29" s="1"/>
  <c r="F446" i="29"/>
  <c r="K206" i="29"/>
  <c r="A212" i="29" s="1"/>
  <c r="H203" i="29"/>
  <c r="D169" i="29"/>
  <c r="D167" i="29"/>
  <c r="H446" i="29"/>
  <c r="J446" i="29"/>
  <c r="D207" i="29"/>
  <c r="D209" i="29"/>
  <c r="I14" i="21" l="1"/>
  <c r="J14" i="21" s="1"/>
  <c r="K14" i="21" s="1"/>
  <c r="S95" i="31" s="1"/>
  <c r="I13" i="21"/>
  <c r="J13" i="21" s="1"/>
  <c r="K13" i="21" s="1"/>
  <c r="S94" i="31" s="1"/>
  <c r="I12" i="21"/>
  <c r="J12" i="21" s="1"/>
  <c r="K12" i="21" s="1"/>
  <c r="S93" i="31" s="1"/>
  <c r="L15" i="21"/>
  <c r="D409" i="29"/>
  <c r="I5" i="21"/>
  <c r="J5" i="21" s="1"/>
  <c r="K5" i="21" s="1"/>
  <c r="S85" i="31" s="1"/>
  <c r="I7" i="21"/>
  <c r="I6" i="21"/>
  <c r="J6" i="21" s="1"/>
  <c r="K6" i="21" s="1"/>
  <c r="S86" i="31" s="1"/>
  <c r="I4" i="21"/>
  <c r="J4" i="21" s="1"/>
  <c r="K4" i="21" s="1"/>
  <c r="S84" i="31" s="1"/>
  <c r="E214" i="29"/>
  <c r="F217" i="29" s="1"/>
  <c r="C214" i="29"/>
  <c r="E217" i="29"/>
  <c r="J214" i="29"/>
  <c r="C220" i="29"/>
  <c r="D220" i="29" s="1"/>
  <c r="E220" i="29" s="1"/>
  <c r="J215" i="29"/>
  <c r="F447" i="29"/>
  <c r="F449" i="29"/>
  <c r="M446" i="29"/>
  <c r="C452" i="29" s="1"/>
  <c r="J443" i="29"/>
  <c r="E174" i="29"/>
  <c r="F177" i="29" s="1"/>
  <c r="J175" i="29"/>
  <c r="J174" i="29"/>
  <c r="C174" i="29"/>
  <c r="C180" i="29"/>
  <c r="D180" i="29" s="1"/>
  <c r="E180" i="29" s="1"/>
  <c r="E177" i="29"/>
  <c r="L13" i="21" l="1"/>
  <c r="P94" i="31" s="1"/>
  <c r="L14" i="21"/>
  <c r="P95" i="31" s="1"/>
  <c r="L12" i="21"/>
  <c r="P93" i="31" s="1"/>
  <c r="P96" i="31"/>
  <c r="A364" i="29"/>
  <c r="K406" i="29"/>
  <c r="A412" i="29" s="1"/>
  <c r="H403" i="29"/>
  <c r="G174" i="29"/>
  <c r="H174" i="29" s="1"/>
  <c r="L4" i="21"/>
  <c r="P84" i="31" s="1"/>
  <c r="L5" i="21"/>
  <c r="P85" i="31" s="1"/>
  <c r="L6" i="21"/>
  <c r="P86" i="31" s="1"/>
  <c r="J7" i="21"/>
  <c r="K7" i="21" s="1"/>
  <c r="S87" i="3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F174" i="29"/>
  <c r="A324" i="29" l="1"/>
  <c r="E326" i="29" s="1"/>
  <c r="F329" i="29" s="1"/>
  <c r="A244" i="29"/>
  <c r="J247" i="29" s="1"/>
  <c r="A284" i="29"/>
  <c r="J286" i="29" s="1"/>
  <c r="C363" i="29"/>
  <c r="D363" i="29" s="1"/>
  <c r="J367" i="29"/>
  <c r="J366" i="29"/>
  <c r="C372" i="29"/>
  <c r="D372" i="29" s="1"/>
  <c r="E372" i="29" s="1"/>
  <c r="E369" i="29"/>
  <c r="E366" i="29"/>
  <c r="F369" i="29" s="1"/>
  <c r="J414" i="29"/>
  <c r="E417" i="29"/>
  <c r="C420" i="29"/>
  <c r="D420" i="29" s="1"/>
  <c r="E420" i="29" s="1"/>
  <c r="J415" i="29"/>
  <c r="E414" i="29"/>
  <c r="F417" i="29" s="1"/>
  <c r="C414" i="29"/>
  <c r="F214" i="29"/>
  <c r="A3" i="29"/>
  <c r="A43" i="29"/>
  <c r="L7" i="21"/>
  <c r="P87" i="31" s="1"/>
  <c r="A124" i="29"/>
  <c r="C228" i="29"/>
  <c r="D228" i="29" s="1"/>
  <c r="E228" i="29" s="1"/>
  <c r="J223" i="29"/>
  <c r="C222" i="29"/>
  <c r="J222" i="29"/>
  <c r="E225" i="29"/>
  <c r="E222" i="29"/>
  <c r="F225" i="29" s="1"/>
  <c r="F454" i="29"/>
  <c r="E455" i="29"/>
  <c r="E456" i="29" s="1"/>
  <c r="M454" i="29" s="1"/>
  <c r="C460" i="29" s="1"/>
  <c r="D217" i="29"/>
  <c r="D215" i="29"/>
  <c r="D175" i="29"/>
  <c r="D177" i="29"/>
  <c r="I454" i="29"/>
  <c r="C188" i="29"/>
  <c r="D188" i="29" s="1"/>
  <c r="E188" i="29" s="1"/>
  <c r="J182" i="29"/>
  <c r="E185" i="29"/>
  <c r="E182" i="29"/>
  <c r="F185" i="29" s="1"/>
  <c r="C182" i="29"/>
  <c r="J183" i="29"/>
  <c r="C332" i="29" l="1"/>
  <c r="D332" i="29" s="1"/>
  <c r="E332" i="29" s="1"/>
  <c r="E249" i="29"/>
  <c r="E289" i="29"/>
  <c r="E246" i="29"/>
  <c r="F249" i="29" s="1"/>
  <c r="C292" i="29"/>
  <c r="D292" i="29" s="1"/>
  <c r="E292" i="29" s="1"/>
  <c r="J246" i="29"/>
  <c r="C252" i="29"/>
  <c r="D252" i="29" s="1"/>
  <c r="E252" i="29" s="1"/>
  <c r="C243" i="29"/>
  <c r="D243" i="29" s="1"/>
  <c r="E243" i="29" s="1"/>
  <c r="F243" i="29" s="1"/>
  <c r="C246" i="29" s="1"/>
  <c r="J287" i="29"/>
  <c r="E286" i="29"/>
  <c r="F289" i="29" s="1"/>
  <c r="C283" i="29"/>
  <c r="D283" i="29" s="1"/>
  <c r="E283" i="29" s="1"/>
  <c r="F283" i="29" s="1"/>
  <c r="C286" i="29" s="1"/>
  <c r="J326" i="29"/>
  <c r="E329" i="29"/>
  <c r="G326" i="29" s="1"/>
  <c r="H326" i="29" s="1"/>
  <c r="C323" i="29"/>
  <c r="D323" i="29" s="1"/>
  <c r="E323" i="29" s="1"/>
  <c r="F323" i="29" s="1"/>
  <c r="C326" i="29" s="1"/>
  <c r="J327" i="29"/>
  <c r="G366" i="29"/>
  <c r="D364" i="29"/>
  <c r="E363" i="29"/>
  <c r="F363" i="29" s="1"/>
  <c r="C366" i="29" s="1"/>
  <c r="D414" i="29"/>
  <c r="C415" i="29"/>
  <c r="C416" i="29" s="1"/>
  <c r="K414" i="29" s="1"/>
  <c r="A420" i="29" s="1"/>
  <c r="G414" i="29"/>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222" i="29"/>
  <c r="H222" i="29" s="1"/>
  <c r="C183" i="29"/>
  <c r="C184" i="29" s="1"/>
  <c r="K182" i="29" s="1"/>
  <c r="A188" i="29" s="1"/>
  <c r="D182" i="29"/>
  <c r="D222" i="29"/>
  <c r="C223" i="29"/>
  <c r="C224" i="29" s="1"/>
  <c r="K222" i="29" s="1"/>
  <c r="A228" i="29" s="1"/>
  <c r="J454" i="29"/>
  <c r="H454" i="29"/>
  <c r="F222" i="29"/>
  <c r="G465" i="29"/>
  <c r="E468" i="29"/>
  <c r="F468" i="29" s="1"/>
  <c r="G468" i="29" s="1"/>
  <c r="L462" i="29"/>
  <c r="E462" i="29"/>
  <c r="L463" i="29"/>
  <c r="G462" i="29"/>
  <c r="H465" i="29" s="1"/>
  <c r="G182" i="29"/>
  <c r="H182" i="29" s="1"/>
  <c r="F457" i="29"/>
  <c r="F455" i="29"/>
  <c r="G246" i="29" l="1"/>
  <c r="H246" i="29" s="1"/>
  <c r="D284" i="29"/>
  <c r="G286" i="29"/>
  <c r="H286" i="29" s="1"/>
  <c r="D244" i="29"/>
  <c r="D324" i="29"/>
  <c r="F326" i="29"/>
  <c r="H366" i="29"/>
  <c r="F366" i="29"/>
  <c r="C367" i="29"/>
  <c r="C368" i="29" s="1"/>
  <c r="D366" i="29"/>
  <c r="D326" i="29"/>
  <c r="C327" i="29"/>
  <c r="C328" i="29" s="1"/>
  <c r="C247" i="29"/>
  <c r="C248" i="29" s="1"/>
  <c r="D246" i="29"/>
  <c r="C287" i="29"/>
  <c r="C288" i="29" s="1"/>
  <c r="D286" i="29"/>
  <c r="F182" i="29"/>
  <c r="D415" i="29"/>
  <c r="D417" i="29"/>
  <c r="E422" i="29"/>
  <c r="F425" i="29" s="1"/>
  <c r="J423" i="29"/>
  <c r="C422" i="29"/>
  <c r="C428" i="29"/>
  <c r="D428" i="29" s="1"/>
  <c r="E428" i="29" s="1"/>
  <c r="J422" i="29"/>
  <c r="E425" i="29"/>
  <c r="H414" i="29"/>
  <c r="F414" i="29"/>
  <c r="G5" i="29"/>
  <c r="H5" i="29" s="1"/>
  <c r="G126"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C236" i="29"/>
  <c r="D236" i="29" s="1"/>
  <c r="E236" i="29" s="1"/>
  <c r="C230" i="29"/>
  <c r="E233" i="29"/>
  <c r="E230" i="29"/>
  <c r="F233" i="29" s="1"/>
  <c r="J230" i="29"/>
  <c r="J231" i="29"/>
  <c r="D185" i="29"/>
  <c r="D183" i="29"/>
  <c r="E463" i="29"/>
  <c r="E464" i="29" s="1"/>
  <c r="M462" i="29" s="1"/>
  <c r="C468" i="29" s="1"/>
  <c r="F462" i="29"/>
  <c r="D225" i="29"/>
  <c r="D223" i="29"/>
  <c r="J190" i="29"/>
  <c r="E193" i="29"/>
  <c r="E190" i="29"/>
  <c r="F193" i="29" s="1"/>
  <c r="J191" i="29"/>
  <c r="C190" i="29"/>
  <c r="C196" i="29"/>
  <c r="D196" i="29" s="1"/>
  <c r="E196" i="29" s="1"/>
  <c r="I462" i="29"/>
  <c r="F246" i="29" l="1"/>
  <c r="F286" i="29"/>
  <c r="D247" i="29"/>
  <c r="D249" i="29"/>
  <c r="K246" i="29" s="1"/>
  <c r="A252" i="29" s="1"/>
  <c r="D329" i="29"/>
  <c r="K326" i="29" s="1"/>
  <c r="A332" i="29" s="1"/>
  <c r="D327" i="29"/>
  <c r="D367" i="29"/>
  <c r="D369" i="29"/>
  <c r="H363" i="29" s="1"/>
  <c r="D287" i="29"/>
  <c r="D289" i="29"/>
  <c r="H283" i="29" s="1"/>
  <c r="G422" i="29"/>
  <c r="H422" i="29" s="1"/>
  <c r="C423" i="29"/>
  <c r="C424" i="29" s="1"/>
  <c r="D422" i="29"/>
  <c r="F422" i="29"/>
  <c r="F5" i="29"/>
  <c r="H126" i="29"/>
  <c r="F126" i="29"/>
  <c r="C6" i="29"/>
  <c r="C7" i="29" s="1"/>
  <c r="D5" i="29"/>
  <c r="F45" i="29"/>
  <c r="C46" i="29"/>
  <c r="C47" i="29" s="1"/>
  <c r="D45" i="29"/>
  <c r="D83" i="29"/>
  <c r="E82" i="29"/>
  <c r="F82" i="29" s="1"/>
  <c r="C85" i="29" s="1"/>
  <c r="G85" i="29"/>
  <c r="H85" i="29" s="1"/>
  <c r="C127" i="29"/>
  <c r="C128" i="29" s="1"/>
  <c r="D126" i="29"/>
  <c r="G230" i="29"/>
  <c r="F230" i="29" s="1"/>
  <c r="G190" i="29"/>
  <c r="H190" i="29" s="1"/>
  <c r="D230" i="29"/>
  <c r="C231" i="29"/>
  <c r="C232" i="29" s="1"/>
  <c r="K230" i="29" s="1"/>
  <c r="A236" i="29" s="1"/>
  <c r="J462" i="29"/>
  <c r="H462" i="29"/>
  <c r="F463" i="29"/>
  <c r="F465" i="29"/>
  <c r="C191" i="29"/>
  <c r="C192" i="29" s="1"/>
  <c r="K190" i="29" s="1"/>
  <c r="A196" i="29" s="1"/>
  <c r="D190" i="29"/>
  <c r="G473" i="29"/>
  <c r="E470" i="29"/>
  <c r="G470" i="29"/>
  <c r="H473" i="29" s="1"/>
  <c r="L471" i="29"/>
  <c r="L470" i="29"/>
  <c r="E476" i="29"/>
  <c r="F476" i="29" s="1"/>
  <c r="G476" i="29" s="1"/>
  <c r="H243" i="29" l="1"/>
  <c r="K366" i="29"/>
  <c r="A372" i="29" s="1"/>
  <c r="E374" i="29" s="1"/>
  <c r="F377" i="29" s="1"/>
  <c r="H323" i="29"/>
  <c r="K286" i="29"/>
  <c r="A292" i="29" s="1"/>
  <c r="J255" i="29"/>
  <c r="E254" i="29"/>
  <c r="F257" i="29" s="1"/>
  <c r="C254" i="29"/>
  <c r="C260" i="29"/>
  <c r="D260" i="29" s="1"/>
  <c r="E260" i="29" s="1"/>
  <c r="J254" i="29"/>
  <c r="E257" i="29"/>
  <c r="C340" i="29"/>
  <c r="D340" i="29" s="1"/>
  <c r="E340" i="29" s="1"/>
  <c r="C334" i="29"/>
  <c r="E334" i="29"/>
  <c r="F337" i="29" s="1"/>
  <c r="J335" i="29"/>
  <c r="J334" i="29"/>
  <c r="E337" i="29"/>
  <c r="D423" i="29"/>
  <c r="D425" i="29"/>
  <c r="K422" i="29" s="1"/>
  <c r="A428" i="29" s="1"/>
  <c r="H230" i="29"/>
  <c r="F190" i="29"/>
  <c r="D6" i="29"/>
  <c r="D8" i="29"/>
  <c r="H2" i="29" s="1"/>
  <c r="D46" i="29"/>
  <c r="D48" i="29"/>
  <c r="H42" i="29" s="1"/>
  <c r="F85" i="29"/>
  <c r="D85" i="29"/>
  <c r="C86" i="29"/>
  <c r="C87" i="29" s="1"/>
  <c r="D129" i="29"/>
  <c r="K126" i="29" s="1"/>
  <c r="A132" i="29" s="1"/>
  <c r="D127" i="29"/>
  <c r="I470" i="29"/>
  <c r="J470" i="29" s="1"/>
  <c r="E201" i="29"/>
  <c r="J198" i="29"/>
  <c r="E198" i="29"/>
  <c r="C198" i="29"/>
  <c r="C199" i="29" s="1"/>
  <c r="C200" i="29" s="1"/>
  <c r="J199" i="29"/>
  <c r="H470" i="29"/>
  <c r="D191" i="29"/>
  <c r="D193" i="29"/>
  <c r="E241" i="29"/>
  <c r="E238" i="29"/>
  <c r="J238" i="29"/>
  <c r="C238" i="29"/>
  <c r="C239" i="29" s="1"/>
  <c r="C240" i="29" s="1"/>
  <c r="J239" i="29"/>
  <c r="F470" i="29"/>
  <c r="E471" i="29"/>
  <c r="E472" i="29" s="1"/>
  <c r="M470" i="29" s="1"/>
  <c r="C476" i="29" s="1"/>
  <c r="D233" i="29"/>
  <c r="D231" i="29"/>
  <c r="E377" i="29" l="1"/>
  <c r="G374" i="29" s="1"/>
  <c r="H374" i="29" s="1"/>
  <c r="C374" i="29"/>
  <c r="C375" i="29" s="1"/>
  <c r="C376" i="29" s="1"/>
  <c r="J374" i="29"/>
  <c r="C380" i="29"/>
  <c r="D380" i="29" s="1"/>
  <c r="E380" i="29" s="1"/>
  <c r="J375" i="29"/>
  <c r="G334" i="29"/>
  <c r="H334" i="29" s="1"/>
  <c r="E297" i="29"/>
  <c r="J294" i="29"/>
  <c r="C294" i="29"/>
  <c r="E294" i="29"/>
  <c r="F297" i="29" s="1"/>
  <c r="J295" i="29"/>
  <c r="C300" i="29"/>
  <c r="D300" i="29" s="1"/>
  <c r="E300" i="29" s="1"/>
  <c r="G254" i="29"/>
  <c r="H254" i="29" s="1"/>
  <c r="C335" i="29"/>
  <c r="C336" i="29" s="1"/>
  <c r="D334" i="29"/>
  <c r="C255" i="29"/>
  <c r="C256" i="29" s="1"/>
  <c r="D254" i="29"/>
  <c r="J430" i="29"/>
  <c r="C436" i="29"/>
  <c r="D436" i="29" s="1"/>
  <c r="E436" i="29" s="1"/>
  <c r="C430" i="29"/>
  <c r="J431" i="29"/>
  <c r="E430" i="29"/>
  <c r="F433" i="29" s="1"/>
  <c r="E433" i="29"/>
  <c r="H123" i="29"/>
  <c r="K45" i="29"/>
  <c r="A51" i="29" s="1"/>
  <c r="C59" i="29" s="1"/>
  <c r="D59" i="29" s="1"/>
  <c r="E59" i="29" s="1"/>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L478" i="29"/>
  <c r="G478" i="29"/>
  <c r="G481" i="29"/>
  <c r="L479" i="29"/>
  <c r="E478" i="29"/>
  <c r="E479" i="29" s="1"/>
  <c r="E480" i="29" s="1"/>
  <c r="K238" i="29"/>
  <c r="B204" i="29" s="1"/>
  <c r="F334" i="29" l="1"/>
  <c r="D374" i="29"/>
  <c r="D375" i="29" s="1"/>
  <c r="F254" i="29"/>
  <c r="D294" i="29"/>
  <c r="C295" i="29"/>
  <c r="C296" i="29" s="1"/>
  <c r="G294" i="29"/>
  <c r="H294" i="29" s="1"/>
  <c r="F374" i="29"/>
  <c r="D257" i="29"/>
  <c r="K254" i="29" s="1"/>
  <c r="A260" i="29" s="1"/>
  <c r="D255" i="29"/>
  <c r="D335" i="29"/>
  <c r="D337" i="29"/>
  <c r="K334" i="29" s="1"/>
  <c r="A340" i="29" s="1"/>
  <c r="G430" i="29"/>
  <c r="H430" i="29" s="1"/>
  <c r="D430" i="29"/>
  <c r="C431" i="29"/>
  <c r="C432" i="29" s="1"/>
  <c r="J14" i="29"/>
  <c r="E16" i="29"/>
  <c r="C19" i="29"/>
  <c r="D19" i="29" s="1"/>
  <c r="E19" i="29" s="1"/>
  <c r="J13" i="29"/>
  <c r="J53" i="29"/>
  <c r="E56" i="29"/>
  <c r="E53" i="29"/>
  <c r="F56" i="29" s="1"/>
  <c r="C53" i="29"/>
  <c r="C54" i="29" s="1"/>
  <c r="C55" i="29" s="1"/>
  <c r="J54" i="29"/>
  <c r="E13" i="29"/>
  <c r="F16" i="29" s="1"/>
  <c r="G134" i="29"/>
  <c r="H134" i="29" s="1"/>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D377" i="29" l="1"/>
  <c r="K374" i="29" s="1"/>
  <c r="A380" i="29" s="1"/>
  <c r="C388" i="29" s="1"/>
  <c r="D388" i="29" s="1"/>
  <c r="E388" i="29" s="1"/>
  <c r="C342" i="29"/>
  <c r="D342" i="29" s="1"/>
  <c r="E342" i="29"/>
  <c r="F345" i="29" s="1"/>
  <c r="C348" i="29"/>
  <c r="D348" i="29" s="1"/>
  <c r="E348" i="29" s="1"/>
  <c r="E345" i="29"/>
  <c r="J343" i="29"/>
  <c r="J342" i="29"/>
  <c r="F294" i="29"/>
  <c r="D297" i="29"/>
  <c r="K294" i="29" s="1"/>
  <c r="A300" i="29" s="1"/>
  <c r="D295" i="29"/>
  <c r="E265" i="29"/>
  <c r="C268" i="29"/>
  <c r="D268" i="29" s="1"/>
  <c r="E268" i="29" s="1"/>
  <c r="C262" i="29"/>
  <c r="E262" i="29"/>
  <c r="F265" i="29" s="1"/>
  <c r="J263" i="29"/>
  <c r="J262" i="29"/>
  <c r="G13" i="29"/>
  <c r="H13" i="29" s="1"/>
  <c r="D431" i="29"/>
  <c r="D433" i="29"/>
  <c r="K430" i="29" s="1"/>
  <c r="F430" i="29"/>
  <c r="D53" i="29"/>
  <c r="D54" i="29" s="1"/>
  <c r="G53" i="29"/>
  <c r="H53" i="29" s="1"/>
  <c r="F134" i="29"/>
  <c r="D16" i="29"/>
  <c r="K13" i="29" s="1"/>
  <c r="A19" i="29" s="1"/>
  <c r="D14" i="29"/>
  <c r="F96" i="29"/>
  <c r="G93" i="29" s="1"/>
  <c r="H93" i="29" s="1"/>
  <c r="C94" i="29"/>
  <c r="C95" i="29" s="1"/>
  <c r="D93" i="29"/>
  <c r="D137" i="29"/>
  <c r="K134" i="29" s="1"/>
  <c r="A140" i="29" s="1"/>
  <c r="D135" i="29"/>
  <c r="H478" i="29"/>
  <c r="F481" i="29"/>
  <c r="F479" i="29"/>
  <c r="E385" i="29" l="1"/>
  <c r="J382" i="29"/>
  <c r="E382" i="29"/>
  <c r="F385" i="29" s="1"/>
  <c r="J383" i="29"/>
  <c r="C382" i="29"/>
  <c r="C343" i="29"/>
  <c r="C344" i="29" s="1"/>
  <c r="G342" i="29"/>
  <c r="H342" i="29" s="1"/>
  <c r="C302" i="29"/>
  <c r="D302" i="29" s="1"/>
  <c r="E305" i="29"/>
  <c r="J303" i="29"/>
  <c r="J302" i="29"/>
  <c r="C308" i="29"/>
  <c r="D308" i="29" s="1"/>
  <c r="E308" i="29" s="1"/>
  <c r="E302" i="29"/>
  <c r="F305" i="29" s="1"/>
  <c r="F13" i="29"/>
  <c r="C263" i="29"/>
  <c r="C264" i="29" s="1"/>
  <c r="D262" i="29"/>
  <c r="G262" i="29"/>
  <c r="D345" i="29"/>
  <c r="D343" i="29"/>
  <c r="A436" i="29"/>
  <c r="B404" i="29"/>
  <c r="D56" i="29"/>
  <c r="K53" i="29" s="1"/>
  <c r="A59" i="29" s="1"/>
  <c r="C61" i="29" s="1"/>
  <c r="D61" i="29" s="1"/>
  <c r="F53"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G382" i="29" l="1"/>
  <c r="H382" i="29" s="1"/>
  <c r="K342" i="29"/>
  <c r="A348" i="29" s="1"/>
  <c r="J350" i="29" s="1"/>
  <c r="C383" i="29"/>
  <c r="C384" i="29" s="1"/>
  <c r="D382" i="29"/>
  <c r="D383" i="29" s="1"/>
  <c r="F342" i="29"/>
  <c r="G302" i="29"/>
  <c r="H302" i="29" s="1"/>
  <c r="C303" i="29"/>
  <c r="C304" i="29" s="1"/>
  <c r="F382" i="29"/>
  <c r="D305" i="29"/>
  <c r="D303" i="29"/>
  <c r="F262" i="29"/>
  <c r="H262" i="29"/>
  <c r="D265" i="29"/>
  <c r="K262" i="29" s="1"/>
  <c r="A268" i="29" s="1"/>
  <c r="D263" i="29"/>
  <c r="E353" i="29"/>
  <c r="J439" i="29"/>
  <c r="C438" i="29"/>
  <c r="C439" i="29" s="1"/>
  <c r="C440" i="29" s="1"/>
  <c r="E441" i="29"/>
  <c r="J438" i="29"/>
  <c r="E438" i="29"/>
  <c r="C62" i="29"/>
  <c r="C63" i="29" s="1"/>
  <c r="E64" i="29"/>
  <c r="E61" i="29"/>
  <c r="F64" i="29" s="1"/>
  <c r="J62" i="29"/>
  <c r="C67" i="29"/>
  <c r="D67" i="29" s="1"/>
  <c r="E67" i="29" s="1"/>
  <c r="J61" i="29"/>
  <c r="G142" i="29"/>
  <c r="H142" i="29" s="1"/>
  <c r="D21" i="29"/>
  <c r="D22" i="29" s="1"/>
  <c r="C143" i="29"/>
  <c r="C144" i="29" s="1"/>
  <c r="G21" i="29"/>
  <c r="H21" i="29" s="1"/>
  <c r="E104" i="29"/>
  <c r="J102" i="29"/>
  <c r="J101" i="29"/>
  <c r="C107" i="29"/>
  <c r="D107" i="29" s="1"/>
  <c r="E107" i="29" s="1"/>
  <c r="E101" i="29"/>
  <c r="F104" i="29" s="1"/>
  <c r="C101" i="29"/>
  <c r="D101" i="29" s="1"/>
  <c r="D62" i="29"/>
  <c r="D64" i="29"/>
  <c r="D143" i="29"/>
  <c r="D145" i="29"/>
  <c r="C350" i="29" l="1"/>
  <c r="E350" i="29"/>
  <c r="F353" i="29" s="1"/>
  <c r="G350" i="29" s="1"/>
  <c r="C356" i="29"/>
  <c r="D356" i="29" s="1"/>
  <c r="E356" i="29" s="1"/>
  <c r="D385" i="29"/>
  <c r="K382" i="29" s="1"/>
  <c r="A388" i="29" s="1"/>
  <c r="J390" i="29" s="1"/>
  <c r="J351" i="29"/>
  <c r="F302" i="29"/>
  <c r="K302" i="29"/>
  <c r="A308" i="29" s="1"/>
  <c r="C316" i="29" s="1"/>
  <c r="D316" i="29" s="1"/>
  <c r="E316" i="29" s="1"/>
  <c r="G61" i="29"/>
  <c r="H61" i="29" s="1"/>
  <c r="C270" i="29"/>
  <c r="C276" i="29"/>
  <c r="D276" i="29" s="1"/>
  <c r="E276" i="29" s="1"/>
  <c r="J270" i="29"/>
  <c r="E273" i="29"/>
  <c r="E270" i="29"/>
  <c r="F273" i="29" s="1"/>
  <c r="J271" i="29"/>
  <c r="D350" i="29"/>
  <c r="C351" i="29"/>
  <c r="C352" i="29" s="1"/>
  <c r="D438" i="29"/>
  <c r="F441" i="29"/>
  <c r="G438" i="29" s="1"/>
  <c r="H438" i="29" s="1"/>
  <c r="K438" i="29"/>
  <c r="K61" i="29"/>
  <c r="A67" i="29" s="1"/>
  <c r="C69" i="29" s="1"/>
  <c r="D69" i="29" s="1"/>
  <c r="D24" i="29"/>
  <c r="K21" i="29" s="1"/>
  <c r="A27" i="29" s="1"/>
  <c r="C35" i="29" s="1"/>
  <c r="D35" i="29" s="1"/>
  <c r="E35" i="29" s="1"/>
  <c r="F142" i="29"/>
  <c r="F21" i="29"/>
  <c r="K142" i="29"/>
  <c r="A148" i="29" s="1"/>
  <c r="C102" i="29"/>
  <c r="C103" i="29" s="1"/>
  <c r="G101" i="29"/>
  <c r="H101" i="29" s="1"/>
  <c r="D102" i="29"/>
  <c r="D104" i="29"/>
  <c r="J391" i="29" l="1"/>
  <c r="E390" i="29"/>
  <c r="F393" i="29" s="1"/>
  <c r="E393" i="29"/>
  <c r="C396" i="29"/>
  <c r="D396" i="29" s="1"/>
  <c r="E396" i="29" s="1"/>
  <c r="C390" i="29"/>
  <c r="C391" i="29" s="1"/>
  <c r="C392" i="29" s="1"/>
  <c r="C310" i="29"/>
  <c r="E310" i="29"/>
  <c r="F313" i="29" s="1"/>
  <c r="J310" i="29"/>
  <c r="E313" i="29"/>
  <c r="J311" i="29"/>
  <c r="F61" i="29"/>
  <c r="G270" i="29"/>
  <c r="H270" i="29" s="1"/>
  <c r="H350" i="29"/>
  <c r="F350" i="29"/>
  <c r="D270" i="29"/>
  <c r="C271" i="29"/>
  <c r="C272" i="29" s="1"/>
  <c r="D351" i="29"/>
  <c r="D353" i="29"/>
  <c r="K350" i="29" s="1"/>
  <c r="A356" i="29" s="1"/>
  <c r="E361" i="29" s="1"/>
  <c r="F438" i="29"/>
  <c r="C75" i="29"/>
  <c r="D75" i="29" s="1"/>
  <c r="E75" i="29" s="1"/>
  <c r="E69" i="29"/>
  <c r="F72" i="29" s="1"/>
  <c r="J70" i="29"/>
  <c r="J69" i="29"/>
  <c r="E72" i="29"/>
  <c r="D441" i="29"/>
  <c r="D439" i="29"/>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D390" i="29" l="1"/>
  <c r="D391" i="29" s="1"/>
  <c r="G390" i="29"/>
  <c r="D310" i="29"/>
  <c r="C311" i="29"/>
  <c r="C312" i="29" s="1"/>
  <c r="G310" i="29"/>
  <c r="H310" i="29" s="1"/>
  <c r="J358" i="29"/>
  <c r="C358" i="29"/>
  <c r="C359" i="29" s="1"/>
  <c r="C360" i="29" s="1"/>
  <c r="E358" i="29"/>
  <c r="D358" i="29" s="1"/>
  <c r="J359" i="29"/>
  <c r="F270" i="29"/>
  <c r="D273" i="29"/>
  <c r="K270" i="29" s="1"/>
  <c r="A276" i="29" s="1"/>
  <c r="D271" i="29"/>
  <c r="D393" i="29"/>
  <c r="K390" i="29" s="1"/>
  <c r="F390" i="29"/>
  <c r="H390" i="29"/>
  <c r="G69" i="29"/>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D313" i="29" l="1"/>
  <c r="K310" i="29" s="1"/>
  <c r="A316" i="29" s="1"/>
  <c r="E318" i="29" s="1"/>
  <c r="D311" i="29"/>
  <c r="F310" i="29"/>
  <c r="K358" i="29"/>
  <c r="B324" i="29" s="1"/>
  <c r="F361" i="29"/>
  <c r="G358" i="29" s="1"/>
  <c r="F358" i="29" s="1"/>
  <c r="A396" i="29"/>
  <c r="C398" i="29" s="1"/>
  <c r="C399" i="29" s="1"/>
  <c r="C400" i="29" s="1"/>
  <c r="E281" i="29"/>
  <c r="E278" i="29"/>
  <c r="J278" i="29"/>
  <c r="J279" i="29"/>
  <c r="C278" i="29"/>
  <c r="C279" i="29" s="1"/>
  <c r="C280" i="29" s="1"/>
  <c r="D361" i="29"/>
  <c r="D359" i="29"/>
  <c r="F69" i="29"/>
  <c r="K29" i="29"/>
  <c r="A35" i="29" s="1"/>
  <c r="J38" i="29" s="1"/>
  <c r="F150" i="29"/>
  <c r="H29" i="29"/>
  <c r="F29" i="29"/>
  <c r="G109" i="29"/>
  <c r="H109" i="29" s="1"/>
  <c r="D151" i="29"/>
  <c r="D153" i="29"/>
  <c r="K150" i="29" s="1"/>
  <c r="A156" i="29" s="1"/>
  <c r="C77" i="29"/>
  <c r="C78" i="29" s="1"/>
  <c r="C79" i="29" s="1"/>
  <c r="E77" i="29"/>
  <c r="J77" i="29"/>
  <c r="E80" i="29"/>
  <c r="J78" i="29"/>
  <c r="D110" i="29"/>
  <c r="D112" i="29"/>
  <c r="K109" i="29" s="1"/>
  <c r="A115" i="29" s="1"/>
  <c r="J319" i="29" l="1"/>
  <c r="C318" i="29"/>
  <c r="C319" i="29" s="1"/>
  <c r="C320" i="29" s="1"/>
  <c r="E321" i="29"/>
  <c r="J318" i="29"/>
  <c r="H358" i="29"/>
  <c r="E401" i="29"/>
  <c r="E398" i="29"/>
  <c r="F401" i="29" s="1"/>
  <c r="J399" i="29"/>
  <c r="K398" i="29" s="1"/>
  <c r="B364" i="29" s="1"/>
  <c r="J398" i="29"/>
  <c r="F321" i="29"/>
  <c r="D318" i="29"/>
  <c r="C37" i="29"/>
  <c r="C38" i="29" s="1"/>
  <c r="C39" i="29" s="1"/>
  <c r="K37" i="29" s="1"/>
  <c r="B3" i="29" s="1"/>
  <c r="F281" i="29"/>
  <c r="G278" i="29" s="1"/>
  <c r="D278" i="29"/>
  <c r="J37" i="29"/>
  <c r="E37" i="29"/>
  <c r="D37" i="29" s="1"/>
  <c r="D40" i="29" s="1"/>
  <c r="E40" i="29"/>
  <c r="F109" i="29"/>
  <c r="J118" i="29"/>
  <c r="C117" i="29"/>
  <c r="C118" i="29" s="1"/>
  <c r="C119" i="29" s="1"/>
  <c r="J117" i="29"/>
  <c r="E120" i="29"/>
  <c r="E117" i="29"/>
  <c r="F120" i="29" s="1"/>
  <c r="E158" i="29"/>
  <c r="C158" i="29"/>
  <c r="C159" i="29" s="1"/>
  <c r="C160" i="29" s="1"/>
  <c r="E161" i="29"/>
  <c r="J159" i="29"/>
  <c r="J158" i="29"/>
  <c r="F80" i="29"/>
  <c r="G77" i="29" s="1"/>
  <c r="H77" i="29" s="1"/>
  <c r="D77" i="29"/>
  <c r="G318" i="29" l="1"/>
  <c r="H318" i="29" s="1"/>
  <c r="G398" i="29"/>
  <c r="H398" i="29" s="1"/>
  <c r="D398" i="29"/>
  <c r="D399" i="29" s="1"/>
  <c r="F318" i="29"/>
  <c r="D319" i="29"/>
  <c r="D321" i="29"/>
  <c r="K318" i="29" s="1"/>
  <c r="B284" i="29" s="1"/>
  <c r="F40" i="29"/>
  <c r="G37" i="29" s="1"/>
  <c r="F37" i="29" s="1"/>
  <c r="H278" i="29"/>
  <c r="F278" i="29"/>
  <c r="D279" i="29"/>
  <c r="D281" i="29"/>
  <c r="K278" i="29" s="1"/>
  <c r="B244" i="29" s="1"/>
  <c r="D38" i="29"/>
  <c r="G117" i="29"/>
  <c r="F117" i="29" s="1"/>
  <c r="D117" i="29"/>
  <c r="D120" i="29" s="1"/>
  <c r="K117" i="29" s="1"/>
  <c r="B83" i="29" s="1"/>
  <c r="F161" i="29"/>
  <c r="G158" i="29" s="1"/>
  <c r="D158" i="29"/>
  <c r="D78" i="29"/>
  <c r="D80" i="29"/>
  <c r="K77" i="29" s="1"/>
  <c r="B43" i="29" s="1"/>
  <c r="F77" i="29"/>
  <c r="F398" i="29" l="1"/>
  <c r="D401" i="29"/>
  <c r="H37" i="29"/>
  <c r="H117" i="29"/>
  <c r="D118" i="29"/>
  <c r="H158" i="29"/>
  <c r="F158" i="29"/>
  <c r="D161" i="29"/>
  <c r="K158" i="29" s="1"/>
  <c r="B124" i="29" s="1"/>
  <c r="D159"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5DBAE7CF-3CBC-4479-A480-16A0ECDFF2DF}">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<sst xmlns="http://schemas.openxmlformats.org/spreadsheetml/2006/main" count="1010" uniqueCount="192">
  <si>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</si>
  <si>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</si>
  <si>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</si>
  <si>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</si>
  <si>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</si>
  <si>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</si>
  <si>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</si>
  <si>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</si>
  <si>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</si>
  <si>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</si>
  <si>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</si>
  <si>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</si>
  <si>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</si>
  <si>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</si>
  <si>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</si>
  <si>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</si>
  <si>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</si>
  <si>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</si>
  <si>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</si>
  <si>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</si>
  <si>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</si>
  <si>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</si>
  <si>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</si>
  <si>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</si>
  <si>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</si>
  <si>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</si>
  <si>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</si>
  <si>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</si>
  <si>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</si>
  <si>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</si>
  <si>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</si>
  <si>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</si>
  <si>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</si>
  <si>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</si>
  <si>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</si>
  <si>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</si>
  <si>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</si>
  <si>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</si>
  <si>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</si>
  <si>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</si>
  <si>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</si>
  <si>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</si>
  <si>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</si>
  <si>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</si>
  <si>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</si>
  <si>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</si>
  <si>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</si>
  <si>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</si>
  <si>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</si>
  <si>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</si>
  <si>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</si>
  <si>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</si>
  <si>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</si>
  <si>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</si>
  <si>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</si>
  <si>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</si>
  <si>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</si>
  <si>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</si>
  <si>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</si>
  <si>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</si>
  <si>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</si>
  <si>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</si>
  <si>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</si>
  <si>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</si>
  <si>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</si>
  <si>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</si>
  <si>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</si>
  <si>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</si>
  <si>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</si>
  <si>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</si>
  <si>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</si>
  <si>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</si>
  <si>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</si>
  <si>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</si>
  <si>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</si>
  <si>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</si>
  <si>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</si>
  <si>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</si>
  <si>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</si>
  <si>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</si>
  <si>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</si>
  <si>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</si>
  <si>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</si>
  <si>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</si>
  <si>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</si>
  <si>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</si>
  <si>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</si>
  <si>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</si>
  <si>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</si>
  <si>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</si>
  <si>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</si>
  <si>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</si>
  <si>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</si>
  <si>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</si>
  <si>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7. RESULTADOS DE LA CALIBRACIÓN</t>
  </si>
  <si>
    <t>Declaración de cumplimiento según:</t>
  </si>
  <si>
    <t>N/A</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</si>
  <si>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</si>
  <si>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</si>
  <si>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</si>
  <si>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</si>
  <si>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</si>
  <si>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</si>
  <si>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</si>
  <si>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</si>
  <si>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</si>
  <si>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</si>
  <si>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</si>
  <si>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</si>
  <si>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</si>
  <si>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</si>
  <si>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Laboratorio BTMC</t>
  </si>
  <si>
    <t>REGULAR ESTADO</t>
  </si>
  <si>
    <t>MAL ESTADO</t>
  </si>
  <si>
    <t>Valor nominal</t>
  </si>
  <si>
    <t>Lectura 1</t>
  </si>
  <si>
    <t>Lectura 2</t>
  </si>
  <si>
    <t>Lectura 3</t>
  </si>
  <si>
    <t>Lectura 4</t>
  </si>
  <si>
    <t>Promedio</t>
  </si>
  <si>
    <t>Error</t>
  </si>
  <si>
    <t>Simulador Fetal</t>
  </si>
  <si>
    <t>Novamedical</t>
  </si>
  <si>
    <t>SFNM</t>
  </si>
  <si>
    <t>SF0094</t>
  </si>
  <si>
    <t>L3620</t>
  </si>
  <si>
    <t>Incertidumbre frecuencia:</t>
  </si>
  <si>
    <t>Deriva frecuencia:</t>
  </si>
  <si>
    <t>Resolución frecuencia:</t>
  </si>
  <si>
    <t>Calibración de fetocardia</t>
  </si>
  <si>
    <t>60 a 200</t>
  </si>
  <si>
    <t>Intervalo de medición (Lat/min):</t>
  </si>
  <si>
    <t>Resolución (Lat/min):</t>
  </si>
  <si>
    <t>*Lat/min= Latidos por minuto</t>
  </si>
  <si>
    <t>Lectura 1 (Lat/min)</t>
  </si>
  <si>
    <t>Lectura 2 (Lat/min)</t>
  </si>
  <si>
    <t>Lectura 4 (Lat/min)</t>
  </si>
  <si>
    <t>Promedio (Lat/min)</t>
  </si>
  <si>
    <t>Error   (Lat/min)</t>
  </si>
  <si>
    <t>Medidas del equipo bajo prueba</t>
  </si>
  <si>
    <t>Equipo patrón   (Lat/min)</t>
  </si>
  <si>
    <t>Calibración de actividad uterina</t>
  </si>
  <si>
    <t>20 a 100</t>
  </si>
  <si>
    <t>Intervalo de medición (mmHg):</t>
  </si>
  <si>
    <t>Resolución (mmHg):</t>
  </si>
  <si>
    <t>Equipo patrón   (mmHg)</t>
  </si>
  <si>
    <t>Lectura 1 (mmHg)</t>
  </si>
  <si>
    <t>Lectura 2 (mmHg)</t>
  </si>
  <si>
    <t>Lectura 4 (mmHg)</t>
  </si>
  <si>
    <t>Promedio (mmHg)</t>
  </si>
  <si>
    <t>Error   (mmHg)</t>
  </si>
  <si>
    <t>CALIBRACIÓN DE FETOCARDIA</t>
  </si>
  <si>
    <t>CALIBRACIÓN DE ACTIVIDAD UTERINA</t>
  </si>
  <si>
    <t>CORRECCIÓN CALIBRACIÓN DE FETOCARDIA</t>
  </si>
  <si>
    <t>FUENTES DE INCERTIDUMBRE FETOCARDIA</t>
  </si>
  <si>
    <t>FUENTES DE INCERTIDUMBRE ACTIVIDAD UTERINA</t>
  </si>
  <si>
    <t>* mmHg= Milímetros de mercurio</t>
  </si>
  <si>
    <t>Intrumento</t>
  </si>
  <si>
    <t>Marca</t>
  </si>
  <si>
    <t>Modelo</t>
  </si>
  <si>
    <t>Serie</t>
  </si>
  <si>
    <t>Ubicación</t>
  </si>
  <si>
    <t>Inventario</t>
  </si>
  <si>
    <t>Número de Certificado</t>
  </si>
  <si>
    <t>Fecha de Recepción</t>
  </si>
  <si>
    <t>Estado Físico:</t>
  </si>
  <si>
    <t>ING. GABRIEL DURÁN</t>
  </si>
  <si>
    <t>Simulador fetal</t>
  </si>
  <si>
    <t>L5566</t>
  </si>
  <si>
    <t>No registra</t>
  </si>
  <si>
    <t>CBC-0007-001-26</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</si>
  <si>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</si>
  <si>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</si>
  <si>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</si>
  <si>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La calibración se ejecutó mediante el método de comparación directa con patrón de referencia de acuerdo con el procedimiento interno para monitor fetal BTM-P-009.</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</si>
  <si>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</si>
  <si>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Juego de Pesas (1 mg  a 500 g)</t>
  </si>
  <si>
    <t>Juego de Pesas (1 kg  a 5 kg)</t>
  </si>
  <si>
    <t>*** FIN DEL CERTIFICADO ***</t>
  </si>
  <si>
    <t>SERIE: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</si>
  <si>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</si>
  <si>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6. TRAZABILIDAD</t>
  </si>
  <si>
    <t>CBC-0007-002-26</t>
  </si>
  <si>
    <t>Lectura 3 (Lat/min)</t>
  </si>
  <si>
    <t>Lectura 3 (mmHg)</t>
  </si>
  <si>
    <t>Datos suministrados por el cliente:</t>
  </si>
  <si>
    <t>Comentarios:</t>
  </si>
  <si>
    <t>1 mmHg = 133,3224 Pa</t>
  </si>
  <si>
    <t>Incertidumbre Expandida ± (Lat/min)</t>
  </si>
  <si>
    <t>Incertidumbre Expandida ± (mmHg)</t>
  </si>
  <si>
    <t>En sitio (instalaciones del cliente)</t>
  </si>
  <si>
    <t>8. INFORMACIÓN ADICIONAL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</si>
</sst>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numFmt numFmtId="166" formatCode="0.0000"/>
    <numFmt numFmtId="167" formatCode="0.000000"/>
    <numFmt numFmtId="168" formatCode="0.000"/>
    <numFmt numFmtId="169" formatCode="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00">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0" fontId="0" fillId="2" borderId="5" xfId="0" applyFill="1" applyBorder="1" applyAlignment="1">
      <alignment horizontal="center"/>
    </xf>
    <xf numFmtId="0" fontId="0" fillId="12" borderId="5" xfId="0" applyFill="1" applyBorder="1" applyAlignment="1" applyProtection="1">
      <alignment horizontal="center"/>
      <protection hidden="1"/>
    </xf>
    <xf numFmtId="164" fontId="0" fillId="12" borderId="5" xfId="0" applyNumberFormat="1" applyFill="1" applyBorder="1" applyAlignment="1" applyProtection="1">
      <alignment horizontal="center"/>
      <protection hidden="1"/>
    </xf>
    <xf numFmtId="0" fontId="6" fillId="12" borderId="5" xfId="0" applyFont="1" applyFill="1" applyBorder="1" applyAlignment="1" applyProtection="1">
      <alignment horizontal="center"/>
      <protection hidden="1"/>
    </xf>
    <xf numFmtId="169" fontId="0" fillId="0" borderId="0" xfId="0" applyNumberFormat="1"/>
    <xf numFmtId="168" fontId="0" fillId="0" borderId="0" xfId="0" applyNumberFormat="1" applyAlignment="1">
      <alignment horizont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3" borderId="29" xfId="0" applyFont="1" applyFill="1" applyBorder="1" applyAlignment="1">
      <alignment horizontal="center" vertical="center" wrapText="1"/>
    </xf>
    <xf numFmtId="0" fontId="27" fillId="2" borderId="29" xfId="0" applyFont="1" applyFill="1" applyBorder="1" applyAlignment="1">
      <alignment horizontal="center" vertical="center" wrapText="1"/>
    </xf>
    <xf numFmtId="49" fontId="27" fillId="2" borderId="29" xfId="0" applyNumberFormat="1" applyFont="1" applyFill="1" applyBorder="1" applyAlignment="1">
      <alignment horizontal="center" vertical="center" wrapText="1"/>
    </xf>
    <xf numFmtId="1" fontId="27" fillId="2" borderId="29"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164" fontId="11" fillId="0" borderId="5" xfId="0" applyNumberFormat="1" applyFont="1" applyBorder="1" applyAlignment="1">
      <alignment horizontal="center" vertical="center"/>
    </xf>
    <xf numFmtId="0" fontId="11" fillId="0" borderId="0" xfId="0" applyFont="1"/>
    <xf numFmtId="0" fontId="6" fillId="0" borderId="26" xfId="0" applyFont="1" applyBorder="1" applyAlignment="1">
      <alignment horizontal="center"/>
    </xf>
    <xf numFmtId="0" fontId="16" fillId="0" borderId="0" xfId="0" applyFont="1" applyAlignment="1">
      <alignment horizontal="left" vertical="center"/>
    </xf>
    <xf numFmtId="0" fontId="16" fillId="0" borderId="0" xfId="0" applyFont="1" applyAlignment="1">
      <alignment horizontal="right" vertical="center"/>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1" fillId="0" borderId="23" xfId="0" applyFont="1" applyBorder="1" applyAlignment="1">
      <alignment horizontal="center" vertical="center"/>
    </xf>
    <xf numFmtId="0" fontId="11" fillId="0" borderId="24"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23" xfId="0" applyFont="1" applyBorder="1" applyAlignment="1">
      <alignment horizontal="center" vertical="center" wrapText="1"/>
    </xf>
    <xf numFmtId="165" fontId="15" fillId="0" borderId="24" xfId="0" applyNumberFormat="1" applyFont="1" applyBorder="1" applyAlignment="1">
      <alignment horizontal="center" vertical="center"/>
    </xf>
    <xf numFmtId="165" fontId="15" fillId="0" borderId="25" xfId="0" applyNumberFormat="1" applyFont="1" applyBorder="1" applyAlignment="1">
      <alignment horizontal="center" vertical="center"/>
    </xf>
    <xf numFmtId="165" fontId="15" fillId="0" borderId="23" xfId="0" applyNumberFormat="1" applyFont="1" applyBorder="1" applyAlignment="1">
      <alignment horizontal="center" vertical="center"/>
    </xf>
    <xf numFmtId="0" fontId="15" fillId="0" borderId="24" xfId="0" applyFont="1" applyBorder="1" applyAlignment="1">
      <alignment horizontal="center" vertical="center" wrapText="1"/>
    </xf>
    <xf numFmtId="0" fontId="15" fillId="0" borderId="25"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0" xfId="0" applyFont="1" applyAlignment="1">
      <alignment horizontal="right"/>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164" fontId="11" fillId="0" borderId="5" xfId="0" applyNumberFormat="1" applyFont="1" applyBorder="1" applyAlignment="1">
      <alignment horizontal="center" vertical="center"/>
    </xf>
    <xf numFmtId="0" fontId="15" fillId="0" borderId="5" xfId="0" applyFont="1" applyBorder="1" applyAlignment="1">
      <alignment horizontal="center" vertical="center" wrapText="1"/>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5" fillId="0" borderId="5" xfId="0" applyFont="1" applyBorder="1" applyAlignment="1">
      <alignment horizontal="center" vertical="center"/>
    </xf>
    <xf numFmtId="0" fontId="11" fillId="0" borderId="0" xfId="0" applyFont="1" applyAlignment="1">
      <alignment horizontal="left"/>
    </xf>
    <xf numFmtId="0" fontId="6" fillId="0" borderId="26" xfId="0" applyFont="1" applyBorder="1" applyAlignment="1">
      <alignment horizontal="center" vertical="center"/>
    </xf>
    <xf numFmtId="0" fontId="16" fillId="0" borderId="0" xfId="0" applyFont="1" applyAlignment="1">
      <alignment horizontal="right"/>
    </xf>
    <xf numFmtId="165" fontId="10" fillId="0" borderId="0" xfId="0" applyNumberFormat="1" applyFont="1" applyAlignment="1">
      <alignment horizontal="left" vertical="center"/>
    </xf>
    <xf numFmtId="0" fontId="16" fillId="0" borderId="0" xfId="0" applyFont="1" applyAlignment="1">
      <alignment horizontal="left"/>
    </xf>
    <xf numFmtId="0" fontId="10" fillId="0" borderId="0" xfId="0" applyFont="1" applyAlignment="1">
      <alignment horizontal="left"/>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0" fontId="6" fillId="0" borderId="0" xfId="0" applyFont="1" applyAlignment="1">
      <alignment horizont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5" fillId="0" borderId="19"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0" borderId="0" xfId="0" applyFont="1" applyAlignment="1">
      <alignment horizontal="right"/>
    </xf>
    <xf numFmtId="0" fontId="11" fillId="0" borderId="19" xfId="0" applyFont="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6" fillId="12" borderId="1" xfId="0" applyFont="1" applyFill="1" applyBorder="1" applyAlignment="1" applyProtection="1">
      <alignment horizontal="center" vertical="center"/>
      <protection hidden="1"/>
    </xf>
    <xf numFmtId="0" fontId="6" fillId="12" borderId="2" xfId="0" applyFont="1" applyFill="1" applyBorder="1" applyAlignment="1" applyProtection="1">
      <alignment horizontal="center" vertical="center"/>
      <protection hidden="1"/>
    </xf>
    <xf numFmtId="0" fontId="6" fillId="12" borderId="3" xfId="0" applyFont="1" applyFill="1" applyBorder="1" applyAlignment="1" applyProtection="1">
      <alignment horizontal="center" vertical="center"/>
      <protection hidden="1"/>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PATRON!$D$4:$D$10</c:f>
              <c:numCache>
                <c:formatCode>0.0</c:formatCode>
                <c:ptCount val="7"/>
                <c:pt idx="0" formatCode="General">
                  <c:v>60.1</c:v>
                </c:pt>
                <c:pt idx="1">
                  <c:v>120</c:v>
                </c:pt>
                <c:pt idx="2">
                  <c:v>140.30000000000001</c:v>
                </c:pt>
                <c:pt idx="3">
                  <c:v>180.5</c:v>
                </c:pt>
                <c:pt idx="4">
                  <c:v>200</c:v>
                </c:pt>
              </c:numCache>
            </c:numRef>
          </c:xVal>
          <c:yVal>
            <c:numRef>
              <c:f>PATRON!$E$4:$E$10</c:f>
              <c:numCache>
                <c:formatCode>0.00</c:formatCode>
                <c:ptCount val="7"/>
                <c:pt idx="0">
                  <c:v>-0.10000000000000142</c:v>
                </c:pt>
                <c:pt idx="1">
                  <c:v>0</c:v>
                </c:pt>
                <c:pt idx="2">
                  <c:v>-0.30000000000001137</c:v>
                </c:pt>
                <c:pt idx="3">
                  <c:v>-0.5</c:v>
                </c:pt>
                <c:pt idx="4">
                  <c:v>0</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160020</xdr:colOff>
      <xdr:row>2</xdr:row>
      <xdr:rowOff>190500</xdr:rowOff>
    </xdr:from>
    <xdr:to>
      <xdr:col>19</xdr:col>
      <xdr:colOff>327660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9506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C14" sqref="C14"/>
    </sheetView>
  </sheetViews>
  <sheetFormatPr baseColWidth="10" defaultColWidth="3.6640625" defaultRowHeight="12.75" customHeight="1" x14ac:dyDescent="0.3"/>
  <cols>
    <col min="1" max="1" width="27.44140625" style="1" customWidth="1"/>
    <col min="2" max="2" width="29.88671875" style="1" customWidth="1"/>
    <col min="3" max="3" width="19.10937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76" t="s">
        <v>99</v>
      </c>
      <c r="B1" s="177"/>
      <c r="C1" s="177"/>
      <c r="D1" s="177"/>
      <c r="E1" s="177"/>
      <c r="F1" s="177"/>
      <c r="G1" s="177"/>
      <c r="H1" s="178"/>
      <c r="I1"/>
      <c r="J1"/>
      <c r="K1"/>
      <c r="L1"/>
      <c r="M1"/>
      <c r="N1"/>
      <c r="O1" t="s">
        <v>190</v>
      </c>
      <c r="P1"/>
      <c r="Q1"/>
      <c r="R1"/>
      <c r="S1"/>
      <c r="T1"/>
      <c r="U1"/>
      <c r="V1"/>
      <c r="W1"/>
      <c r="X1"/>
      <c r="Y1"/>
      <c r="Z1"/>
      <c r="AA1"/>
      <c r="AB1"/>
      <c r="AC1"/>
      <c r="AD1"/>
      <c r="AE1"/>
    </row>
    <row r="2" spans="1:31" ht="14.4" x14ac:dyDescent="0.3">
      <c r="A2" s="102" t="s">
        <v>157</v>
      </c>
      <c r="B2" s="102" t="s">
        <v>158</v>
      </c>
      <c r="C2" s="102" t="s">
        <v>159</v>
      </c>
      <c r="D2" s="102" t="s">
        <v>160</v>
      </c>
      <c r="E2" s="102" t="s">
        <v>161</v>
      </c>
      <c r="F2" s="102" t="s">
        <v>162</v>
      </c>
      <c r="G2" s="102" t="s">
        <v>163</v>
      </c>
      <c r="H2" s="102" t="s">
        <v>164</v>
      </c>
      <c r="I2"/>
      <c r="J2"/>
      <c r="K2"/>
      <c r="L2"/>
      <c r="M2"/>
      <c r="N2"/>
      <c r="O2" t="s">
        <v>111</v>
      </c>
      <c r="P2"/>
      <c r="Q2"/>
      <c r="R2"/>
      <c r="S2"/>
      <c r="T2"/>
      <c r="U2"/>
      <c r="V2"/>
      <c r="W2"/>
      <c r="X2"/>
      <c r="Y2"/>
      <c r="Z2"/>
      <c r="AA2"/>
      <c r="AB2"/>
      <c r="AC2"/>
      <c r="AD2"/>
      <c r="AE2"/>
    </row>
    <row r="3" spans="1:31" ht="12.75" customHeight="1" x14ac:dyDescent="0.3">
      <c r="A3" s="103"/>
      <c r="B3" s="103"/>
      <c r="C3" s="104"/>
      <c r="D3" s="105"/>
      <c r="E3" s="106"/>
      <c r="F3" s="107"/>
      <c r="G3" s="108"/>
      <c r="H3" s="109"/>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112</v>
      </c>
      <c r="P5"/>
      <c r="Q5"/>
      <c r="R5"/>
      <c r="S5"/>
      <c r="T5"/>
      <c r="U5"/>
      <c r="V5"/>
      <c r="W5"/>
      <c r="X5"/>
      <c r="Y5"/>
      <c r="Z5"/>
      <c r="AA5"/>
      <c r="AB5"/>
      <c r="AC5"/>
      <c r="AD5"/>
      <c r="AE5"/>
    </row>
    <row r="6" spans="1:31" ht="12.75" customHeight="1" x14ac:dyDescent="0.3">
      <c r="A6" s="179" t="s">
        <v>100</v>
      </c>
      <c r="B6" s="179"/>
      <c r="C6"/>
      <c r="D6" s="101" t="s">
        <v>98</v>
      </c>
      <c r="E6" s="101"/>
      <c r="H6"/>
      <c r="I6"/>
      <c r="J6"/>
      <c r="K6"/>
      <c r="L6"/>
      <c r="M6"/>
      <c r="N6"/>
      <c r="O6" t="s">
        <v>113</v>
      </c>
      <c r="P6"/>
      <c r="Q6"/>
      <c r="R6"/>
      <c r="S6"/>
      <c r="T6"/>
      <c r="U6"/>
      <c r="V6"/>
      <c r="W6"/>
      <c r="X6"/>
      <c r="Y6"/>
      <c r="Z6"/>
      <c r="AA6"/>
      <c r="AB6"/>
      <c r="AC6"/>
      <c r="AD6"/>
      <c r="AE6"/>
    </row>
    <row r="7" spans="1:31" ht="12.75" customHeight="1" x14ac:dyDescent="0.3">
      <c r="A7" s="22" t="s">
        <v>102</v>
      </c>
      <c r="B7" s="93" t="s">
        <v>190</v>
      </c>
      <c r="C7"/>
      <c r="D7" s="22" t="s">
        <v>101</v>
      </c>
      <c r="E7" s="110"/>
      <c r="H7"/>
      <c r="I7"/>
      <c r="J7"/>
      <c r="K7"/>
      <c r="L7"/>
      <c r="M7"/>
      <c r="N7"/>
      <c r="O7"/>
      <c r="P7"/>
      <c r="Q7"/>
      <c r="R7"/>
      <c r="S7"/>
      <c r="T7"/>
      <c r="U7"/>
      <c r="V7"/>
      <c r="W7"/>
      <c r="X7"/>
      <c r="Y7"/>
      <c r="Z7"/>
      <c r="AA7"/>
      <c r="AB7"/>
      <c r="AC7"/>
      <c r="AD7"/>
      <c r="AE7"/>
    </row>
    <row r="8" spans="1:31" ht="12.75" customHeight="1" x14ac:dyDescent="0.3">
      <c r="A8" s="22" t="s">
        <v>165</v>
      </c>
      <c r="B8" s="93" t="s">
        <v>68</v>
      </c>
      <c r="C8"/>
      <c r="D8" s="22" t="s">
        <v>8</v>
      </c>
      <c r="E8" s="93"/>
      <c r="H8"/>
      <c r="I8"/>
      <c r="J8"/>
      <c r="K8"/>
      <c r="L8"/>
      <c r="M8"/>
      <c r="N8"/>
      <c r="O8"/>
      <c r="P8"/>
      <c r="Q8"/>
      <c r="R8"/>
      <c r="S8"/>
      <c r="T8"/>
      <c r="U8"/>
      <c r="V8"/>
      <c r="W8"/>
      <c r="X8"/>
      <c r="Y8"/>
      <c r="Z8"/>
      <c r="AA8"/>
      <c r="AB8"/>
      <c r="AC8"/>
      <c r="AD8"/>
      <c r="AE8"/>
    </row>
    <row r="9" spans="1:31" ht="12.75" customHeight="1" x14ac:dyDescent="0.3">
      <c r="A9" s="22" t="s">
        <v>104</v>
      </c>
      <c r="B9" s="94">
        <f>H3</f>
        <v>0</v>
      </c>
      <c r="C9"/>
      <c r="D9" s="22" t="s">
        <v>103</v>
      </c>
      <c r="E9" s="93"/>
      <c r="H9"/>
      <c r="I9"/>
      <c r="J9"/>
      <c r="K9"/>
      <c r="L9"/>
      <c r="M9"/>
      <c r="N9"/>
      <c r="O9"/>
      <c r="P9"/>
      <c r="Q9"/>
      <c r="R9"/>
      <c r="S9"/>
      <c r="T9"/>
      <c r="U9"/>
      <c r="V9"/>
      <c r="W9"/>
      <c r="X9"/>
      <c r="Y9"/>
      <c r="Z9"/>
      <c r="AA9"/>
      <c r="AB9"/>
      <c r="AC9"/>
      <c r="AD9"/>
      <c r="AE9"/>
    </row>
    <row r="10" spans="1:31" ht="12.75" customHeight="1" x14ac:dyDescent="0.3">
      <c r="A10" s="22" t="s">
        <v>105</v>
      </c>
      <c r="B10" s="94">
        <f>H3</f>
        <v>0</v>
      </c>
      <c r="C10"/>
      <c r="D10" s="22" t="s">
        <v>5</v>
      </c>
      <c r="E10" s="111"/>
      <c r="G10"/>
      <c r="H10"/>
      <c r="I10"/>
      <c r="J10"/>
      <c r="K10"/>
      <c r="L10"/>
      <c r="M10"/>
      <c r="N10"/>
      <c r="O10"/>
      <c r="P10"/>
      <c r="Q10"/>
      <c r="R10"/>
      <c r="S10"/>
      <c r="T10"/>
      <c r="U10"/>
      <c r="V10"/>
      <c r="W10"/>
      <c r="X10"/>
      <c r="Y10"/>
      <c r="Z10"/>
      <c r="AA10"/>
      <c r="AB10"/>
      <c r="AC10"/>
      <c r="AD10"/>
      <c r="AE10"/>
    </row>
    <row r="11" spans="1:31" ht="12.75" customHeight="1" x14ac:dyDescent="0.3">
      <c r="A11" s="22" t="s">
        <v>106</v>
      </c>
      <c r="B11" s="93">
        <v>24.1</v>
      </c>
      <c r="C11"/>
      <c r="D11" s="22" t="s">
        <v>3</v>
      </c>
      <c r="E11" s="111"/>
      <c r="G11"/>
      <c r="H11"/>
      <c r="I11"/>
      <c r="J11"/>
      <c r="K11"/>
      <c r="L11"/>
      <c r="M11"/>
      <c r="N11"/>
      <c r="O11"/>
      <c r="P11"/>
      <c r="Q11"/>
      <c r="R11"/>
      <c r="S11"/>
      <c r="T11"/>
      <c r="U11"/>
      <c r="V11"/>
      <c r="W11"/>
      <c r="X11"/>
      <c r="Y11"/>
      <c r="Z11"/>
      <c r="AA11"/>
      <c r="AB11"/>
      <c r="AC11"/>
      <c r="AD11"/>
      <c r="AE11"/>
    </row>
    <row r="12" spans="1:31" ht="12.75" customHeight="1" x14ac:dyDescent="0.3">
      <c r="A12" s="22" t="s">
        <v>107</v>
      </c>
      <c r="B12" s="93">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2" t="s">
        <v>108</v>
      </c>
      <c r="B13" s="93">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2" t="s">
        <v>109</v>
      </c>
      <c r="B14" s="93">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2" t="s">
        <v>110</v>
      </c>
      <c r="B15" s="93" t="s">
        <v>166</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39" spans="4:15" ht="12.75" customHeight="1" x14ac:dyDescent="0.3">
      <c r="D39" s="14"/>
      <c r="E39" s="14"/>
    </row>
    <row r="40" spans="4:15" ht="12.75" customHeight="1" x14ac:dyDescent="0.3">
      <c r="D40" s="14"/>
      <c r="E40" s="14"/>
    </row>
    <row r="41" spans="4:15" ht="12.75" customHeight="1" x14ac:dyDescent="0.3">
      <c r="D41" s="14"/>
      <c r="E41" s="14"/>
      <c r="F41" s="14"/>
      <c r="I41" s="14"/>
      <c r="J41" s="14"/>
      <c r="K41" s="14"/>
      <c r="L41" s="14"/>
    </row>
    <row r="42" spans="4:15" ht="12.75" customHeight="1" x14ac:dyDescent="0.3">
      <c r="D42" s="14"/>
      <c r="E42" s="14"/>
      <c r="F42" s="14"/>
      <c r="G42" s="14"/>
      <c r="H42" s="14"/>
      <c r="I42" s="14"/>
      <c r="J42" s="14"/>
      <c r="K42" s="14"/>
      <c r="L42" s="14"/>
      <c r="M42" s="14"/>
      <c r="N42" s="14"/>
      <c r="O42" s="14"/>
    </row>
    <row r="43" spans="4:15" ht="12.75" customHeight="1" x14ac:dyDescent="0.3">
      <c r="D43" s="14"/>
      <c r="E43" s="14"/>
      <c r="F43" s="14"/>
      <c r="G43" s="14"/>
      <c r="H43" s="14"/>
      <c r="I43" s="14"/>
      <c r="J43" s="14"/>
      <c r="K43" s="14"/>
      <c r="L43" s="14"/>
      <c r="M43" s="14"/>
      <c r="N43" s="14"/>
      <c r="O43" s="14"/>
    </row>
    <row r="44" spans="4:15" ht="12.75" customHeight="1" x14ac:dyDescent="0.3">
      <c r="F44" s="14"/>
      <c r="G44" s="14"/>
      <c r="H44" s="14"/>
      <c r="I44" s="14"/>
      <c r="J44" s="14"/>
      <c r="K44" s="14"/>
      <c r="L44" s="14"/>
      <c r="M44" s="14"/>
      <c r="N44" s="14"/>
      <c r="O44" s="14"/>
    </row>
    <row r="45" spans="4:15" ht="45" customHeight="1" x14ac:dyDescent="0.3">
      <c r="F45" s="14"/>
      <c r="G45" s="14"/>
      <c r="H45" s="14"/>
      <c r="I45" s="14"/>
      <c r="J45" s="14"/>
      <c r="K45" s="14"/>
      <c r="L45" s="14"/>
      <c r="M45" s="14"/>
      <c r="N45" s="14"/>
      <c r="O45" s="14"/>
    </row>
    <row r="46" spans="4:15" ht="12.75" customHeight="1" x14ac:dyDescent="0.3">
      <c r="G46" s="14"/>
      <c r="H46" s="14"/>
      <c r="M46" s="14"/>
      <c r="N46" s="14"/>
      <c r="O46" s="14"/>
    </row>
  </sheetData>
  <mergeCells count="2">
    <mergeCell ref="A1:H1"/>
    <mergeCell ref="A6:B6"/>
  </mergeCells>
  <dataValidations count="2">
    <dataValidation type="list" allowBlank="1" showInputMessage="1" showErrorMessage="1" sqref="B7" xr:uid="{A7736341-EDCE-4F6B-B32A-4E719608EF21}">
      <formula1>$O$1:$O$2</formula1>
    </dataValidation>
    <dataValidation type="list" allowBlank="1" showInputMessage="1" showErrorMessage="1" sqref="B8" xr:uid="{BC84E87F-BDEF-4560-8621-0E3E40C9BAF8}">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83" t="s">
        <v>58</v>
      </c>
      <c r="B1" s="184"/>
      <c r="C1" s="184"/>
      <c r="D1" s="184"/>
      <c r="E1" s="184"/>
      <c r="F1" s="184"/>
      <c r="G1" s="184"/>
      <c r="H1" s="184"/>
      <c r="I1" s="184"/>
      <c r="J1" s="184"/>
      <c r="K1" s="185"/>
    </row>
    <row r="2" spans="1:11" ht="15" thickBot="1" x14ac:dyDescent="0.35">
      <c r="A2" s="34" t="s">
        <v>31</v>
      </c>
      <c r="B2" s="20" t="s">
        <v>30</v>
      </c>
      <c r="C2" t="str">
        <f ca="1">FIXED(A3,6)</f>
        <v>1,884242</v>
      </c>
      <c r="D2" t="str">
        <f ca="1">RIGHT(C2,1)</f>
        <v>2</v>
      </c>
      <c r="E2">
        <f ca="1">D2/1000000</f>
        <v>1.9999999999999999E-6</v>
      </c>
      <c r="F2" s="33">
        <f ca="1">A3-E2</f>
        <v>1.8842395198287207</v>
      </c>
      <c r="H2" t="str">
        <f ca="1">IF(C7=5,IF(AND(D3=0,D8=FALSE),J5,J6),J6)</f>
        <v>1,8842</v>
      </c>
      <c r="K2" s="30"/>
    </row>
    <row r="3" spans="1:11" ht="18.600000000000001" thickBot="1" x14ac:dyDescent="0.4">
      <c r="A3" s="32">
        <f ca="1">INCERTIDUMBRE!L5</f>
        <v>1.8842415198287208</v>
      </c>
      <c r="B3" s="31" t="str">
        <f ca="1">IF(A3&gt;=10,K37,IF(A3&gt;=1,K29,IF(A3&gt;=0.1,K21,IF(A3&gt;=0.01,K13,IF(A3&gt;=0.001,K5)))))</f>
        <v>1,9</v>
      </c>
      <c r="C3" t="s">
        <v>29</v>
      </c>
      <c r="D3">
        <f ca="1">D2+0</f>
        <v>2</v>
      </c>
      <c r="K3" s="30"/>
    </row>
    <row r="4" spans="1:11" ht="28.8" hidden="1" x14ac:dyDescent="0.3">
      <c r="A4" s="50"/>
      <c r="B4" s="50"/>
      <c r="C4" t="s">
        <v>44</v>
      </c>
      <c r="D4" t="s">
        <v>43</v>
      </c>
      <c r="E4" t="s">
        <v>42</v>
      </c>
      <c r="F4" t="s">
        <v>41</v>
      </c>
      <c r="G4" s="41" t="s">
        <v>40</v>
      </c>
      <c r="H4" s="41" t="s">
        <v>39</v>
      </c>
      <c r="I4" s="41" t="s">
        <v>38</v>
      </c>
      <c r="J4" s="41" t="s">
        <v>37</v>
      </c>
      <c r="K4" s="40" t="s">
        <v>36</v>
      </c>
    </row>
    <row r="5" spans="1:11" ht="18.600000000000001" hidden="1" thickBot="1" x14ac:dyDescent="0.4">
      <c r="A5" s="49"/>
      <c r="C5" t="str">
        <f ca="1">RIGHT(F2,2)</f>
        <v>72</v>
      </c>
      <c r="D5" t="str">
        <f ca="1">LEFT(C5,1)</f>
        <v>7</v>
      </c>
      <c r="E5" s="33">
        <f ca="1">TRUNC(A3)</f>
        <v>1</v>
      </c>
      <c r="F5" s="15" t="str">
        <f ca="1">FIXED(A3-E5,G5)</f>
        <v>0,88424151982872</v>
      </c>
      <c r="G5">
        <f ca="1">ABS(E8-F8)</f>
        <v>14</v>
      </c>
      <c r="H5" t="str">
        <f ca="1">RIGHT(A3,G5)</f>
        <v>88424151982872</v>
      </c>
      <c r="I5">
        <v>5.0000000000000002E-5</v>
      </c>
      <c r="J5" s="15">
        <f ca="1">(A3-I5)</f>
        <v>1.8841915198287207</v>
      </c>
      <c r="K5" s="48" t="str">
        <f ca="1">IF(C7=5,IF(AND(D3=0,D8=FALSE),J5,J6),J6)</f>
        <v>1,8842</v>
      </c>
    </row>
    <row r="6" spans="1:11" hidden="1" x14ac:dyDescent="0.3">
      <c r="A6" s="34"/>
      <c r="C6" t="str">
        <f ca="1">RIGHT(C5,1)</f>
        <v>2</v>
      </c>
      <c r="D6">
        <f ca="1">D5+0</f>
        <v>7</v>
      </c>
      <c r="J6" t="str">
        <f ca="1">FIXED(A3,4)</f>
        <v>1,8842</v>
      </c>
      <c r="K6" s="30"/>
    </row>
    <row r="7" spans="1:11" hidden="1" x14ac:dyDescent="0.3">
      <c r="A7" s="34"/>
      <c r="C7">
        <f ca="1">C6+0</f>
        <v>2</v>
      </c>
      <c r="D7" t="s">
        <v>35</v>
      </c>
      <c r="E7" t="s">
        <v>34</v>
      </c>
      <c r="F7" t="s">
        <v>33</v>
      </c>
      <c r="K7" s="30"/>
    </row>
    <row r="8" spans="1:11" hidden="1" x14ac:dyDescent="0.3">
      <c r="A8" s="34"/>
      <c r="D8" t="b">
        <f ca="1">ISODD(D5)</f>
        <v>1</v>
      </c>
      <c r="E8">
        <f ca="1">LEN(A3)</f>
        <v>16</v>
      </c>
      <c r="F8">
        <f ca="1">LEN(E5)+1</f>
        <v>2</v>
      </c>
      <c r="K8" s="30"/>
    </row>
    <row r="9" spans="1:11" hidden="1" x14ac:dyDescent="0.3">
      <c r="A9" s="34"/>
      <c r="K9" s="30"/>
    </row>
    <row r="10" spans="1:11" hidden="1" x14ac:dyDescent="0.3">
      <c r="A10" s="180" t="s">
        <v>48</v>
      </c>
      <c r="B10" s="181"/>
      <c r="C10" s="181"/>
      <c r="D10" s="181"/>
      <c r="E10" s="181"/>
      <c r="F10" s="181"/>
      <c r="G10" s="181"/>
      <c r="H10" s="181"/>
      <c r="I10" s="181"/>
      <c r="J10" s="181"/>
      <c r="K10" s="182"/>
    </row>
    <row r="11" spans="1:11" hidden="1" x14ac:dyDescent="0.3">
      <c r="A11" s="45" t="str">
        <f ca="1">K5</f>
        <v>1,8842</v>
      </c>
      <c r="C11" t="str">
        <f ca="1">FIXED(A3,5)</f>
        <v>1,88424</v>
      </c>
      <c r="D11" t="str">
        <f ca="1">RIGHT(C11,1)</f>
        <v>4</v>
      </c>
      <c r="E11">
        <f ca="1">D11+0</f>
        <v>4</v>
      </c>
      <c r="K11" s="30"/>
    </row>
    <row r="12" spans="1:11" ht="28.8" hidden="1" x14ac:dyDescent="0.3">
      <c r="A12" s="34"/>
      <c r="C12" t="s">
        <v>44</v>
      </c>
      <c r="D12" t="s">
        <v>43</v>
      </c>
      <c r="E12" t="s">
        <v>42</v>
      </c>
      <c r="F12" t="s">
        <v>41</v>
      </c>
      <c r="G12" s="41" t="s">
        <v>40</v>
      </c>
      <c r="H12" s="41" t="s">
        <v>39</v>
      </c>
      <c r="I12" s="41" t="s">
        <v>38</v>
      </c>
      <c r="J12" s="41" t="s">
        <v>37</v>
      </c>
      <c r="K12" s="40" t="s">
        <v>36</v>
      </c>
    </row>
    <row r="13" spans="1:11" ht="18" hidden="1" x14ac:dyDescent="0.35">
      <c r="A13" s="34"/>
      <c r="C13" t="str">
        <f ca="1">RIGHT(A11,2)</f>
        <v>42</v>
      </c>
      <c r="D13" t="str">
        <f ca="1">LEFT(C13,1)</f>
        <v>4</v>
      </c>
      <c r="E13" s="39">
        <f ca="1">TRUNC(A11)</f>
        <v>1</v>
      </c>
      <c r="F13" s="15" t="str">
        <f ca="1">FIXED(A11-E13,G13)</f>
        <v>0,8842</v>
      </c>
      <c r="G13">
        <f ca="1">ABS(E16-F16)</f>
        <v>4</v>
      </c>
      <c r="H13" t="str">
        <f ca="1">RIGHT(A11,G13)</f>
        <v>8842</v>
      </c>
      <c r="I13">
        <v>5.0000000000000001E-4</v>
      </c>
      <c r="J13" s="47">
        <f ca="1">(A11-I13)</f>
        <v>1.8837000000000002</v>
      </c>
      <c r="K13" s="46" t="str">
        <f ca="1">IF(C15=5,IF(AND(E11=0,D16=FALSE),J13,J14),J14)</f>
        <v>1,884</v>
      </c>
    </row>
    <row r="14" spans="1:11" hidden="1" x14ac:dyDescent="0.3">
      <c r="A14" s="34"/>
      <c r="C14" t="str">
        <f ca="1">RIGHT(C13,1)</f>
        <v>2</v>
      </c>
      <c r="D14">
        <f ca="1">D13+0</f>
        <v>4</v>
      </c>
      <c r="J14" t="str">
        <f ca="1">FIXED(A11,3)</f>
        <v>1,884</v>
      </c>
      <c r="K14" s="30"/>
    </row>
    <row r="15" spans="1:11" hidden="1" x14ac:dyDescent="0.3">
      <c r="A15" s="34"/>
      <c r="C15">
        <f ca="1">C14+0</f>
        <v>2</v>
      </c>
      <c r="D15" t="s">
        <v>35</v>
      </c>
      <c r="E15" t="s">
        <v>34</v>
      </c>
      <c r="F15" t="s">
        <v>33</v>
      </c>
      <c r="K15" s="30"/>
    </row>
    <row r="16" spans="1:11" hidden="1" x14ac:dyDescent="0.3">
      <c r="A16" s="34"/>
      <c r="D16" t="b">
        <f ca="1">ISODD(D13)</f>
        <v>0</v>
      </c>
      <c r="E16">
        <f ca="1">LEN(A11)</f>
        <v>6</v>
      </c>
      <c r="F16">
        <f ca="1">LEN(E13)+1</f>
        <v>2</v>
      </c>
      <c r="K16" s="30"/>
    </row>
    <row r="17" spans="1:11" hidden="1" x14ac:dyDescent="0.3">
      <c r="A17" s="34"/>
      <c r="K17" s="30"/>
    </row>
    <row r="18" spans="1:11" hidden="1" x14ac:dyDescent="0.3">
      <c r="A18" s="180" t="s">
        <v>47</v>
      </c>
      <c r="B18" s="181"/>
      <c r="C18" s="181"/>
      <c r="D18" s="181"/>
      <c r="E18" s="181"/>
      <c r="F18" s="181"/>
      <c r="G18" s="181"/>
      <c r="H18" s="181"/>
      <c r="I18" s="181"/>
      <c r="J18" s="181"/>
      <c r="K18" s="182"/>
    </row>
    <row r="19" spans="1:11" hidden="1" x14ac:dyDescent="0.3">
      <c r="A19" s="45" t="str">
        <f ca="1">K13</f>
        <v>1,884</v>
      </c>
      <c r="C19" t="str">
        <f ca="1">FIXED(A11,4)</f>
        <v>1,8842</v>
      </c>
      <c r="D19" t="str">
        <f ca="1">RIGHT(C19,1)</f>
        <v>2</v>
      </c>
      <c r="E19">
        <f ca="1">D19+0</f>
        <v>2</v>
      </c>
      <c r="K19" s="30"/>
    </row>
    <row r="20" spans="1:11" ht="28.8" hidden="1" x14ac:dyDescent="0.3">
      <c r="A20" s="34"/>
      <c r="C20" t="s">
        <v>44</v>
      </c>
      <c r="D20" t="s">
        <v>43</v>
      </c>
      <c r="E20" t="s">
        <v>42</v>
      </c>
      <c r="F20" t="s">
        <v>41</v>
      </c>
      <c r="G20" s="41" t="s">
        <v>40</v>
      </c>
      <c r="H20" s="41" t="s">
        <v>39</v>
      </c>
      <c r="I20" s="41" t="s">
        <v>38</v>
      </c>
      <c r="J20" s="41" t="s">
        <v>37</v>
      </c>
      <c r="K20" s="40" t="s">
        <v>36</v>
      </c>
    </row>
    <row r="21" spans="1:11" ht="18" hidden="1" x14ac:dyDescent="0.35">
      <c r="A21" s="34"/>
      <c r="C21" t="str">
        <f ca="1">RIGHT(A19,2)</f>
        <v>84</v>
      </c>
      <c r="D21" t="str">
        <f ca="1">LEFT(C21,1)</f>
        <v>8</v>
      </c>
      <c r="E21" s="39">
        <f ca="1">TRUNC(A19)</f>
        <v>1</v>
      </c>
      <c r="F21" s="15" t="str">
        <f ca="1">FIXED(A19-E21,G21)</f>
        <v>0,884</v>
      </c>
      <c r="G21">
        <f ca="1">ABS(E24-F24)</f>
        <v>3</v>
      </c>
      <c r="H21" t="str">
        <f ca="1">RIGHT(A19,G21)</f>
        <v>884</v>
      </c>
      <c r="I21">
        <v>5.0000000000000001E-3</v>
      </c>
      <c r="J21" s="3">
        <f ca="1">(A19-I21)</f>
        <v>1.879</v>
      </c>
      <c r="K21" s="44" t="str">
        <f ca="1">IF(C23=5,IF(AND(E19=0,D24=FALSE),J21,J22),J22)</f>
        <v>1,88</v>
      </c>
    </row>
    <row r="22" spans="1:11" ht="18" hidden="1" x14ac:dyDescent="0.35">
      <c r="A22" s="34"/>
      <c r="C22" t="str">
        <f ca="1">RIGHT(C21,1)</f>
        <v>4</v>
      </c>
      <c r="D22">
        <f ca="1">D21+0</f>
        <v>8</v>
      </c>
      <c r="J22" t="str">
        <f ca="1">FIXED(A19,2)</f>
        <v>1,88</v>
      </c>
      <c r="K22" s="44"/>
    </row>
    <row r="23" spans="1:11" hidden="1" x14ac:dyDescent="0.3">
      <c r="A23" s="34"/>
      <c r="C23">
        <f ca="1">C22+0</f>
        <v>4</v>
      </c>
      <c r="D23" t="s">
        <v>35</v>
      </c>
      <c r="E23" t="s">
        <v>34</v>
      </c>
      <c r="F23" t="s">
        <v>33</v>
      </c>
      <c r="K23" s="30"/>
    </row>
    <row r="24" spans="1:11" hidden="1" x14ac:dyDescent="0.3">
      <c r="A24" s="34"/>
      <c r="D24" t="b">
        <f ca="1">ISODD(D21)</f>
        <v>0</v>
      </c>
      <c r="E24">
        <f ca="1">LEN(A19)</f>
        <v>5</v>
      </c>
      <c r="F24">
        <f ca="1">LEN(E21)+1</f>
        <v>2</v>
      </c>
      <c r="K24" s="30"/>
    </row>
    <row r="25" spans="1:11" hidden="1" x14ac:dyDescent="0.3">
      <c r="A25" s="34"/>
      <c r="K25" s="30"/>
    </row>
    <row r="26" spans="1:11" hidden="1" x14ac:dyDescent="0.3">
      <c r="A26" s="180" t="s">
        <v>46</v>
      </c>
      <c r="B26" s="181"/>
      <c r="C26" s="181"/>
      <c r="D26" s="181"/>
      <c r="E26" s="181"/>
      <c r="F26" s="181"/>
      <c r="G26" s="181"/>
      <c r="H26" s="181"/>
      <c r="I26" s="181"/>
      <c r="J26" s="181"/>
      <c r="K26" s="182"/>
    </row>
    <row r="27" spans="1:11" hidden="1" x14ac:dyDescent="0.3">
      <c r="A27" s="42" t="str">
        <f ca="1">K21</f>
        <v>1,88</v>
      </c>
      <c r="C27" t="str">
        <f ca="1">FIXED(A19,3)</f>
        <v>1,884</v>
      </c>
      <c r="D27" t="str">
        <f ca="1">RIGHT(C27,1)</f>
        <v>4</v>
      </c>
      <c r="E27">
        <f ca="1">D27+0</f>
        <v>4</v>
      </c>
      <c r="K27" s="30"/>
    </row>
    <row r="28" spans="1:11" ht="28.8" hidden="1" x14ac:dyDescent="0.3">
      <c r="A28" s="34"/>
      <c r="C28" t="s">
        <v>44</v>
      </c>
      <c r="D28" t="s">
        <v>43</v>
      </c>
      <c r="E28" t="s">
        <v>42</v>
      </c>
      <c r="F28" t="s">
        <v>41</v>
      </c>
      <c r="G28" s="41" t="s">
        <v>40</v>
      </c>
      <c r="H28" s="41" t="s">
        <v>39</v>
      </c>
      <c r="I28" s="41" t="s">
        <v>38</v>
      </c>
      <c r="J28" s="41" t="s">
        <v>37</v>
      </c>
      <c r="K28" s="40" t="s">
        <v>36</v>
      </c>
    </row>
    <row r="29" spans="1:11" ht="18" hidden="1" x14ac:dyDescent="0.35">
      <c r="A29" s="34"/>
      <c r="C29" t="str">
        <f ca="1">RIGHT(A27,2)</f>
        <v>88</v>
      </c>
      <c r="D29" t="str">
        <f ca="1">LEFT(C29,1)</f>
        <v>8</v>
      </c>
      <c r="E29" s="39">
        <f ca="1">TRUNC(A27)</f>
        <v>1</v>
      </c>
      <c r="F29" s="15" t="str">
        <f ca="1">FIXED(A27-E29,G29)</f>
        <v>0,88</v>
      </c>
      <c r="G29">
        <f ca="1">ABS(E32-F32)</f>
        <v>2</v>
      </c>
      <c r="H29" t="str">
        <f ca="1">RIGHT(A27,G29)</f>
        <v>88</v>
      </c>
      <c r="I29">
        <v>0.05</v>
      </c>
      <c r="J29" s="3">
        <f ca="1">(A27-I29)</f>
        <v>1.8299999999999998</v>
      </c>
      <c r="K29" s="44" t="str">
        <f ca="1">IF(C31=5,IF(AND(E27=0,D32=FALSE),J29,J30),J30)</f>
        <v>1,9</v>
      </c>
    </row>
    <row r="30" spans="1:11" hidden="1" x14ac:dyDescent="0.3">
      <c r="A30" s="34"/>
      <c r="C30" t="str">
        <f ca="1">RIGHT(C29,1)</f>
        <v>8</v>
      </c>
      <c r="D30">
        <f ca="1">D29+0</f>
        <v>8</v>
      </c>
      <c r="J30" t="str">
        <f ca="1">FIXED(A27,1)</f>
        <v>1,9</v>
      </c>
      <c r="K30" s="43"/>
    </row>
    <row r="31" spans="1:11" hidden="1" x14ac:dyDescent="0.3">
      <c r="A31" s="34"/>
      <c r="C31">
        <f ca="1">C30+0</f>
        <v>8</v>
      </c>
      <c r="D31" t="s">
        <v>35</v>
      </c>
      <c r="E31" t="s">
        <v>34</v>
      </c>
      <c r="F31" t="s">
        <v>33</v>
      </c>
      <c r="K31" s="30"/>
    </row>
    <row r="32" spans="1:11" hidden="1" x14ac:dyDescent="0.3">
      <c r="A32" s="34"/>
      <c r="D32" t="b">
        <f ca="1">ISODD(D29)</f>
        <v>0</v>
      </c>
      <c r="E32">
        <f ca="1">LEN(A27)</f>
        <v>4</v>
      </c>
      <c r="F32">
        <f ca="1">LEN(E29)+1</f>
        <v>2</v>
      </c>
      <c r="K32" s="30"/>
    </row>
    <row r="33" spans="1:11" hidden="1" x14ac:dyDescent="0.3">
      <c r="A33" s="34"/>
      <c r="K33" s="30"/>
    </row>
    <row r="34" spans="1:11" hidden="1" x14ac:dyDescent="0.3">
      <c r="A34" s="180" t="s">
        <v>45</v>
      </c>
      <c r="B34" s="181"/>
      <c r="C34" s="181"/>
      <c r="D34" s="181"/>
      <c r="E34" s="181"/>
      <c r="F34" s="181"/>
      <c r="G34" s="181"/>
      <c r="H34" s="181"/>
      <c r="I34" s="181"/>
      <c r="J34" s="181"/>
      <c r="K34" s="182"/>
    </row>
    <row r="35" spans="1:11" hidden="1" x14ac:dyDescent="0.3">
      <c r="A35" s="42" t="str">
        <f ca="1">K29</f>
        <v>1,9</v>
      </c>
      <c r="C35" t="str">
        <f ca="1">FIXED(A27,2)</f>
        <v>1,88</v>
      </c>
      <c r="D35" t="str">
        <f ca="1">RIGHT(C35,1)</f>
        <v>8</v>
      </c>
      <c r="E35">
        <f ca="1">D35+0</f>
        <v>8</v>
      </c>
      <c r="K35" s="30"/>
    </row>
    <row r="36" spans="1:11" ht="28.8" hidden="1" x14ac:dyDescent="0.3">
      <c r="A36" s="34"/>
      <c r="C36" t="s">
        <v>44</v>
      </c>
      <c r="D36" t="s">
        <v>43</v>
      </c>
      <c r="E36" t="s">
        <v>42</v>
      </c>
      <c r="F36" t="s">
        <v>41</v>
      </c>
      <c r="G36" s="41" t="s">
        <v>40</v>
      </c>
      <c r="H36" s="41" t="s">
        <v>39</v>
      </c>
      <c r="I36" s="41" t="s">
        <v>38</v>
      </c>
      <c r="J36" s="41" t="s">
        <v>37</v>
      </c>
      <c r="K36" s="40" t="s">
        <v>36</v>
      </c>
    </row>
    <row r="37" spans="1:11" ht="18" hidden="1" x14ac:dyDescent="0.35">
      <c r="A37" s="34"/>
      <c r="C37" t="str">
        <f ca="1">RIGHT(A35,2)</f>
        <v>,9</v>
      </c>
      <c r="D37" t="str">
        <f ca="1">RIGHT(E37,1)</f>
        <v>1</v>
      </c>
      <c r="E37" s="39">
        <f ca="1">TRUNC(A35)</f>
        <v>1</v>
      </c>
      <c r="F37" s="15" t="str">
        <f ca="1">FIXED(A35-E37,G37)</f>
        <v>0,9</v>
      </c>
      <c r="G37">
        <f ca="1">ABS(E40-F40)</f>
        <v>1</v>
      </c>
      <c r="H37" t="str">
        <f ca="1">RIGHT(A35,G37)</f>
        <v>9</v>
      </c>
      <c r="I37">
        <v>0.5</v>
      </c>
      <c r="J37" s="13">
        <f ca="1">(A35-I37)</f>
        <v>1.4</v>
      </c>
      <c r="K37" s="38" t="str">
        <f ca="1">IF(C39=5,IF(AND(E35=0,D40=FALSE),J37,J38),J38)</f>
        <v>2</v>
      </c>
    </row>
    <row r="38" spans="1:11" hidden="1" x14ac:dyDescent="0.3">
      <c r="A38" s="34"/>
      <c r="C38" t="str">
        <f ca="1">RIGHT(C37,1)</f>
        <v>9</v>
      </c>
      <c r="D38">
        <f ca="1">D37+0</f>
        <v>1</v>
      </c>
      <c r="J38" t="str">
        <f ca="1">FIXED(A35,0)</f>
        <v>2</v>
      </c>
      <c r="K38" s="37"/>
    </row>
    <row r="39" spans="1:11" hidden="1" x14ac:dyDescent="0.3">
      <c r="A39" s="34"/>
      <c r="C39">
        <f ca="1">C38+0</f>
        <v>9</v>
      </c>
      <c r="D39" t="s">
        <v>35</v>
      </c>
      <c r="E39" t="s">
        <v>34</v>
      </c>
      <c r="F39" t="s">
        <v>33</v>
      </c>
      <c r="K39" s="30"/>
    </row>
    <row r="40" spans="1:11" ht="15" hidden="1" thickBot="1" x14ac:dyDescent="0.35">
      <c r="A40" s="36"/>
      <c r="B40" s="36"/>
      <c r="C40" s="36"/>
      <c r="D40" s="36" t="b">
        <f ca="1">ISODD(D37)</f>
        <v>1</v>
      </c>
      <c r="E40" s="36">
        <f ca="1">LEN(A35)</f>
        <v>3</v>
      </c>
      <c r="F40" s="36">
        <f ca="1">LEN(E37)+1</f>
        <v>2</v>
      </c>
      <c r="G40" s="36"/>
      <c r="H40" s="36"/>
      <c r="I40" s="36"/>
      <c r="J40" s="36"/>
      <c r="K40" s="35"/>
    </row>
    <row r="41" spans="1:11" ht="15" thickBot="1" x14ac:dyDescent="0.35">
      <c r="A41" s="183" t="s">
        <v>57</v>
      </c>
      <c r="B41" s="184"/>
      <c r="C41" s="184"/>
      <c r="D41" s="184"/>
      <c r="E41" s="184"/>
      <c r="F41" s="184"/>
      <c r="G41" s="184"/>
      <c r="H41" s="184"/>
      <c r="I41" s="184"/>
      <c r="J41" s="184"/>
      <c r="K41" s="185"/>
    </row>
    <row r="42" spans="1:11" ht="15" thickBot="1" x14ac:dyDescent="0.35">
      <c r="A42" s="34" t="s">
        <v>31</v>
      </c>
      <c r="B42" s="20" t="s">
        <v>30</v>
      </c>
      <c r="C42" t="str">
        <f ca="1">FIXED(A43,6)</f>
        <v>1,830369</v>
      </c>
      <c r="D42" t="str">
        <f ca="1">RIGHT(C42,1)</f>
        <v>9</v>
      </c>
      <c r="E42">
        <f ca="1">D42/1000000</f>
        <v>9.0000000000000002E-6</v>
      </c>
      <c r="F42" s="33">
        <f ca="1">A43-E42</f>
        <v>1.8303596372166073</v>
      </c>
      <c r="H42" t="str">
        <f ca="1">IF(C47=5,IF(AND(D43=0,D48=FALSE),J45,J46),J46)</f>
        <v>1,8304</v>
      </c>
      <c r="K42" s="30"/>
    </row>
    <row r="43" spans="1:11" ht="18.600000000000001" thickBot="1" x14ac:dyDescent="0.4">
      <c r="A43" s="32">
        <f ca="1">INCERTIDUMBRE!L6</f>
        <v>1.8303686372166073</v>
      </c>
      <c r="B43" s="31" t="str">
        <f ca="1">IF(A43&gt;=10,K77,IF(A43&gt;=1,K69,IF(A43&gt;=0.1,K61,IF(A43&gt;=0.01,K53,IF(A43&gt;=0.001,K45)))))</f>
        <v>1,8</v>
      </c>
      <c r="C43" t="s">
        <v>29</v>
      </c>
      <c r="D43">
        <f ca="1">D42+0</f>
        <v>9</v>
      </c>
      <c r="K43" s="30"/>
    </row>
    <row r="44" spans="1:11" ht="28.8" hidden="1" x14ac:dyDescent="0.3">
      <c r="A44" s="50"/>
      <c r="B44" s="50"/>
      <c r="C44" t="s">
        <v>44</v>
      </c>
      <c r="D44" t="s">
        <v>43</v>
      </c>
      <c r="E44" t="s">
        <v>42</v>
      </c>
      <c r="F44" t="s">
        <v>41</v>
      </c>
      <c r="G44" s="41" t="s">
        <v>40</v>
      </c>
      <c r="H44" s="41" t="s">
        <v>39</v>
      </c>
      <c r="I44" s="41" t="s">
        <v>38</v>
      </c>
      <c r="J44" s="41" t="s">
        <v>37</v>
      </c>
      <c r="K44" s="40" t="s">
        <v>36</v>
      </c>
    </row>
    <row r="45" spans="1:11" ht="18.600000000000001" hidden="1" thickBot="1" x14ac:dyDescent="0.4">
      <c r="A45" s="49"/>
      <c r="C45" t="str">
        <f ca="1">RIGHT(F42,2)</f>
        <v>61</v>
      </c>
      <c r="D45" t="str">
        <f ca="1">LEFT(C45,1)</f>
        <v>6</v>
      </c>
      <c r="E45" s="33">
        <f ca="1">TRUNC(A43)</f>
        <v>1</v>
      </c>
      <c r="F45" s="15" t="str">
        <f ca="1">FIXED(A43-E45,G45)</f>
        <v>0,83036863721661</v>
      </c>
      <c r="G45">
        <f ca="1">ABS(E48-F48)</f>
        <v>14</v>
      </c>
      <c r="H45" t="str">
        <f ca="1">RIGHT(A43,G45)</f>
        <v>83036863721661</v>
      </c>
      <c r="I45">
        <v>5.0000000000000002E-5</v>
      </c>
      <c r="J45" s="15">
        <f ca="1">(A43-I45)</f>
        <v>1.8303186372166071</v>
      </c>
      <c r="K45" s="48" t="str">
        <f ca="1">IF(C47=5,IF(AND(D43=0,D48=FALSE),J45,J46),J46)</f>
        <v>1,8304</v>
      </c>
    </row>
    <row r="46" spans="1:11" hidden="1" x14ac:dyDescent="0.3">
      <c r="A46" s="34"/>
      <c r="C46" t="str">
        <f ca="1">RIGHT(C45,1)</f>
        <v>1</v>
      </c>
      <c r="D46">
        <f ca="1">D45+0</f>
        <v>6</v>
      </c>
      <c r="J46" t="str">
        <f ca="1">FIXED(A43,4)</f>
        <v>1,8304</v>
      </c>
      <c r="K46" s="30"/>
    </row>
    <row r="47" spans="1:11" hidden="1" x14ac:dyDescent="0.3">
      <c r="A47" s="34"/>
      <c r="C47">
        <f ca="1">C46+0</f>
        <v>1</v>
      </c>
      <c r="D47" t="s">
        <v>35</v>
      </c>
      <c r="E47" t="s">
        <v>34</v>
      </c>
      <c r="F47" t="s">
        <v>33</v>
      </c>
      <c r="K47" s="30"/>
    </row>
    <row r="48" spans="1:11" hidden="1" x14ac:dyDescent="0.3">
      <c r="A48" s="34"/>
      <c r="D48" t="b">
        <f ca="1">ISODD(D45)</f>
        <v>0</v>
      </c>
      <c r="E48">
        <f ca="1">LEN(A43)</f>
        <v>16</v>
      </c>
      <c r="F48">
        <f ca="1">LEN(E45)+1</f>
        <v>2</v>
      </c>
      <c r="K48" s="30"/>
    </row>
    <row r="49" spans="1:11" hidden="1" x14ac:dyDescent="0.3">
      <c r="A49" s="34"/>
      <c r="K49" s="30"/>
    </row>
    <row r="50" spans="1:11" hidden="1" x14ac:dyDescent="0.3">
      <c r="A50" s="180" t="s">
        <v>48</v>
      </c>
      <c r="B50" s="181"/>
      <c r="C50" s="181"/>
      <c r="D50" s="181"/>
      <c r="E50" s="181"/>
      <c r="F50" s="181"/>
      <c r="G50" s="181"/>
      <c r="H50" s="181"/>
      <c r="I50" s="181"/>
      <c r="J50" s="181"/>
      <c r="K50" s="182"/>
    </row>
    <row r="51" spans="1:11" hidden="1" x14ac:dyDescent="0.3">
      <c r="A51" s="45" t="str">
        <f ca="1">K45</f>
        <v>1,8304</v>
      </c>
      <c r="C51" t="str">
        <f ca="1">FIXED(A43,5)</f>
        <v>1,83037</v>
      </c>
      <c r="D51" t="str">
        <f ca="1">RIGHT(C51,1)</f>
        <v>7</v>
      </c>
      <c r="E51">
        <f ca="1">D51+0</f>
        <v>7</v>
      </c>
      <c r="K51" s="30"/>
    </row>
    <row r="52" spans="1:11" ht="28.8" hidden="1" x14ac:dyDescent="0.3">
      <c r="A52" s="34"/>
      <c r="C52" t="s">
        <v>44</v>
      </c>
      <c r="D52" t="s">
        <v>43</v>
      </c>
      <c r="E52" t="s">
        <v>42</v>
      </c>
      <c r="F52" t="s">
        <v>41</v>
      </c>
      <c r="G52" s="41" t="s">
        <v>40</v>
      </c>
      <c r="H52" s="41" t="s">
        <v>39</v>
      </c>
      <c r="I52" s="41" t="s">
        <v>38</v>
      </c>
      <c r="J52" s="41" t="s">
        <v>37</v>
      </c>
      <c r="K52" s="40" t="s">
        <v>36</v>
      </c>
    </row>
    <row r="53" spans="1:11" ht="18" hidden="1" x14ac:dyDescent="0.35">
      <c r="A53" s="34"/>
      <c r="C53" t="str">
        <f ca="1">RIGHT(A51,2)</f>
        <v>04</v>
      </c>
      <c r="D53" t="str">
        <f ca="1">LEFT(C53,1)</f>
        <v>0</v>
      </c>
      <c r="E53" s="39">
        <f ca="1">TRUNC(A51)</f>
        <v>1</v>
      </c>
      <c r="F53" s="15" t="str">
        <f ca="1">FIXED(A51-E53,G53)</f>
        <v>0,8304</v>
      </c>
      <c r="G53">
        <f ca="1">ABS(E56-F56)</f>
        <v>4</v>
      </c>
      <c r="H53" t="str">
        <f ca="1">RIGHT(A51,G53)</f>
        <v>8304</v>
      </c>
      <c r="I53">
        <v>5.0000000000000001E-4</v>
      </c>
      <c r="J53" s="47">
        <f ca="1">(A51-I53)</f>
        <v>1.8299000000000001</v>
      </c>
      <c r="K53" s="46" t="str">
        <f ca="1">IF(C55=5,IF(AND(E51=0,D56=FALSE),J53,J54),J54)</f>
        <v>1,830</v>
      </c>
    </row>
    <row r="54" spans="1:11" hidden="1" x14ac:dyDescent="0.3">
      <c r="A54" s="34"/>
      <c r="C54" t="str">
        <f ca="1">RIGHT(C53,1)</f>
        <v>4</v>
      </c>
      <c r="D54">
        <f ca="1">D53+0</f>
        <v>0</v>
      </c>
      <c r="J54" t="str">
        <f ca="1">FIXED(A51,3)</f>
        <v>1,830</v>
      </c>
      <c r="K54" s="30"/>
    </row>
    <row r="55" spans="1:11" hidden="1" x14ac:dyDescent="0.3">
      <c r="A55" s="34"/>
      <c r="C55">
        <f ca="1">C54+0</f>
        <v>4</v>
      </c>
      <c r="D55" t="s">
        <v>35</v>
      </c>
      <c r="E55" t="s">
        <v>34</v>
      </c>
      <c r="F55" t="s">
        <v>33</v>
      </c>
      <c r="K55" s="30"/>
    </row>
    <row r="56" spans="1:11" hidden="1" x14ac:dyDescent="0.3">
      <c r="A56" s="34"/>
      <c r="D56" t="b">
        <f ca="1">ISODD(D53)</f>
        <v>0</v>
      </c>
      <c r="E56">
        <f ca="1">LEN(A51)</f>
        <v>6</v>
      </c>
      <c r="F56">
        <f ca="1">LEN(E53)+1</f>
        <v>2</v>
      </c>
      <c r="K56" s="30"/>
    </row>
    <row r="57" spans="1:11" hidden="1" x14ac:dyDescent="0.3">
      <c r="A57" s="34"/>
      <c r="K57" s="30"/>
    </row>
    <row r="58" spans="1:11" hidden="1" x14ac:dyDescent="0.3">
      <c r="A58" s="180" t="s">
        <v>47</v>
      </c>
      <c r="B58" s="181"/>
      <c r="C58" s="181"/>
      <c r="D58" s="181"/>
      <c r="E58" s="181"/>
      <c r="F58" s="181"/>
      <c r="G58" s="181"/>
      <c r="H58" s="181"/>
      <c r="I58" s="181"/>
      <c r="J58" s="181"/>
      <c r="K58" s="182"/>
    </row>
    <row r="59" spans="1:11" hidden="1" x14ac:dyDescent="0.3">
      <c r="A59" s="45" t="str">
        <f ca="1">K53</f>
        <v>1,830</v>
      </c>
      <c r="C59" t="str">
        <f ca="1">FIXED(A51,4)</f>
        <v>1,8304</v>
      </c>
      <c r="D59" t="str">
        <f ca="1">RIGHT(C59,1)</f>
        <v>4</v>
      </c>
      <c r="E59">
        <f ca="1">D59+0</f>
        <v>4</v>
      </c>
      <c r="K59" s="30"/>
    </row>
    <row r="60" spans="1:11" ht="28.8" hidden="1" x14ac:dyDescent="0.3">
      <c r="A60" s="34"/>
      <c r="C60" t="s">
        <v>44</v>
      </c>
      <c r="D60" t="s">
        <v>43</v>
      </c>
      <c r="E60" t="s">
        <v>42</v>
      </c>
      <c r="F60" t="s">
        <v>41</v>
      </c>
      <c r="G60" s="41" t="s">
        <v>40</v>
      </c>
      <c r="H60" s="41" t="s">
        <v>39</v>
      </c>
      <c r="I60" s="41" t="s">
        <v>38</v>
      </c>
      <c r="J60" s="41" t="s">
        <v>37</v>
      </c>
      <c r="K60" s="40" t="s">
        <v>36</v>
      </c>
    </row>
    <row r="61" spans="1:11" ht="18" hidden="1" x14ac:dyDescent="0.35">
      <c r="A61" s="34"/>
      <c r="C61" t="str">
        <f ca="1">RIGHT(A59,2)</f>
        <v>30</v>
      </c>
      <c r="D61" t="str">
        <f ca="1">LEFT(C61,1)</f>
        <v>3</v>
      </c>
      <c r="E61" s="39">
        <f ca="1">TRUNC(A59)</f>
        <v>1</v>
      </c>
      <c r="F61" s="15" t="str">
        <f ca="1">FIXED(A59-E61,G61)</f>
        <v>0,830</v>
      </c>
      <c r="G61">
        <f ca="1">ABS(E64-F64)</f>
        <v>3</v>
      </c>
      <c r="H61" t="str">
        <f ca="1">RIGHT(A59,G61)</f>
        <v>830</v>
      </c>
      <c r="I61">
        <v>5.0000000000000001E-3</v>
      </c>
      <c r="J61" s="3">
        <f ca="1">(A59-I61)</f>
        <v>1.8250000000000002</v>
      </c>
      <c r="K61" s="44" t="str">
        <f ca="1">IF(C63=5,IF(AND(E59=0,D64=FALSE),J61,J62),J62)</f>
        <v>1,83</v>
      </c>
    </row>
    <row r="62" spans="1:11" ht="18" hidden="1" x14ac:dyDescent="0.35">
      <c r="A62" s="34"/>
      <c r="C62" t="str">
        <f ca="1">RIGHT(C61,1)</f>
        <v>0</v>
      </c>
      <c r="D62">
        <f ca="1">D61+0</f>
        <v>3</v>
      </c>
      <c r="J62" t="str">
        <f ca="1">FIXED(A59,2)</f>
        <v>1,83</v>
      </c>
      <c r="K62" s="44"/>
    </row>
    <row r="63" spans="1:11" hidden="1" x14ac:dyDescent="0.3">
      <c r="A63" s="34"/>
      <c r="C63">
        <f ca="1">C62+0</f>
        <v>0</v>
      </c>
      <c r="D63" t="s">
        <v>35</v>
      </c>
      <c r="E63" t="s">
        <v>34</v>
      </c>
      <c r="F63" t="s">
        <v>33</v>
      </c>
      <c r="K63" s="30"/>
    </row>
    <row r="64" spans="1:11" hidden="1" x14ac:dyDescent="0.3">
      <c r="A64" s="34"/>
      <c r="D64" t="b">
        <f ca="1">ISODD(D61)</f>
        <v>1</v>
      </c>
      <c r="E64">
        <f ca="1">LEN(A59)</f>
        <v>5</v>
      </c>
      <c r="F64">
        <f ca="1">LEN(E61)+1</f>
        <v>2</v>
      </c>
      <c r="K64" s="30"/>
    </row>
    <row r="65" spans="1:11" hidden="1" x14ac:dyDescent="0.3">
      <c r="A65" s="34"/>
      <c r="K65" s="30"/>
    </row>
    <row r="66" spans="1:11" hidden="1" x14ac:dyDescent="0.3">
      <c r="A66" s="180" t="s">
        <v>46</v>
      </c>
      <c r="B66" s="181"/>
      <c r="C66" s="181"/>
      <c r="D66" s="181"/>
      <c r="E66" s="181"/>
      <c r="F66" s="181"/>
      <c r="G66" s="181"/>
      <c r="H66" s="181"/>
      <c r="I66" s="181"/>
      <c r="J66" s="181"/>
      <c r="K66" s="182"/>
    </row>
    <row r="67" spans="1:11" hidden="1" x14ac:dyDescent="0.3">
      <c r="A67" s="42" t="str">
        <f ca="1">K61</f>
        <v>1,83</v>
      </c>
      <c r="C67" t="str">
        <f ca="1">FIXED(A59,3)</f>
        <v>1,830</v>
      </c>
      <c r="D67" t="str">
        <f ca="1">RIGHT(C67,1)</f>
        <v>0</v>
      </c>
      <c r="E67">
        <f ca="1">D67+0</f>
        <v>0</v>
      </c>
      <c r="K67" s="30"/>
    </row>
    <row r="68" spans="1:11" ht="28.8" hidden="1" x14ac:dyDescent="0.3">
      <c r="A68" s="34"/>
      <c r="C68" t="s">
        <v>44</v>
      </c>
      <c r="D68" t="s">
        <v>43</v>
      </c>
      <c r="E68" t="s">
        <v>42</v>
      </c>
      <c r="F68" t="s">
        <v>41</v>
      </c>
      <c r="G68" s="41" t="s">
        <v>40</v>
      </c>
      <c r="H68" s="41" t="s">
        <v>39</v>
      </c>
      <c r="I68" s="41" t="s">
        <v>38</v>
      </c>
      <c r="J68" s="41" t="s">
        <v>37</v>
      </c>
      <c r="K68" s="40" t="s">
        <v>36</v>
      </c>
    </row>
    <row r="69" spans="1:11" ht="18" hidden="1" x14ac:dyDescent="0.35">
      <c r="A69" s="34"/>
      <c r="C69" t="str">
        <f ca="1">RIGHT(A67,2)</f>
        <v>83</v>
      </c>
      <c r="D69" t="str">
        <f ca="1">LEFT(C69,1)</f>
        <v>8</v>
      </c>
      <c r="E69" s="39">
        <f ca="1">TRUNC(A67)</f>
        <v>1</v>
      </c>
      <c r="F69" s="15" t="str">
        <f ca="1">FIXED(A67-E69,G69)</f>
        <v>0,83</v>
      </c>
      <c r="G69">
        <f ca="1">ABS(E72-F72)</f>
        <v>2</v>
      </c>
      <c r="H69" t="str">
        <f ca="1">RIGHT(A67,G69)</f>
        <v>83</v>
      </c>
      <c r="I69">
        <v>0.05</v>
      </c>
      <c r="J69" s="3">
        <f ca="1">(A67-I69)</f>
        <v>1.78</v>
      </c>
      <c r="K69" s="44" t="str">
        <f ca="1">IF(C71=5,IF(AND(E67=0,D72=FALSE),J69,J70),J70)</f>
        <v>1,8</v>
      </c>
    </row>
    <row r="70" spans="1:11" hidden="1" x14ac:dyDescent="0.3">
      <c r="A70" s="34"/>
      <c r="C70" t="str">
        <f ca="1">RIGHT(C69,1)</f>
        <v>3</v>
      </c>
      <c r="D70">
        <f ca="1">D69+0</f>
        <v>8</v>
      </c>
      <c r="J70" t="str">
        <f ca="1">FIXED(A67,1)</f>
        <v>1,8</v>
      </c>
      <c r="K70" s="43"/>
    </row>
    <row r="71" spans="1:11" hidden="1" x14ac:dyDescent="0.3">
      <c r="A71" s="34"/>
      <c r="C71">
        <f ca="1">C70+0</f>
        <v>3</v>
      </c>
      <c r="D71" t="s">
        <v>35</v>
      </c>
      <c r="E71" t="s">
        <v>34</v>
      </c>
      <c r="F71" t="s">
        <v>33</v>
      </c>
      <c r="K71" s="30"/>
    </row>
    <row r="72" spans="1:11" hidden="1" x14ac:dyDescent="0.3">
      <c r="A72" s="34"/>
      <c r="D72" t="b">
        <f ca="1">ISODD(D69)</f>
        <v>0</v>
      </c>
      <c r="E72">
        <f ca="1">LEN(A67)</f>
        <v>4</v>
      </c>
      <c r="F72">
        <f ca="1">LEN(E69)+1</f>
        <v>2</v>
      </c>
      <c r="K72" s="30"/>
    </row>
    <row r="73" spans="1:11" hidden="1" x14ac:dyDescent="0.3">
      <c r="A73" s="34"/>
      <c r="K73" s="30"/>
    </row>
    <row r="74" spans="1:11" hidden="1" x14ac:dyDescent="0.3">
      <c r="A74" s="180" t="s">
        <v>45</v>
      </c>
      <c r="B74" s="181"/>
      <c r="C74" s="181"/>
      <c r="D74" s="181"/>
      <c r="E74" s="181"/>
      <c r="F74" s="181"/>
      <c r="G74" s="181"/>
      <c r="H74" s="181"/>
      <c r="I74" s="181"/>
      <c r="J74" s="181"/>
      <c r="K74" s="182"/>
    </row>
    <row r="75" spans="1:11" hidden="1" x14ac:dyDescent="0.3">
      <c r="A75" s="42" t="str">
        <f ca="1">K69</f>
        <v>1,8</v>
      </c>
      <c r="C75" t="str">
        <f ca="1">FIXED(A67,2)</f>
        <v>1,83</v>
      </c>
      <c r="D75" t="str">
        <f ca="1">RIGHT(C75,1)</f>
        <v>3</v>
      </c>
      <c r="E75">
        <f ca="1">D75+0</f>
        <v>3</v>
      </c>
      <c r="K75" s="30"/>
    </row>
    <row r="76" spans="1:11" ht="28.8" hidden="1" x14ac:dyDescent="0.3">
      <c r="A76" s="34"/>
      <c r="C76" t="s">
        <v>44</v>
      </c>
      <c r="D76" t="s">
        <v>43</v>
      </c>
      <c r="E76" t="s">
        <v>42</v>
      </c>
      <c r="F76" t="s">
        <v>41</v>
      </c>
      <c r="G76" s="41" t="s">
        <v>40</v>
      </c>
      <c r="H76" s="41" t="s">
        <v>39</v>
      </c>
      <c r="I76" s="41" t="s">
        <v>38</v>
      </c>
      <c r="J76" s="41" t="s">
        <v>37</v>
      </c>
      <c r="K76" s="40" t="s">
        <v>36</v>
      </c>
    </row>
    <row r="77" spans="1:11" ht="18" hidden="1" x14ac:dyDescent="0.35">
      <c r="A77" s="34"/>
      <c r="C77" t="str">
        <f ca="1">RIGHT(A75,2)</f>
        <v>,8</v>
      </c>
      <c r="D77" t="str">
        <f ca="1">RIGHT(E77,1)</f>
        <v>1</v>
      </c>
      <c r="E77" s="39">
        <f ca="1">TRUNC(A75)</f>
        <v>1</v>
      </c>
      <c r="F77" s="15" t="str">
        <f ca="1">FIXED(A75-E77,G77)</f>
        <v>0,8</v>
      </c>
      <c r="G77">
        <f ca="1">ABS(E80-F80)</f>
        <v>1</v>
      </c>
      <c r="H77" t="str">
        <f ca="1">RIGHT(A75,G77)</f>
        <v>8</v>
      </c>
      <c r="I77">
        <v>0.5</v>
      </c>
      <c r="J77" s="13">
        <f ca="1">(A75-I77)</f>
        <v>1.3</v>
      </c>
      <c r="K77" s="38" t="str">
        <f ca="1">IF(C79=5,IF(AND(E75=0,D80=FALSE),J77,J78),J78)</f>
        <v>2</v>
      </c>
    </row>
    <row r="78" spans="1:11" hidden="1" x14ac:dyDescent="0.3">
      <c r="A78" s="34"/>
      <c r="C78" t="str">
        <f ca="1">RIGHT(C77,1)</f>
        <v>8</v>
      </c>
      <c r="D78">
        <f ca="1">D77+0</f>
        <v>1</v>
      </c>
      <c r="J78" t="str">
        <f ca="1">FIXED(A75,0)</f>
        <v>2</v>
      </c>
      <c r="K78" s="37"/>
    </row>
    <row r="79" spans="1:11" hidden="1" x14ac:dyDescent="0.3">
      <c r="A79" s="34"/>
      <c r="C79">
        <f ca="1">C78+0</f>
        <v>8</v>
      </c>
      <c r="D79" t="s">
        <v>35</v>
      </c>
      <c r="E79" t="s">
        <v>34</v>
      </c>
      <c r="F79" t="s">
        <v>33</v>
      </c>
      <c r="K79" s="30"/>
    </row>
    <row r="80" spans="1:11" ht="15" hidden="1" thickBot="1" x14ac:dyDescent="0.35">
      <c r="A80" s="36"/>
      <c r="B80" s="36"/>
      <c r="C80" s="36"/>
      <c r="D80" s="36" t="b">
        <f ca="1">ISODD(D77)</f>
        <v>1</v>
      </c>
      <c r="E80" s="36">
        <f ca="1">LEN(A75)</f>
        <v>3</v>
      </c>
      <c r="F80" s="36">
        <f ca="1">LEN(E77)+1</f>
        <v>2</v>
      </c>
      <c r="G80" s="36"/>
      <c r="H80" s="36"/>
      <c r="I80" s="36"/>
      <c r="J80" s="36"/>
      <c r="K80" s="35"/>
    </row>
    <row r="81" spans="1:11" ht="15" thickBot="1" x14ac:dyDescent="0.35">
      <c r="A81" s="183" t="s">
        <v>56</v>
      </c>
      <c r="B81" s="184"/>
      <c r="C81" s="184"/>
      <c r="D81" s="184"/>
      <c r="E81" s="184"/>
      <c r="F81" s="184"/>
      <c r="G81" s="184"/>
      <c r="H81" s="184"/>
      <c r="I81" s="184"/>
      <c r="J81" s="184"/>
      <c r="K81" s="185"/>
    </row>
    <row r="82" spans="1:11" ht="15" thickBot="1" x14ac:dyDescent="0.35">
      <c r="A82" s="34" t="s">
        <v>31</v>
      </c>
      <c r="B82" s="20" t="s">
        <v>30</v>
      </c>
      <c r="C82" t="str">
        <f ca="1">FIXED(A83,6)</f>
        <v>1,863724</v>
      </c>
      <c r="D82" t="str">
        <f ca="1">RIGHT(C82,1)</f>
        <v>4</v>
      </c>
      <c r="E82">
        <f ca="1">D82/1000000</f>
        <v>3.9999999999999998E-6</v>
      </c>
      <c r="F82" s="33">
        <f ca="1">A83-E82</f>
        <v>1.8637197249230573</v>
      </c>
      <c r="H82" t="str">
        <f ca="1">IF(C87=5,IF(AND(D83=0,D88=FALSE),J85,J86),J86)</f>
        <v>1,8637</v>
      </c>
      <c r="K82" s="30"/>
    </row>
    <row r="83" spans="1:11" ht="18.600000000000001" thickBot="1" x14ac:dyDescent="0.4">
      <c r="A83" s="32">
        <f ca="1">INCERTIDUMBRE!L7</f>
        <v>1.8637237249230572</v>
      </c>
      <c r="B83" s="31" t="str">
        <f ca="1">IF(A83&gt;=10,K117,IF(A83&gt;=1,K109,IF(A83&gt;=0.1,K101,IF(A83&gt;=0.01,K93,IF(A83&gt;=0.001,K85)))))</f>
        <v>1,9</v>
      </c>
      <c r="C83" t="s">
        <v>29</v>
      </c>
      <c r="D83">
        <f ca="1">D82+0</f>
        <v>4</v>
      </c>
      <c r="K83" s="30"/>
    </row>
    <row r="84" spans="1:11" ht="28.8" hidden="1" x14ac:dyDescent="0.3">
      <c r="A84" s="50"/>
      <c r="B84" s="50"/>
      <c r="C84" t="s">
        <v>44</v>
      </c>
      <c r="D84" t="s">
        <v>43</v>
      </c>
      <c r="E84" t="s">
        <v>42</v>
      </c>
      <c r="F84" t="s">
        <v>41</v>
      </c>
      <c r="G84" s="41" t="s">
        <v>40</v>
      </c>
      <c r="H84" s="41" t="s">
        <v>39</v>
      </c>
      <c r="I84" s="41" t="s">
        <v>38</v>
      </c>
      <c r="J84" s="41" t="s">
        <v>37</v>
      </c>
      <c r="K84" s="40" t="s">
        <v>36</v>
      </c>
    </row>
    <row r="85" spans="1:11" ht="18.600000000000001" hidden="1" thickBot="1" x14ac:dyDescent="0.4">
      <c r="A85" s="49"/>
      <c r="C85" t="str">
        <f ca="1">RIGHT(F82,2)</f>
        <v>06</v>
      </c>
      <c r="D85" t="str">
        <f ca="1">LEFT(C85,1)</f>
        <v>0</v>
      </c>
      <c r="E85" s="33">
        <f ca="1">TRUNC(A83)</f>
        <v>1</v>
      </c>
      <c r="F85" s="15" t="str">
        <f ca="1">FIXED(A83-E85,G85)</f>
        <v>0,86372372492306</v>
      </c>
      <c r="G85">
        <f ca="1">ABS(E88-F88)</f>
        <v>14</v>
      </c>
      <c r="H85" t="str">
        <f ca="1">RIGHT(A83,G85)</f>
        <v>86372372492306</v>
      </c>
      <c r="I85">
        <v>5.0000000000000002E-5</v>
      </c>
      <c r="J85" s="15">
        <f ca="1">(A83-I85)</f>
        <v>1.8636737249230571</v>
      </c>
      <c r="K85" s="48" t="str">
        <f ca="1">IF(C87=5,IF(AND(D83=0,D88=FALSE),J85,J86),J86)</f>
        <v>1,8637</v>
      </c>
    </row>
    <row r="86" spans="1:11" hidden="1" x14ac:dyDescent="0.3">
      <c r="A86" s="34"/>
      <c r="C86" t="str">
        <f ca="1">RIGHT(C85,1)</f>
        <v>6</v>
      </c>
      <c r="D86">
        <f ca="1">D85+0</f>
        <v>0</v>
      </c>
      <c r="J86" t="str">
        <f ca="1">FIXED(A83,4)</f>
        <v>1,8637</v>
      </c>
      <c r="K86" s="30"/>
    </row>
    <row r="87" spans="1:11" hidden="1" x14ac:dyDescent="0.3">
      <c r="A87" s="34"/>
      <c r="C87">
        <f ca="1">C86+0</f>
        <v>6</v>
      </c>
      <c r="D87" t="s">
        <v>35</v>
      </c>
      <c r="E87" t="s">
        <v>34</v>
      </c>
      <c r="F87" t="s">
        <v>33</v>
      </c>
      <c r="K87" s="30"/>
    </row>
    <row r="88" spans="1:11" hidden="1" x14ac:dyDescent="0.3">
      <c r="A88" s="34"/>
      <c r="D88" t="b">
        <f ca="1">ISODD(D85)</f>
        <v>0</v>
      </c>
      <c r="E88">
        <f ca="1">LEN(A83)</f>
        <v>16</v>
      </c>
      <c r="F88">
        <f ca="1">LEN(E85)+1</f>
        <v>2</v>
      </c>
      <c r="K88" s="30"/>
    </row>
    <row r="89" spans="1:11" hidden="1" x14ac:dyDescent="0.3">
      <c r="A89" s="34"/>
      <c r="K89" s="30"/>
    </row>
    <row r="90" spans="1:11" hidden="1" x14ac:dyDescent="0.3">
      <c r="A90" s="180" t="s">
        <v>48</v>
      </c>
      <c r="B90" s="181"/>
      <c r="C90" s="181"/>
      <c r="D90" s="181"/>
      <c r="E90" s="181"/>
      <c r="F90" s="181"/>
      <c r="G90" s="181"/>
      <c r="H90" s="181"/>
      <c r="I90" s="181"/>
      <c r="J90" s="181"/>
      <c r="K90" s="182"/>
    </row>
    <row r="91" spans="1:11" hidden="1" x14ac:dyDescent="0.3">
      <c r="A91" s="45" t="str">
        <f ca="1">K85</f>
        <v>1,8637</v>
      </c>
      <c r="C91" t="str">
        <f ca="1">FIXED(A83,5)</f>
        <v>1,86372</v>
      </c>
      <c r="D91" t="str">
        <f ca="1">RIGHT(C91,1)</f>
        <v>2</v>
      </c>
      <c r="E91">
        <f ca="1">D91+0</f>
        <v>2</v>
      </c>
      <c r="K91" s="30"/>
    </row>
    <row r="92" spans="1:11" ht="28.8" hidden="1" x14ac:dyDescent="0.3">
      <c r="A92" s="34"/>
      <c r="C92" t="s">
        <v>44</v>
      </c>
      <c r="D92" t="s">
        <v>43</v>
      </c>
      <c r="E92" t="s">
        <v>42</v>
      </c>
      <c r="F92" t="s">
        <v>41</v>
      </c>
      <c r="G92" s="41" t="s">
        <v>40</v>
      </c>
      <c r="H92" s="41" t="s">
        <v>39</v>
      </c>
      <c r="I92" s="41" t="s">
        <v>38</v>
      </c>
      <c r="J92" s="41" t="s">
        <v>37</v>
      </c>
      <c r="K92" s="40" t="s">
        <v>36</v>
      </c>
    </row>
    <row r="93" spans="1:11" ht="18" hidden="1" x14ac:dyDescent="0.35">
      <c r="A93" s="34"/>
      <c r="C93" t="str">
        <f ca="1">RIGHT(A91,2)</f>
        <v>37</v>
      </c>
      <c r="D93" t="str">
        <f ca="1">LEFT(C93,1)</f>
        <v>3</v>
      </c>
      <c r="E93" s="39">
        <f ca="1">TRUNC(A91)</f>
        <v>1</v>
      </c>
      <c r="F93" s="15" t="str">
        <f ca="1">FIXED(A91-E93,G93)</f>
        <v>0,8637</v>
      </c>
      <c r="G93">
        <f ca="1">ABS(E96-F96)</f>
        <v>4</v>
      </c>
      <c r="H93" t="str">
        <f ca="1">RIGHT(A91,G93)</f>
        <v>8637</v>
      </c>
      <c r="I93">
        <v>5.0000000000000001E-4</v>
      </c>
      <c r="J93" s="47">
        <f ca="1">(A91-I93)</f>
        <v>1.8632</v>
      </c>
      <c r="K93" s="46" t="str">
        <f ca="1">IF(C95=5,IF(AND(E91=0,D96=FALSE),J93,J94),J94)</f>
        <v>1,864</v>
      </c>
    </row>
    <row r="94" spans="1:11" hidden="1" x14ac:dyDescent="0.3">
      <c r="A94" s="34"/>
      <c r="C94" t="str">
        <f ca="1">RIGHT(C93,1)</f>
        <v>7</v>
      </c>
      <c r="D94">
        <f ca="1">D93+0</f>
        <v>3</v>
      </c>
      <c r="J94" t="str">
        <f ca="1">FIXED(A91,3)</f>
        <v>1,864</v>
      </c>
      <c r="K94" s="30"/>
    </row>
    <row r="95" spans="1:11" hidden="1" x14ac:dyDescent="0.3">
      <c r="A95" s="34"/>
      <c r="C95">
        <f ca="1">C94+0</f>
        <v>7</v>
      </c>
      <c r="D95" t="s">
        <v>35</v>
      </c>
      <c r="E95" t="s">
        <v>34</v>
      </c>
      <c r="F95" t="s">
        <v>33</v>
      </c>
      <c r="K95" s="30"/>
    </row>
    <row r="96" spans="1:11" hidden="1" x14ac:dyDescent="0.3">
      <c r="A96" s="34"/>
      <c r="D96" t="b">
        <f ca="1">ISODD(D93)</f>
        <v>1</v>
      </c>
      <c r="E96">
        <f ca="1">LEN(A91)</f>
        <v>6</v>
      </c>
      <c r="F96">
        <f ca="1">LEN(E93)+1</f>
        <v>2</v>
      </c>
      <c r="K96" s="30"/>
    </row>
    <row r="97" spans="1:11" hidden="1" x14ac:dyDescent="0.3">
      <c r="A97" s="34"/>
      <c r="K97" s="30"/>
    </row>
    <row r="98" spans="1:11" hidden="1" x14ac:dyDescent="0.3">
      <c r="A98" s="180" t="s">
        <v>47</v>
      </c>
      <c r="B98" s="181"/>
      <c r="C98" s="181"/>
      <c r="D98" s="181"/>
      <c r="E98" s="181"/>
      <c r="F98" s="181"/>
      <c r="G98" s="181"/>
      <c r="H98" s="181"/>
      <c r="I98" s="181"/>
      <c r="J98" s="181"/>
      <c r="K98" s="182"/>
    </row>
    <row r="99" spans="1:11" hidden="1" x14ac:dyDescent="0.3">
      <c r="A99" s="45" t="str">
        <f ca="1">K93</f>
        <v>1,864</v>
      </c>
      <c r="C99" t="str">
        <f ca="1">FIXED(A91,4)</f>
        <v>1,8637</v>
      </c>
      <c r="D99" t="str">
        <f ca="1">RIGHT(C99,1)</f>
        <v>7</v>
      </c>
      <c r="E99">
        <f ca="1">D99+0</f>
        <v>7</v>
      </c>
      <c r="K99" s="30"/>
    </row>
    <row r="100" spans="1:11" ht="28.8" hidden="1" x14ac:dyDescent="0.3">
      <c r="A100" s="34"/>
      <c r="C100" t="s">
        <v>44</v>
      </c>
      <c r="D100" t="s">
        <v>43</v>
      </c>
      <c r="E100" t="s">
        <v>42</v>
      </c>
      <c r="F100" t="s">
        <v>41</v>
      </c>
      <c r="G100" s="41" t="s">
        <v>40</v>
      </c>
      <c r="H100" s="41" t="s">
        <v>39</v>
      </c>
      <c r="I100" s="41" t="s">
        <v>38</v>
      </c>
      <c r="J100" s="41" t="s">
        <v>37</v>
      </c>
      <c r="K100" s="40" t="s">
        <v>36</v>
      </c>
    </row>
    <row r="101" spans="1:11" ht="18" hidden="1" x14ac:dyDescent="0.35">
      <c r="A101" s="34"/>
      <c r="C101" t="str">
        <f ca="1">RIGHT(A99,2)</f>
        <v>64</v>
      </c>
      <c r="D101" t="str">
        <f ca="1">LEFT(C101,1)</f>
        <v>6</v>
      </c>
      <c r="E101" s="39">
        <f ca="1">TRUNC(A99)</f>
        <v>1</v>
      </c>
      <c r="F101" s="15" t="str">
        <f ca="1">FIXED(A99-E101,G101)</f>
        <v>0,864</v>
      </c>
      <c r="G101">
        <f ca="1">ABS(E104-F104)</f>
        <v>3</v>
      </c>
      <c r="H101" t="str">
        <f ca="1">RIGHT(A99,G101)</f>
        <v>864</v>
      </c>
      <c r="I101">
        <v>5.0000000000000001E-3</v>
      </c>
      <c r="J101" s="3">
        <f ca="1">(A99-I101)</f>
        <v>1.8590000000000002</v>
      </c>
      <c r="K101" s="44" t="str">
        <f ca="1">IF(C103=5,IF(AND(E99=0,D104=FALSE),J101,J102),J102)</f>
        <v>1,86</v>
      </c>
    </row>
    <row r="102" spans="1:11" ht="18" hidden="1" x14ac:dyDescent="0.35">
      <c r="A102" s="34"/>
      <c r="C102" t="str">
        <f ca="1">RIGHT(C101,1)</f>
        <v>4</v>
      </c>
      <c r="D102">
        <f ca="1">D101+0</f>
        <v>6</v>
      </c>
      <c r="J102" t="str">
        <f ca="1">FIXED(A99,2)</f>
        <v>1,86</v>
      </c>
      <c r="K102" s="44"/>
    </row>
    <row r="103" spans="1:11" hidden="1" x14ac:dyDescent="0.3">
      <c r="A103" s="34"/>
      <c r="C103">
        <f ca="1">C102+0</f>
        <v>4</v>
      </c>
      <c r="D103" t="s">
        <v>35</v>
      </c>
      <c r="E103" t="s">
        <v>34</v>
      </c>
      <c r="F103" t="s">
        <v>33</v>
      </c>
      <c r="K103" s="30"/>
    </row>
    <row r="104" spans="1:11" hidden="1" x14ac:dyDescent="0.3">
      <c r="A104" s="34"/>
      <c r="D104" t="b">
        <f ca="1">ISODD(D101)</f>
        <v>0</v>
      </c>
      <c r="E104">
        <f ca="1">LEN(A99)</f>
        <v>5</v>
      </c>
      <c r="F104">
        <f ca="1">LEN(E101)+1</f>
        <v>2</v>
      </c>
      <c r="K104" s="30"/>
    </row>
    <row r="105" spans="1:11" hidden="1" x14ac:dyDescent="0.3">
      <c r="A105" s="34"/>
      <c r="K105" s="30"/>
    </row>
    <row r="106" spans="1:11" hidden="1" x14ac:dyDescent="0.3">
      <c r="A106" s="180" t="s">
        <v>46</v>
      </c>
      <c r="B106" s="181"/>
      <c r="C106" s="181"/>
      <c r="D106" s="181"/>
      <c r="E106" s="181"/>
      <c r="F106" s="181"/>
      <c r="G106" s="181"/>
      <c r="H106" s="181"/>
      <c r="I106" s="181"/>
      <c r="J106" s="181"/>
      <c r="K106" s="182"/>
    </row>
    <row r="107" spans="1:11" hidden="1" x14ac:dyDescent="0.3">
      <c r="A107" s="42" t="str">
        <f ca="1">K101</f>
        <v>1,86</v>
      </c>
      <c r="C107" t="str">
        <f ca="1">FIXED(A99,3)</f>
        <v>1,864</v>
      </c>
      <c r="D107" t="str">
        <f ca="1">RIGHT(C107,1)</f>
        <v>4</v>
      </c>
      <c r="E107">
        <f ca="1">D107+0</f>
        <v>4</v>
      </c>
      <c r="K107" s="30"/>
    </row>
    <row r="108" spans="1:11" ht="28.8" hidden="1" x14ac:dyDescent="0.3">
      <c r="A108" s="34"/>
      <c r="C108" t="s">
        <v>44</v>
      </c>
      <c r="D108" t="s">
        <v>43</v>
      </c>
      <c r="E108" t="s">
        <v>42</v>
      </c>
      <c r="F108" t="s">
        <v>41</v>
      </c>
      <c r="G108" s="41" t="s">
        <v>40</v>
      </c>
      <c r="H108" s="41" t="s">
        <v>39</v>
      </c>
      <c r="I108" s="41" t="s">
        <v>38</v>
      </c>
      <c r="J108" s="41" t="s">
        <v>37</v>
      </c>
      <c r="K108" s="40" t="s">
        <v>36</v>
      </c>
    </row>
    <row r="109" spans="1:11" ht="18" hidden="1" x14ac:dyDescent="0.35">
      <c r="A109" s="34"/>
      <c r="C109" t="str">
        <f ca="1">RIGHT(A107,2)</f>
        <v>86</v>
      </c>
      <c r="D109" t="str">
        <f ca="1">LEFT(C109,1)</f>
        <v>8</v>
      </c>
      <c r="E109" s="39">
        <f ca="1">TRUNC(A107)</f>
        <v>1</v>
      </c>
      <c r="F109" s="15" t="str">
        <f ca="1">FIXED(A107-E109,G109)</f>
        <v>0,86</v>
      </c>
      <c r="G109">
        <f ca="1">ABS(E112-F112)</f>
        <v>2</v>
      </c>
      <c r="H109" t="str">
        <f ca="1">RIGHT(A107,G109)</f>
        <v>86</v>
      </c>
      <c r="I109">
        <v>0.05</v>
      </c>
      <c r="J109" s="3">
        <f ca="1">(A107-I109)</f>
        <v>1.81</v>
      </c>
      <c r="K109" s="44" t="str">
        <f ca="1">IF(C111=5,IF(AND(E107=0,D112=FALSE),J109,J110),J110)</f>
        <v>1,9</v>
      </c>
    </row>
    <row r="110" spans="1:11" hidden="1" x14ac:dyDescent="0.3">
      <c r="A110" s="34"/>
      <c r="C110" t="str">
        <f ca="1">RIGHT(C109,1)</f>
        <v>6</v>
      </c>
      <c r="D110">
        <f ca="1">D109+0</f>
        <v>8</v>
      </c>
      <c r="J110" t="str">
        <f ca="1">FIXED(A107,1)</f>
        <v>1,9</v>
      </c>
      <c r="K110" s="43"/>
    </row>
    <row r="111" spans="1:11" hidden="1" x14ac:dyDescent="0.3">
      <c r="A111" s="34"/>
      <c r="C111">
        <f ca="1">C110+0</f>
        <v>6</v>
      </c>
      <c r="D111" t="s">
        <v>35</v>
      </c>
      <c r="E111" t="s">
        <v>34</v>
      </c>
      <c r="F111" t="s">
        <v>33</v>
      </c>
      <c r="K111" s="30"/>
    </row>
    <row r="112" spans="1:11" hidden="1" x14ac:dyDescent="0.3">
      <c r="A112" s="34"/>
      <c r="D112" t="b">
        <f ca="1">ISODD(D109)</f>
        <v>0</v>
      </c>
      <c r="E112">
        <f ca="1">LEN(A107)</f>
        <v>4</v>
      </c>
      <c r="F112">
        <f ca="1">LEN(E109)+1</f>
        <v>2</v>
      </c>
      <c r="K112" s="30"/>
    </row>
    <row r="113" spans="1:11" hidden="1" x14ac:dyDescent="0.3">
      <c r="A113" s="34"/>
      <c r="K113" s="30"/>
    </row>
    <row r="114" spans="1:11" hidden="1" x14ac:dyDescent="0.3">
      <c r="A114" s="180" t="s">
        <v>45</v>
      </c>
      <c r="B114" s="181"/>
      <c r="C114" s="181"/>
      <c r="D114" s="181"/>
      <c r="E114" s="181"/>
      <c r="F114" s="181"/>
      <c r="G114" s="181"/>
      <c r="H114" s="181"/>
      <c r="I114" s="181"/>
      <c r="J114" s="181"/>
      <c r="K114" s="182"/>
    </row>
    <row r="115" spans="1:11" hidden="1" x14ac:dyDescent="0.3">
      <c r="A115" s="42" t="str">
        <f ca="1">K109</f>
        <v>1,9</v>
      </c>
      <c r="C115" t="str">
        <f ca="1">FIXED(A107,2)</f>
        <v>1,86</v>
      </c>
      <c r="D115" t="str">
        <f ca="1">RIGHT(C115,1)</f>
        <v>6</v>
      </c>
      <c r="E115">
        <f ca="1">D115+0</f>
        <v>6</v>
      </c>
      <c r="K115" s="30"/>
    </row>
    <row r="116" spans="1:11" ht="28.8" hidden="1" x14ac:dyDescent="0.3">
      <c r="A116" s="34"/>
      <c r="C116" t="s">
        <v>44</v>
      </c>
      <c r="D116" t="s">
        <v>43</v>
      </c>
      <c r="E116" t="s">
        <v>42</v>
      </c>
      <c r="F116" t="s">
        <v>41</v>
      </c>
      <c r="G116" s="41" t="s">
        <v>40</v>
      </c>
      <c r="H116" s="41" t="s">
        <v>39</v>
      </c>
      <c r="I116" s="41" t="s">
        <v>38</v>
      </c>
      <c r="J116" s="41" t="s">
        <v>37</v>
      </c>
      <c r="K116" s="40" t="s">
        <v>36</v>
      </c>
    </row>
    <row r="117" spans="1:11" ht="18" hidden="1" x14ac:dyDescent="0.35">
      <c r="A117" s="34"/>
      <c r="C117" t="str">
        <f ca="1">RIGHT(A115,2)</f>
        <v>,9</v>
      </c>
      <c r="D117" t="str">
        <f ca="1">RIGHT(E117,1)</f>
        <v>1</v>
      </c>
      <c r="E117" s="39">
        <f ca="1">TRUNC(A115)</f>
        <v>1</v>
      </c>
      <c r="F117" s="15" t="str">
        <f ca="1">FIXED(A115-E117,G117)</f>
        <v>0,9</v>
      </c>
      <c r="G117">
        <f ca="1">ABS(E120-F120)</f>
        <v>1</v>
      </c>
      <c r="H117" t="str">
        <f ca="1">RIGHT(A115,G117)</f>
        <v>9</v>
      </c>
      <c r="I117">
        <v>0.5</v>
      </c>
      <c r="J117" s="13">
        <f ca="1">(A115-I117)</f>
        <v>1.4</v>
      </c>
      <c r="K117" s="38" t="str">
        <f ca="1">IF(C119=5,IF(AND(E115=0,D120=FALSE),J117,J118),J118)</f>
        <v>2</v>
      </c>
    </row>
    <row r="118" spans="1:11" hidden="1" x14ac:dyDescent="0.3">
      <c r="A118" s="34"/>
      <c r="C118" t="str">
        <f ca="1">RIGHT(C117,1)</f>
        <v>9</v>
      </c>
      <c r="D118">
        <f ca="1">D117+0</f>
        <v>1</v>
      </c>
      <c r="J118" t="str">
        <f ca="1">FIXED(A115,0)</f>
        <v>2</v>
      </c>
      <c r="K118" s="37"/>
    </row>
    <row r="119" spans="1:11" hidden="1" x14ac:dyDescent="0.3">
      <c r="A119" s="34"/>
      <c r="C119">
        <f ca="1">C118+0</f>
        <v>9</v>
      </c>
      <c r="D119" t="s">
        <v>35</v>
      </c>
      <c r="E119" t="s">
        <v>34</v>
      </c>
      <c r="F119" t="s">
        <v>33</v>
      </c>
      <c r="K119" s="30"/>
    </row>
    <row r="120" spans="1:11" ht="15" hidden="1" thickBot="1" x14ac:dyDescent="0.35">
      <c r="A120" s="36"/>
      <c r="B120" s="36"/>
      <c r="C120" s="36"/>
      <c r="D120" s="36" t="b">
        <f ca="1">ISODD(D117)</f>
        <v>1</v>
      </c>
      <c r="E120" s="36">
        <f ca="1">LEN(A115)</f>
        <v>3</v>
      </c>
      <c r="F120" s="36">
        <f ca="1">LEN(E117)+1</f>
        <v>2</v>
      </c>
      <c r="G120" s="36"/>
      <c r="H120" s="36"/>
      <c r="I120" s="36"/>
      <c r="J120" s="36"/>
      <c r="K120" s="35"/>
    </row>
    <row r="121" spans="1:11" ht="15" hidden="1" thickBot="1" x14ac:dyDescent="0.35"/>
    <row r="122" spans="1:11" ht="15" thickBot="1" x14ac:dyDescent="0.35">
      <c r="A122" s="183" t="s">
        <v>55</v>
      </c>
      <c r="B122" s="184"/>
      <c r="C122" s="184"/>
      <c r="D122" s="184"/>
      <c r="E122" s="184"/>
      <c r="F122" s="184"/>
      <c r="G122" s="184"/>
      <c r="H122" s="184"/>
      <c r="I122" s="184"/>
      <c r="J122" s="184"/>
      <c r="K122" s="185"/>
    </row>
    <row r="123" spans="1:11" ht="15" thickBot="1" x14ac:dyDescent="0.35">
      <c r="A123" s="34" t="s">
        <v>31</v>
      </c>
      <c r="B123" s="20" t="s">
        <v>30</v>
      </c>
      <c r="C123" t="str">
        <f>FIXED(A124,6)</f>
        <v>0,000000</v>
      </c>
      <c r="D123" t="str">
        <f>RIGHT(C123,1)</f>
        <v>0</v>
      </c>
      <c r="E123">
        <f>D123/1000000</f>
        <v>0</v>
      </c>
      <c r="F123" s="33">
        <f>A124-E123</f>
        <v>0</v>
      </c>
      <c r="H123" t="str">
        <f>IF(C128=5,IF(AND(D124=0,D129=FALSE),J126,J127),J127)</f>
        <v>0,0000</v>
      </c>
      <c r="K123" s="30"/>
    </row>
    <row r="124" spans="1:11" ht="18.600000000000001" thickBot="1" x14ac:dyDescent="0.4">
      <c r="A124" s="32">
        <f>INCERTIDUMBRE!L8</f>
        <v>0</v>
      </c>
      <c r="B124" s="31" t="b">
        <f>IF(A124&gt;=10,K158,IF(A124&gt;=1,K150,IF(A124&gt;=0.1,K142,IF(A124&gt;=0.01,K134,IF(A124&gt;=0.001,K126)))))</f>
        <v>0</v>
      </c>
      <c r="C124" t="s">
        <v>29</v>
      </c>
      <c r="D124">
        <f>D123+0</f>
        <v>0</v>
      </c>
      <c r="K124" s="30"/>
    </row>
    <row r="125" spans="1:11" ht="28.8" hidden="1" x14ac:dyDescent="0.3">
      <c r="A125" s="50"/>
      <c r="B125" s="50"/>
      <c r="C125" t="s">
        <v>44</v>
      </c>
      <c r="D125" t="s">
        <v>43</v>
      </c>
      <c r="E125" t="s">
        <v>42</v>
      </c>
      <c r="F125" t="s">
        <v>41</v>
      </c>
      <c r="G125" s="41" t="s">
        <v>40</v>
      </c>
      <c r="H125" s="41" t="s">
        <v>39</v>
      </c>
      <c r="I125" s="41" t="s">
        <v>38</v>
      </c>
      <c r="J125" s="41" t="s">
        <v>37</v>
      </c>
      <c r="K125" s="40" t="s">
        <v>36</v>
      </c>
    </row>
    <row r="126" spans="1:11" ht="18.600000000000001" hidden="1" thickBot="1" x14ac:dyDescent="0.4">
      <c r="A126" s="49"/>
      <c r="C126" t="str">
        <f>RIGHT(F123,2)</f>
        <v>0</v>
      </c>
      <c r="D126" t="str">
        <f>LEFT(C126,1)</f>
        <v>0</v>
      </c>
      <c r="E126" s="33">
        <f>TRUNC(A124)</f>
        <v>0</v>
      </c>
      <c r="F126" s="15" t="str">
        <f>FIXED(A124-E126,G126)</f>
        <v>0,0</v>
      </c>
      <c r="G126">
        <f>ABS(E129-F129)</f>
        <v>1</v>
      </c>
      <c r="H126" t="str">
        <f>RIGHT(A124,G126)</f>
        <v>0</v>
      </c>
      <c r="I126">
        <v>5.0000000000000002E-5</v>
      </c>
      <c r="J126" s="15">
        <f>(A124-I126)</f>
        <v>-5.0000000000000002E-5</v>
      </c>
      <c r="K126" s="48" t="str">
        <f>IF(C128=5,IF(AND(D124=0,D129=FALSE),J126,J127),J127)</f>
        <v>0,0000</v>
      </c>
    </row>
    <row r="127" spans="1:11" hidden="1" x14ac:dyDescent="0.3">
      <c r="A127" s="34"/>
      <c r="C127" t="str">
        <f>RIGHT(C126,1)</f>
        <v>0</v>
      </c>
      <c r="D127">
        <f>D126+0</f>
        <v>0</v>
      </c>
      <c r="J127" t="str">
        <f>FIXED(A124,4)</f>
        <v>0,0000</v>
      </c>
      <c r="K127" s="30"/>
    </row>
    <row r="128" spans="1:11" hidden="1" x14ac:dyDescent="0.3">
      <c r="A128" s="34"/>
      <c r="C128">
        <f>C127+0</f>
        <v>0</v>
      </c>
      <c r="D128" t="s">
        <v>35</v>
      </c>
      <c r="E128" t="s">
        <v>34</v>
      </c>
      <c r="F128" t="s">
        <v>33</v>
      </c>
      <c r="K128" s="30"/>
    </row>
    <row r="129" spans="1:11" hidden="1" x14ac:dyDescent="0.3">
      <c r="A129" s="34"/>
      <c r="D129" t="b">
        <f>ISODD(D126)</f>
        <v>0</v>
      </c>
      <c r="E129">
        <f>LEN(A124)</f>
        <v>1</v>
      </c>
      <c r="F129">
        <f>LEN(E126)+1</f>
        <v>2</v>
      </c>
      <c r="K129" s="30"/>
    </row>
    <row r="130" spans="1:11" hidden="1" x14ac:dyDescent="0.3">
      <c r="A130" s="34"/>
      <c r="K130" s="30"/>
    </row>
    <row r="131" spans="1:11" hidden="1" x14ac:dyDescent="0.3">
      <c r="A131" s="180" t="s">
        <v>48</v>
      </c>
      <c r="B131" s="181"/>
      <c r="C131" s="181"/>
      <c r="D131" s="181"/>
      <c r="E131" s="181"/>
      <c r="F131" s="181"/>
      <c r="G131" s="181"/>
      <c r="H131" s="181"/>
      <c r="I131" s="181"/>
      <c r="J131" s="181"/>
      <c r="K131" s="182"/>
    </row>
    <row r="132" spans="1:11" hidden="1" x14ac:dyDescent="0.3">
      <c r="A132" s="45" t="str">
        <f>K126</f>
        <v>0,0000</v>
      </c>
      <c r="C132" t="str">
        <f>FIXED(A124,5)</f>
        <v>0,00000</v>
      </c>
      <c r="D132" t="str">
        <f>RIGHT(C132,1)</f>
        <v>0</v>
      </c>
      <c r="E132">
        <f>D132+0</f>
        <v>0</v>
      </c>
      <c r="K132" s="30"/>
    </row>
    <row r="133" spans="1:11" ht="28.8" hidden="1" x14ac:dyDescent="0.3">
      <c r="A133" s="34"/>
      <c r="C133" t="s">
        <v>44</v>
      </c>
      <c r="D133" t="s">
        <v>43</v>
      </c>
      <c r="E133" t="s">
        <v>42</v>
      </c>
      <c r="F133" t="s">
        <v>41</v>
      </c>
      <c r="G133" s="41" t="s">
        <v>40</v>
      </c>
      <c r="H133" s="41" t="s">
        <v>39</v>
      </c>
      <c r="I133" s="41" t="s">
        <v>38</v>
      </c>
      <c r="J133" s="41" t="s">
        <v>37</v>
      </c>
      <c r="K133" s="40" t="s">
        <v>36</v>
      </c>
    </row>
    <row r="134" spans="1:11" ht="18" hidden="1" x14ac:dyDescent="0.35">
      <c r="A134" s="34"/>
      <c r="C134" t="str">
        <f>RIGHT(A132,2)</f>
        <v>00</v>
      </c>
      <c r="D134" t="str">
        <f>LEFT(C134,1)</f>
        <v>0</v>
      </c>
      <c r="E134" s="39">
        <f>TRUNC(A132)</f>
        <v>0</v>
      </c>
      <c r="F134" s="15" t="str">
        <f>FIXED(A132-E134,G134)</f>
        <v>0,0000</v>
      </c>
      <c r="G134">
        <f>ABS(E137-F137)</f>
        <v>4</v>
      </c>
      <c r="H134" t="str">
        <f>RIGHT(A132,G134)</f>
        <v>0000</v>
      </c>
      <c r="I134">
        <v>5.0000000000000001E-4</v>
      </c>
      <c r="J134" s="47">
        <f>(A132-I134)</f>
        <v>-5.0000000000000001E-4</v>
      </c>
      <c r="K134" s="46" t="str">
        <f>IF(C136=5,IF(AND(E132=0,D137=FALSE),J134,J135),J135)</f>
        <v>0,000</v>
      </c>
    </row>
    <row r="135" spans="1:11" hidden="1" x14ac:dyDescent="0.3">
      <c r="A135" s="34"/>
      <c r="C135" t="str">
        <f>RIGHT(C134,1)</f>
        <v>0</v>
      </c>
      <c r="D135">
        <f>D134+0</f>
        <v>0</v>
      </c>
      <c r="J135" t="str">
        <f>FIXED(A132,3)</f>
        <v>0,000</v>
      </c>
      <c r="K135" s="30"/>
    </row>
    <row r="136" spans="1:11" hidden="1" x14ac:dyDescent="0.3">
      <c r="A136" s="34"/>
      <c r="C136">
        <f>C135+0</f>
        <v>0</v>
      </c>
      <c r="D136" t="s">
        <v>35</v>
      </c>
      <c r="E136" t="s">
        <v>34</v>
      </c>
      <c r="F136" t="s">
        <v>33</v>
      </c>
      <c r="K136" s="30"/>
    </row>
    <row r="137" spans="1:11" hidden="1" x14ac:dyDescent="0.3">
      <c r="A137" s="34"/>
      <c r="D137" t="b">
        <f>ISODD(D134)</f>
        <v>0</v>
      </c>
      <c r="E137">
        <f>LEN(A132)</f>
        <v>6</v>
      </c>
      <c r="F137">
        <f>LEN(E134)+1</f>
        <v>2</v>
      </c>
      <c r="K137" s="30"/>
    </row>
    <row r="138" spans="1:11" hidden="1" x14ac:dyDescent="0.3">
      <c r="A138" s="34"/>
      <c r="K138" s="30"/>
    </row>
    <row r="139" spans="1:11" hidden="1" x14ac:dyDescent="0.3">
      <c r="A139" s="180" t="s">
        <v>47</v>
      </c>
      <c r="B139" s="181"/>
      <c r="C139" s="181"/>
      <c r="D139" s="181"/>
      <c r="E139" s="181"/>
      <c r="F139" s="181"/>
      <c r="G139" s="181"/>
      <c r="H139" s="181"/>
      <c r="I139" s="181"/>
      <c r="J139" s="181"/>
      <c r="K139" s="182"/>
    </row>
    <row r="140" spans="1:11" hidden="1" x14ac:dyDescent="0.3">
      <c r="A140" s="45" t="str">
        <f>K134</f>
        <v>0,000</v>
      </c>
      <c r="C140" t="str">
        <f>FIXED(A132,4)</f>
        <v>0,0000</v>
      </c>
      <c r="D140" t="str">
        <f>RIGHT(C140,1)</f>
        <v>0</v>
      </c>
      <c r="E140">
        <f>D140+0</f>
        <v>0</v>
      </c>
      <c r="K140" s="30"/>
    </row>
    <row r="141" spans="1:11" ht="28.8" hidden="1" x14ac:dyDescent="0.3">
      <c r="A141" s="34"/>
      <c r="C141" t="s">
        <v>44</v>
      </c>
      <c r="D141" t="s">
        <v>43</v>
      </c>
      <c r="E141" t="s">
        <v>42</v>
      </c>
      <c r="F141" t="s">
        <v>41</v>
      </c>
      <c r="G141" s="41" t="s">
        <v>40</v>
      </c>
      <c r="H141" s="41" t="s">
        <v>39</v>
      </c>
      <c r="I141" s="41" t="s">
        <v>38</v>
      </c>
      <c r="J141" s="41" t="s">
        <v>37</v>
      </c>
      <c r="K141" s="40" t="s">
        <v>36</v>
      </c>
    </row>
    <row r="142" spans="1:11" ht="18" hidden="1" x14ac:dyDescent="0.35">
      <c r="A142" s="34"/>
      <c r="C142" t="str">
        <f>RIGHT(A140,2)</f>
        <v>00</v>
      </c>
      <c r="D142" t="str">
        <f>LEFT(C142,1)</f>
        <v>0</v>
      </c>
      <c r="E142" s="39">
        <f>TRUNC(A140)</f>
        <v>0</v>
      </c>
      <c r="F142" s="15" t="str">
        <f>FIXED(A140-E142,G142)</f>
        <v>0,000</v>
      </c>
      <c r="G142">
        <f>ABS(E145-F145)</f>
        <v>3</v>
      </c>
      <c r="H142" t="str">
        <f>RIGHT(A140,G142)</f>
        <v>000</v>
      </c>
      <c r="I142">
        <v>5.0000000000000001E-3</v>
      </c>
      <c r="J142" s="3">
        <f>(A140-I142)</f>
        <v>-5.0000000000000001E-3</v>
      </c>
      <c r="K142" s="44" t="str">
        <f>IF(C144=5,IF(AND(E140=0,D145=FALSE),J142,J143),J143)</f>
        <v>0,00</v>
      </c>
    </row>
    <row r="143" spans="1:11" ht="18" hidden="1" x14ac:dyDescent="0.35">
      <c r="A143" s="34"/>
      <c r="C143" t="str">
        <f>RIGHT(C142,1)</f>
        <v>0</v>
      </c>
      <c r="D143">
        <f>D142+0</f>
        <v>0</v>
      </c>
      <c r="J143" t="str">
        <f>FIXED(A140,2)</f>
        <v>0,00</v>
      </c>
      <c r="K143" s="44"/>
    </row>
    <row r="144" spans="1:11" hidden="1" x14ac:dyDescent="0.3">
      <c r="A144" s="34"/>
      <c r="C144">
        <f>C143+0</f>
        <v>0</v>
      </c>
      <c r="D144" t="s">
        <v>35</v>
      </c>
      <c r="E144" t="s">
        <v>34</v>
      </c>
      <c r="F144" t="s">
        <v>33</v>
      </c>
      <c r="K144" s="30"/>
    </row>
    <row r="145" spans="1:11" hidden="1" x14ac:dyDescent="0.3">
      <c r="A145" s="34"/>
      <c r="D145" t="b">
        <f>ISODD(D142)</f>
        <v>0</v>
      </c>
      <c r="E145">
        <f>LEN(A140)</f>
        <v>5</v>
      </c>
      <c r="F145">
        <f>LEN(E142)+1</f>
        <v>2</v>
      </c>
      <c r="K145" s="30"/>
    </row>
    <row r="146" spans="1:11" hidden="1" x14ac:dyDescent="0.3">
      <c r="A146" s="34"/>
      <c r="K146" s="30"/>
    </row>
    <row r="147" spans="1:11" hidden="1" x14ac:dyDescent="0.3">
      <c r="A147" s="180" t="s">
        <v>46</v>
      </c>
      <c r="B147" s="181"/>
      <c r="C147" s="181"/>
      <c r="D147" s="181"/>
      <c r="E147" s="181"/>
      <c r="F147" s="181"/>
      <c r="G147" s="181"/>
      <c r="H147" s="181"/>
      <c r="I147" s="181"/>
      <c r="J147" s="181"/>
      <c r="K147" s="182"/>
    </row>
    <row r="148" spans="1:11" hidden="1" x14ac:dyDescent="0.3">
      <c r="A148" s="42" t="str">
        <f>K142</f>
        <v>0,00</v>
      </c>
      <c r="C148" t="str">
        <f>FIXED(A140,3)</f>
        <v>0,000</v>
      </c>
      <c r="D148" t="str">
        <f>RIGHT(C148,1)</f>
        <v>0</v>
      </c>
      <c r="E148">
        <f>D148+0</f>
        <v>0</v>
      </c>
      <c r="K148" s="30"/>
    </row>
    <row r="149" spans="1:11" ht="28.8" hidden="1" x14ac:dyDescent="0.3">
      <c r="A149" s="34"/>
      <c r="C149" t="s">
        <v>44</v>
      </c>
      <c r="D149" t="s">
        <v>43</v>
      </c>
      <c r="E149" t="s">
        <v>42</v>
      </c>
      <c r="F149" t="s">
        <v>41</v>
      </c>
      <c r="G149" s="41" t="s">
        <v>40</v>
      </c>
      <c r="H149" s="41" t="s">
        <v>39</v>
      </c>
      <c r="I149" s="41" t="s">
        <v>38</v>
      </c>
      <c r="J149" s="41" t="s">
        <v>37</v>
      </c>
      <c r="K149" s="40" t="s">
        <v>36</v>
      </c>
    </row>
    <row r="150" spans="1:11" ht="18" hidden="1" x14ac:dyDescent="0.35">
      <c r="A150" s="34"/>
      <c r="C150" t="str">
        <f>RIGHT(A148,2)</f>
        <v>00</v>
      </c>
      <c r="D150" t="str">
        <f>LEFT(C150,1)</f>
        <v>0</v>
      </c>
      <c r="E150" s="39">
        <f>TRUNC(A148)</f>
        <v>0</v>
      </c>
      <c r="F150" s="15" t="str">
        <f>FIXED(A148-E150,G150)</f>
        <v>0,00</v>
      </c>
      <c r="G150">
        <f>ABS(E153-F153)</f>
        <v>2</v>
      </c>
      <c r="H150" t="str">
        <f>RIGHT(A148,G150)</f>
        <v>00</v>
      </c>
      <c r="I150">
        <v>0.05</v>
      </c>
      <c r="J150" s="3">
        <f>(A148-I150)</f>
        <v>-0.05</v>
      </c>
      <c r="K150" s="44" t="str">
        <f>IF(C152=5,IF(AND(E148=0,D153=FALSE),J150,J151),J151)</f>
        <v>0,0</v>
      </c>
    </row>
    <row r="151" spans="1:11" hidden="1" x14ac:dyDescent="0.3">
      <c r="A151" s="34"/>
      <c r="C151" t="str">
        <f>RIGHT(C150,1)</f>
        <v>0</v>
      </c>
      <c r="D151">
        <f>D150+0</f>
        <v>0</v>
      </c>
      <c r="J151" t="str">
        <f>FIXED(A148,1)</f>
        <v>0,0</v>
      </c>
      <c r="K151" s="43"/>
    </row>
    <row r="152" spans="1:11" hidden="1" x14ac:dyDescent="0.3">
      <c r="A152" s="34"/>
      <c r="C152">
        <f>C151+0</f>
        <v>0</v>
      </c>
      <c r="D152" t="s">
        <v>35</v>
      </c>
      <c r="E152" t="s">
        <v>34</v>
      </c>
      <c r="F152" t="s">
        <v>33</v>
      </c>
      <c r="K152" s="30"/>
    </row>
    <row r="153" spans="1:11" hidden="1" x14ac:dyDescent="0.3">
      <c r="A153" s="34"/>
      <c r="D153" t="b">
        <f>ISODD(D150)</f>
        <v>0</v>
      </c>
      <c r="E153">
        <f>LEN(A148)</f>
        <v>4</v>
      </c>
      <c r="F153">
        <f>LEN(E150)+1</f>
        <v>2</v>
      </c>
      <c r="K153" s="30"/>
    </row>
    <row r="154" spans="1:11" hidden="1" x14ac:dyDescent="0.3">
      <c r="A154" s="34"/>
      <c r="K154" s="30"/>
    </row>
    <row r="155" spans="1:11" hidden="1" x14ac:dyDescent="0.3">
      <c r="A155" s="180" t="s">
        <v>45</v>
      </c>
      <c r="B155" s="181"/>
      <c r="C155" s="181"/>
      <c r="D155" s="181"/>
      <c r="E155" s="181"/>
      <c r="F155" s="181"/>
      <c r="G155" s="181"/>
      <c r="H155" s="181"/>
      <c r="I155" s="181"/>
      <c r="J155" s="181"/>
      <c r="K155" s="182"/>
    </row>
    <row r="156" spans="1:11" hidden="1" x14ac:dyDescent="0.3">
      <c r="A156" s="42" t="str">
        <f>K150</f>
        <v>0,0</v>
      </c>
      <c r="C156" t="str">
        <f>FIXED(A148,2)</f>
        <v>0,00</v>
      </c>
      <c r="D156" t="str">
        <f>RIGHT(C156,1)</f>
        <v>0</v>
      </c>
      <c r="E156">
        <f>D156+0</f>
        <v>0</v>
      </c>
      <c r="K156" s="30"/>
    </row>
    <row r="157" spans="1:11" ht="28.8" hidden="1" x14ac:dyDescent="0.3">
      <c r="A157" s="34"/>
      <c r="C157" t="s">
        <v>44</v>
      </c>
      <c r="D157" t="s">
        <v>43</v>
      </c>
      <c r="E157" t="s">
        <v>42</v>
      </c>
      <c r="F157" t="s">
        <v>41</v>
      </c>
      <c r="G157" s="41" t="s">
        <v>40</v>
      </c>
      <c r="H157" s="41" t="s">
        <v>39</v>
      </c>
      <c r="I157" s="41" t="s">
        <v>38</v>
      </c>
      <c r="J157" s="41" t="s">
        <v>37</v>
      </c>
      <c r="K157" s="40" t="s">
        <v>36</v>
      </c>
    </row>
    <row r="158" spans="1:11" ht="18" hidden="1" x14ac:dyDescent="0.35">
      <c r="A158" s="34"/>
      <c r="C158" t="str">
        <f>RIGHT(A156,2)</f>
        <v>,0</v>
      </c>
      <c r="D158" t="str">
        <f>RIGHT(E158,1)</f>
        <v>0</v>
      </c>
      <c r="E158" s="39">
        <f>TRUNC(A156)</f>
        <v>0</v>
      </c>
      <c r="F158" s="15" t="str">
        <f>FIXED(A156-E158,G158)</f>
        <v>0,0</v>
      </c>
      <c r="G158">
        <f>ABS(E161-F161)</f>
        <v>1</v>
      </c>
      <c r="H158" t="str">
        <f>RIGHT(A156,G158)</f>
        <v>0</v>
      </c>
      <c r="I158">
        <v>0.5</v>
      </c>
      <c r="J158" s="13">
        <f>(A156-I158)</f>
        <v>-0.5</v>
      </c>
      <c r="K158" s="38" t="str">
        <f>IF(C160=5,IF(AND(E156=0,D161=FALSE),J158,J159),J159)</f>
        <v>0</v>
      </c>
    </row>
    <row r="159" spans="1:11" hidden="1" x14ac:dyDescent="0.3">
      <c r="A159" s="34"/>
      <c r="C159" t="str">
        <f>RIGHT(C158,1)</f>
        <v>0</v>
      </c>
      <c r="D159">
        <f>D158+0</f>
        <v>0</v>
      </c>
      <c r="J159" t="str">
        <f>FIXED(A156,0)</f>
        <v>0</v>
      </c>
      <c r="K159" s="37"/>
    </row>
    <row r="160" spans="1:11" hidden="1" x14ac:dyDescent="0.3">
      <c r="A160" s="34"/>
      <c r="C160">
        <f>C159+0</f>
        <v>0</v>
      </c>
      <c r="D160" t="s">
        <v>35</v>
      </c>
      <c r="E160" t="s">
        <v>34</v>
      </c>
      <c r="F160" t="s">
        <v>33</v>
      </c>
      <c r="K160" s="30"/>
    </row>
    <row r="161" spans="1:11" ht="15" hidden="1" thickBot="1" x14ac:dyDescent="0.35">
      <c r="A161" s="36"/>
      <c r="B161" s="36"/>
      <c r="C161" s="36"/>
      <c r="D161" s="36" t="b">
        <f>ISODD(D158)</f>
        <v>0</v>
      </c>
      <c r="E161" s="36">
        <f>LEN(A156)</f>
        <v>3</v>
      </c>
      <c r="F161" s="36">
        <f>LEN(E158)+1</f>
        <v>2</v>
      </c>
      <c r="G161" s="36"/>
      <c r="H161" s="36"/>
      <c r="I161" s="36"/>
      <c r="J161" s="36"/>
      <c r="K161" s="35"/>
    </row>
    <row r="162" spans="1:11" ht="15" thickBot="1" x14ac:dyDescent="0.35">
      <c r="A162" s="183" t="s">
        <v>54</v>
      </c>
      <c r="B162" s="184"/>
      <c r="C162" s="184"/>
      <c r="D162" s="184"/>
      <c r="E162" s="184"/>
      <c r="F162" s="184"/>
      <c r="G162" s="184"/>
      <c r="H162" s="184"/>
      <c r="I162" s="184"/>
      <c r="J162" s="184"/>
      <c r="K162" s="185"/>
    </row>
    <row r="163" spans="1:11" ht="15" thickBot="1" x14ac:dyDescent="0.35">
      <c r="A163" s="34" t="s">
        <v>31</v>
      </c>
      <c r="C163" t="str">
        <f>FIXED(A164,6)</f>
        <v>0,000000</v>
      </c>
      <c r="D163" t="str">
        <f>RIGHT(C163,1)</f>
        <v>0</v>
      </c>
      <c r="E163">
        <f>D163/1000000</f>
        <v>0</v>
      </c>
      <c r="F163" s="33">
        <f>A164-E163</f>
        <v>0</v>
      </c>
      <c r="H163" t="str">
        <f>IF(C168=5,IF(AND(D164=0,D169=FALSE),J166,J167),J167)</f>
        <v>0,0000</v>
      </c>
      <c r="K163" s="30"/>
    </row>
    <row r="164" spans="1:11" ht="18" x14ac:dyDescent="0.35">
      <c r="A164" s="32">
        <f>INCERTIDUMBRE!L10</f>
        <v>0</v>
      </c>
      <c r="B164" s="20" t="s">
        <v>30</v>
      </c>
      <c r="C164" t="s">
        <v>29</v>
      </c>
      <c r="D164">
        <f>D163+0</f>
        <v>0</v>
      </c>
      <c r="K164" s="30"/>
    </row>
    <row r="165" spans="1:11" ht="29.4" thickBot="1" x14ac:dyDescent="0.35">
      <c r="A165" s="50"/>
      <c r="B165" s="51" t="b">
        <f>IF(A164&gt;=10,K198,IF(A164&gt;=1,K190,IF(A164&gt;=0.1,K182,IF(A164&gt;=0.01,K174,IF(A164&gt;=0.001,K166)))))</f>
        <v>0</v>
      </c>
      <c r="C165" t="s">
        <v>44</v>
      </c>
      <c r="D165" t="s">
        <v>43</v>
      </c>
      <c r="E165" t="s">
        <v>42</v>
      </c>
      <c r="F165" t="s">
        <v>41</v>
      </c>
      <c r="G165" s="41" t="s">
        <v>40</v>
      </c>
      <c r="H165" s="41" t="s">
        <v>39</v>
      </c>
      <c r="I165" s="41" t="s">
        <v>38</v>
      </c>
      <c r="J165" s="41" t="s">
        <v>37</v>
      </c>
      <c r="K165" s="40" t="s">
        <v>36</v>
      </c>
    </row>
    <row r="166" spans="1:11" ht="18.600000000000001" hidden="1" thickBot="1" x14ac:dyDescent="0.4">
      <c r="A166" s="49"/>
      <c r="C166" t="str">
        <f>RIGHT(F163,2)</f>
        <v>0</v>
      </c>
      <c r="D166" t="str">
        <f>LEFT(C166,1)</f>
        <v>0</v>
      </c>
      <c r="E166" s="33">
        <f>TRUNC(A164)</f>
        <v>0</v>
      </c>
      <c r="F166" s="15" t="str">
        <f>FIXED(A164-E166,G166)</f>
        <v>0,0</v>
      </c>
      <c r="G166">
        <f>ABS(E169-F169)</f>
        <v>1</v>
      </c>
      <c r="H166" t="str">
        <f>RIGHT(A164,G166)</f>
        <v>0</v>
      </c>
      <c r="I166">
        <v>5.0000000000000002E-5</v>
      </c>
      <c r="J166" s="15">
        <f>(A164-I166)</f>
        <v>-5.0000000000000002E-5</v>
      </c>
      <c r="K166" s="48" t="str">
        <f>IF(C168=5,IF(AND(D164=0,D169=FALSE),J166,J167),J167)</f>
        <v>0,0000</v>
      </c>
    </row>
    <row r="167" spans="1:11" hidden="1" x14ac:dyDescent="0.3">
      <c r="A167" s="34"/>
      <c r="C167" t="str">
        <f>RIGHT(C166,1)</f>
        <v>0</v>
      </c>
      <c r="D167">
        <f>D166+0</f>
        <v>0</v>
      </c>
      <c r="J167" t="str">
        <f>FIXED(A164,4)</f>
        <v>0,0000</v>
      </c>
      <c r="K167" s="30"/>
    </row>
    <row r="168" spans="1:11" hidden="1" x14ac:dyDescent="0.3">
      <c r="A168" s="34"/>
      <c r="C168">
        <f>C167+0</f>
        <v>0</v>
      </c>
      <c r="D168" t="s">
        <v>35</v>
      </c>
      <c r="E168" t="s">
        <v>34</v>
      </c>
      <c r="F168" t="s">
        <v>33</v>
      </c>
      <c r="K168" s="30"/>
    </row>
    <row r="169" spans="1:11" hidden="1" x14ac:dyDescent="0.3">
      <c r="A169" s="34"/>
      <c r="D169" t="b">
        <f>ISODD(D166)</f>
        <v>0</v>
      </c>
      <c r="E169">
        <f>LEN(A164)</f>
        <v>1</v>
      </c>
      <c r="F169">
        <f>LEN(E166)+1</f>
        <v>2</v>
      </c>
      <c r="K169" s="30"/>
    </row>
    <row r="170" spans="1:11" hidden="1" x14ac:dyDescent="0.3">
      <c r="A170" s="34"/>
      <c r="K170" s="30"/>
    </row>
    <row r="171" spans="1:11" hidden="1" x14ac:dyDescent="0.3">
      <c r="A171" s="180" t="s">
        <v>48</v>
      </c>
      <c r="B171" s="181"/>
      <c r="C171" s="181"/>
      <c r="D171" s="181"/>
      <c r="E171" s="181"/>
      <c r="F171" s="181"/>
      <c r="G171" s="181"/>
      <c r="H171" s="181"/>
      <c r="I171" s="181"/>
      <c r="J171" s="181"/>
      <c r="K171" s="182"/>
    </row>
    <row r="172" spans="1:11" hidden="1" x14ac:dyDescent="0.3">
      <c r="A172" s="45" t="str">
        <f>K166</f>
        <v>0,0000</v>
      </c>
      <c r="C172" t="str">
        <f>FIXED(A164,5)</f>
        <v>0,00000</v>
      </c>
      <c r="D172" t="str">
        <f>RIGHT(C172,1)</f>
        <v>0</v>
      </c>
      <c r="E172">
        <f>D172+0</f>
        <v>0</v>
      </c>
      <c r="K172" s="30"/>
    </row>
    <row r="173" spans="1:11" ht="28.8" hidden="1" x14ac:dyDescent="0.3">
      <c r="A173" s="34"/>
      <c r="C173" t="s">
        <v>44</v>
      </c>
      <c r="D173" t="s">
        <v>43</v>
      </c>
      <c r="E173" t="s">
        <v>42</v>
      </c>
      <c r="F173" t="s">
        <v>41</v>
      </c>
      <c r="G173" s="41" t="s">
        <v>40</v>
      </c>
      <c r="H173" s="41" t="s">
        <v>39</v>
      </c>
      <c r="I173" s="41" t="s">
        <v>38</v>
      </c>
      <c r="J173" s="41" t="s">
        <v>37</v>
      </c>
      <c r="K173" s="40" t="s">
        <v>36</v>
      </c>
    </row>
    <row r="174" spans="1:11" ht="18" hidden="1" x14ac:dyDescent="0.35">
      <c r="A174" s="34"/>
      <c r="C174" t="str">
        <f>RIGHT(A172,2)</f>
        <v>00</v>
      </c>
      <c r="D174" t="str">
        <f>LEFT(C174,1)</f>
        <v>0</v>
      </c>
      <c r="E174" s="39">
        <f>TRUNC(A172)</f>
        <v>0</v>
      </c>
      <c r="F174" s="15" t="str">
        <f>FIXED(A172-E174,G174)</f>
        <v>0,0000</v>
      </c>
      <c r="G174">
        <f>ABS(E177-F177)</f>
        <v>4</v>
      </c>
      <c r="H174" t="str">
        <f>RIGHT(A172,G174)</f>
        <v>0000</v>
      </c>
      <c r="I174">
        <v>5.0000000000000001E-4</v>
      </c>
      <c r="J174" s="47">
        <f>(A172-I174)</f>
        <v>-5.0000000000000001E-4</v>
      </c>
      <c r="K174" s="46" t="str">
        <f>IF(C176=5,IF(AND(E172=0,D177=FALSE),J174,J175),J175)</f>
        <v>0,000</v>
      </c>
    </row>
    <row r="175" spans="1:11" hidden="1" x14ac:dyDescent="0.3">
      <c r="A175" s="34"/>
      <c r="C175" t="str">
        <f>RIGHT(C174,1)</f>
        <v>0</v>
      </c>
      <c r="D175">
        <f>D174+0</f>
        <v>0</v>
      </c>
      <c r="J175" t="str">
        <f>FIXED(A172,3)</f>
        <v>0,000</v>
      </c>
      <c r="K175" s="30"/>
    </row>
    <row r="176" spans="1:11" hidden="1" x14ac:dyDescent="0.3">
      <c r="A176" s="34"/>
      <c r="C176">
        <f>C175+0</f>
        <v>0</v>
      </c>
      <c r="D176" t="s">
        <v>35</v>
      </c>
      <c r="E176" t="s">
        <v>34</v>
      </c>
      <c r="F176" t="s">
        <v>33</v>
      </c>
      <c r="K176" s="30"/>
    </row>
    <row r="177" spans="1:11" hidden="1" x14ac:dyDescent="0.3">
      <c r="A177" s="34"/>
      <c r="D177" t="b">
        <f>ISODD(D174)</f>
        <v>0</v>
      </c>
      <c r="E177">
        <f>LEN(A172)</f>
        <v>6</v>
      </c>
      <c r="F177">
        <f>LEN(E174)+1</f>
        <v>2</v>
      </c>
      <c r="K177" s="30"/>
    </row>
    <row r="178" spans="1:11" hidden="1" x14ac:dyDescent="0.3">
      <c r="A178" s="34"/>
      <c r="K178" s="30"/>
    </row>
    <row r="179" spans="1:11" hidden="1" x14ac:dyDescent="0.3">
      <c r="A179" s="180" t="s">
        <v>47</v>
      </c>
      <c r="B179" s="181"/>
      <c r="C179" s="181"/>
      <c r="D179" s="181"/>
      <c r="E179" s="181"/>
      <c r="F179" s="181"/>
      <c r="G179" s="181"/>
      <c r="H179" s="181"/>
      <c r="I179" s="181"/>
      <c r="J179" s="181"/>
      <c r="K179" s="182"/>
    </row>
    <row r="180" spans="1:11" hidden="1" x14ac:dyDescent="0.3">
      <c r="A180" s="45" t="str">
        <f>K174</f>
        <v>0,000</v>
      </c>
      <c r="C180" t="str">
        <f>FIXED(A172,4)</f>
        <v>0,0000</v>
      </c>
      <c r="D180" t="str">
        <f>RIGHT(C180,1)</f>
        <v>0</v>
      </c>
      <c r="E180">
        <f>D180+0</f>
        <v>0</v>
      </c>
      <c r="K180" s="30"/>
    </row>
    <row r="181" spans="1:11" ht="28.8" hidden="1" x14ac:dyDescent="0.3">
      <c r="A181" s="34"/>
      <c r="C181" t="s">
        <v>44</v>
      </c>
      <c r="D181" t="s">
        <v>43</v>
      </c>
      <c r="E181" t="s">
        <v>42</v>
      </c>
      <c r="F181" t="s">
        <v>41</v>
      </c>
      <c r="G181" s="41" t="s">
        <v>40</v>
      </c>
      <c r="H181" s="41" t="s">
        <v>39</v>
      </c>
      <c r="I181" s="41" t="s">
        <v>38</v>
      </c>
      <c r="J181" s="41" t="s">
        <v>37</v>
      </c>
      <c r="K181" s="40" t="s">
        <v>36</v>
      </c>
    </row>
    <row r="182" spans="1:11" ht="18" hidden="1" x14ac:dyDescent="0.35">
      <c r="A182" s="34"/>
      <c r="C182" t="str">
        <f>RIGHT(A180,2)</f>
        <v>00</v>
      </c>
      <c r="D182" t="str">
        <f>LEFT(C182,1)</f>
        <v>0</v>
      </c>
      <c r="E182" s="39">
        <f>TRUNC(A180)</f>
        <v>0</v>
      </c>
      <c r="F182" s="15" t="str">
        <f>FIXED(A180-E182,G182)</f>
        <v>0,000</v>
      </c>
      <c r="G182">
        <f>ABS(E185-F185)</f>
        <v>3</v>
      </c>
      <c r="H182" t="str">
        <f>RIGHT(A180,G182)</f>
        <v>000</v>
      </c>
      <c r="I182">
        <v>5.0000000000000001E-3</v>
      </c>
      <c r="J182" s="3">
        <f>(A180-I182)</f>
        <v>-5.0000000000000001E-3</v>
      </c>
      <c r="K182" s="44" t="str">
        <f>IF(C184=5,IF(AND(E180=0,D185=FALSE),J182,J183),J183)</f>
        <v>0,00</v>
      </c>
    </row>
    <row r="183" spans="1:11" ht="18" hidden="1" x14ac:dyDescent="0.35">
      <c r="A183" s="34"/>
      <c r="C183" t="str">
        <f>RIGHT(C182,1)</f>
        <v>0</v>
      </c>
      <c r="D183">
        <f>D182+0</f>
        <v>0</v>
      </c>
      <c r="J183" t="str">
        <f>FIXED(A180,2)</f>
        <v>0,00</v>
      </c>
      <c r="K183" s="44"/>
    </row>
    <row r="184" spans="1:11" hidden="1" x14ac:dyDescent="0.3">
      <c r="A184" s="34"/>
      <c r="C184">
        <f>C183+0</f>
        <v>0</v>
      </c>
      <c r="D184" t="s">
        <v>35</v>
      </c>
      <c r="E184" t="s">
        <v>34</v>
      </c>
      <c r="F184" t="s">
        <v>33</v>
      </c>
      <c r="K184" s="30"/>
    </row>
    <row r="185" spans="1:11" hidden="1" x14ac:dyDescent="0.3">
      <c r="A185" s="34"/>
      <c r="D185" t="b">
        <f>ISODD(D182)</f>
        <v>0</v>
      </c>
      <c r="E185">
        <f>LEN(A180)</f>
        <v>5</v>
      </c>
      <c r="F185">
        <f>LEN(E182)+1</f>
        <v>2</v>
      </c>
      <c r="K185" s="30"/>
    </row>
    <row r="186" spans="1:11" hidden="1" x14ac:dyDescent="0.3">
      <c r="A186" s="34"/>
      <c r="K186" s="30"/>
    </row>
    <row r="187" spans="1:11" hidden="1" x14ac:dyDescent="0.3">
      <c r="A187" s="180" t="s">
        <v>46</v>
      </c>
      <c r="B187" s="181"/>
      <c r="C187" s="181"/>
      <c r="D187" s="181"/>
      <c r="E187" s="181"/>
      <c r="F187" s="181"/>
      <c r="G187" s="181"/>
      <c r="H187" s="181"/>
      <c r="I187" s="181"/>
      <c r="J187" s="181"/>
      <c r="K187" s="182"/>
    </row>
    <row r="188" spans="1:11" hidden="1" x14ac:dyDescent="0.3">
      <c r="A188" s="42" t="str">
        <f>K182</f>
        <v>0,00</v>
      </c>
      <c r="C188" t="str">
        <f>FIXED(A180,3)</f>
        <v>0,000</v>
      </c>
      <c r="D188" t="str">
        <f>RIGHT(C188,1)</f>
        <v>0</v>
      </c>
      <c r="E188">
        <f>D188+0</f>
        <v>0</v>
      </c>
      <c r="K188" s="30"/>
    </row>
    <row r="189" spans="1:11" ht="28.8" hidden="1" x14ac:dyDescent="0.3">
      <c r="A189" s="34"/>
      <c r="C189" t="s">
        <v>44</v>
      </c>
      <c r="D189" t="s">
        <v>43</v>
      </c>
      <c r="E189" t="s">
        <v>42</v>
      </c>
      <c r="F189" t="s">
        <v>41</v>
      </c>
      <c r="G189" s="41" t="s">
        <v>40</v>
      </c>
      <c r="H189" s="41" t="s">
        <v>39</v>
      </c>
      <c r="I189" s="41" t="s">
        <v>38</v>
      </c>
      <c r="J189" s="41" t="s">
        <v>37</v>
      </c>
      <c r="K189" s="40" t="s">
        <v>36</v>
      </c>
    </row>
    <row r="190" spans="1:11" ht="18" hidden="1" x14ac:dyDescent="0.35">
      <c r="A190" s="34"/>
      <c r="C190" t="str">
        <f>RIGHT(A188,2)</f>
        <v>00</v>
      </c>
      <c r="D190" t="str">
        <f>LEFT(C190,1)</f>
        <v>0</v>
      </c>
      <c r="E190" s="39">
        <f>TRUNC(A188)</f>
        <v>0</v>
      </c>
      <c r="F190" s="15" t="str">
        <f>FIXED(A188-E190,G190)</f>
        <v>0,00</v>
      </c>
      <c r="G190">
        <f>ABS(E193-F193)</f>
        <v>2</v>
      </c>
      <c r="H190" t="str">
        <f>RIGHT(A188,G190)</f>
        <v>00</v>
      </c>
      <c r="I190">
        <v>0.05</v>
      </c>
      <c r="J190" s="3">
        <f>(A188-I190)</f>
        <v>-0.05</v>
      </c>
      <c r="K190" s="44" t="str">
        <f>IF(C192=5,IF(AND(E188=0,D193=FALSE),J190,J191),J191)</f>
        <v>0,0</v>
      </c>
    </row>
    <row r="191" spans="1:11" hidden="1" x14ac:dyDescent="0.3">
      <c r="A191" s="34"/>
      <c r="C191" t="str">
        <f>RIGHT(C190,1)</f>
        <v>0</v>
      </c>
      <c r="D191">
        <f>D190+0</f>
        <v>0</v>
      </c>
      <c r="J191" t="str">
        <f>FIXED(A188,1)</f>
        <v>0,0</v>
      </c>
      <c r="K191" s="43"/>
    </row>
    <row r="192" spans="1:11" hidden="1" x14ac:dyDescent="0.3">
      <c r="A192" s="34"/>
      <c r="C192">
        <f>C191+0</f>
        <v>0</v>
      </c>
      <c r="D192" t="s">
        <v>35</v>
      </c>
      <c r="E192" t="s">
        <v>34</v>
      </c>
      <c r="F192" t="s">
        <v>33</v>
      </c>
      <c r="K192" s="30"/>
    </row>
    <row r="193" spans="1:11" hidden="1" x14ac:dyDescent="0.3">
      <c r="A193" s="34"/>
      <c r="D193" t="b">
        <f>ISODD(D190)</f>
        <v>0</v>
      </c>
      <c r="E193">
        <f>LEN(A188)</f>
        <v>4</v>
      </c>
      <c r="F193">
        <f>LEN(E190)+1</f>
        <v>2</v>
      </c>
      <c r="K193" s="30"/>
    </row>
    <row r="194" spans="1:11" hidden="1" x14ac:dyDescent="0.3">
      <c r="A194" s="34"/>
      <c r="K194" s="30"/>
    </row>
    <row r="195" spans="1:11" hidden="1" x14ac:dyDescent="0.3">
      <c r="A195" s="180" t="s">
        <v>45</v>
      </c>
      <c r="B195" s="181"/>
      <c r="C195" s="181"/>
      <c r="D195" s="181"/>
      <c r="E195" s="181"/>
      <c r="F195" s="181"/>
      <c r="G195" s="181"/>
      <c r="H195" s="181"/>
      <c r="I195" s="181"/>
      <c r="J195" s="181"/>
      <c r="K195" s="182"/>
    </row>
    <row r="196" spans="1:11" hidden="1" x14ac:dyDescent="0.3">
      <c r="A196" s="42" t="str">
        <f>K190</f>
        <v>0,0</v>
      </c>
      <c r="C196" t="str">
        <f>FIXED(A188,2)</f>
        <v>0,00</v>
      </c>
      <c r="D196" t="str">
        <f>RIGHT(C196,1)</f>
        <v>0</v>
      </c>
      <c r="E196">
        <f>D196+0</f>
        <v>0</v>
      </c>
      <c r="K196" s="30"/>
    </row>
    <row r="197" spans="1:11" ht="28.8" hidden="1" x14ac:dyDescent="0.3">
      <c r="A197" s="34"/>
      <c r="C197" t="s">
        <v>44</v>
      </c>
      <c r="D197" t="s">
        <v>43</v>
      </c>
      <c r="E197" t="s">
        <v>42</v>
      </c>
      <c r="F197" t="s">
        <v>41</v>
      </c>
      <c r="G197" s="41" t="s">
        <v>40</v>
      </c>
      <c r="H197" s="41" t="s">
        <v>39</v>
      </c>
      <c r="I197" s="41" t="s">
        <v>38</v>
      </c>
      <c r="J197" s="41" t="s">
        <v>37</v>
      </c>
      <c r="K197" s="40" t="s">
        <v>36</v>
      </c>
    </row>
    <row r="198" spans="1:11" ht="18" hidden="1" x14ac:dyDescent="0.35">
      <c r="A198" s="34"/>
      <c r="C198" t="str">
        <f>RIGHT(A196,2)</f>
        <v>,0</v>
      </c>
      <c r="D198" t="str">
        <f>RIGHT(E198,1)</f>
        <v>0</v>
      </c>
      <c r="E198" s="39">
        <f>TRUNC(A196)</f>
        <v>0</v>
      </c>
      <c r="F198" s="15" t="str">
        <f>FIXED(A196-E198,G198)</f>
        <v>0,0</v>
      </c>
      <c r="G198">
        <f>ABS(E201-F201)</f>
        <v>1</v>
      </c>
      <c r="H198" t="str">
        <f>RIGHT(A196,G198)</f>
        <v>0</v>
      </c>
      <c r="I198">
        <v>0.5</v>
      </c>
      <c r="J198" s="13">
        <f>(A196-I198)</f>
        <v>-0.5</v>
      </c>
      <c r="K198" s="38" t="str">
        <f>IF(C200=5,IF(AND(E196=0,D201=FALSE),J198,J199),J199)</f>
        <v>0</v>
      </c>
    </row>
    <row r="199" spans="1:11" hidden="1" x14ac:dyDescent="0.3">
      <c r="A199" s="34"/>
      <c r="C199" t="str">
        <f>RIGHT(C198,1)</f>
        <v>0</v>
      </c>
      <c r="D199">
        <f>D198+0</f>
        <v>0</v>
      </c>
      <c r="J199" t="str">
        <f>FIXED(A196,0)</f>
        <v>0</v>
      </c>
      <c r="K199" s="37"/>
    </row>
    <row r="200" spans="1:11" hidden="1" x14ac:dyDescent="0.3">
      <c r="A200" s="34"/>
      <c r="C200">
        <f>C199+0</f>
        <v>0</v>
      </c>
      <c r="D200" t="s">
        <v>35</v>
      </c>
      <c r="E200" t="s">
        <v>34</v>
      </c>
      <c r="F200" t="s">
        <v>33</v>
      </c>
      <c r="K200" s="30"/>
    </row>
    <row r="201" spans="1:11" ht="15" hidden="1" thickBot="1" x14ac:dyDescent="0.35">
      <c r="A201" s="36"/>
      <c r="B201" s="36"/>
      <c r="C201" s="36"/>
      <c r="D201" s="36" t="b">
        <f>ISODD(D198)</f>
        <v>0</v>
      </c>
      <c r="E201" s="36">
        <f>LEN(A196)</f>
        <v>3</v>
      </c>
      <c r="F201" s="36">
        <f>LEN(E198)+1</f>
        <v>2</v>
      </c>
      <c r="G201" s="36"/>
      <c r="H201" s="36"/>
      <c r="I201" s="36"/>
      <c r="J201" s="36"/>
      <c r="K201" s="35"/>
    </row>
    <row r="202" spans="1:11" ht="15" thickBot="1" x14ac:dyDescent="0.35">
      <c r="A202" s="183" t="s">
        <v>54</v>
      </c>
      <c r="B202" s="184"/>
      <c r="C202" s="184"/>
      <c r="D202" s="184"/>
      <c r="E202" s="184"/>
      <c r="F202" s="184"/>
      <c r="G202" s="184"/>
      <c r="H202" s="184"/>
      <c r="I202" s="184"/>
      <c r="J202" s="184"/>
      <c r="K202" s="185"/>
    </row>
    <row r="203" spans="1:11" ht="15" thickBot="1" x14ac:dyDescent="0.35">
      <c r="A203" s="34" t="s">
        <v>31</v>
      </c>
      <c r="B203" s="20" t="s">
        <v>30</v>
      </c>
      <c r="C203" t="e">
        <f>FIXED(A204,6)</f>
        <v>#VALUE!</v>
      </c>
      <c r="D203" t="e">
        <f>RIGHT(C203,1)</f>
        <v>#VALUE!</v>
      </c>
      <c r="E203" t="e">
        <f>D203/1000000</f>
        <v>#VALUE!</v>
      </c>
      <c r="F203" s="33" t="e">
        <f>A204-E203</f>
        <v>#VALUE!</v>
      </c>
      <c r="H203" t="e">
        <f>IF(C208=5,IF(AND(D204=0,D209=FALSE),J206,J207),J207)</f>
        <v>#VALUE!</v>
      </c>
      <c r="K203" s="30"/>
    </row>
    <row r="204" spans="1:11" ht="18.600000000000001" thickBot="1" x14ac:dyDescent="0.4">
      <c r="A204" s="32" t="str">
        <f>INCERTIDUMBRE!L11</f>
        <v>Incertidumbre Expandida</v>
      </c>
      <c r="B204" s="31" t="e">
        <f>IF(A204&gt;=10,K238,IF(A204&gt;=1,K230,IF(A204&gt;=0.1,K222,IF(A204&gt;=0.01,K214,IF(A204&gt;=0.001,K206)))))</f>
        <v>#VALUE!</v>
      </c>
      <c r="C204" t="s">
        <v>29</v>
      </c>
      <c r="D204" t="e">
        <f>D203+0</f>
        <v>#VALUE!</v>
      </c>
      <c r="K204" s="30"/>
    </row>
    <row r="205" spans="1:11" ht="28.8" hidden="1" x14ac:dyDescent="0.3">
      <c r="A205" s="50"/>
      <c r="B205" s="50"/>
      <c r="C205" t="s">
        <v>44</v>
      </c>
      <c r="D205" t="s">
        <v>43</v>
      </c>
      <c r="E205" t="s">
        <v>42</v>
      </c>
      <c r="F205" t="s">
        <v>41</v>
      </c>
      <c r="G205" s="41" t="s">
        <v>40</v>
      </c>
      <c r="H205" s="41" t="s">
        <v>39</v>
      </c>
      <c r="I205" s="41" t="s">
        <v>38</v>
      </c>
      <c r="J205" s="41" t="s">
        <v>37</v>
      </c>
      <c r="K205" s="40" t="s">
        <v>36</v>
      </c>
    </row>
    <row r="206" spans="1:11" ht="18.600000000000001" hidden="1" thickBot="1" x14ac:dyDescent="0.4">
      <c r="A206" s="49"/>
      <c r="C206" t="e">
        <f>RIGHT(F203,2)</f>
        <v>#VALUE!</v>
      </c>
      <c r="D206" t="e">
        <f>LEFT(C206,1)</f>
        <v>#VALUE!</v>
      </c>
      <c r="E206" s="33" t="e">
        <f>TRUNC(A204)</f>
        <v>#VALUE!</v>
      </c>
      <c r="F206" s="15" t="e">
        <f>FIXED(A204-E206,G206)</f>
        <v>#VALUE!</v>
      </c>
      <c r="G206" t="e">
        <f>ABS(E209-F209)</f>
        <v>#VALUE!</v>
      </c>
      <c r="H206" t="e">
        <f>RIGHT(A204,G206)</f>
        <v>#VALUE!</v>
      </c>
      <c r="I206">
        <v>5.0000000000000002E-5</v>
      </c>
      <c r="J206" s="15" t="e">
        <f>(A204-I206)</f>
        <v>#VALUE!</v>
      </c>
      <c r="K206" s="48" t="e">
        <f>IF(C208=5,IF(AND(D204=0,D209=FALSE),J206,J207),J207)</f>
        <v>#VALUE!</v>
      </c>
    </row>
    <row r="207" spans="1:11" hidden="1" x14ac:dyDescent="0.3">
      <c r="A207" s="34"/>
      <c r="C207" t="e">
        <f>RIGHT(C206,1)</f>
        <v>#VALUE!</v>
      </c>
      <c r="D207" t="e">
        <f>D206+0</f>
        <v>#VALUE!</v>
      </c>
      <c r="J207" t="e">
        <f>FIXED(A204,4)</f>
        <v>#VALUE!</v>
      </c>
      <c r="K207" s="30"/>
    </row>
    <row r="208" spans="1:11" hidden="1" x14ac:dyDescent="0.3">
      <c r="A208" s="34"/>
      <c r="C208" t="e">
        <f>C207+0</f>
        <v>#VALUE!</v>
      </c>
      <c r="D208" t="s">
        <v>35</v>
      </c>
      <c r="E208" t="s">
        <v>34</v>
      </c>
      <c r="F208" t="s">
        <v>33</v>
      </c>
      <c r="K208" s="30"/>
    </row>
    <row r="209" spans="1:11" hidden="1" x14ac:dyDescent="0.3">
      <c r="A209" s="34"/>
      <c r="D209" t="e">
        <f>ISODD(D206)</f>
        <v>#VALUE!</v>
      </c>
      <c r="E209">
        <f>LEN(A204)</f>
        <v>23</v>
      </c>
      <c r="F209" t="e">
        <f>LEN(E206)+1</f>
        <v>#VALUE!</v>
      </c>
      <c r="K209" s="30"/>
    </row>
    <row r="210" spans="1:11" hidden="1" x14ac:dyDescent="0.3">
      <c r="A210" s="34"/>
      <c r="K210" s="30"/>
    </row>
    <row r="211" spans="1:11" hidden="1" x14ac:dyDescent="0.3">
      <c r="A211" s="180" t="s">
        <v>48</v>
      </c>
      <c r="B211" s="181"/>
      <c r="C211" s="181"/>
      <c r="D211" s="181"/>
      <c r="E211" s="181"/>
      <c r="F211" s="181"/>
      <c r="G211" s="181"/>
      <c r="H211" s="181"/>
      <c r="I211" s="181"/>
      <c r="J211" s="181"/>
      <c r="K211" s="182"/>
    </row>
    <row r="212" spans="1:11" hidden="1" x14ac:dyDescent="0.3">
      <c r="A212" s="45" t="e">
        <f>K206</f>
        <v>#VALUE!</v>
      </c>
      <c r="C212" t="e">
        <f>FIXED(A204,5)</f>
        <v>#VALUE!</v>
      </c>
      <c r="D212" t="e">
        <f>RIGHT(C212,1)</f>
        <v>#VALUE!</v>
      </c>
      <c r="E212" t="e">
        <f>D212+0</f>
        <v>#VALUE!</v>
      </c>
      <c r="K212" s="30"/>
    </row>
    <row r="213" spans="1:11" ht="28.8" hidden="1" x14ac:dyDescent="0.3">
      <c r="A213" s="34"/>
      <c r="C213" t="s">
        <v>44</v>
      </c>
      <c r="D213" t="s">
        <v>43</v>
      </c>
      <c r="E213" t="s">
        <v>42</v>
      </c>
      <c r="F213" t="s">
        <v>41</v>
      </c>
      <c r="G213" s="41" t="s">
        <v>40</v>
      </c>
      <c r="H213" s="41" t="s">
        <v>39</v>
      </c>
      <c r="I213" s="41" t="s">
        <v>38</v>
      </c>
      <c r="J213" s="41" t="s">
        <v>37</v>
      </c>
      <c r="K213" s="40" t="s">
        <v>36</v>
      </c>
    </row>
    <row r="214" spans="1:11" ht="18" hidden="1" x14ac:dyDescent="0.35">
      <c r="A214" s="34"/>
      <c r="C214" t="e">
        <f>RIGHT(A212,2)</f>
        <v>#VALUE!</v>
      </c>
      <c r="D214" t="e">
        <f>LEFT(C214,1)</f>
        <v>#VALUE!</v>
      </c>
      <c r="E214" s="39" t="e">
        <f>TRUNC(A212)</f>
        <v>#VALUE!</v>
      </c>
      <c r="F214" s="15" t="e">
        <f>FIXED(A212-E214,G214)</f>
        <v>#VALUE!</v>
      </c>
      <c r="G214" t="e">
        <f>ABS(E217-F217)</f>
        <v>#VALUE!</v>
      </c>
      <c r="H214" t="e">
        <f>RIGHT(A212,G214)</f>
        <v>#VALUE!</v>
      </c>
      <c r="I214">
        <v>5.0000000000000001E-4</v>
      </c>
      <c r="J214" s="47" t="e">
        <f>(A212-I214)</f>
        <v>#VALUE!</v>
      </c>
      <c r="K214" s="46" t="e">
        <f>IF(C216=5,IF(AND(E212=0,D217=FALSE),J214,J215),J215)</f>
        <v>#VALUE!</v>
      </c>
    </row>
    <row r="215" spans="1:11" hidden="1" x14ac:dyDescent="0.3">
      <c r="A215" s="34"/>
      <c r="C215" t="e">
        <f>RIGHT(C214,1)</f>
        <v>#VALUE!</v>
      </c>
      <c r="D215" t="e">
        <f>D214+0</f>
        <v>#VALUE!</v>
      </c>
      <c r="J215" t="e">
        <f>FIXED(A212,3)</f>
        <v>#VALUE!</v>
      </c>
      <c r="K215" s="30"/>
    </row>
    <row r="216" spans="1:11" hidden="1" x14ac:dyDescent="0.3">
      <c r="A216" s="34"/>
      <c r="C216" t="e">
        <f>C215+0</f>
        <v>#VALUE!</v>
      </c>
      <c r="D216" t="s">
        <v>35</v>
      </c>
      <c r="E216" t="s">
        <v>34</v>
      </c>
      <c r="F216" t="s">
        <v>33</v>
      </c>
      <c r="K216" s="30"/>
    </row>
    <row r="217" spans="1:11" hidden="1" x14ac:dyDescent="0.3">
      <c r="A217" s="34"/>
      <c r="D217" t="e">
        <f>ISODD(D214)</f>
        <v>#VALUE!</v>
      </c>
      <c r="E217" t="e">
        <f>LEN(A212)</f>
        <v>#VALUE!</v>
      </c>
      <c r="F217" t="e">
        <f>LEN(E214)+1</f>
        <v>#VALUE!</v>
      </c>
      <c r="K217" s="30"/>
    </row>
    <row r="218" spans="1:11" hidden="1" x14ac:dyDescent="0.3">
      <c r="A218" s="34"/>
      <c r="K218" s="30"/>
    </row>
    <row r="219" spans="1:11" hidden="1" x14ac:dyDescent="0.3">
      <c r="A219" s="180" t="s">
        <v>47</v>
      </c>
      <c r="B219" s="181"/>
      <c r="C219" s="181"/>
      <c r="D219" s="181"/>
      <c r="E219" s="181"/>
      <c r="F219" s="181"/>
      <c r="G219" s="181"/>
      <c r="H219" s="181"/>
      <c r="I219" s="181"/>
      <c r="J219" s="181"/>
      <c r="K219" s="182"/>
    </row>
    <row r="220" spans="1:11" hidden="1" x14ac:dyDescent="0.3">
      <c r="A220" s="45" t="e">
        <f>K214</f>
        <v>#VALUE!</v>
      </c>
      <c r="C220" t="e">
        <f>FIXED(A212,4)</f>
        <v>#VALUE!</v>
      </c>
      <c r="D220" t="e">
        <f>RIGHT(C220,1)</f>
        <v>#VALUE!</v>
      </c>
      <c r="E220" t="e">
        <f>D220+0</f>
        <v>#VALUE!</v>
      </c>
      <c r="K220" s="30"/>
    </row>
    <row r="221" spans="1:11" ht="28.8" hidden="1" x14ac:dyDescent="0.3">
      <c r="A221" s="34"/>
      <c r="C221" t="s">
        <v>44</v>
      </c>
      <c r="D221" t="s">
        <v>43</v>
      </c>
      <c r="E221" t="s">
        <v>42</v>
      </c>
      <c r="F221" t="s">
        <v>41</v>
      </c>
      <c r="G221" s="41" t="s">
        <v>40</v>
      </c>
      <c r="H221" s="41" t="s">
        <v>39</v>
      </c>
      <c r="I221" s="41" t="s">
        <v>38</v>
      </c>
      <c r="J221" s="41" t="s">
        <v>37</v>
      </c>
      <c r="K221" s="40" t="s">
        <v>36</v>
      </c>
    </row>
    <row r="222" spans="1:11" ht="18" hidden="1" x14ac:dyDescent="0.35">
      <c r="A222" s="34"/>
      <c r="C222" t="e">
        <f>RIGHT(A220,2)</f>
        <v>#VALUE!</v>
      </c>
      <c r="D222" t="e">
        <f>LEFT(C222,1)</f>
        <v>#VALUE!</v>
      </c>
      <c r="E222" s="39" t="e">
        <f>TRUNC(A220)</f>
        <v>#VALUE!</v>
      </c>
      <c r="F222" s="15" t="e">
        <f>FIXED(A220-E222,G222)</f>
        <v>#VALUE!</v>
      </c>
      <c r="G222" t="e">
        <f>ABS(E225-F225)</f>
        <v>#VALUE!</v>
      </c>
      <c r="H222" t="e">
        <f>RIGHT(A220,G222)</f>
        <v>#VALUE!</v>
      </c>
      <c r="I222">
        <v>5.0000000000000001E-3</v>
      </c>
      <c r="J222" s="3" t="e">
        <f>(A220-I222)</f>
        <v>#VALUE!</v>
      </c>
      <c r="K222" s="44" t="e">
        <f>IF(C224=5,IF(AND(E220=0,D225=FALSE),J222,J223),J223)</f>
        <v>#VALUE!</v>
      </c>
    </row>
    <row r="223" spans="1:11" ht="18" hidden="1" x14ac:dyDescent="0.35">
      <c r="A223" s="34"/>
      <c r="C223" t="e">
        <f>RIGHT(C222,1)</f>
        <v>#VALUE!</v>
      </c>
      <c r="D223" t="e">
        <f>D222+0</f>
        <v>#VALUE!</v>
      </c>
      <c r="J223" t="e">
        <f>FIXED(A220,2)</f>
        <v>#VALUE!</v>
      </c>
      <c r="K223" s="44"/>
    </row>
    <row r="224" spans="1:11" hidden="1" x14ac:dyDescent="0.3">
      <c r="A224" s="34"/>
      <c r="C224" t="e">
        <f>C223+0</f>
        <v>#VALUE!</v>
      </c>
      <c r="D224" t="s">
        <v>35</v>
      </c>
      <c r="E224" t="s">
        <v>34</v>
      </c>
      <c r="F224" t="s">
        <v>33</v>
      </c>
      <c r="K224" s="30"/>
    </row>
    <row r="225" spans="1:11" hidden="1" x14ac:dyDescent="0.3">
      <c r="A225" s="34"/>
      <c r="D225" t="e">
        <f>ISODD(D222)</f>
        <v>#VALUE!</v>
      </c>
      <c r="E225" t="e">
        <f>LEN(A220)</f>
        <v>#VALUE!</v>
      </c>
      <c r="F225" t="e">
        <f>LEN(E222)+1</f>
        <v>#VALUE!</v>
      </c>
      <c r="K225" s="30"/>
    </row>
    <row r="226" spans="1:11" hidden="1" x14ac:dyDescent="0.3">
      <c r="A226" s="34"/>
      <c r="K226" s="30"/>
    </row>
    <row r="227" spans="1:11" hidden="1" x14ac:dyDescent="0.3">
      <c r="A227" s="180" t="s">
        <v>46</v>
      </c>
      <c r="B227" s="181"/>
      <c r="C227" s="181"/>
      <c r="D227" s="181"/>
      <c r="E227" s="181"/>
      <c r="F227" s="181"/>
      <c r="G227" s="181"/>
      <c r="H227" s="181"/>
      <c r="I227" s="181"/>
      <c r="J227" s="181"/>
      <c r="K227" s="182"/>
    </row>
    <row r="228" spans="1:11" hidden="1" x14ac:dyDescent="0.3">
      <c r="A228" s="42" t="e">
        <f>K222</f>
        <v>#VALUE!</v>
      </c>
      <c r="C228" t="e">
        <f>FIXED(A220,3)</f>
        <v>#VALUE!</v>
      </c>
      <c r="D228" t="e">
        <f>RIGHT(C228,1)</f>
        <v>#VALUE!</v>
      </c>
      <c r="E228" t="e">
        <f>D228+0</f>
        <v>#VALUE!</v>
      </c>
      <c r="K228" s="30"/>
    </row>
    <row r="229" spans="1:11" ht="28.8" hidden="1" x14ac:dyDescent="0.3">
      <c r="A229" s="34"/>
      <c r="C229" t="s">
        <v>44</v>
      </c>
      <c r="D229" t="s">
        <v>43</v>
      </c>
      <c r="E229" t="s">
        <v>42</v>
      </c>
      <c r="F229" t="s">
        <v>41</v>
      </c>
      <c r="G229" s="41" t="s">
        <v>40</v>
      </c>
      <c r="H229" s="41" t="s">
        <v>39</v>
      </c>
      <c r="I229" s="41" t="s">
        <v>38</v>
      </c>
      <c r="J229" s="41" t="s">
        <v>37</v>
      </c>
      <c r="K229" s="40" t="s">
        <v>36</v>
      </c>
    </row>
    <row r="230" spans="1:11" ht="18" hidden="1" x14ac:dyDescent="0.35">
      <c r="A230" s="34"/>
      <c r="C230" t="e">
        <f>RIGHT(A228,2)</f>
        <v>#VALUE!</v>
      </c>
      <c r="D230" t="e">
        <f>LEFT(C230,1)</f>
        <v>#VALUE!</v>
      </c>
      <c r="E230" s="39" t="e">
        <f>TRUNC(A228)</f>
        <v>#VALUE!</v>
      </c>
      <c r="F230" s="15" t="e">
        <f>FIXED(A228-E230,G230)</f>
        <v>#VALUE!</v>
      </c>
      <c r="G230" t="e">
        <f>ABS(E233-F233)</f>
        <v>#VALUE!</v>
      </c>
      <c r="H230" t="e">
        <f>RIGHT(A228,G230)</f>
        <v>#VALUE!</v>
      </c>
      <c r="I230">
        <v>0.05</v>
      </c>
      <c r="J230" s="3" t="e">
        <f>(A228-I230)</f>
        <v>#VALUE!</v>
      </c>
      <c r="K230" s="44" t="e">
        <f>IF(C232=5,IF(AND(E228=0,D233=FALSE),J230,J231),J231)</f>
        <v>#VALUE!</v>
      </c>
    </row>
    <row r="231" spans="1:11" hidden="1" x14ac:dyDescent="0.3">
      <c r="A231" s="34"/>
      <c r="C231" t="e">
        <f>RIGHT(C230,1)</f>
        <v>#VALUE!</v>
      </c>
      <c r="D231" t="e">
        <f>D230+0</f>
        <v>#VALUE!</v>
      </c>
      <c r="J231" t="e">
        <f>FIXED(A228,1)</f>
        <v>#VALUE!</v>
      </c>
      <c r="K231" s="43"/>
    </row>
    <row r="232" spans="1:11" hidden="1" x14ac:dyDescent="0.3">
      <c r="A232" s="34"/>
      <c r="C232" t="e">
        <f>C231+0</f>
        <v>#VALUE!</v>
      </c>
      <c r="D232" t="s">
        <v>35</v>
      </c>
      <c r="E232" t="s">
        <v>34</v>
      </c>
      <c r="F232" t="s">
        <v>33</v>
      </c>
      <c r="K232" s="30"/>
    </row>
    <row r="233" spans="1:11" hidden="1" x14ac:dyDescent="0.3">
      <c r="A233" s="34"/>
      <c r="D233" t="e">
        <f>ISODD(D230)</f>
        <v>#VALUE!</v>
      </c>
      <c r="E233" t="e">
        <f>LEN(A228)</f>
        <v>#VALUE!</v>
      </c>
      <c r="F233" t="e">
        <f>LEN(E230)+1</f>
        <v>#VALUE!</v>
      </c>
      <c r="K233" s="30"/>
    </row>
    <row r="234" spans="1:11" hidden="1" x14ac:dyDescent="0.3">
      <c r="A234" s="34"/>
      <c r="K234" s="30"/>
    </row>
    <row r="235" spans="1:11" hidden="1" x14ac:dyDescent="0.3">
      <c r="A235" s="180" t="s">
        <v>45</v>
      </c>
      <c r="B235" s="181"/>
      <c r="C235" s="181"/>
      <c r="D235" s="181"/>
      <c r="E235" s="181"/>
      <c r="F235" s="181"/>
      <c r="G235" s="181"/>
      <c r="H235" s="181"/>
      <c r="I235" s="181"/>
      <c r="J235" s="181"/>
      <c r="K235" s="182"/>
    </row>
    <row r="236" spans="1:11" hidden="1" x14ac:dyDescent="0.3">
      <c r="A236" s="42" t="e">
        <f>K230</f>
        <v>#VALUE!</v>
      </c>
      <c r="C236" t="e">
        <f>FIXED(A228,2)</f>
        <v>#VALUE!</v>
      </c>
      <c r="D236" t="e">
        <f>RIGHT(C236,1)</f>
        <v>#VALUE!</v>
      </c>
      <c r="E236" t="e">
        <f>D236+0</f>
        <v>#VALUE!</v>
      </c>
      <c r="K236" s="30"/>
    </row>
    <row r="237" spans="1:11" ht="28.8" hidden="1" x14ac:dyDescent="0.3">
      <c r="A237" s="34"/>
      <c r="C237" t="s">
        <v>44</v>
      </c>
      <c r="D237" t="s">
        <v>43</v>
      </c>
      <c r="E237" t="s">
        <v>42</v>
      </c>
      <c r="F237" t="s">
        <v>41</v>
      </c>
      <c r="G237" s="41" t="s">
        <v>40</v>
      </c>
      <c r="H237" s="41" t="s">
        <v>39</v>
      </c>
      <c r="I237" s="41" t="s">
        <v>38</v>
      </c>
      <c r="J237" s="41" t="s">
        <v>37</v>
      </c>
      <c r="K237" s="40" t="s">
        <v>36</v>
      </c>
    </row>
    <row r="238" spans="1:11" ht="18" hidden="1" x14ac:dyDescent="0.35">
      <c r="A238" s="34"/>
      <c r="C238" t="e">
        <f>RIGHT(A236,2)</f>
        <v>#VALUE!</v>
      </c>
      <c r="D238" t="e">
        <f>RIGHT(E238,1)</f>
        <v>#VALUE!</v>
      </c>
      <c r="E238" s="39" t="e">
        <f>TRUNC(A236)</f>
        <v>#VALUE!</v>
      </c>
      <c r="F238" s="15" t="e">
        <f>FIXED(A236-E238,G238)</f>
        <v>#VALUE!</v>
      </c>
      <c r="G238" t="e">
        <f>ABS(E241-F241)</f>
        <v>#VALUE!</v>
      </c>
      <c r="H238" t="e">
        <f>RIGHT(A236,G238)</f>
        <v>#VALUE!</v>
      </c>
      <c r="I238">
        <v>0.5</v>
      </c>
      <c r="J238" s="13" t="e">
        <f>(A236-I238)</f>
        <v>#VALUE!</v>
      </c>
      <c r="K238" s="38" t="e">
        <f>IF(C240=5,IF(AND(E236=0,D241=FALSE),J238,J239),J239)</f>
        <v>#VALUE!</v>
      </c>
    </row>
    <row r="239" spans="1:11" hidden="1" x14ac:dyDescent="0.3">
      <c r="A239" s="34"/>
      <c r="C239" t="e">
        <f>RIGHT(C238,1)</f>
        <v>#VALUE!</v>
      </c>
      <c r="D239" t="e">
        <f>D238+0</f>
        <v>#VALUE!</v>
      </c>
      <c r="J239" t="e">
        <f>FIXED(A236,0)</f>
        <v>#VALUE!</v>
      </c>
      <c r="K239" s="37"/>
    </row>
    <row r="240" spans="1:11" hidden="1" x14ac:dyDescent="0.3">
      <c r="A240" s="34"/>
      <c r="C240" t="e">
        <f>C239+0</f>
        <v>#VALUE!</v>
      </c>
      <c r="D240" t="s">
        <v>35</v>
      </c>
      <c r="E240" t="s">
        <v>34</v>
      </c>
      <c r="F240" t="s">
        <v>33</v>
      </c>
      <c r="K240" s="30"/>
    </row>
    <row r="241" spans="1:11" ht="15" hidden="1" thickBot="1" x14ac:dyDescent="0.35">
      <c r="A241" s="36"/>
      <c r="B241" s="36"/>
      <c r="C241" s="36"/>
      <c r="D241" s="36" t="e">
        <f>ISODD(D238)</f>
        <v>#VALUE!</v>
      </c>
      <c r="E241" s="36" t="e">
        <f>LEN(A236)</f>
        <v>#VALUE!</v>
      </c>
      <c r="F241" s="36" t="e">
        <f>LEN(E238)+1</f>
        <v>#VALUE!</v>
      </c>
      <c r="G241" s="36"/>
      <c r="H241" s="36"/>
      <c r="I241" s="36"/>
      <c r="J241" s="36"/>
      <c r="K241" s="35"/>
    </row>
    <row r="242" spans="1:11" ht="15" thickBot="1" x14ac:dyDescent="0.35">
      <c r="A242" s="183" t="s">
        <v>53</v>
      </c>
      <c r="B242" s="184"/>
      <c r="C242" s="184"/>
      <c r="D242" s="184"/>
      <c r="E242" s="184"/>
      <c r="F242" s="184"/>
      <c r="G242" s="184"/>
      <c r="H242" s="184"/>
      <c r="I242" s="184"/>
      <c r="J242" s="184"/>
      <c r="K242" s="185"/>
    </row>
    <row r="243" spans="1:11" ht="15" thickBot="1" x14ac:dyDescent="0.35">
      <c r="A243" s="34" t="s">
        <v>31</v>
      </c>
      <c r="B243" s="20" t="s">
        <v>30</v>
      </c>
      <c r="C243" t="str">
        <f ca="1">FIXED(A244,6)</f>
        <v>1,834224</v>
      </c>
      <c r="D243" t="str">
        <f ca="1">RIGHT(C243,1)</f>
        <v>4</v>
      </c>
      <c r="E243">
        <f ca="1">D243/1000000</f>
        <v>3.9999999999999998E-6</v>
      </c>
      <c r="F243" s="33">
        <f ca="1">A244-E243</f>
        <v>1.8342197227115484</v>
      </c>
      <c r="H243" t="str">
        <f ca="1">IF(C248=5,IF(AND(D244=0,D249=FALSE),J246,J247),J247)</f>
        <v>1,8342</v>
      </c>
      <c r="K243" s="30"/>
    </row>
    <row r="244" spans="1:11" ht="18.600000000000001" thickBot="1" x14ac:dyDescent="0.4">
      <c r="A244" s="32">
        <f ca="1">INCERTIDUMBRE!L12</f>
        <v>1.8342237227115483</v>
      </c>
      <c r="B244" s="31" t="str">
        <f ca="1">IF(A244&gt;=10,K278,IF(A244&gt;=1,K270,IF(A244&gt;=0.1,K262,IF(A244&gt;=0.01,K254,IF(A244&gt;=0.001,K246)))))</f>
        <v>1,8</v>
      </c>
      <c r="C244" t="s">
        <v>29</v>
      </c>
      <c r="D244">
        <f ca="1">D243+0</f>
        <v>4</v>
      </c>
      <c r="K244" s="30"/>
    </row>
    <row r="245" spans="1:11" ht="28.8" hidden="1" x14ac:dyDescent="0.3">
      <c r="A245" s="50"/>
      <c r="B245" s="50"/>
      <c r="C245" t="s">
        <v>44</v>
      </c>
      <c r="D245" t="s">
        <v>43</v>
      </c>
      <c r="E245" t="s">
        <v>42</v>
      </c>
      <c r="F245" t="s">
        <v>41</v>
      </c>
      <c r="G245" s="41" t="s">
        <v>40</v>
      </c>
      <c r="H245" s="41" t="s">
        <v>39</v>
      </c>
      <c r="I245" s="41" t="s">
        <v>38</v>
      </c>
      <c r="J245" s="41" t="s">
        <v>37</v>
      </c>
      <c r="K245" s="40" t="s">
        <v>36</v>
      </c>
    </row>
    <row r="246" spans="1:11" ht="18.600000000000001" hidden="1" thickBot="1" x14ac:dyDescent="0.4">
      <c r="A246" s="49"/>
      <c r="C246" t="str">
        <f ca="1">RIGHT(F243,2)</f>
        <v>55</v>
      </c>
      <c r="D246" t="str">
        <f ca="1">LEFT(C246,1)</f>
        <v>5</v>
      </c>
      <c r="E246" s="33">
        <f ca="1">TRUNC(A244)</f>
        <v>1</v>
      </c>
      <c r="F246" s="15" t="str">
        <f ca="1">FIXED(A244-E246,G246)</f>
        <v>0,83422372271155</v>
      </c>
      <c r="G246">
        <f ca="1">ABS(E249-F249)</f>
        <v>14</v>
      </c>
      <c r="H246" t="str">
        <f ca="1">RIGHT(A244,G246)</f>
        <v>83422372271155</v>
      </c>
      <c r="I246">
        <v>5.0000000000000002E-5</v>
      </c>
      <c r="J246" s="15">
        <f ca="1">(A244-I246)</f>
        <v>1.8341737227115482</v>
      </c>
      <c r="K246" s="48" t="str">
        <f ca="1">IF(C248=5,IF(AND(D244=0,D249=FALSE),J246,J247),J247)</f>
        <v>1,8342</v>
      </c>
    </row>
    <row r="247" spans="1:11" hidden="1" x14ac:dyDescent="0.3">
      <c r="A247" s="34"/>
      <c r="C247" t="str">
        <f ca="1">RIGHT(C246,1)</f>
        <v>5</v>
      </c>
      <c r="D247">
        <f ca="1">D246+0</f>
        <v>5</v>
      </c>
      <c r="J247" t="str">
        <f ca="1">FIXED(A244,4)</f>
        <v>1,8342</v>
      </c>
      <c r="K247" s="30"/>
    </row>
    <row r="248" spans="1:11" hidden="1" x14ac:dyDescent="0.3">
      <c r="A248" s="34"/>
      <c r="C248">
        <f ca="1">C247+0</f>
        <v>5</v>
      </c>
      <c r="D248" t="s">
        <v>35</v>
      </c>
      <c r="E248" t="s">
        <v>34</v>
      </c>
      <c r="F248" t="s">
        <v>33</v>
      </c>
      <c r="K248" s="30"/>
    </row>
    <row r="249" spans="1:11" hidden="1" x14ac:dyDescent="0.3">
      <c r="A249" s="34"/>
      <c r="D249" t="b">
        <f ca="1">ISODD(D246)</f>
        <v>1</v>
      </c>
      <c r="E249">
        <f ca="1">LEN(A244)</f>
        <v>16</v>
      </c>
      <c r="F249">
        <f ca="1">LEN(E246)+1</f>
        <v>2</v>
      </c>
      <c r="K249" s="30"/>
    </row>
    <row r="250" spans="1:11" hidden="1" x14ac:dyDescent="0.3">
      <c r="A250" s="34"/>
      <c r="K250" s="30"/>
    </row>
    <row r="251" spans="1:11" hidden="1" x14ac:dyDescent="0.3">
      <c r="A251" s="180" t="s">
        <v>48</v>
      </c>
      <c r="B251" s="181"/>
      <c r="C251" s="181"/>
      <c r="D251" s="181"/>
      <c r="E251" s="181"/>
      <c r="F251" s="181"/>
      <c r="G251" s="181"/>
      <c r="H251" s="181"/>
      <c r="I251" s="181"/>
      <c r="J251" s="181"/>
      <c r="K251" s="182"/>
    </row>
    <row r="252" spans="1:11" hidden="1" x14ac:dyDescent="0.3">
      <c r="A252" s="45" t="str">
        <f ca="1">K246</f>
        <v>1,8342</v>
      </c>
      <c r="C252" t="str">
        <f ca="1">FIXED(A244,5)</f>
        <v>1,83422</v>
      </c>
      <c r="D252" t="str">
        <f ca="1">RIGHT(C252,1)</f>
        <v>2</v>
      </c>
      <c r="E252">
        <f ca="1">D252+0</f>
        <v>2</v>
      </c>
      <c r="K252" s="30"/>
    </row>
    <row r="253" spans="1:11" ht="28.8" hidden="1" x14ac:dyDescent="0.3">
      <c r="A253" s="34"/>
      <c r="C253" t="s">
        <v>44</v>
      </c>
      <c r="D253" t="s">
        <v>43</v>
      </c>
      <c r="E253" t="s">
        <v>42</v>
      </c>
      <c r="F253" t="s">
        <v>41</v>
      </c>
      <c r="G253" s="41" t="s">
        <v>40</v>
      </c>
      <c r="H253" s="41" t="s">
        <v>39</v>
      </c>
      <c r="I253" s="41" t="s">
        <v>38</v>
      </c>
      <c r="J253" s="41" t="s">
        <v>37</v>
      </c>
      <c r="K253" s="40" t="s">
        <v>36</v>
      </c>
    </row>
    <row r="254" spans="1:11" ht="18" hidden="1" x14ac:dyDescent="0.35">
      <c r="A254" s="34"/>
      <c r="C254" t="str">
        <f ca="1">RIGHT(A252,2)</f>
        <v>42</v>
      </c>
      <c r="D254" t="str">
        <f ca="1">LEFT(C254,1)</f>
        <v>4</v>
      </c>
      <c r="E254" s="39">
        <f ca="1">TRUNC(A252)</f>
        <v>1</v>
      </c>
      <c r="F254" s="15" t="str">
        <f ca="1">FIXED(A252-E254,G254)</f>
        <v>0,8342</v>
      </c>
      <c r="G254">
        <f ca="1">ABS(E257-F257)</f>
        <v>4</v>
      </c>
      <c r="H254" t="str">
        <f ca="1">RIGHT(A252,G254)</f>
        <v>8342</v>
      </c>
      <c r="I254">
        <v>5.0000000000000001E-4</v>
      </c>
      <c r="J254" s="47">
        <f ca="1">(A252-I254)</f>
        <v>1.8337000000000001</v>
      </c>
      <c r="K254" s="46" t="str">
        <f ca="1">IF(C256=5,IF(AND(E252=0,D257=FALSE),J254,J255),J255)</f>
        <v>1,834</v>
      </c>
    </row>
    <row r="255" spans="1:11" hidden="1" x14ac:dyDescent="0.3">
      <c r="A255" s="34"/>
      <c r="C255" t="str">
        <f ca="1">RIGHT(C254,1)</f>
        <v>2</v>
      </c>
      <c r="D255">
        <f ca="1">D254+0</f>
        <v>4</v>
      </c>
      <c r="J255" t="str">
        <f ca="1">FIXED(A252,3)</f>
        <v>1,834</v>
      </c>
      <c r="K255" s="30"/>
    </row>
    <row r="256" spans="1:11" hidden="1" x14ac:dyDescent="0.3">
      <c r="A256" s="34"/>
      <c r="C256">
        <f ca="1">C255+0</f>
        <v>2</v>
      </c>
      <c r="D256" t="s">
        <v>35</v>
      </c>
      <c r="E256" t="s">
        <v>34</v>
      </c>
      <c r="F256" t="s">
        <v>33</v>
      </c>
      <c r="K256" s="30"/>
    </row>
    <row r="257" spans="1:11" hidden="1" x14ac:dyDescent="0.3">
      <c r="A257" s="34"/>
      <c r="D257" t="b">
        <f ca="1">ISODD(D254)</f>
        <v>0</v>
      </c>
      <c r="E257">
        <f ca="1">LEN(A252)</f>
        <v>6</v>
      </c>
      <c r="F257">
        <f ca="1">LEN(E254)+1</f>
        <v>2</v>
      </c>
      <c r="K257" s="30"/>
    </row>
    <row r="258" spans="1:11" hidden="1" x14ac:dyDescent="0.3">
      <c r="A258" s="34"/>
      <c r="K258" s="30"/>
    </row>
    <row r="259" spans="1:11" hidden="1" x14ac:dyDescent="0.3">
      <c r="A259" s="180" t="s">
        <v>47</v>
      </c>
      <c r="B259" s="181"/>
      <c r="C259" s="181"/>
      <c r="D259" s="181"/>
      <c r="E259" s="181"/>
      <c r="F259" s="181"/>
      <c r="G259" s="181"/>
      <c r="H259" s="181"/>
      <c r="I259" s="181"/>
      <c r="J259" s="181"/>
      <c r="K259" s="182"/>
    </row>
    <row r="260" spans="1:11" hidden="1" x14ac:dyDescent="0.3">
      <c r="A260" s="45" t="str">
        <f ca="1">K254</f>
        <v>1,834</v>
      </c>
      <c r="C260" t="str">
        <f ca="1">FIXED(A252,4)</f>
        <v>1,8342</v>
      </c>
      <c r="D260" t="str">
        <f ca="1">RIGHT(C260,1)</f>
        <v>2</v>
      </c>
      <c r="E260">
        <f ca="1">D260+0</f>
        <v>2</v>
      </c>
      <c r="K260" s="30"/>
    </row>
    <row r="261" spans="1:11" ht="28.8" hidden="1" x14ac:dyDescent="0.3">
      <c r="A261" s="34"/>
      <c r="C261" t="s">
        <v>44</v>
      </c>
      <c r="D261" t="s">
        <v>43</v>
      </c>
      <c r="E261" t="s">
        <v>42</v>
      </c>
      <c r="F261" t="s">
        <v>41</v>
      </c>
      <c r="G261" s="41" t="s">
        <v>40</v>
      </c>
      <c r="H261" s="41" t="s">
        <v>39</v>
      </c>
      <c r="I261" s="41" t="s">
        <v>38</v>
      </c>
      <c r="J261" s="41" t="s">
        <v>37</v>
      </c>
      <c r="K261" s="40" t="s">
        <v>36</v>
      </c>
    </row>
    <row r="262" spans="1:11" ht="18" hidden="1" x14ac:dyDescent="0.35">
      <c r="A262" s="34"/>
      <c r="C262" t="str">
        <f ca="1">RIGHT(A260,2)</f>
        <v>34</v>
      </c>
      <c r="D262" t="str">
        <f ca="1">LEFT(C262,1)</f>
        <v>3</v>
      </c>
      <c r="E262" s="39">
        <f ca="1">TRUNC(A260)</f>
        <v>1</v>
      </c>
      <c r="F262" s="15" t="str">
        <f ca="1">FIXED(A260-E262,G262)</f>
        <v>0,834</v>
      </c>
      <c r="G262">
        <f ca="1">ABS(E265-F265)</f>
        <v>3</v>
      </c>
      <c r="H262" t="str">
        <f ca="1">RIGHT(A260,G262)</f>
        <v>834</v>
      </c>
      <c r="I262">
        <v>5.0000000000000001E-3</v>
      </c>
      <c r="J262" s="3">
        <f ca="1">(A260-I262)</f>
        <v>1.8290000000000002</v>
      </c>
      <c r="K262" s="44" t="str">
        <f ca="1">IF(C264=5,IF(AND(E260=0,D265=FALSE),J262,J263),J263)</f>
        <v>1,83</v>
      </c>
    </row>
    <row r="263" spans="1:11" ht="18" hidden="1" x14ac:dyDescent="0.35">
      <c r="A263" s="34"/>
      <c r="C263" t="str">
        <f ca="1">RIGHT(C262,1)</f>
        <v>4</v>
      </c>
      <c r="D263">
        <f ca="1">D262+0</f>
        <v>3</v>
      </c>
      <c r="J263" t="str">
        <f ca="1">FIXED(A260,2)</f>
        <v>1,83</v>
      </c>
      <c r="K263" s="44"/>
    </row>
    <row r="264" spans="1:11" hidden="1" x14ac:dyDescent="0.3">
      <c r="A264" s="34"/>
      <c r="C264">
        <f ca="1">C263+0</f>
        <v>4</v>
      </c>
      <c r="D264" t="s">
        <v>35</v>
      </c>
      <c r="E264" t="s">
        <v>34</v>
      </c>
      <c r="F264" t="s">
        <v>33</v>
      </c>
      <c r="K264" s="30"/>
    </row>
    <row r="265" spans="1:11" hidden="1" x14ac:dyDescent="0.3">
      <c r="A265" s="34"/>
      <c r="D265" t="b">
        <f ca="1">ISODD(D262)</f>
        <v>1</v>
      </c>
      <c r="E265">
        <f ca="1">LEN(A260)</f>
        <v>5</v>
      </c>
      <c r="F265">
        <f ca="1">LEN(E262)+1</f>
        <v>2</v>
      </c>
      <c r="K265" s="30"/>
    </row>
    <row r="266" spans="1:11" hidden="1" x14ac:dyDescent="0.3">
      <c r="A266" s="34"/>
      <c r="K266" s="30"/>
    </row>
    <row r="267" spans="1:11" hidden="1" x14ac:dyDescent="0.3">
      <c r="A267" s="180" t="s">
        <v>46</v>
      </c>
      <c r="B267" s="181"/>
      <c r="C267" s="181"/>
      <c r="D267" s="181"/>
      <c r="E267" s="181"/>
      <c r="F267" s="181"/>
      <c r="G267" s="181"/>
      <c r="H267" s="181"/>
      <c r="I267" s="181"/>
      <c r="J267" s="181"/>
      <c r="K267" s="182"/>
    </row>
    <row r="268" spans="1:11" hidden="1" x14ac:dyDescent="0.3">
      <c r="A268" s="42" t="str">
        <f ca="1">K262</f>
        <v>1,83</v>
      </c>
      <c r="C268" t="str">
        <f ca="1">FIXED(A260,3)</f>
        <v>1,834</v>
      </c>
      <c r="D268" t="str">
        <f ca="1">RIGHT(C268,1)</f>
        <v>4</v>
      </c>
      <c r="E268">
        <f ca="1">D268+0</f>
        <v>4</v>
      </c>
      <c r="K268" s="30"/>
    </row>
    <row r="269" spans="1:11" ht="28.8" hidden="1" x14ac:dyDescent="0.3">
      <c r="A269" s="34"/>
      <c r="C269" t="s">
        <v>44</v>
      </c>
      <c r="D269" t="s">
        <v>43</v>
      </c>
      <c r="E269" t="s">
        <v>42</v>
      </c>
      <c r="F269" t="s">
        <v>41</v>
      </c>
      <c r="G269" s="41" t="s">
        <v>40</v>
      </c>
      <c r="H269" s="41" t="s">
        <v>39</v>
      </c>
      <c r="I269" s="41" t="s">
        <v>38</v>
      </c>
      <c r="J269" s="41" t="s">
        <v>37</v>
      </c>
      <c r="K269" s="40" t="s">
        <v>36</v>
      </c>
    </row>
    <row r="270" spans="1:11" ht="18" hidden="1" x14ac:dyDescent="0.35">
      <c r="A270" s="34"/>
      <c r="C270" t="str">
        <f ca="1">RIGHT(A268,2)</f>
        <v>83</v>
      </c>
      <c r="D270" t="str">
        <f ca="1">LEFT(C270,1)</f>
        <v>8</v>
      </c>
      <c r="E270" s="39">
        <f ca="1">TRUNC(A268)</f>
        <v>1</v>
      </c>
      <c r="F270" s="15" t="str">
        <f ca="1">FIXED(A268-E270,G270)</f>
        <v>0,83</v>
      </c>
      <c r="G270">
        <f ca="1">ABS(E273-F273)</f>
        <v>2</v>
      </c>
      <c r="H270" t="str">
        <f ca="1">RIGHT(A268,G270)</f>
        <v>83</v>
      </c>
      <c r="I270">
        <v>0.05</v>
      </c>
      <c r="J270" s="3">
        <f ca="1">(A268-I270)</f>
        <v>1.78</v>
      </c>
      <c r="K270" s="44" t="str">
        <f ca="1">IF(C272=5,IF(AND(E268=0,D273=FALSE),J270,J271),J271)</f>
        <v>1,8</v>
      </c>
    </row>
    <row r="271" spans="1:11" hidden="1" x14ac:dyDescent="0.3">
      <c r="A271" s="34"/>
      <c r="C271" t="str">
        <f ca="1">RIGHT(C270,1)</f>
        <v>3</v>
      </c>
      <c r="D271">
        <f ca="1">D270+0</f>
        <v>8</v>
      </c>
      <c r="J271" t="str">
        <f ca="1">FIXED(A268,1)</f>
        <v>1,8</v>
      </c>
      <c r="K271" s="43"/>
    </row>
    <row r="272" spans="1:11" hidden="1" x14ac:dyDescent="0.3">
      <c r="A272" s="34"/>
      <c r="C272">
        <f ca="1">C271+0</f>
        <v>3</v>
      </c>
      <c r="D272" t="s">
        <v>35</v>
      </c>
      <c r="E272" t="s">
        <v>34</v>
      </c>
      <c r="F272" t="s">
        <v>33</v>
      </c>
      <c r="K272" s="30"/>
    </row>
    <row r="273" spans="1:11" hidden="1" x14ac:dyDescent="0.3">
      <c r="A273" s="34"/>
      <c r="D273" t="b">
        <f ca="1">ISODD(D270)</f>
        <v>0</v>
      </c>
      <c r="E273">
        <f ca="1">LEN(A268)</f>
        <v>4</v>
      </c>
      <c r="F273">
        <f ca="1">LEN(E270)+1</f>
        <v>2</v>
      </c>
      <c r="K273" s="30"/>
    </row>
    <row r="274" spans="1:11" hidden="1" x14ac:dyDescent="0.3">
      <c r="A274" s="34"/>
      <c r="K274" s="30"/>
    </row>
    <row r="275" spans="1:11" hidden="1" x14ac:dyDescent="0.3">
      <c r="A275" s="180" t="s">
        <v>45</v>
      </c>
      <c r="B275" s="181"/>
      <c r="C275" s="181"/>
      <c r="D275" s="181"/>
      <c r="E275" s="181"/>
      <c r="F275" s="181"/>
      <c r="G275" s="181"/>
      <c r="H275" s="181"/>
      <c r="I275" s="181"/>
      <c r="J275" s="181"/>
      <c r="K275" s="182"/>
    </row>
    <row r="276" spans="1:11" hidden="1" x14ac:dyDescent="0.3">
      <c r="A276" s="42" t="str">
        <f ca="1">K270</f>
        <v>1,8</v>
      </c>
      <c r="C276" t="str">
        <f ca="1">FIXED(A268,2)</f>
        <v>1,83</v>
      </c>
      <c r="D276" t="str">
        <f ca="1">RIGHT(C276,1)</f>
        <v>3</v>
      </c>
      <c r="E276">
        <f ca="1">D276+0</f>
        <v>3</v>
      </c>
      <c r="K276" s="30"/>
    </row>
    <row r="277" spans="1:11" ht="28.8" hidden="1" x14ac:dyDescent="0.3">
      <c r="A277" s="34"/>
      <c r="C277" t="s">
        <v>44</v>
      </c>
      <c r="D277" t="s">
        <v>43</v>
      </c>
      <c r="E277" t="s">
        <v>42</v>
      </c>
      <c r="F277" t="s">
        <v>41</v>
      </c>
      <c r="G277" s="41" t="s">
        <v>40</v>
      </c>
      <c r="H277" s="41" t="s">
        <v>39</v>
      </c>
      <c r="I277" s="41" t="s">
        <v>38</v>
      </c>
      <c r="J277" s="41" t="s">
        <v>37</v>
      </c>
      <c r="K277" s="40" t="s">
        <v>36</v>
      </c>
    </row>
    <row r="278" spans="1:11" ht="18" hidden="1" x14ac:dyDescent="0.35">
      <c r="A278" s="34"/>
      <c r="C278" t="str">
        <f ca="1">RIGHT(A276,2)</f>
        <v>,8</v>
      </c>
      <c r="D278" t="str">
        <f ca="1">RIGHT(E278,1)</f>
        <v>1</v>
      </c>
      <c r="E278" s="39">
        <f ca="1">TRUNC(A276)</f>
        <v>1</v>
      </c>
      <c r="F278" s="15" t="str">
        <f ca="1">FIXED(A276-E278,G278)</f>
        <v>0,8</v>
      </c>
      <c r="G278">
        <f ca="1">ABS(E281-F281)</f>
        <v>1</v>
      </c>
      <c r="H278" t="str">
        <f ca="1">RIGHT(A276,G278)</f>
        <v>8</v>
      </c>
      <c r="I278">
        <v>0.5</v>
      </c>
      <c r="J278" s="13">
        <f ca="1">(A276-I278)</f>
        <v>1.3</v>
      </c>
      <c r="K278" s="38" t="str">
        <f ca="1">IF(C280=5,IF(AND(E276=0,D281=FALSE),J278,J279),J279)</f>
        <v>2</v>
      </c>
    </row>
    <row r="279" spans="1:11" hidden="1" x14ac:dyDescent="0.3">
      <c r="A279" s="34"/>
      <c r="C279" t="str">
        <f ca="1">RIGHT(C278,1)</f>
        <v>8</v>
      </c>
      <c r="D279">
        <f ca="1">D278+0</f>
        <v>1</v>
      </c>
      <c r="J279" t="str">
        <f ca="1">FIXED(A276,0)</f>
        <v>2</v>
      </c>
      <c r="K279" s="37"/>
    </row>
    <row r="280" spans="1:11" hidden="1" x14ac:dyDescent="0.3">
      <c r="A280" s="34"/>
      <c r="C280">
        <f ca="1">C279+0</f>
        <v>8</v>
      </c>
      <c r="D280" t="s">
        <v>35</v>
      </c>
      <c r="E280" t="s">
        <v>34</v>
      </c>
      <c r="F280" t="s">
        <v>33</v>
      </c>
      <c r="K280" s="30"/>
    </row>
    <row r="281" spans="1:11" ht="15" hidden="1" thickBot="1" x14ac:dyDescent="0.35">
      <c r="A281" s="36"/>
      <c r="B281" s="36"/>
      <c r="C281" s="36"/>
      <c r="D281" s="36" t="b">
        <f ca="1">ISODD(D278)</f>
        <v>1</v>
      </c>
      <c r="E281" s="36">
        <f ca="1">LEN(A276)</f>
        <v>3</v>
      </c>
      <c r="F281" s="36">
        <f ca="1">LEN(E278)+1</f>
        <v>2</v>
      </c>
      <c r="G281" s="36"/>
      <c r="H281" s="36"/>
      <c r="I281" s="36"/>
      <c r="J281" s="36"/>
      <c r="K281" s="35"/>
    </row>
    <row r="282" spans="1:11" ht="15" thickBot="1" x14ac:dyDescent="0.35">
      <c r="A282" s="183" t="s">
        <v>52</v>
      </c>
      <c r="B282" s="184"/>
      <c r="C282" s="184"/>
      <c r="D282" s="184"/>
      <c r="E282" s="184"/>
      <c r="F282" s="184"/>
      <c r="G282" s="184"/>
      <c r="H282" s="184"/>
      <c r="I282" s="184"/>
      <c r="J282" s="184"/>
      <c r="K282" s="185"/>
    </row>
    <row r="283" spans="1:11" ht="15" thickBot="1" x14ac:dyDescent="0.35">
      <c r="A283" s="34" t="s">
        <v>31</v>
      </c>
      <c r="B283" s="20" t="s">
        <v>30</v>
      </c>
      <c r="C283" t="str">
        <f ca="1">FIXED(A284,6)</f>
        <v>1,890339</v>
      </c>
      <c r="D283" t="str">
        <f ca="1">RIGHT(C283,1)</f>
        <v>9</v>
      </c>
      <c r="E283">
        <f ca="1">D283/1000000</f>
        <v>9.0000000000000002E-6</v>
      </c>
      <c r="F283" s="33">
        <f ca="1">A284-E283</f>
        <v>1.8903298680063196</v>
      </c>
      <c r="H283" t="str">
        <f ca="1">IF(C288=5,IF(AND(D284=0,D289=FALSE),J286,J287),J287)</f>
        <v>1,8903</v>
      </c>
      <c r="K283" s="30"/>
    </row>
    <row r="284" spans="1:11" ht="18.600000000000001" thickBot="1" x14ac:dyDescent="0.4">
      <c r="A284" s="32">
        <f ca="1">INCERTIDUMBRE!L13</f>
        <v>1.8903388680063196</v>
      </c>
      <c r="B284" s="31" t="str">
        <f ca="1">IF(A284&gt;=10,K318,IF(A284&gt;=1,K310,IF(A284&gt;=0.1,K302,IF(A284&gt;=0.01,K294,IF(A284&gt;=0.001,K286)))))</f>
        <v>1,9</v>
      </c>
      <c r="C284" t="s">
        <v>29</v>
      </c>
      <c r="D284">
        <f ca="1">D283+0</f>
        <v>9</v>
      </c>
      <c r="K284" s="30"/>
    </row>
    <row r="285" spans="1:11" ht="28.8" hidden="1" x14ac:dyDescent="0.3">
      <c r="A285" s="50"/>
      <c r="B285" s="50"/>
      <c r="C285" t="s">
        <v>44</v>
      </c>
      <c r="D285" t="s">
        <v>43</v>
      </c>
      <c r="E285" t="s">
        <v>42</v>
      </c>
      <c r="F285" t="s">
        <v>41</v>
      </c>
      <c r="G285" s="41" t="s">
        <v>40</v>
      </c>
      <c r="H285" s="41" t="s">
        <v>39</v>
      </c>
      <c r="I285" s="41" t="s">
        <v>38</v>
      </c>
      <c r="J285" s="41" t="s">
        <v>37</v>
      </c>
      <c r="K285" s="40" t="s">
        <v>36</v>
      </c>
    </row>
    <row r="286" spans="1:11" ht="18.600000000000001" hidden="1" thickBot="1" x14ac:dyDescent="0.4">
      <c r="A286" s="49"/>
      <c r="C286" t="str">
        <f ca="1">RIGHT(F283,2)</f>
        <v>32</v>
      </c>
      <c r="D286" t="str">
        <f ca="1">LEFT(C286,1)</f>
        <v>3</v>
      </c>
      <c r="E286" s="33">
        <f ca="1">TRUNC(A284)</f>
        <v>1</v>
      </c>
      <c r="F286" s="15" t="str">
        <f ca="1">FIXED(A284-E286,G286)</f>
        <v>0,89033886800632</v>
      </c>
      <c r="G286">
        <f ca="1">ABS(E289-F289)</f>
        <v>14</v>
      </c>
      <c r="H286" t="str">
        <f ca="1">RIGHT(A284,G286)</f>
        <v>89033886800632</v>
      </c>
      <c r="I286">
        <v>5.0000000000000002E-5</v>
      </c>
      <c r="J286" s="15">
        <f ca="1">(A284-I286)</f>
        <v>1.8902888680063195</v>
      </c>
      <c r="K286" s="48" t="str">
        <f ca="1">IF(C288=5,IF(AND(D284=0,D289=FALSE),J286,J287),J287)</f>
        <v>1,8903</v>
      </c>
    </row>
    <row r="287" spans="1:11" hidden="1" x14ac:dyDescent="0.3">
      <c r="A287" s="34"/>
      <c r="C287" t="str">
        <f ca="1">RIGHT(C286,1)</f>
        <v>2</v>
      </c>
      <c r="D287">
        <f ca="1">D286+0</f>
        <v>3</v>
      </c>
      <c r="J287" t="str">
        <f ca="1">FIXED(A284,4)</f>
        <v>1,8903</v>
      </c>
      <c r="K287" s="30"/>
    </row>
    <row r="288" spans="1:11" hidden="1" x14ac:dyDescent="0.3">
      <c r="A288" s="34"/>
      <c r="C288">
        <f ca="1">C287+0</f>
        <v>2</v>
      </c>
      <c r="D288" t="s">
        <v>35</v>
      </c>
      <c r="E288" t="s">
        <v>34</v>
      </c>
      <c r="F288" t="s">
        <v>33</v>
      </c>
      <c r="K288" s="30"/>
    </row>
    <row r="289" spans="1:11" hidden="1" x14ac:dyDescent="0.3">
      <c r="A289" s="34"/>
      <c r="D289" t="b">
        <f ca="1">ISODD(D286)</f>
        <v>1</v>
      </c>
      <c r="E289">
        <f ca="1">LEN(A284)</f>
        <v>16</v>
      </c>
      <c r="F289">
        <f ca="1">LEN(E286)+1</f>
        <v>2</v>
      </c>
      <c r="K289" s="30"/>
    </row>
    <row r="290" spans="1:11" hidden="1" x14ac:dyDescent="0.3">
      <c r="A290" s="34"/>
      <c r="K290" s="30"/>
    </row>
    <row r="291" spans="1:11" hidden="1" x14ac:dyDescent="0.3">
      <c r="A291" s="180" t="s">
        <v>48</v>
      </c>
      <c r="B291" s="181"/>
      <c r="C291" s="181"/>
      <c r="D291" s="181"/>
      <c r="E291" s="181"/>
      <c r="F291" s="181"/>
      <c r="G291" s="181"/>
      <c r="H291" s="181"/>
      <c r="I291" s="181"/>
      <c r="J291" s="181"/>
      <c r="K291" s="182"/>
    </row>
    <row r="292" spans="1:11" hidden="1" x14ac:dyDescent="0.3">
      <c r="A292" s="45" t="str">
        <f ca="1">K286</f>
        <v>1,8903</v>
      </c>
      <c r="C292" t="str">
        <f ca="1">FIXED(A284,5)</f>
        <v>1,89034</v>
      </c>
      <c r="D292" t="str">
        <f ca="1">RIGHT(C292,1)</f>
        <v>4</v>
      </c>
      <c r="E292">
        <f ca="1">D292+0</f>
        <v>4</v>
      </c>
      <c r="K292" s="30"/>
    </row>
    <row r="293" spans="1:11" ht="28.8" hidden="1" x14ac:dyDescent="0.3">
      <c r="A293" s="34"/>
      <c r="C293" t="s">
        <v>44</v>
      </c>
      <c r="D293" t="s">
        <v>43</v>
      </c>
      <c r="E293" t="s">
        <v>42</v>
      </c>
      <c r="F293" t="s">
        <v>41</v>
      </c>
      <c r="G293" s="41" t="s">
        <v>40</v>
      </c>
      <c r="H293" s="41" t="s">
        <v>39</v>
      </c>
      <c r="I293" s="41" t="s">
        <v>38</v>
      </c>
      <c r="J293" s="41" t="s">
        <v>37</v>
      </c>
      <c r="K293" s="40" t="s">
        <v>36</v>
      </c>
    </row>
    <row r="294" spans="1:11" ht="18" hidden="1" x14ac:dyDescent="0.35">
      <c r="A294" s="34"/>
      <c r="C294" t="str">
        <f ca="1">RIGHT(A292,2)</f>
        <v>03</v>
      </c>
      <c r="D294" t="str">
        <f ca="1">LEFT(C294,1)</f>
        <v>0</v>
      </c>
      <c r="E294" s="39">
        <f ca="1">TRUNC(A292)</f>
        <v>1</v>
      </c>
      <c r="F294" s="15" t="str">
        <f ca="1">FIXED(A292-E294,G294)</f>
        <v>0,8903</v>
      </c>
      <c r="G294">
        <f ca="1">ABS(E297-F297)</f>
        <v>4</v>
      </c>
      <c r="H294" t="str">
        <f ca="1">RIGHT(A292,G294)</f>
        <v>8903</v>
      </c>
      <c r="I294">
        <v>5.0000000000000001E-4</v>
      </c>
      <c r="J294" s="47">
        <f ca="1">(A292-I294)</f>
        <v>1.8898000000000001</v>
      </c>
      <c r="K294" s="46" t="str">
        <f ca="1">IF(C296=5,IF(AND(E292=0,D297=FALSE),J294,J295),J295)</f>
        <v>1,890</v>
      </c>
    </row>
    <row r="295" spans="1:11" hidden="1" x14ac:dyDescent="0.3">
      <c r="A295" s="34"/>
      <c r="C295" t="str">
        <f ca="1">RIGHT(C294,1)</f>
        <v>3</v>
      </c>
      <c r="D295">
        <f ca="1">D294+0</f>
        <v>0</v>
      </c>
      <c r="J295" t="str">
        <f ca="1">FIXED(A292,3)</f>
        <v>1,890</v>
      </c>
      <c r="K295" s="30"/>
    </row>
    <row r="296" spans="1:11" hidden="1" x14ac:dyDescent="0.3">
      <c r="A296" s="34"/>
      <c r="C296">
        <f ca="1">C295+0</f>
        <v>3</v>
      </c>
      <c r="D296" t="s">
        <v>35</v>
      </c>
      <c r="E296" t="s">
        <v>34</v>
      </c>
      <c r="F296" t="s">
        <v>33</v>
      </c>
      <c r="K296" s="30"/>
    </row>
    <row r="297" spans="1:11" hidden="1" x14ac:dyDescent="0.3">
      <c r="A297" s="34"/>
      <c r="D297" t="b">
        <f ca="1">ISODD(D294)</f>
        <v>0</v>
      </c>
      <c r="E297">
        <f ca="1">LEN(A292)</f>
        <v>6</v>
      </c>
      <c r="F297">
        <f ca="1">LEN(E294)+1</f>
        <v>2</v>
      </c>
      <c r="K297" s="30"/>
    </row>
    <row r="298" spans="1:11" hidden="1" x14ac:dyDescent="0.3">
      <c r="A298" s="34"/>
      <c r="K298" s="30"/>
    </row>
    <row r="299" spans="1:11" hidden="1" x14ac:dyDescent="0.3">
      <c r="A299" s="180" t="s">
        <v>47</v>
      </c>
      <c r="B299" s="181"/>
      <c r="C299" s="181"/>
      <c r="D299" s="181"/>
      <c r="E299" s="181"/>
      <c r="F299" s="181"/>
      <c r="G299" s="181"/>
      <c r="H299" s="181"/>
      <c r="I299" s="181"/>
      <c r="J299" s="181"/>
      <c r="K299" s="182"/>
    </row>
    <row r="300" spans="1:11" hidden="1" x14ac:dyDescent="0.3">
      <c r="A300" s="45" t="str">
        <f ca="1">K294</f>
        <v>1,890</v>
      </c>
      <c r="C300" t="str">
        <f ca="1">FIXED(A292,4)</f>
        <v>1,8903</v>
      </c>
      <c r="D300" t="str">
        <f ca="1">RIGHT(C300,1)</f>
        <v>3</v>
      </c>
      <c r="E300">
        <f ca="1">D300+0</f>
        <v>3</v>
      </c>
      <c r="K300" s="30"/>
    </row>
    <row r="301" spans="1:11" ht="28.8" hidden="1" x14ac:dyDescent="0.3">
      <c r="A301" s="34"/>
      <c r="C301" t="s">
        <v>44</v>
      </c>
      <c r="D301" t="s">
        <v>43</v>
      </c>
      <c r="E301" t="s">
        <v>42</v>
      </c>
      <c r="F301" t="s">
        <v>41</v>
      </c>
      <c r="G301" s="41" t="s">
        <v>40</v>
      </c>
      <c r="H301" s="41" t="s">
        <v>39</v>
      </c>
      <c r="I301" s="41" t="s">
        <v>38</v>
      </c>
      <c r="J301" s="41" t="s">
        <v>37</v>
      </c>
      <c r="K301" s="40" t="s">
        <v>36</v>
      </c>
    </row>
    <row r="302" spans="1:11" ht="18" hidden="1" x14ac:dyDescent="0.35">
      <c r="A302" s="34"/>
      <c r="C302" t="str">
        <f ca="1">RIGHT(A300,2)</f>
        <v>90</v>
      </c>
      <c r="D302" t="str">
        <f ca="1">LEFT(C302,1)</f>
        <v>9</v>
      </c>
      <c r="E302" s="39">
        <f ca="1">TRUNC(A300)</f>
        <v>1</v>
      </c>
      <c r="F302" s="15" t="str">
        <f ca="1">FIXED(A300-E302,G302)</f>
        <v>0,890</v>
      </c>
      <c r="G302">
        <f ca="1">ABS(E305-F305)</f>
        <v>3</v>
      </c>
      <c r="H302" t="str">
        <f ca="1">RIGHT(A300,G302)</f>
        <v>890</v>
      </c>
      <c r="I302">
        <v>5.0000000000000001E-3</v>
      </c>
      <c r="J302" s="3">
        <f ca="1">(A300-I302)</f>
        <v>1.885</v>
      </c>
      <c r="K302" s="44" t="str">
        <f ca="1">IF(C304=5,IF(AND(E300=0,D305=FALSE),J302,J303),J303)</f>
        <v>1,89</v>
      </c>
    </row>
    <row r="303" spans="1:11" ht="18" hidden="1" x14ac:dyDescent="0.35">
      <c r="A303" s="34"/>
      <c r="C303" t="str">
        <f ca="1">RIGHT(C302,1)</f>
        <v>0</v>
      </c>
      <c r="D303">
        <f ca="1">D302+0</f>
        <v>9</v>
      </c>
      <c r="J303" t="str">
        <f ca="1">FIXED(A300,2)</f>
        <v>1,89</v>
      </c>
      <c r="K303" s="44"/>
    </row>
    <row r="304" spans="1:11" hidden="1" x14ac:dyDescent="0.3">
      <c r="A304" s="34"/>
      <c r="C304">
        <f ca="1">C303+0</f>
        <v>0</v>
      </c>
      <c r="D304" t="s">
        <v>35</v>
      </c>
      <c r="E304" t="s">
        <v>34</v>
      </c>
      <c r="F304" t="s">
        <v>33</v>
      </c>
      <c r="K304" s="30"/>
    </row>
    <row r="305" spans="1:11" hidden="1" x14ac:dyDescent="0.3">
      <c r="A305" s="34"/>
      <c r="D305" t="b">
        <f ca="1">ISODD(D302)</f>
        <v>1</v>
      </c>
      <c r="E305">
        <f ca="1">LEN(A300)</f>
        <v>5</v>
      </c>
      <c r="F305">
        <f ca="1">LEN(E302)+1</f>
        <v>2</v>
      </c>
      <c r="K305" s="30"/>
    </row>
    <row r="306" spans="1:11" hidden="1" x14ac:dyDescent="0.3">
      <c r="A306" s="34"/>
      <c r="K306" s="30"/>
    </row>
    <row r="307" spans="1:11" hidden="1" x14ac:dyDescent="0.3">
      <c r="A307" s="180" t="s">
        <v>46</v>
      </c>
      <c r="B307" s="181"/>
      <c r="C307" s="181"/>
      <c r="D307" s="181"/>
      <c r="E307" s="181"/>
      <c r="F307" s="181"/>
      <c r="G307" s="181"/>
      <c r="H307" s="181"/>
      <c r="I307" s="181"/>
      <c r="J307" s="181"/>
      <c r="K307" s="182"/>
    </row>
    <row r="308" spans="1:11" hidden="1" x14ac:dyDescent="0.3">
      <c r="A308" s="42" t="str">
        <f ca="1">K302</f>
        <v>1,89</v>
      </c>
      <c r="C308" t="str">
        <f ca="1">FIXED(A300,3)</f>
        <v>1,890</v>
      </c>
      <c r="D308" t="str">
        <f ca="1">RIGHT(C308,1)</f>
        <v>0</v>
      </c>
      <c r="E308">
        <f ca="1">D308+0</f>
        <v>0</v>
      </c>
      <c r="K308" s="30"/>
    </row>
    <row r="309" spans="1:11" ht="28.8" hidden="1" x14ac:dyDescent="0.3">
      <c r="A309" s="34"/>
      <c r="C309" t="s">
        <v>44</v>
      </c>
      <c r="D309" t="s">
        <v>43</v>
      </c>
      <c r="E309" t="s">
        <v>42</v>
      </c>
      <c r="F309" t="s">
        <v>41</v>
      </c>
      <c r="G309" s="41" t="s">
        <v>40</v>
      </c>
      <c r="H309" s="41" t="s">
        <v>39</v>
      </c>
      <c r="I309" s="41" t="s">
        <v>38</v>
      </c>
      <c r="J309" s="41" t="s">
        <v>37</v>
      </c>
      <c r="K309" s="40" t="s">
        <v>36</v>
      </c>
    </row>
    <row r="310" spans="1:11" ht="18" hidden="1" x14ac:dyDescent="0.35">
      <c r="A310" s="34"/>
      <c r="C310" t="str">
        <f ca="1">RIGHT(A308,2)</f>
        <v>89</v>
      </c>
      <c r="D310" t="str">
        <f ca="1">LEFT(C310,1)</f>
        <v>8</v>
      </c>
      <c r="E310" s="39">
        <f ca="1">TRUNC(A308)</f>
        <v>1</v>
      </c>
      <c r="F310" s="15" t="str">
        <f ca="1">FIXED(A308-E310,G310)</f>
        <v>0,89</v>
      </c>
      <c r="G310">
        <f ca="1">ABS(E313-F313)</f>
        <v>2</v>
      </c>
      <c r="H310" t="str">
        <f ca="1">RIGHT(A308,G310)</f>
        <v>89</v>
      </c>
      <c r="I310">
        <v>0.05</v>
      </c>
      <c r="J310" s="3">
        <f ca="1">(A308-I310)</f>
        <v>1.8399999999999999</v>
      </c>
      <c r="K310" s="44" t="str">
        <f ca="1">IF(C312=5,IF(AND(E308=0,D313=FALSE),J310,J311),J311)</f>
        <v>1,9</v>
      </c>
    </row>
    <row r="311" spans="1:11" hidden="1" x14ac:dyDescent="0.3">
      <c r="A311" s="34"/>
      <c r="C311" t="str">
        <f ca="1">RIGHT(C310,1)</f>
        <v>9</v>
      </c>
      <c r="D311">
        <f ca="1">D310+0</f>
        <v>8</v>
      </c>
      <c r="J311" t="str">
        <f ca="1">FIXED(A308,1)</f>
        <v>1,9</v>
      </c>
      <c r="K311" s="43"/>
    </row>
    <row r="312" spans="1:11" hidden="1" x14ac:dyDescent="0.3">
      <c r="A312" s="34"/>
      <c r="C312">
        <f ca="1">C311+0</f>
        <v>9</v>
      </c>
      <c r="D312" t="s">
        <v>35</v>
      </c>
      <c r="E312" t="s">
        <v>34</v>
      </c>
      <c r="F312" t="s">
        <v>33</v>
      </c>
      <c r="K312" s="30"/>
    </row>
    <row r="313" spans="1:11" hidden="1" x14ac:dyDescent="0.3">
      <c r="A313" s="34"/>
      <c r="D313" t="b">
        <f ca="1">ISODD(D310)</f>
        <v>0</v>
      </c>
      <c r="E313">
        <f ca="1">LEN(A308)</f>
        <v>4</v>
      </c>
      <c r="F313">
        <f ca="1">LEN(E310)+1</f>
        <v>2</v>
      </c>
      <c r="K313" s="30"/>
    </row>
    <row r="314" spans="1:11" hidden="1" x14ac:dyDescent="0.3">
      <c r="A314" s="34"/>
      <c r="K314" s="30"/>
    </row>
    <row r="315" spans="1:11" hidden="1" x14ac:dyDescent="0.3">
      <c r="A315" s="180" t="s">
        <v>45</v>
      </c>
      <c r="B315" s="181"/>
      <c r="C315" s="181"/>
      <c r="D315" s="181"/>
      <c r="E315" s="181"/>
      <c r="F315" s="181"/>
      <c r="G315" s="181"/>
      <c r="H315" s="181"/>
      <c r="I315" s="181"/>
      <c r="J315" s="181"/>
      <c r="K315" s="182"/>
    </row>
    <row r="316" spans="1:11" hidden="1" x14ac:dyDescent="0.3">
      <c r="A316" s="42" t="str">
        <f ca="1">K310</f>
        <v>1,9</v>
      </c>
      <c r="C316" t="str">
        <f ca="1">FIXED(A308,2)</f>
        <v>1,89</v>
      </c>
      <c r="D316" t="str">
        <f ca="1">RIGHT(C316,1)</f>
        <v>9</v>
      </c>
      <c r="E316">
        <f ca="1">D316+0</f>
        <v>9</v>
      </c>
      <c r="K316" s="30"/>
    </row>
    <row r="317" spans="1:11" ht="28.8" hidden="1" x14ac:dyDescent="0.3">
      <c r="A317" s="34"/>
      <c r="C317" t="s">
        <v>44</v>
      </c>
      <c r="D317" t="s">
        <v>43</v>
      </c>
      <c r="E317" t="s">
        <v>42</v>
      </c>
      <c r="F317" t="s">
        <v>41</v>
      </c>
      <c r="G317" s="41" t="s">
        <v>40</v>
      </c>
      <c r="H317" s="41" t="s">
        <v>39</v>
      </c>
      <c r="I317" s="41" t="s">
        <v>38</v>
      </c>
      <c r="J317" s="41" t="s">
        <v>37</v>
      </c>
      <c r="K317" s="40" t="s">
        <v>36</v>
      </c>
    </row>
    <row r="318" spans="1:11" ht="18" hidden="1" x14ac:dyDescent="0.35">
      <c r="A318" s="34"/>
      <c r="C318" t="str">
        <f ca="1">RIGHT(A316,2)</f>
        <v>,9</v>
      </c>
      <c r="D318" t="str">
        <f ca="1">RIGHT(E318,1)</f>
        <v>1</v>
      </c>
      <c r="E318" s="39">
        <f ca="1">TRUNC(A316)</f>
        <v>1</v>
      </c>
      <c r="F318" s="15" t="str">
        <f ca="1">FIXED(A316-E318,G318)</f>
        <v>0,9</v>
      </c>
      <c r="G318">
        <f ca="1">ABS(E321-F321)</f>
        <v>1</v>
      </c>
      <c r="H318" t="str">
        <f ca="1">RIGHT(A316,G318)</f>
        <v>9</v>
      </c>
      <c r="I318">
        <v>0.5</v>
      </c>
      <c r="J318" s="13">
        <f ca="1">(A316-I318)</f>
        <v>1.4</v>
      </c>
      <c r="K318" s="38" t="str">
        <f ca="1">IF(C320=5,IF(AND(E316=0,D321=FALSE),J318,J319),J319)</f>
        <v>2</v>
      </c>
    </row>
    <row r="319" spans="1:11" hidden="1" x14ac:dyDescent="0.3">
      <c r="A319" s="34"/>
      <c r="C319" t="str">
        <f ca="1">RIGHT(C318,1)</f>
        <v>9</v>
      </c>
      <c r="D319">
        <f ca="1">D318+0</f>
        <v>1</v>
      </c>
      <c r="J319" t="str">
        <f ca="1">FIXED(A316,0)</f>
        <v>2</v>
      </c>
      <c r="K319" s="37"/>
    </row>
    <row r="320" spans="1:11" hidden="1" x14ac:dyDescent="0.3">
      <c r="A320" s="34"/>
      <c r="C320">
        <f ca="1">C319+0</f>
        <v>9</v>
      </c>
      <c r="D320" t="s">
        <v>35</v>
      </c>
      <c r="E320" t="s">
        <v>34</v>
      </c>
      <c r="F320" t="s">
        <v>33</v>
      </c>
      <c r="K320" s="30"/>
    </row>
    <row r="321" spans="1:11" ht="15" hidden="1" thickBot="1" x14ac:dyDescent="0.35">
      <c r="A321" s="36"/>
      <c r="B321" s="36"/>
      <c r="C321" s="36"/>
      <c r="D321" s="36" t="b">
        <f ca="1">ISODD(D318)</f>
        <v>1</v>
      </c>
      <c r="E321" s="36">
        <f ca="1">LEN(A316)</f>
        <v>3</v>
      </c>
      <c r="F321" s="36">
        <f ca="1">LEN(E318)+1</f>
        <v>2</v>
      </c>
      <c r="G321" s="36"/>
      <c r="H321" s="36"/>
      <c r="I321" s="36"/>
      <c r="J321" s="36"/>
      <c r="K321" s="35"/>
    </row>
    <row r="322" spans="1:11" ht="15" thickBot="1" x14ac:dyDescent="0.35">
      <c r="A322" s="183" t="s">
        <v>51</v>
      </c>
      <c r="B322" s="184"/>
      <c r="C322" s="184"/>
      <c r="D322" s="184"/>
      <c r="E322" s="184"/>
      <c r="F322" s="184"/>
      <c r="G322" s="184"/>
      <c r="H322" s="184"/>
      <c r="I322" s="184"/>
      <c r="J322" s="184"/>
      <c r="K322" s="185"/>
    </row>
    <row r="323" spans="1:11" ht="15" thickBot="1" x14ac:dyDescent="0.35">
      <c r="A323" s="34" t="s">
        <v>31</v>
      </c>
      <c r="B323" s="20" t="s">
        <v>30</v>
      </c>
      <c r="C323" t="str">
        <f ca="1">FIXED(A324,6)</f>
        <v>1,855304</v>
      </c>
      <c r="D323" t="str">
        <f ca="1">RIGHT(C323,1)</f>
        <v>4</v>
      </c>
      <c r="E323">
        <f ca="1">D323/1000000</f>
        <v>3.9999999999999998E-6</v>
      </c>
      <c r="F323" s="33">
        <f ca="1">A324-E323</f>
        <v>1.8553001025152769</v>
      </c>
      <c r="H323" t="str">
        <f ca="1">IF(C328=5,IF(AND(D324=0,D329=FALSE),J326,J327),J327)</f>
        <v>1,8553</v>
      </c>
      <c r="K323" s="30"/>
    </row>
    <row r="324" spans="1:11" ht="18.600000000000001" thickBot="1" x14ac:dyDescent="0.4">
      <c r="A324" s="32">
        <f ca="1">INCERTIDUMBRE!L14</f>
        <v>1.8553041025152768</v>
      </c>
      <c r="B324" s="31" t="str">
        <f ca="1">IF(A324&gt;=10,K358,IF(A324&gt;=1,K350,IF(A324&gt;=0.1,K342,IF(A324&gt;=0.01,K334,IF(A324&gt;=0.001,K326)))))</f>
        <v>1,9</v>
      </c>
      <c r="C324" t="s">
        <v>29</v>
      </c>
      <c r="D324">
        <f ca="1">D323+0</f>
        <v>4</v>
      </c>
      <c r="K324" s="30"/>
    </row>
    <row r="325" spans="1:11" ht="28.8" hidden="1" x14ac:dyDescent="0.3">
      <c r="A325" s="50"/>
      <c r="B325" s="50"/>
      <c r="C325" t="s">
        <v>44</v>
      </c>
      <c r="D325" t="s">
        <v>43</v>
      </c>
      <c r="E325" t="s">
        <v>42</v>
      </c>
      <c r="F325" t="s">
        <v>41</v>
      </c>
      <c r="G325" s="41" t="s">
        <v>40</v>
      </c>
      <c r="H325" s="41" t="s">
        <v>39</v>
      </c>
      <c r="I325" s="41" t="s">
        <v>38</v>
      </c>
      <c r="J325" s="41" t="s">
        <v>37</v>
      </c>
      <c r="K325" s="40" t="s">
        <v>36</v>
      </c>
    </row>
    <row r="326" spans="1:11" ht="18.600000000000001" hidden="1" thickBot="1" x14ac:dyDescent="0.4">
      <c r="A326" s="49"/>
      <c r="C326" t="str">
        <f ca="1">RIGHT(F323,2)</f>
        <v>28</v>
      </c>
      <c r="D326" t="str">
        <f ca="1">LEFT(C326,1)</f>
        <v>2</v>
      </c>
      <c r="E326" s="33">
        <f ca="1">TRUNC(A324)</f>
        <v>1</v>
      </c>
      <c r="F326" s="15" t="str">
        <f ca="1">FIXED(A324-E326,G326)</f>
        <v>0,85530410251528</v>
      </c>
      <c r="G326">
        <f ca="1">ABS(E329-F329)</f>
        <v>14</v>
      </c>
      <c r="H326" t="str">
        <f ca="1">RIGHT(A324,G326)</f>
        <v>85530410251528</v>
      </c>
      <c r="I326">
        <v>5.0000000000000002E-5</v>
      </c>
      <c r="J326" s="15">
        <f ca="1">(A324-I326)</f>
        <v>1.8552541025152767</v>
      </c>
      <c r="K326" s="48" t="str">
        <f ca="1">IF(C328=5,IF(AND(D324=0,D329=FALSE),J326,J327),J327)</f>
        <v>1,8553</v>
      </c>
    </row>
    <row r="327" spans="1:11" hidden="1" x14ac:dyDescent="0.3">
      <c r="A327" s="34"/>
      <c r="C327" t="str">
        <f ca="1">RIGHT(C326,1)</f>
        <v>8</v>
      </c>
      <c r="D327">
        <f ca="1">D326+0</f>
        <v>2</v>
      </c>
      <c r="J327" t="str">
        <f ca="1">FIXED(A324,4)</f>
        <v>1,8553</v>
      </c>
      <c r="K327" s="30"/>
    </row>
    <row r="328" spans="1:11" hidden="1" x14ac:dyDescent="0.3">
      <c r="A328" s="34"/>
      <c r="C328">
        <f ca="1">C327+0</f>
        <v>8</v>
      </c>
      <c r="D328" t="s">
        <v>35</v>
      </c>
      <c r="E328" t="s">
        <v>34</v>
      </c>
      <c r="F328" t="s">
        <v>33</v>
      </c>
      <c r="K328" s="30"/>
    </row>
    <row r="329" spans="1:11" hidden="1" x14ac:dyDescent="0.3">
      <c r="A329" s="34"/>
      <c r="D329" t="b">
        <f ca="1">ISODD(D326)</f>
        <v>0</v>
      </c>
      <c r="E329">
        <f ca="1">LEN(A324)</f>
        <v>16</v>
      </c>
      <c r="F329">
        <f ca="1">LEN(E326)+1</f>
        <v>2</v>
      </c>
      <c r="K329" s="30"/>
    </row>
    <row r="330" spans="1:11" hidden="1" x14ac:dyDescent="0.3">
      <c r="A330" s="34"/>
      <c r="K330" s="30"/>
    </row>
    <row r="331" spans="1:11" hidden="1" x14ac:dyDescent="0.3">
      <c r="A331" s="180" t="s">
        <v>48</v>
      </c>
      <c r="B331" s="181"/>
      <c r="C331" s="181"/>
      <c r="D331" s="181"/>
      <c r="E331" s="181"/>
      <c r="F331" s="181"/>
      <c r="G331" s="181"/>
      <c r="H331" s="181"/>
      <c r="I331" s="181"/>
      <c r="J331" s="181"/>
      <c r="K331" s="182"/>
    </row>
    <row r="332" spans="1:11" hidden="1" x14ac:dyDescent="0.3">
      <c r="A332" s="45" t="str">
        <f ca="1">K326</f>
        <v>1,8553</v>
      </c>
      <c r="C332" t="str">
        <f ca="1">FIXED(A324,5)</f>
        <v>1,85530</v>
      </c>
      <c r="D332" t="str">
        <f ca="1">RIGHT(C332,1)</f>
        <v>0</v>
      </c>
      <c r="E332">
        <f ca="1">D332+0</f>
        <v>0</v>
      </c>
      <c r="K332" s="30"/>
    </row>
    <row r="333" spans="1:11" ht="28.8" hidden="1" x14ac:dyDescent="0.3">
      <c r="A333" s="34"/>
      <c r="C333" t="s">
        <v>44</v>
      </c>
      <c r="D333" t="s">
        <v>43</v>
      </c>
      <c r="E333" t="s">
        <v>42</v>
      </c>
      <c r="F333" t="s">
        <v>41</v>
      </c>
      <c r="G333" s="41" t="s">
        <v>40</v>
      </c>
      <c r="H333" s="41" t="s">
        <v>39</v>
      </c>
      <c r="I333" s="41" t="s">
        <v>38</v>
      </c>
      <c r="J333" s="41" t="s">
        <v>37</v>
      </c>
      <c r="K333" s="40" t="s">
        <v>36</v>
      </c>
    </row>
    <row r="334" spans="1:11" ht="18" hidden="1" x14ac:dyDescent="0.35">
      <c r="A334" s="34"/>
      <c r="C334" t="str">
        <f ca="1">RIGHT(A332,2)</f>
        <v>53</v>
      </c>
      <c r="D334" t="str">
        <f ca="1">LEFT(C334,1)</f>
        <v>5</v>
      </c>
      <c r="E334" s="39">
        <f ca="1">TRUNC(A332)</f>
        <v>1</v>
      </c>
      <c r="F334" s="15" t="str">
        <f ca="1">FIXED(A332-E334,G334)</f>
        <v>0,8553</v>
      </c>
      <c r="G334">
        <f ca="1">ABS(E337-F337)</f>
        <v>4</v>
      </c>
      <c r="H334" t="str">
        <f ca="1">RIGHT(A332,G334)</f>
        <v>8553</v>
      </c>
      <c r="I334">
        <v>5.0000000000000001E-4</v>
      </c>
      <c r="J334" s="47">
        <f ca="1">(A332-I334)</f>
        <v>1.8548</v>
      </c>
      <c r="K334" s="46" t="str">
        <f ca="1">IF(C336=5,IF(AND(E332=0,D337=FALSE),J334,J335),J335)</f>
        <v>1,855</v>
      </c>
    </row>
    <row r="335" spans="1:11" hidden="1" x14ac:dyDescent="0.3">
      <c r="A335" s="34"/>
      <c r="C335" t="str">
        <f ca="1">RIGHT(C334,1)</f>
        <v>3</v>
      </c>
      <c r="D335">
        <f ca="1">D334+0</f>
        <v>5</v>
      </c>
      <c r="J335" t="str">
        <f ca="1">FIXED(A332,3)</f>
        <v>1,855</v>
      </c>
      <c r="K335" s="30"/>
    </row>
    <row r="336" spans="1:11" hidden="1" x14ac:dyDescent="0.3">
      <c r="A336" s="34"/>
      <c r="C336">
        <f ca="1">C335+0</f>
        <v>3</v>
      </c>
      <c r="D336" t="s">
        <v>35</v>
      </c>
      <c r="E336" t="s">
        <v>34</v>
      </c>
      <c r="F336" t="s">
        <v>33</v>
      </c>
      <c r="K336" s="30"/>
    </row>
    <row r="337" spans="1:11" hidden="1" x14ac:dyDescent="0.3">
      <c r="A337" s="34"/>
      <c r="D337" t="b">
        <f ca="1">ISODD(D334)</f>
        <v>1</v>
      </c>
      <c r="E337">
        <f ca="1">LEN(A332)</f>
        <v>6</v>
      </c>
      <c r="F337">
        <f ca="1">LEN(E334)+1</f>
        <v>2</v>
      </c>
      <c r="K337" s="30"/>
    </row>
    <row r="338" spans="1:11" hidden="1" x14ac:dyDescent="0.3">
      <c r="A338" s="34"/>
      <c r="K338" s="30"/>
    </row>
    <row r="339" spans="1:11" hidden="1" x14ac:dyDescent="0.3">
      <c r="A339" s="180" t="s">
        <v>47</v>
      </c>
      <c r="B339" s="181"/>
      <c r="C339" s="181"/>
      <c r="D339" s="181"/>
      <c r="E339" s="181"/>
      <c r="F339" s="181"/>
      <c r="G339" s="181"/>
      <c r="H339" s="181"/>
      <c r="I339" s="181"/>
      <c r="J339" s="181"/>
      <c r="K339" s="182"/>
    </row>
    <row r="340" spans="1:11" hidden="1" x14ac:dyDescent="0.3">
      <c r="A340" s="45" t="str">
        <f ca="1">K334</f>
        <v>1,855</v>
      </c>
      <c r="C340" t="str">
        <f ca="1">FIXED(A332,4)</f>
        <v>1,8553</v>
      </c>
      <c r="D340" t="str">
        <f ca="1">RIGHT(C340,1)</f>
        <v>3</v>
      </c>
      <c r="E340">
        <f ca="1">D340+0</f>
        <v>3</v>
      </c>
      <c r="K340" s="30"/>
    </row>
    <row r="341" spans="1:11" ht="28.8" hidden="1" x14ac:dyDescent="0.3">
      <c r="A341" s="34"/>
      <c r="C341" t="s">
        <v>44</v>
      </c>
      <c r="D341" t="s">
        <v>43</v>
      </c>
      <c r="E341" t="s">
        <v>42</v>
      </c>
      <c r="F341" t="s">
        <v>41</v>
      </c>
      <c r="G341" s="41" t="s">
        <v>40</v>
      </c>
      <c r="H341" s="41" t="s">
        <v>39</v>
      </c>
      <c r="I341" s="41" t="s">
        <v>38</v>
      </c>
      <c r="J341" s="41" t="s">
        <v>37</v>
      </c>
      <c r="K341" s="40" t="s">
        <v>36</v>
      </c>
    </row>
    <row r="342" spans="1:11" ht="18" hidden="1" x14ac:dyDescent="0.35">
      <c r="A342" s="34"/>
      <c r="C342" t="str">
        <f ca="1">RIGHT(A340,2)</f>
        <v>55</v>
      </c>
      <c r="D342" t="str">
        <f ca="1">LEFT(C342,1)</f>
        <v>5</v>
      </c>
      <c r="E342" s="39">
        <f ca="1">TRUNC(A340)</f>
        <v>1</v>
      </c>
      <c r="F342" s="15" t="str">
        <f ca="1">FIXED(A340-E342,G342)</f>
        <v>0,855</v>
      </c>
      <c r="G342">
        <f ca="1">ABS(E345-F345)</f>
        <v>3</v>
      </c>
      <c r="H342" t="str">
        <f ca="1">RIGHT(A340,G342)</f>
        <v>855</v>
      </c>
      <c r="I342">
        <v>5.0000000000000001E-3</v>
      </c>
      <c r="J342" s="3">
        <f ca="1">(A340-I342)</f>
        <v>1.85</v>
      </c>
      <c r="K342" s="44" t="str">
        <f ca="1">IF(C344=5,IF(AND(E340=0,D345=FALSE),J342,J343),J343)</f>
        <v>1,86</v>
      </c>
    </row>
    <row r="343" spans="1:11" ht="18" hidden="1" x14ac:dyDescent="0.35">
      <c r="A343" s="34"/>
      <c r="C343" t="str">
        <f ca="1">RIGHT(C342,1)</f>
        <v>5</v>
      </c>
      <c r="D343">
        <f ca="1">D342+0</f>
        <v>5</v>
      </c>
      <c r="J343" t="str">
        <f ca="1">FIXED(A340,2)</f>
        <v>1,86</v>
      </c>
      <c r="K343" s="44"/>
    </row>
    <row r="344" spans="1:11" hidden="1" x14ac:dyDescent="0.3">
      <c r="A344" s="34"/>
      <c r="C344">
        <f ca="1">C343+0</f>
        <v>5</v>
      </c>
      <c r="D344" t="s">
        <v>35</v>
      </c>
      <c r="E344" t="s">
        <v>34</v>
      </c>
      <c r="F344" t="s">
        <v>33</v>
      </c>
      <c r="K344" s="30"/>
    </row>
    <row r="345" spans="1:11" hidden="1" x14ac:dyDescent="0.3">
      <c r="A345" s="34"/>
      <c r="D345" t="b">
        <f ca="1">ISODD(D342)</f>
        <v>1</v>
      </c>
      <c r="E345">
        <f ca="1">LEN(A340)</f>
        <v>5</v>
      </c>
      <c r="F345">
        <f ca="1">LEN(E342)+1</f>
        <v>2</v>
      </c>
      <c r="K345" s="30"/>
    </row>
    <row r="346" spans="1:11" hidden="1" x14ac:dyDescent="0.3">
      <c r="A346" s="34"/>
      <c r="K346" s="30"/>
    </row>
    <row r="347" spans="1:11" hidden="1" x14ac:dyDescent="0.3">
      <c r="A347" s="180" t="s">
        <v>46</v>
      </c>
      <c r="B347" s="181"/>
      <c r="C347" s="181"/>
      <c r="D347" s="181"/>
      <c r="E347" s="181"/>
      <c r="F347" s="181"/>
      <c r="G347" s="181"/>
      <c r="H347" s="181"/>
      <c r="I347" s="181"/>
      <c r="J347" s="181"/>
      <c r="K347" s="182"/>
    </row>
    <row r="348" spans="1:11" hidden="1" x14ac:dyDescent="0.3">
      <c r="A348" s="42" t="str">
        <f ca="1">K342</f>
        <v>1,86</v>
      </c>
      <c r="C348" t="str">
        <f ca="1">FIXED(A340,3)</f>
        <v>1,855</v>
      </c>
      <c r="D348" t="str">
        <f ca="1">RIGHT(C348,1)</f>
        <v>5</v>
      </c>
      <c r="E348">
        <f ca="1">D348+0</f>
        <v>5</v>
      </c>
      <c r="K348" s="30"/>
    </row>
    <row r="349" spans="1:11" ht="28.8" hidden="1" x14ac:dyDescent="0.3">
      <c r="A349" s="34"/>
      <c r="C349" t="s">
        <v>44</v>
      </c>
      <c r="D349" t="s">
        <v>43</v>
      </c>
      <c r="E349" t="s">
        <v>42</v>
      </c>
      <c r="F349" t="s">
        <v>41</v>
      </c>
      <c r="G349" s="41" t="s">
        <v>40</v>
      </c>
      <c r="H349" s="41" t="s">
        <v>39</v>
      </c>
      <c r="I349" s="41" t="s">
        <v>38</v>
      </c>
      <c r="J349" s="41" t="s">
        <v>37</v>
      </c>
      <c r="K349" s="40" t="s">
        <v>36</v>
      </c>
    </row>
    <row r="350" spans="1:11" ht="18" hidden="1" x14ac:dyDescent="0.35">
      <c r="A350" s="34"/>
      <c r="C350" t="str">
        <f ca="1">RIGHT(A348,2)</f>
        <v>86</v>
      </c>
      <c r="D350" t="str">
        <f ca="1">LEFT(C350,1)</f>
        <v>8</v>
      </c>
      <c r="E350" s="39">
        <f ca="1">TRUNC(A348)</f>
        <v>1</v>
      </c>
      <c r="F350" s="15" t="str">
        <f ca="1">FIXED(A348-E350,G350)</f>
        <v>0,86</v>
      </c>
      <c r="G350">
        <f ca="1">ABS(E353-F353)</f>
        <v>2</v>
      </c>
      <c r="H350" t="str">
        <f ca="1">RIGHT(A348,G350)</f>
        <v>86</v>
      </c>
      <c r="I350">
        <v>0.05</v>
      </c>
      <c r="J350" s="3">
        <f ca="1">(A348-I350)</f>
        <v>1.81</v>
      </c>
      <c r="K350" s="44" t="str">
        <f ca="1">IF(C352=5,IF(AND(E348=0,D353=FALSE),J350,J351),J351)</f>
        <v>1,9</v>
      </c>
    </row>
    <row r="351" spans="1:11" hidden="1" x14ac:dyDescent="0.3">
      <c r="A351" s="34"/>
      <c r="C351" t="str">
        <f ca="1">RIGHT(C350,1)</f>
        <v>6</v>
      </c>
      <c r="D351">
        <f ca="1">D350+0</f>
        <v>8</v>
      </c>
      <c r="J351" t="str">
        <f ca="1">FIXED(A348,1)</f>
        <v>1,9</v>
      </c>
      <c r="K351" s="43"/>
    </row>
    <row r="352" spans="1:11" hidden="1" x14ac:dyDescent="0.3">
      <c r="A352" s="34"/>
      <c r="C352">
        <f ca="1">C351+0</f>
        <v>6</v>
      </c>
      <c r="D352" t="s">
        <v>35</v>
      </c>
      <c r="E352" t="s">
        <v>34</v>
      </c>
      <c r="F352" t="s">
        <v>33</v>
      </c>
      <c r="K352" s="30"/>
    </row>
    <row r="353" spans="1:11" hidden="1" x14ac:dyDescent="0.3">
      <c r="A353" s="34"/>
      <c r="D353" t="b">
        <f ca="1">ISODD(D350)</f>
        <v>0</v>
      </c>
      <c r="E353">
        <f ca="1">LEN(A348)</f>
        <v>4</v>
      </c>
      <c r="F353">
        <f ca="1">LEN(E350)+1</f>
        <v>2</v>
      </c>
      <c r="K353" s="30"/>
    </row>
    <row r="354" spans="1:11" hidden="1" x14ac:dyDescent="0.3">
      <c r="A354" s="34"/>
      <c r="K354" s="30"/>
    </row>
    <row r="355" spans="1:11" hidden="1" x14ac:dyDescent="0.3">
      <c r="A355" s="180" t="s">
        <v>45</v>
      </c>
      <c r="B355" s="181"/>
      <c r="C355" s="181"/>
      <c r="D355" s="181"/>
      <c r="E355" s="181"/>
      <c r="F355" s="181"/>
      <c r="G355" s="181"/>
      <c r="H355" s="181"/>
      <c r="I355" s="181"/>
      <c r="J355" s="181"/>
      <c r="K355" s="182"/>
    </row>
    <row r="356" spans="1:11" hidden="1" x14ac:dyDescent="0.3">
      <c r="A356" s="42" t="str">
        <f ca="1">K350</f>
        <v>1,9</v>
      </c>
      <c r="C356" t="str">
        <f ca="1">FIXED(A348,2)</f>
        <v>1,86</v>
      </c>
      <c r="D356" t="str">
        <f ca="1">RIGHT(C356,1)</f>
        <v>6</v>
      </c>
      <c r="E356">
        <f ca="1">D356+0</f>
        <v>6</v>
      </c>
      <c r="K356" s="30"/>
    </row>
    <row r="357" spans="1:11" ht="28.8" hidden="1" x14ac:dyDescent="0.3">
      <c r="A357" s="34"/>
      <c r="C357" t="s">
        <v>44</v>
      </c>
      <c r="D357" t="s">
        <v>43</v>
      </c>
      <c r="E357" t="s">
        <v>42</v>
      </c>
      <c r="F357" t="s">
        <v>41</v>
      </c>
      <c r="G357" s="41" t="s">
        <v>40</v>
      </c>
      <c r="H357" s="41" t="s">
        <v>39</v>
      </c>
      <c r="I357" s="41" t="s">
        <v>38</v>
      </c>
      <c r="J357" s="41" t="s">
        <v>37</v>
      </c>
      <c r="K357" s="40" t="s">
        <v>36</v>
      </c>
    </row>
    <row r="358" spans="1:11" ht="18" hidden="1" x14ac:dyDescent="0.35">
      <c r="A358" s="34"/>
      <c r="C358" t="str">
        <f ca="1">RIGHT(A356,2)</f>
        <v>,9</v>
      </c>
      <c r="D358" t="str">
        <f ca="1">RIGHT(E358,1)</f>
        <v>1</v>
      </c>
      <c r="E358" s="39">
        <f ca="1">TRUNC(A356)</f>
        <v>1</v>
      </c>
      <c r="F358" s="15" t="str">
        <f ca="1">FIXED(A356-E358,G358)</f>
        <v>0,9</v>
      </c>
      <c r="G358">
        <f ca="1">ABS(E361-F361)</f>
        <v>1</v>
      </c>
      <c r="H358" t="str">
        <f ca="1">RIGHT(A356,G358)</f>
        <v>9</v>
      </c>
      <c r="I358">
        <v>0.5</v>
      </c>
      <c r="J358" s="13">
        <f ca="1">(A356-I358)</f>
        <v>1.4</v>
      </c>
      <c r="K358" s="38" t="str">
        <f ca="1">IF(C360=5,IF(AND(E356=0,D361=FALSE),J358,J359),J359)</f>
        <v>2</v>
      </c>
    </row>
    <row r="359" spans="1:11" hidden="1" x14ac:dyDescent="0.3">
      <c r="A359" s="34"/>
      <c r="C359" t="str">
        <f ca="1">RIGHT(C358,1)</f>
        <v>9</v>
      </c>
      <c r="D359">
        <f ca="1">D358+0</f>
        <v>1</v>
      </c>
      <c r="J359" t="str">
        <f ca="1">FIXED(A356,0)</f>
        <v>2</v>
      </c>
      <c r="K359" s="37"/>
    </row>
    <row r="360" spans="1:11" hidden="1" x14ac:dyDescent="0.3">
      <c r="A360" s="34"/>
      <c r="C360">
        <f ca="1">C359+0</f>
        <v>9</v>
      </c>
      <c r="D360" t="s">
        <v>35</v>
      </c>
      <c r="E360" t="s">
        <v>34</v>
      </c>
      <c r="F360" t="s">
        <v>33</v>
      </c>
      <c r="K360" s="30"/>
    </row>
    <row r="361" spans="1:11" ht="15" hidden="1" thickBot="1" x14ac:dyDescent="0.35">
      <c r="A361" s="36"/>
      <c r="B361" s="36"/>
      <c r="C361" s="36"/>
      <c r="D361" s="36" t="b">
        <f ca="1">ISODD(D358)</f>
        <v>1</v>
      </c>
      <c r="E361" s="36">
        <f ca="1">LEN(A356)</f>
        <v>3</v>
      </c>
      <c r="F361" s="36">
        <f ca="1">LEN(E358)+1</f>
        <v>2</v>
      </c>
      <c r="G361" s="36"/>
      <c r="H361" s="36"/>
      <c r="I361" s="36"/>
      <c r="J361" s="36"/>
      <c r="K361" s="35"/>
    </row>
    <row r="362" spans="1:11" ht="15" thickBot="1" x14ac:dyDescent="0.35">
      <c r="A362" s="183" t="s">
        <v>50</v>
      </c>
      <c r="B362" s="184"/>
      <c r="C362" s="184"/>
      <c r="D362" s="184"/>
      <c r="E362" s="184"/>
      <c r="F362" s="184"/>
      <c r="G362" s="184"/>
      <c r="H362" s="184"/>
      <c r="I362" s="184"/>
      <c r="J362" s="184"/>
      <c r="K362" s="185"/>
    </row>
    <row r="363" spans="1:11" ht="15" thickBot="1" x14ac:dyDescent="0.35">
      <c r="A363" s="34" t="s">
        <v>31</v>
      </c>
      <c r="B363" s="20" t="s">
        <v>30</v>
      </c>
      <c r="C363" t="str">
        <f ca="1">FIXED(A364,6)</f>
        <v>1,808559</v>
      </c>
      <c r="D363" t="str">
        <f ca="1">RIGHT(C363,1)</f>
        <v>9</v>
      </c>
      <c r="E363">
        <f ca="1">D363/1000000</f>
        <v>9.0000000000000002E-6</v>
      </c>
      <c r="F363" s="33">
        <f ca="1">A364-E363</f>
        <v>1.8085503079765013</v>
      </c>
      <c r="H363" t="str">
        <f ca="1">IF(C368=5,IF(AND(D364=0,D369=FALSE),J366,J367),J367)</f>
        <v>1,8086</v>
      </c>
      <c r="K363" s="30"/>
    </row>
    <row r="364" spans="1:11" ht="18.600000000000001" thickBot="1" x14ac:dyDescent="0.4">
      <c r="A364" s="32">
        <f ca="1">INCERTIDUMBRE!L15</f>
        <v>1.8085593079765012</v>
      </c>
      <c r="B364" s="31" t="str">
        <f ca="1">IF(A364&gt;=10,K398,IF(A364&gt;=1,K390,IF(A364&gt;=0.1,K382,IF(A364&gt;=0.01,K374,IF(A364&gt;=0.001,K366)))))</f>
        <v>1,8</v>
      </c>
      <c r="C364" t="s">
        <v>29</v>
      </c>
      <c r="D364">
        <f ca="1">D363+0</f>
        <v>9</v>
      </c>
      <c r="K364" s="30"/>
    </row>
    <row r="365" spans="1:11" ht="28.8" hidden="1" x14ac:dyDescent="0.3">
      <c r="A365" s="50"/>
      <c r="B365" s="50"/>
      <c r="C365" t="s">
        <v>44</v>
      </c>
      <c r="D365" t="s">
        <v>43</v>
      </c>
      <c r="E365" t="s">
        <v>42</v>
      </c>
      <c r="F365" t="s">
        <v>41</v>
      </c>
      <c r="G365" s="41" t="s">
        <v>40</v>
      </c>
      <c r="H365" s="41" t="s">
        <v>39</v>
      </c>
      <c r="I365" s="41" t="s">
        <v>38</v>
      </c>
      <c r="J365" s="41" t="s">
        <v>37</v>
      </c>
      <c r="K365" s="40" t="s">
        <v>36</v>
      </c>
    </row>
    <row r="366" spans="1:11" ht="18.600000000000001" hidden="1" thickBot="1" x14ac:dyDescent="0.4">
      <c r="A366" s="49"/>
      <c r="C366" t="str">
        <f ca="1">RIGHT(F363,2)</f>
        <v>65</v>
      </c>
      <c r="D366" t="str">
        <f ca="1">LEFT(C366,1)</f>
        <v>6</v>
      </c>
      <c r="E366" s="33">
        <f ca="1">TRUNC(A364)</f>
        <v>1</v>
      </c>
      <c r="F366" s="15" t="str">
        <f ca="1">FIXED(A364-E366,G366)</f>
        <v>0,8085593079765</v>
      </c>
      <c r="G366">
        <f ca="1">ABS(E369-F369)</f>
        <v>13</v>
      </c>
      <c r="H366" t="str">
        <f ca="1">RIGHT(A364,G366)</f>
        <v>8085593079765</v>
      </c>
      <c r="I366">
        <v>5.0000000000000002E-5</v>
      </c>
      <c r="J366" s="15">
        <f ca="1">(A364-I366)</f>
        <v>1.8085093079765011</v>
      </c>
      <c r="K366" s="48" t="str">
        <f ca="1">IF(C368=5,IF(AND(D364=0,D369=FALSE),J366,J367),J367)</f>
        <v>1,8086</v>
      </c>
    </row>
    <row r="367" spans="1:11" hidden="1" x14ac:dyDescent="0.3">
      <c r="A367" s="34"/>
      <c r="C367" t="str">
        <f ca="1">RIGHT(C366,1)</f>
        <v>5</v>
      </c>
      <c r="D367">
        <f ca="1">D366+0</f>
        <v>6</v>
      </c>
      <c r="J367" t="str">
        <f ca="1">FIXED(A364,4)</f>
        <v>1,8086</v>
      </c>
      <c r="K367" s="30"/>
    </row>
    <row r="368" spans="1:11" hidden="1" x14ac:dyDescent="0.3">
      <c r="A368" s="34"/>
      <c r="C368">
        <f ca="1">C367+0</f>
        <v>5</v>
      </c>
      <c r="D368" t="s">
        <v>35</v>
      </c>
      <c r="E368" t="s">
        <v>34</v>
      </c>
      <c r="F368" t="s">
        <v>33</v>
      </c>
      <c r="K368" s="30"/>
    </row>
    <row r="369" spans="1:11" hidden="1" x14ac:dyDescent="0.3">
      <c r="A369" s="34"/>
      <c r="D369" t="b">
        <f ca="1">ISODD(D366)</f>
        <v>0</v>
      </c>
      <c r="E369">
        <f ca="1">LEN(A364)</f>
        <v>15</v>
      </c>
      <c r="F369">
        <f ca="1">LEN(E366)+1</f>
        <v>2</v>
      </c>
      <c r="K369" s="30"/>
    </row>
    <row r="370" spans="1:11" hidden="1" x14ac:dyDescent="0.3">
      <c r="A370" s="34"/>
      <c r="K370" s="30"/>
    </row>
    <row r="371" spans="1:11" hidden="1" x14ac:dyDescent="0.3">
      <c r="A371" s="180" t="s">
        <v>48</v>
      </c>
      <c r="B371" s="181"/>
      <c r="C371" s="181"/>
      <c r="D371" s="181"/>
      <c r="E371" s="181"/>
      <c r="F371" s="181"/>
      <c r="G371" s="181"/>
      <c r="H371" s="181"/>
      <c r="I371" s="181"/>
      <c r="J371" s="181"/>
      <c r="K371" s="182"/>
    </row>
    <row r="372" spans="1:11" hidden="1" x14ac:dyDescent="0.3">
      <c r="A372" s="45" t="str">
        <f ca="1">K366</f>
        <v>1,8086</v>
      </c>
      <c r="C372" t="str">
        <f ca="1">FIXED(A364,5)</f>
        <v>1,80856</v>
      </c>
      <c r="D372" t="str">
        <f ca="1">RIGHT(C372,1)</f>
        <v>6</v>
      </c>
      <c r="E372">
        <f ca="1">D372+0</f>
        <v>6</v>
      </c>
      <c r="K372" s="30"/>
    </row>
    <row r="373" spans="1:11" ht="28.8" hidden="1" x14ac:dyDescent="0.3">
      <c r="A373" s="34"/>
      <c r="C373" t="s">
        <v>44</v>
      </c>
      <c r="D373" t="s">
        <v>43</v>
      </c>
      <c r="E373" t="s">
        <v>42</v>
      </c>
      <c r="F373" t="s">
        <v>41</v>
      </c>
      <c r="G373" s="41" t="s">
        <v>40</v>
      </c>
      <c r="H373" s="41" t="s">
        <v>39</v>
      </c>
      <c r="I373" s="41" t="s">
        <v>38</v>
      </c>
      <c r="J373" s="41" t="s">
        <v>37</v>
      </c>
      <c r="K373" s="40" t="s">
        <v>36</v>
      </c>
    </row>
    <row r="374" spans="1:11" ht="18" hidden="1" x14ac:dyDescent="0.35">
      <c r="A374" s="34"/>
      <c r="C374" t="str">
        <f ca="1">RIGHT(A372,2)</f>
        <v>86</v>
      </c>
      <c r="D374" t="str">
        <f ca="1">LEFT(C374,1)</f>
        <v>8</v>
      </c>
      <c r="E374" s="39">
        <f ca="1">TRUNC(A372)</f>
        <v>1</v>
      </c>
      <c r="F374" s="15" t="str">
        <f ca="1">FIXED(A372-E374,G374)</f>
        <v>0,8086</v>
      </c>
      <c r="G374">
        <f ca="1">ABS(E377-F377)</f>
        <v>4</v>
      </c>
      <c r="H374" t="str">
        <f ca="1">RIGHT(A372,G374)</f>
        <v>8086</v>
      </c>
      <c r="I374">
        <v>5.0000000000000001E-4</v>
      </c>
      <c r="J374" s="47">
        <f ca="1">(A372-I374)</f>
        <v>1.8081</v>
      </c>
      <c r="K374" s="46" t="str">
        <f ca="1">IF(C376=5,IF(AND(E372=0,D377=FALSE),J374,J375),J375)</f>
        <v>1,809</v>
      </c>
    </row>
    <row r="375" spans="1:11" hidden="1" x14ac:dyDescent="0.3">
      <c r="A375" s="34"/>
      <c r="C375" t="str">
        <f ca="1">RIGHT(C374,1)</f>
        <v>6</v>
      </c>
      <c r="D375">
        <f ca="1">D374+0</f>
        <v>8</v>
      </c>
      <c r="J375" t="str">
        <f ca="1">FIXED(A372,3)</f>
        <v>1,809</v>
      </c>
      <c r="K375" s="30"/>
    </row>
    <row r="376" spans="1:11" hidden="1" x14ac:dyDescent="0.3">
      <c r="A376" s="34"/>
      <c r="C376">
        <f ca="1">C375+0</f>
        <v>6</v>
      </c>
      <c r="D376" t="s">
        <v>35</v>
      </c>
      <c r="E376" t="s">
        <v>34</v>
      </c>
      <c r="F376" t="s">
        <v>33</v>
      </c>
      <c r="K376" s="30"/>
    </row>
    <row r="377" spans="1:11" hidden="1" x14ac:dyDescent="0.3">
      <c r="A377" s="34"/>
      <c r="D377" t="b">
        <f ca="1">ISODD(D374)</f>
        <v>0</v>
      </c>
      <c r="E377">
        <f ca="1">LEN(A372)</f>
        <v>6</v>
      </c>
      <c r="F377">
        <f ca="1">LEN(E374)+1</f>
        <v>2</v>
      </c>
      <c r="K377" s="30"/>
    </row>
    <row r="378" spans="1:11" hidden="1" x14ac:dyDescent="0.3">
      <c r="A378" s="34"/>
      <c r="K378" s="30"/>
    </row>
    <row r="379" spans="1:11" hidden="1" x14ac:dyDescent="0.3">
      <c r="A379" s="180" t="s">
        <v>47</v>
      </c>
      <c r="B379" s="181"/>
      <c r="C379" s="181"/>
      <c r="D379" s="181"/>
      <c r="E379" s="181"/>
      <c r="F379" s="181"/>
      <c r="G379" s="181"/>
      <c r="H379" s="181"/>
      <c r="I379" s="181"/>
      <c r="J379" s="181"/>
      <c r="K379" s="182"/>
    </row>
    <row r="380" spans="1:11" hidden="1" x14ac:dyDescent="0.3">
      <c r="A380" s="45" t="str">
        <f ca="1">K374</f>
        <v>1,809</v>
      </c>
      <c r="C380" t="str">
        <f ca="1">FIXED(A372,4)</f>
        <v>1,8086</v>
      </c>
      <c r="D380" t="str">
        <f ca="1">RIGHT(C380,1)</f>
        <v>6</v>
      </c>
      <c r="E380">
        <f ca="1">D380+0</f>
        <v>6</v>
      </c>
      <c r="K380" s="30"/>
    </row>
    <row r="381" spans="1:11" ht="28.8" hidden="1" x14ac:dyDescent="0.3">
      <c r="A381" s="34"/>
      <c r="C381" t="s">
        <v>44</v>
      </c>
      <c r="D381" t="s">
        <v>43</v>
      </c>
      <c r="E381" t="s">
        <v>42</v>
      </c>
      <c r="F381" t="s">
        <v>41</v>
      </c>
      <c r="G381" s="41" t="s">
        <v>40</v>
      </c>
      <c r="H381" s="41" t="s">
        <v>39</v>
      </c>
      <c r="I381" s="41" t="s">
        <v>38</v>
      </c>
      <c r="J381" s="41" t="s">
        <v>37</v>
      </c>
      <c r="K381" s="40" t="s">
        <v>36</v>
      </c>
    </row>
    <row r="382" spans="1:11" ht="18" hidden="1" x14ac:dyDescent="0.35">
      <c r="A382" s="34"/>
      <c r="C382" t="str">
        <f ca="1">RIGHT(A380,2)</f>
        <v>09</v>
      </c>
      <c r="D382" t="str">
        <f ca="1">LEFT(C382,1)</f>
        <v>0</v>
      </c>
      <c r="E382" s="39">
        <f ca="1">TRUNC(A380)</f>
        <v>1</v>
      </c>
      <c r="F382" s="15" t="str">
        <f ca="1">FIXED(A380-E382,G382)</f>
        <v>0,809</v>
      </c>
      <c r="G382">
        <f ca="1">ABS(E385-F385)</f>
        <v>3</v>
      </c>
      <c r="H382" t="str">
        <f ca="1">RIGHT(A380,G382)</f>
        <v>809</v>
      </c>
      <c r="I382">
        <v>5.0000000000000001E-3</v>
      </c>
      <c r="J382" s="3">
        <f ca="1">(A380-I382)</f>
        <v>1.804</v>
      </c>
      <c r="K382" s="44" t="str">
        <f ca="1">IF(C384=5,IF(AND(E380=0,D385=FALSE),J382,J383),J383)</f>
        <v>1,81</v>
      </c>
    </row>
    <row r="383" spans="1:11" ht="18" hidden="1" x14ac:dyDescent="0.35">
      <c r="A383" s="34"/>
      <c r="C383" t="str">
        <f ca="1">RIGHT(C382,1)</f>
        <v>9</v>
      </c>
      <c r="D383">
        <f ca="1">D382+0</f>
        <v>0</v>
      </c>
      <c r="J383" t="str">
        <f ca="1">FIXED(A380,2)</f>
        <v>1,81</v>
      </c>
      <c r="K383" s="44"/>
    </row>
    <row r="384" spans="1:11" hidden="1" x14ac:dyDescent="0.3">
      <c r="A384" s="34"/>
      <c r="C384">
        <f ca="1">C383+0</f>
        <v>9</v>
      </c>
      <c r="D384" t="s">
        <v>35</v>
      </c>
      <c r="E384" t="s">
        <v>34</v>
      </c>
      <c r="F384" t="s">
        <v>33</v>
      </c>
      <c r="K384" s="30"/>
    </row>
    <row r="385" spans="1:11" hidden="1" x14ac:dyDescent="0.3">
      <c r="A385" s="34"/>
      <c r="D385" t="b">
        <f ca="1">ISODD(D382)</f>
        <v>0</v>
      </c>
      <c r="E385">
        <f ca="1">LEN(A380)</f>
        <v>5</v>
      </c>
      <c r="F385">
        <f ca="1">LEN(E382)+1</f>
        <v>2</v>
      </c>
      <c r="K385" s="30"/>
    </row>
    <row r="386" spans="1:11" hidden="1" x14ac:dyDescent="0.3">
      <c r="A386" s="34"/>
      <c r="K386" s="30"/>
    </row>
    <row r="387" spans="1:11" hidden="1" x14ac:dyDescent="0.3">
      <c r="A387" s="180" t="s">
        <v>46</v>
      </c>
      <c r="B387" s="181"/>
      <c r="C387" s="181"/>
      <c r="D387" s="181"/>
      <c r="E387" s="181"/>
      <c r="F387" s="181"/>
      <c r="G387" s="181"/>
      <c r="H387" s="181"/>
      <c r="I387" s="181"/>
      <c r="J387" s="181"/>
      <c r="K387" s="182"/>
    </row>
    <row r="388" spans="1:11" hidden="1" x14ac:dyDescent="0.3">
      <c r="A388" s="42" t="str">
        <f ca="1">K382</f>
        <v>1,81</v>
      </c>
      <c r="C388" t="str">
        <f ca="1">FIXED(A380,3)</f>
        <v>1,809</v>
      </c>
      <c r="D388" t="str">
        <f ca="1">RIGHT(C388,1)</f>
        <v>9</v>
      </c>
      <c r="E388">
        <f ca="1">D388+0</f>
        <v>9</v>
      </c>
      <c r="K388" s="30"/>
    </row>
    <row r="389" spans="1:11" ht="28.8" hidden="1" x14ac:dyDescent="0.3">
      <c r="A389" s="34"/>
      <c r="C389" t="s">
        <v>44</v>
      </c>
      <c r="D389" t="s">
        <v>43</v>
      </c>
      <c r="E389" t="s">
        <v>42</v>
      </c>
      <c r="F389" t="s">
        <v>41</v>
      </c>
      <c r="G389" s="41" t="s">
        <v>40</v>
      </c>
      <c r="H389" s="41" t="s">
        <v>39</v>
      </c>
      <c r="I389" s="41" t="s">
        <v>38</v>
      </c>
      <c r="J389" s="41" t="s">
        <v>37</v>
      </c>
      <c r="K389" s="40" t="s">
        <v>36</v>
      </c>
    </row>
    <row r="390" spans="1:11" ht="18" hidden="1" x14ac:dyDescent="0.35">
      <c r="A390" s="34"/>
      <c r="C390" t="str">
        <f ca="1">RIGHT(A388,2)</f>
        <v>81</v>
      </c>
      <c r="D390" t="str">
        <f ca="1">LEFT(C390,1)</f>
        <v>8</v>
      </c>
      <c r="E390" s="39">
        <f ca="1">TRUNC(A388)</f>
        <v>1</v>
      </c>
      <c r="F390" s="15" t="str">
        <f ca="1">FIXED(A388-E390,G390)</f>
        <v>0,81</v>
      </c>
      <c r="G390">
        <f ca="1">ABS(E393-F393)</f>
        <v>2</v>
      </c>
      <c r="H390" t="str">
        <f ca="1">RIGHT(A388,G390)</f>
        <v>81</v>
      </c>
      <c r="I390">
        <v>0.05</v>
      </c>
      <c r="J390" s="3">
        <f ca="1">(A388-I390)</f>
        <v>1.76</v>
      </c>
      <c r="K390" s="44" t="str">
        <f ca="1">IF(C392=5,IF(AND(E388=0,D393=FALSE),J390,J391),J391)</f>
        <v>1,8</v>
      </c>
    </row>
    <row r="391" spans="1:11" hidden="1" x14ac:dyDescent="0.3">
      <c r="A391" s="34"/>
      <c r="C391" t="str">
        <f ca="1">RIGHT(C390,1)</f>
        <v>1</v>
      </c>
      <c r="D391">
        <f ca="1">D390+0</f>
        <v>8</v>
      </c>
      <c r="J391" t="str">
        <f ca="1">FIXED(A388,1)</f>
        <v>1,8</v>
      </c>
      <c r="K391" s="43"/>
    </row>
    <row r="392" spans="1:11" hidden="1" x14ac:dyDescent="0.3">
      <c r="A392" s="34"/>
      <c r="C392">
        <f ca="1">C391+0</f>
        <v>1</v>
      </c>
      <c r="D392" t="s">
        <v>35</v>
      </c>
      <c r="E392" t="s">
        <v>34</v>
      </c>
      <c r="F392" t="s">
        <v>33</v>
      </c>
      <c r="K392" s="30"/>
    </row>
    <row r="393" spans="1:11" hidden="1" x14ac:dyDescent="0.3">
      <c r="A393" s="34"/>
      <c r="D393" t="b">
        <f ca="1">ISODD(D390)</f>
        <v>0</v>
      </c>
      <c r="E393">
        <f ca="1">LEN(A388)</f>
        <v>4</v>
      </c>
      <c r="F393">
        <f ca="1">LEN(E390)+1</f>
        <v>2</v>
      </c>
      <c r="K393" s="30"/>
    </row>
    <row r="394" spans="1:11" hidden="1" x14ac:dyDescent="0.3">
      <c r="A394" s="34"/>
      <c r="K394" s="30"/>
    </row>
    <row r="395" spans="1:11" hidden="1" x14ac:dyDescent="0.3">
      <c r="A395" s="180" t="s">
        <v>45</v>
      </c>
      <c r="B395" s="181"/>
      <c r="C395" s="181"/>
      <c r="D395" s="181"/>
      <c r="E395" s="181"/>
      <c r="F395" s="181"/>
      <c r="G395" s="181"/>
      <c r="H395" s="181"/>
      <c r="I395" s="181"/>
      <c r="J395" s="181"/>
      <c r="K395" s="182"/>
    </row>
    <row r="396" spans="1:11" hidden="1" x14ac:dyDescent="0.3">
      <c r="A396" s="42" t="str">
        <f ca="1">K390</f>
        <v>1,8</v>
      </c>
      <c r="C396" t="str">
        <f ca="1">FIXED(A388,2)</f>
        <v>1,81</v>
      </c>
      <c r="D396" t="str">
        <f ca="1">RIGHT(C396,1)</f>
        <v>1</v>
      </c>
      <c r="E396">
        <f ca="1">D396+0</f>
        <v>1</v>
      </c>
      <c r="K396" s="30"/>
    </row>
    <row r="397" spans="1:11" ht="28.8" hidden="1" x14ac:dyDescent="0.3">
      <c r="A397" s="34"/>
      <c r="C397" t="s">
        <v>44</v>
      </c>
      <c r="D397" t="s">
        <v>43</v>
      </c>
      <c r="E397" t="s">
        <v>42</v>
      </c>
      <c r="F397" t="s">
        <v>41</v>
      </c>
      <c r="G397" s="41" t="s">
        <v>40</v>
      </c>
      <c r="H397" s="41" t="s">
        <v>39</v>
      </c>
      <c r="I397" s="41" t="s">
        <v>38</v>
      </c>
      <c r="J397" s="41" t="s">
        <v>37</v>
      </c>
      <c r="K397" s="40" t="s">
        <v>36</v>
      </c>
    </row>
    <row r="398" spans="1:11" ht="18" hidden="1" x14ac:dyDescent="0.35">
      <c r="A398" s="34"/>
      <c r="C398" t="str">
        <f ca="1">RIGHT(A396,2)</f>
        <v>,8</v>
      </c>
      <c r="D398" t="str">
        <f ca="1">RIGHT(E398,1)</f>
        <v>1</v>
      </c>
      <c r="E398" s="39">
        <f ca="1">TRUNC(A396)</f>
        <v>1</v>
      </c>
      <c r="F398" s="15" t="str">
        <f ca="1">FIXED(A396-E398,G398)</f>
        <v>0,8</v>
      </c>
      <c r="G398">
        <f ca="1">ABS(E401-F401)</f>
        <v>1</v>
      </c>
      <c r="H398" t="str">
        <f ca="1">RIGHT(A396,G398)</f>
        <v>8</v>
      </c>
      <c r="I398">
        <v>0.5</v>
      </c>
      <c r="J398" s="13">
        <f ca="1">(A396-I398)</f>
        <v>1.3</v>
      </c>
      <c r="K398" s="38" t="str">
        <f ca="1">IF(C400=5,IF(AND(E396=0,D401=FALSE),J398,J399),J399)</f>
        <v>2</v>
      </c>
    </row>
    <row r="399" spans="1:11" hidden="1" x14ac:dyDescent="0.3">
      <c r="A399" s="34"/>
      <c r="C399" t="str">
        <f ca="1">RIGHT(C398,1)</f>
        <v>8</v>
      </c>
      <c r="D399">
        <f ca="1">D398+0</f>
        <v>1</v>
      </c>
      <c r="J399" t="str">
        <f ca="1">FIXED(A396,0)</f>
        <v>2</v>
      </c>
      <c r="K399" s="37"/>
    </row>
    <row r="400" spans="1:11" hidden="1" x14ac:dyDescent="0.3">
      <c r="A400" s="34"/>
      <c r="C400">
        <f ca="1">C399+0</f>
        <v>8</v>
      </c>
      <c r="D400" t="s">
        <v>35</v>
      </c>
      <c r="E400" t="s">
        <v>34</v>
      </c>
      <c r="F400" t="s">
        <v>33</v>
      </c>
      <c r="K400" s="30"/>
    </row>
    <row r="401" spans="1:11" ht="15" hidden="1" thickBot="1" x14ac:dyDescent="0.35">
      <c r="A401" s="36"/>
      <c r="B401" s="36"/>
      <c r="C401" s="36"/>
      <c r="D401" s="36" t="b">
        <f ca="1">ISODD(D398)</f>
        <v>1</v>
      </c>
      <c r="E401" s="36">
        <f ca="1">LEN(A396)</f>
        <v>3</v>
      </c>
      <c r="F401" s="36">
        <f ca="1">LEN(E398)+1</f>
        <v>2</v>
      </c>
      <c r="G401" s="36"/>
      <c r="H401" s="36"/>
      <c r="I401" s="36"/>
      <c r="J401" s="36"/>
      <c r="K401" s="35"/>
    </row>
    <row r="402" spans="1:11" ht="15" thickBot="1" x14ac:dyDescent="0.35">
      <c r="A402" s="183" t="s">
        <v>49</v>
      </c>
      <c r="B402" s="184"/>
      <c r="C402" s="184"/>
      <c r="D402" s="184"/>
      <c r="E402" s="184"/>
      <c r="F402" s="184"/>
      <c r="G402" s="184"/>
      <c r="H402" s="184"/>
      <c r="I402" s="184"/>
      <c r="J402" s="184"/>
      <c r="K402" s="185"/>
    </row>
    <row r="403" spans="1:11" ht="15" thickBot="1" x14ac:dyDescent="0.35">
      <c r="A403" s="34" t="s">
        <v>31</v>
      </c>
      <c r="B403" s="20" t="s">
        <v>30</v>
      </c>
      <c r="C403" t="e">
        <f>FIXED(A404,6)</f>
        <v>#REF!</v>
      </c>
      <c r="D403" t="e">
        <f>RIGHT(C403,1)</f>
        <v>#REF!</v>
      </c>
      <c r="E403" t="e">
        <f>D403/1000000</f>
        <v>#REF!</v>
      </c>
      <c r="F403" s="33" t="e">
        <f>A404-E403</f>
        <v>#REF!</v>
      </c>
      <c r="H403" t="e">
        <f>IF(C408=5,IF(AND(D404=0,D409=FALSE),J406,J407),J407)</f>
        <v>#REF!</v>
      </c>
      <c r="K403" s="30"/>
    </row>
    <row r="404" spans="1:11" ht="18.600000000000001" thickBot="1" x14ac:dyDescent="0.4">
      <c r="A404" s="32" t="e">
        <f>INCERTIDUMBRE!#REF!</f>
        <v>#REF!</v>
      </c>
      <c r="B404" s="31" t="e">
        <f>IF(A404&gt;=10,K438,IF(A404&gt;=1,K430,IF(A404&gt;=0.1,K422,IF(A404&gt;=0.01,K414,IF(A404&gt;=0.001,K406)))))</f>
        <v>#REF!</v>
      </c>
      <c r="C404" t="s">
        <v>29</v>
      </c>
      <c r="D404" t="e">
        <f>D403+0</f>
        <v>#REF!</v>
      </c>
      <c r="K404" s="30"/>
    </row>
    <row r="405" spans="1:11" ht="28.8" hidden="1" x14ac:dyDescent="0.3">
      <c r="A405" s="50"/>
      <c r="B405" s="50"/>
      <c r="C405" t="s">
        <v>44</v>
      </c>
      <c r="D405" t="s">
        <v>43</v>
      </c>
      <c r="E405" t="s">
        <v>42</v>
      </c>
      <c r="F405" t="s">
        <v>41</v>
      </c>
      <c r="G405" s="41" t="s">
        <v>40</v>
      </c>
      <c r="H405" s="41" t="s">
        <v>39</v>
      </c>
      <c r="I405" s="41" t="s">
        <v>38</v>
      </c>
      <c r="J405" s="41" t="s">
        <v>37</v>
      </c>
      <c r="K405" s="40" t="s">
        <v>36</v>
      </c>
    </row>
    <row r="406" spans="1:11" ht="18.600000000000001" hidden="1" thickBot="1" x14ac:dyDescent="0.4">
      <c r="A406" s="49"/>
      <c r="C406" t="e">
        <f>RIGHT(F403,2)</f>
        <v>#REF!</v>
      </c>
      <c r="D406" t="e">
        <f>LEFT(C406,1)</f>
        <v>#REF!</v>
      </c>
      <c r="E406" s="33" t="e">
        <f>TRUNC(A404)</f>
        <v>#REF!</v>
      </c>
      <c r="F406" s="15" t="e">
        <f>FIXED(A404-E406,G406)</f>
        <v>#REF!</v>
      </c>
      <c r="G406" t="e">
        <f>ABS(E409-F409)</f>
        <v>#REF!</v>
      </c>
      <c r="H406" t="e">
        <f>RIGHT(A404,G406)</f>
        <v>#REF!</v>
      </c>
      <c r="I406">
        <v>5.0000000000000002E-5</v>
      </c>
      <c r="J406" s="15" t="e">
        <f>(A404-I406)</f>
        <v>#REF!</v>
      </c>
      <c r="K406" s="48" t="e">
        <f>IF(C408=5,IF(AND(D404=0,D409=FALSE),J406,J407),J407)</f>
        <v>#REF!</v>
      </c>
    </row>
    <row r="407" spans="1:11" hidden="1" x14ac:dyDescent="0.3">
      <c r="A407" s="34"/>
      <c r="C407" t="e">
        <f>RIGHT(C406,1)</f>
        <v>#REF!</v>
      </c>
      <c r="D407" t="e">
        <f>D406+0</f>
        <v>#REF!</v>
      </c>
      <c r="J407" t="e">
        <f>FIXED(A404,4)</f>
        <v>#REF!</v>
      </c>
      <c r="K407" s="30"/>
    </row>
    <row r="408" spans="1:11" hidden="1" x14ac:dyDescent="0.3">
      <c r="A408" s="34"/>
      <c r="C408" t="e">
        <f>C407+0</f>
        <v>#REF!</v>
      </c>
      <c r="D408" t="s">
        <v>35</v>
      </c>
      <c r="E408" t="s">
        <v>34</v>
      </c>
      <c r="F408" t="s">
        <v>33</v>
      </c>
      <c r="K408" s="30"/>
    </row>
    <row r="409" spans="1:11" hidden="1" x14ac:dyDescent="0.3">
      <c r="A409" s="34"/>
      <c r="D409" t="e">
        <f>ISODD(D406)</f>
        <v>#REF!</v>
      </c>
      <c r="E409" t="e">
        <f>LEN(A404)</f>
        <v>#REF!</v>
      </c>
      <c r="F409" t="e">
        <f>LEN(E406)+1</f>
        <v>#REF!</v>
      </c>
      <c r="K409" s="30"/>
    </row>
    <row r="410" spans="1:11" hidden="1" x14ac:dyDescent="0.3">
      <c r="A410" s="34"/>
      <c r="K410" s="30"/>
    </row>
    <row r="411" spans="1:11" hidden="1" x14ac:dyDescent="0.3">
      <c r="A411" s="180" t="s">
        <v>48</v>
      </c>
      <c r="B411" s="181"/>
      <c r="C411" s="181"/>
      <c r="D411" s="181"/>
      <c r="E411" s="181"/>
      <c r="F411" s="181"/>
      <c r="G411" s="181"/>
      <c r="H411" s="181"/>
      <c r="I411" s="181"/>
      <c r="J411" s="181"/>
      <c r="K411" s="182"/>
    </row>
    <row r="412" spans="1:11" hidden="1" x14ac:dyDescent="0.3">
      <c r="A412" s="45" t="e">
        <f>K406</f>
        <v>#REF!</v>
      </c>
      <c r="C412" t="e">
        <f>FIXED(A404,5)</f>
        <v>#REF!</v>
      </c>
      <c r="D412" t="e">
        <f>RIGHT(C412,1)</f>
        <v>#REF!</v>
      </c>
      <c r="E412" t="e">
        <f>D412+0</f>
        <v>#REF!</v>
      </c>
      <c r="K412" s="30"/>
    </row>
    <row r="413" spans="1:11" ht="28.8" hidden="1" x14ac:dyDescent="0.3">
      <c r="A413" s="34"/>
      <c r="C413" t="s">
        <v>44</v>
      </c>
      <c r="D413" t="s">
        <v>43</v>
      </c>
      <c r="E413" t="s">
        <v>42</v>
      </c>
      <c r="F413" t="s">
        <v>41</v>
      </c>
      <c r="G413" s="41" t="s">
        <v>40</v>
      </c>
      <c r="H413" s="41" t="s">
        <v>39</v>
      </c>
      <c r="I413" s="41" t="s">
        <v>38</v>
      </c>
      <c r="J413" s="41" t="s">
        <v>37</v>
      </c>
      <c r="K413" s="40" t="s">
        <v>36</v>
      </c>
    </row>
    <row r="414" spans="1:11" ht="18" hidden="1" x14ac:dyDescent="0.35">
      <c r="A414" s="34"/>
      <c r="C414" t="e">
        <f>RIGHT(A412,2)</f>
        <v>#REF!</v>
      </c>
      <c r="D414" t="e">
        <f>LEFT(C414,1)</f>
        <v>#REF!</v>
      </c>
      <c r="E414" s="39" t="e">
        <f>TRUNC(A412)</f>
        <v>#REF!</v>
      </c>
      <c r="F414" s="15" t="e">
        <f>FIXED(A412-E414,G414)</f>
        <v>#REF!</v>
      </c>
      <c r="G414" t="e">
        <f>ABS(E417-F417)</f>
        <v>#REF!</v>
      </c>
      <c r="H414" t="e">
        <f>RIGHT(A412,G414)</f>
        <v>#REF!</v>
      </c>
      <c r="I414">
        <v>5.0000000000000001E-4</v>
      </c>
      <c r="J414" s="47" t="e">
        <f>(A412-I414)</f>
        <v>#REF!</v>
      </c>
      <c r="K414" s="46" t="e">
        <f>IF(C416=5,IF(AND(E412=0,D417=FALSE),J414,J415),J415)</f>
        <v>#REF!</v>
      </c>
    </row>
    <row r="415" spans="1:11" hidden="1" x14ac:dyDescent="0.3">
      <c r="A415" s="34"/>
      <c r="C415" t="e">
        <f>RIGHT(C414,1)</f>
        <v>#REF!</v>
      </c>
      <c r="D415" t="e">
        <f>D414+0</f>
        <v>#REF!</v>
      </c>
      <c r="J415" t="e">
        <f>FIXED(A412,3)</f>
        <v>#REF!</v>
      </c>
      <c r="K415" s="30"/>
    </row>
    <row r="416" spans="1:11" hidden="1" x14ac:dyDescent="0.3">
      <c r="A416" s="34"/>
      <c r="C416" t="e">
        <f>C415+0</f>
        <v>#REF!</v>
      </c>
      <c r="D416" t="s">
        <v>35</v>
      </c>
      <c r="E416" t="s">
        <v>34</v>
      </c>
      <c r="F416" t="s">
        <v>33</v>
      </c>
      <c r="K416" s="30"/>
    </row>
    <row r="417" spans="1:11" hidden="1" x14ac:dyDescent="0.3">
      <c r="A417" s="34"/>
      <c r="D417" t="e">
        <f>ISODD(D414)</f>
        <v>#REF!</v>
      </c>
      <c r="E417" t="e">
        <f>LEN(A412)</f>
        <v>#REF!</v>
      </c>
      <c r="F417" t="e">
        <f>LEN(E414)+1</f>
        <v>#REF!</v>
      </c>
      <c r="K417" s="30"/>
    </row>
    <row r="418" spans="1:11" hidden="1" x14ac:dyDescent="0.3">
      <c r="A418" s="34"/>
      <c r="K418" s="30"/>
    </row>
    <row r="419" spans="1:11" hidden="1" x14ac:dyDescent="0.3">
      <c r="A419" s="180" t="s">
        <v>47</v>
      </c>
      <c r="B419" s="181"/>
      <c r="C419" s="181"/>
      <c r="D419" s="181"/>
      <c r="E419" s="181"/>
      <c r="F419" s="181"/>
      <c r="G419" s="181"/>
      <c r="H419" s="181"/>
      <c r="I419" s="181"/>
      <c r="J419" s="181"/>
      <c r="K419" s="182"/>
    </row>
    <row r="420" spans="1:11" hidden="1" x14ac:dyDescent="0.3">
      <c r="A420" s="45" t="e">
        <f>K414</f>
        <v>#REF!</v>
      </c>
      <c r="C420" t="e">
        <f>FIXED(A412,4)</f>
        <v>#REF!</v>
      </c>
      <c r="D420" t="e">
        <f>RIGHT(C420,1)</f>
        <v>#REF!</v>
      </c>
      <c r="E420" t="e">
        <f>D420+0</f>
        <v>#REF!</v>
      </c>
      <c r="K420" s="30"/>
    </row>
    <row r="421" spans="1:11" ht="28.8" hidden="1" x14ac:dyDescent="0.3">
      <c r="A421" s="34"/>
      <c r="C421" t="s">
        <v>44</v>
      </c>
      <c r="D421" t="s">
        <v>43</v>
      </c>
      <c r="E421" t="s">
        <v>42</v>
      </c>
      <c r="F421" t="s">
        <v>41</v>
      </c>
      <c r="G421" s="41" t="s">
        <v>40</v>
      </c>
      <c r="H421" s="41" t="s">
        <v>39</v>
      </c>
      <c r="I421" s="41" t="s">
        <v>38</v>
      </c>
      <c r="J421" s="41" t="s">
        <v>37</v>
      </c>
      <c r="K421" s="40" t="s">
        <v>36</v>
      </c>
    </row>
    <row r="422" spans="1:11" ht="18" hidden="1" x14ac:dyDescent="0.35">
      <c r="A422" s="34"/>
      <c r="C422" t="e">
        <f>RIGHT(A420,2)</f>
        <v>#REF!</v>
      </c>
      <c r="D422" t="e">
        <f>LEFT(C422,1)</f>
        <v>#REF!</v>
      </c>
      <c r="E422" s="39" t="e">
        <f>TRUNC(A420)</f>
        <v>#REF!</v>
      </c>
      <c r="F422" s="15" t="e">
        <f>FIXED(A420-E422,G422)</f>
        <v>#REF!</v>
      </c>
      <c r="G422" t="e">
        <f>ABS(E425-F425)</f>
        <v>#REF!</v>
      </c>
      <c r="H422" t="e">
        <f>RIGHT(A420,G422)</f>
        <v>#REF!</v>
      </c>
      <c r="I422">
        <v>5.0000000000000001E-3</v>
      </c>
      <c r="J422" s="3" t="e">
        <f>(A420-I422)</f>
        <v>#REF!</v>
      </c>
      <c r="K422" s="44" t="e">
        <f>IF(C424=5,IF(AND(E420=0,D425=FALSE),J422,J423),J423)</f>
        <v>#REF!</v>
      </c>
    </row>
    <row r="423" spans="1:11" ht="18" hidden="1" x14ac:dyDescent="0.35">
      <c r="A423" s="34"/>
      <c r="C423" t="e">
        <f>RIGHT(C422,1)</f>
        <v>#REF!</v>
      </c>
      <c r="D423" t="e">
        <f>D422+0</f>
        <v>#REF!</v>
      </c>
      <c r="J423" t="e">
        <f>FIXED(A420,2)</f>
        <v>#REF!</v>
      </c>
      <c r="K423" s="44"/>
    </row>
    <row r="424" spans="1:11" hidden="1" x14ac:dyDescent="0.3">
      <c r="A424" s="34"/>
      <c r="C424" t="e">
        <f>C423+0</f>
        <v>#REF!</v>
      </c>
      <c r="D424" t="s">
        <v>35</v>
      </c>
      <c r="E424" t="s">
        <v>34</v>
      </c>
      <c r="F424" t="s">
        <v>33</v>
      </c>
      <c r="K424" s="30"/>
    </row>
    <row r="425" spans="1:11" hidden="1" x14ac:dyDescent="0.3">
      <c r="A425" s="34"/>
      <c r="D425" t="e">
        <f>ISODD(D422)</f>
        <v>#REF!</v>
      </c>
      <c r="E425" t="e">
        <f>LEN(A420)</f>
        <v>#REF!</v>
      </c>
      <c r="F425" t="e">
        <f>LEN(E422)+1</f>
        <v>#REF!</v>
      </c>
      <c r="K425" s="30"/>
    </row>
    <row r="426" spans="1:11" hidden="1" x14ac:dyDescent="0.3">
      <c r="A426" s="34"/>
      <c r="K426" s="30"/>
    </row>
    <row r="427" spans="1:11" hidden="1" x14ac:dyDescent="0.3">
      <c r="A427" s="180" t="s">
        <v>46</v>
      </c>
      <c r="B427" s="181"/>
      <c r="C427" s="181"/>
      <c r="D427" s="181"/>
      <c r="E427" s="181"/>
      <c r="F427" s="181"/>
      <c r="G427" s="181"/>
      <c r="H427" s="181"/>
      <c r="I427" s="181"/>
      <c r="J427" s="181"/>
      <c r="K427" s="182"/>
    </row>
    <row r="428" spans="1:11" hidden="1" x14ac:dyDescent="0.3">
      <c r="A428" s="42" t="e">
        <f>K422</f>
        <v>#REF!</v>
      </c>
      <c r="C428" t="e">
        <f>FIXED(A420,3)</f>
        <v>#REF!</v>
      </c>
      <c r="D428" t="e">
        <f>RIGHT(C428,1)</f>
        <v>#REF!</v>
      </c>
      <c r="E428" t="e">
        <f>D428+0</f>
        <v>#REF!</v>
      </c>
      <c r="K428" s="30"/>
    </row>
    <row r="429" spans="1:11" ht="28.8" hidden="1" x14ac:dyDescent="0.3">
      <c r="A429" s="34"/>
      <c r="C429" t="s">
        <v>44</v>
      </c>
      <c r="D429" t="s">
        <v>43</v>
      </c>
      <c r="E429" t="s">
        <v>42</v>
      </c>
      <c r="F429" t="s">
        <v>41</v>
      </c>
      <c r="G429" s="41" t="s">
        <v>40</v>
      </c>
      <c r="H429" s="41" t="s">
        <v>39</v>
      </c>
      <c r="I429" s="41" t="s">
        <v>38</v>
      </c>
      <c r="J429" s="41" t="s">
        <v>37</v>
      </c>
      <c r="K429" s="40" t="s">
        <v>36</v>
      </c>
    </row>
    <row r="430" spans="1:11" ht="18" hidden="1" x14ac:dyDescent="0.35">
      <c r="A430" s="34"/>
      <c r="C430" t="e">
        <f>RIGHT(A428,2)</f>
        <v>#REF!</v>
      </c>
      <c r="D430" t="e">
        <f>LEFT(C430,1)</f>
        <v>#REF!</v>
      </c>
      <c r="E430" s="39" t="e">
        <f>TRUNC(A428)</f>
        <v>#REF!</v>
      </c>
      <c r="F430" s="15" t="e">
        <f>FIXED(A428-E430,G430)</f>
        <v>#REF!</v>
      </c>
      <c r="G430" t="e">
        <f>ABS(E433-F433)</f>
        <v>#REF!</v>
      </c>
      <c r="H430" t="e">
        <f>RIGHT(A428,G430)</f>
        <v>#REF!</v>
      </c>
      <c r="I430">
        <v>0.05</v>
      </c>
      <c r="J430" s="3" t="e">
        <f>(A428-I430)</f>
        <v>#REF!</v>
      </c>
      <c r="K430" s="44" t="e">
        <f>IF(C432=5,IF(AND(E428=0,D433=FALSE),J430,J431),J431)</f>
        <v>#REF!</v>
      </c>
    </row>
    <row r="431" spans="1:11" hidden="1" x14ac:dyDescent="0.3">
      <c r="A431" s="34"/>
      <c r="C431" t="e">
        <f>RIGHT(C430,1)</f>
        <v>#REF!</v>
      </c>
      <c r="D431" t="e">
        <f>D430+0</f>
        <v>#REF!</v>
      </c>
      <c r="J431" t="e">
        <f>FIXED(A428,1)</f>
        <v>#REF!</v>
      </c>
      <c r="K431" s="43"/>
    </row>
    <row r="432" spans="1:11" hidden="1" x14ac:dyDescent="0.3">
      <c r="A432" s="34"/>
      <c r="C432" t="e">
        <f>C431+0</f>
        <v>#REF!</v>
      </c>
      <c r="D432" t="s">
        <v>35</v>
      </c>
      <c r="E432" t="s">
        <v>34</v>
      </c>
      <c r="F432" t="s">
        <v>33</v>
      </c>
      <c r="K432" s="30"/>
    </row>
    <row r="433" spans="1:13" hidden="1" x14ac:dyDescent="0.3">
      <c r="A433" s="34"/>
      <c r="D433" t="e">
        <f>ISODD(D430)</f>
        <v>#REF!</v>
      </c>
      <c r="E433" t="e">
        <f>LEN(A428)</f>
        <v>#REF!</v>
      </c>
      <c r="F433" t="e">
        <f>LEN(E430)+1</f>
        <v>#REF!</v>
      </c>
      <c r="K433" s="30"/>
    </row>
    <row r="434" spans="1:13" hidden="1" x14ac:dyDescent="0.3">
      <c r="A434" s="34"/>
      <c r="K434" s="30"/>
    </row>
    <row r="435" spans="1:13" hidden="1" x14ac:dyDescent="0.3">
      <c r="A435" s="180" t="s">
        <v>45</v>
      </c>
      <c r="B435" s="181"/>
      <c r="C435" s="181"/>
      <c r="D435" s="181"/>
      <c r="E435" s="181"/>
      <c r="F435" s="181"/>
      <c r="G435" s="181"/>
      <c r="H435" s="181"/>
      <c r="I435" s="181"/>
      <c r="J435" s="181"/>
      <c r="K435" s="182"/>
    </row>
    <row r="436" spans="1:13" hidden="1" x14ac:dyDescent="0.3">
      <c r="A436" s="42" t="e">
        <f>K430</f>
        <v>#REF!</v>
      </c>
      <c r="C436" t="e">
        <f>FIXED(A428,2)</f>
        <v>#REF!</v>
      </c>
      <c r="D436" t="e">
        <f>RIGHT(C436,1)</f>
        <v>#REF!</v>
      </c>
      <c r="E436" t="e">
        <f>D436+0</f>
        <v>#REF!</v>
      </c>
      <c r="K436" s="30"/>
    </row>
    <row r="437" spans="1:13" ht="28.8" hidden="1" x14ac:dyDescent="0.3">
      <c r="A437" s="34"/>
      <c r="C437" t="s">
        <v>44</v>
      </c>
      <c r="D437" t="s">
        <v>43</v>
      </c>
      <c r="E437" t="s">
        <v>42</v>
      </c>
      <c r="F437" t="s">
        <v>41</v>
      </c>
      <c r="G437" s="41" t="s">
        <v>40</v>
      </c>
      <c r="H437" s="41" t="s">
        <v>39</v>
      </c>
      <c r="I437" s="41" t="s">
        <v>38</v>
      </c>
      <c r="J437" s="41" t="s">
        <v>37</v>
      </c>
      <c r="K437" s="40" t="s">
        <v>36</v>
      </c>
    </row>
    <row r="438" spans="1:13" ht="18" hidden="1" x14ac:dyDescent="0.35">
      <c r="A438" s="34"/>
      <c r="C438" t="e">
        <f>RIGHT(A436,2)</f>
        <v>#REF!</v>
      </c>
      <c r="D438" t="e">
        <f>RIGHT(E438,1)</f>
        <v>#REF!</v>
      </c>
      <c r="E438" s="39" t="e">
        <f>TRUNC(A436)</f>
        <v>#REF!</v>
      </c>
      <c r="F438" s="15" t="e">
        <f>FIXED(A436-E438,G438)</f>
        <v>#REF!</v>
      </c>
      <c r="G438" t="e">
        <f>ABS(E441-F441)</f>
        <v>#REF!</v>
      </c>
      <c r="H438" t="e">
        <f>RIGHT(A436,G438)</f>
        <v>#REF!</v>
      </c>
      <c r="I438">
        <v>0.5</v>
      </c>
      <c r="J438" s="13" t="e">
        <f>(A436-I438)</f>
        <v>#REF!</v>
      </c>
      <c r="K438" s="38" t="e">
        <f>IF(C440=5,IF(AND(E436=0,D441=FALSE),J438,J439),J439)</f>
        <v>#REF!</v>
      </c>
    </row>
    <row r="439" spans="1:13" hidden="1" x14ac:dyDescent="0.3">
      <c r="A439" s="34"/>
      <c r="C439" t="e">
        <f>RIGHT(C438,1)</f>
        <v>#REF!</v>
      </c>
      <c r="D439" t="e">
        <f>D438+0</f>
        <v>#REF!</v>
      </c>
      <c r="J439" t="e">
        <f>FIXED(A436,0)</f>
        <v>#REF!</v>
      </c>
      <c r="K439" s="37"/>
    </row>
    <row r="440" spans="1:13" hidden="1" x14ac:dyDescent="0.3">
      <c r="A440" s="34"/>
      <c r="C440" t="e">
        <f>C439+0</f>
        <v>#REF!</v>
      </c>
      <c r="D440" t="s">
        <v>35</v>
      </c>
      <c r="E440" t="s">
        <v>34</v>
      </c>
      <c r="F440" t="s">
        <v>33</v>
      </c>
      <c r="K440" s="30"/>
    </row>
    <row r="441" spans="1:13" ht="15" hidden="1" thickBot="1" x14ac:dyDescent="0.35">
      <c r="A441" s="36"/>
      <c r="B441" s="36"/>
      <c r="C441" s="36"/>
      <c r="D441" s="36" t="e">
        <f>ISODD(D438)</f>
        <v>#REF!</v>
      </c>
      <c r="E441" s="36" t="e">
        <f>LEN(A436)</f>
        <v>#REF!</v>
      </c>
      <c r="F441" s="36" t="e">
        <f>LEN(E438)+1</f>
        <v>#REF!</v>
      </c>
      <c r="G441" s="36"/>
      <c r="H441" s="36"/>
      <c r="I441" s="36"/>
      <c r="J441" s="36"/>
      <c r="K441" s="35"/>
    </row>
    <row r="442" spans="1:13" ht="15" thickBot="1" x14ac:dyDescent="0.35">
      <c r="A442" s="183" t="s">
        <v>32</v>
      </c>
      <c r="B442" s="184"/>
      <c r="C442" s="184"/>
      <c r="D442" s="184"/>
      <c r="E442" s="184"/>
      <c r="F442" s="184"/>
      <c r="G442" s="184"/>
      <c r="H442" s="184"/>
      <c r="I442" s="184"/>
      <c r="J442" s="184"/>
      <c r="K442" s="185"/>
    </row>
    <row r="443" spans="1:13" ht="15" thickBot="1" x14ac:dyDescent="0.35">
      <c r="C443" s="34" t="s">
        <v>31</v>
      </c>
      <c r="D443" s="20" t="s">
        <v>30</v>
      </c>
      <c r="E443" t="str">
        <f>FIXED(C444,6)</f>
        <v>0,000000</v>
      </c>
      <c r="F443" t="str">
        <f>RIGHT(E443,1)</f>
        <v>0</v>
      </c>
      <c r="G443">
        <f>F443/1000000</f>
        <v>0</v>
      </c>
      <c r="H443" s="33">
        <f>C444-G443</f>
        <v>0</v>
      </c>
      <c r="J443" t="str">
        <f>IF(E448=5,IF(AND(F444=0,F449=FALSE),L446,L447),L447)</f>
        <v>0,0000</v>
      </c>
      <c r="M443" s="30"/>
    </row>
    <row r="444" spans="1:13" ht="18" x14ac:dyDescent="0.35">
      <c r="C444" s="32">
        <f>INCERTIDUMBRE!L16</f>
        <v>0</v>
      </c>
      <c r="D444" s="31" t="b">
        <f>IF(C444&gt;=10,M478,IF(C444&gt;=1,M470,IF(C444&gt;=0.1,M462,IF(C444&gt;=0.01,M454,IF(C444&gt;=0.001,M446)))))</f>
        <v>0</v>
      </c>
      <c r="E444" t="s">
        <v>29</v>
      </c>
      <c r="F444">
        <f>F443+0</f>
        <v>0</v>
      </c>
      <c r="M444" s="30"/>
    </row>
    <row r="445" spans="1:13" ht="28.8" x14ac:dyDescent="0.3">
      <c r="C445" s="50"/>
      <c r="D445" s="50"/>
      <c r="E445" t="s">
        <v>44</v>
      </c>
      <c r="F445" t="s">
        <v>43</v>
      </c>
      <c r="G445" t="s">
        <v>42</v>
      </c>
      <c r="H445" t="s">
        <v>41</v>
      </c>
      <c r="I445" s="41" t="s">
        <v>40</v>
      </c>
      <c r="J445" s="41" t="s">
        <v>39</v>
      </c>
      <c r="K445" s="41" t="s">
        <v>38</v>
      </c>
      <c r="L445" s="41" t="s">
        <v>37</v>
      </c>
      <c r="M445" s="40" t="s">
        <v>36</v>
      </c>
    </row>
    <row r="446" spans="1:13" ht="18.600000000000001" thickBot="1" x14ac:dyDescent="0.4">
      <c r="C446" s="49"/>
      <c r="E446" t="str">
        <f>RIGHT(H443,2)</f>
        <v>0</v>
      </c>
      <c r="F446" t="str">
        <f>LEFT(E446,1)</f>
        <v>0</v>
      </c>
      <c r="G446" s="33">
        <f>TRUNC(C444)</f>
        <v>0</v>
      </c>
      <c r="H446" s="15" t="str">
        <f>FIXED(C444-G446,I446)</f>
        <v>0,0</v>
      </c>
      <c r="I446">
        <f>ABS(G449-H449)</f>
        <v>1</v>
      </c>
      <c r="J446" t="str">
        <f>RIGHT(C444,I446)</f>
        <v>0</v>
      </c>
      <c r="K446">
        <v>5.0000000000000002E-5</v>
      </c>
      <c r="L446" s="15">
        <f>(C444-K446)</f>
        <v>-5.0000000000000002E-5</v>
      </c>
      <c r="M446" s="48" t="str">
        <f>IF(E448=5,IF(AND(F444=0,F449=FALSE),L446,L447),L447)</f>
        <v>0,0000</v>
      </c>
    </row>
    <row r="447" spans="1:13" x14ac:dyDescent="0.3">
      <c r="C447" s="34"/>
      <c r="E447" t="str">
        <f>RIGHT(E446,1)</f>
        <v>0</v>
      </c>
      <c r="F447">
        <f>F446+0</f>
        <v>0</v>
      </c>
      <c r="L447" t="str">
        <f>FIXED(C444,4)</f>
        <v>0,0000</v>
      </c>
      <c r="M447" s="30"/>
    </row>
    <row r="448" spans="1:13" x14ac:dyDescent="0.3">
      <c r="C448" s="34"/>
      <c r="E448">
        <f>E447+0</f>
        <v>0</v>
      </c>
      <c r="F448" t="s">
        <v>35</v>
      </c>
      <c r="G448" t="s">
        <v>34</v>
      </c>
      <c r="H448" t="s">
        <v>33</v>
      </c>
      <c r="M448" s="30"/>
    </row>
    <row r="449" spans="3:13" x14ac:dyDescent="0.3">
      <c r="C449" s="34"/>
      <c r="F449" t="b">
        <f>ISODD(F446)</f>
        <v>0</v>
      </c>
      <c r="G449">
        <f>LEN(C444)</f>
        <v>1</v>
      </c>
      <c r="H449">
        <f>LEN(G446)+1</f>
        <v>2</v>
      </c>
      <c r="M449" s="30"/>
    </row>
    <row r="450" spans="3:13" x14ac:dyDescent="0.3">
      <c r="C450" s="34"/>
      <c r="M450" s="30"/>
    </row>
    <row r="451" spans="3:13" x14ac:dyDescent="0.3">
      <c r="C451" s="180" t="s">
        <v>48</v>
      </c>
      <c r="D451" s="181"/>
      <c r="E451" s="181"/>
      <c r="F451" s="181"/>
      <c r="G451" s="181"/>
      <c r="H451" s="181"/>
      <c r="I451" s="181"/>
      <c r="J451" s="181"/>
      <c r="K451" s="181"/>
      <c r="L451" s="181"/>
      <c r="M451" s="182"/>
    </row>
    <row r="452" spans="3:13" x14ac:dyDescent="0.3">
      <c r="C452" s="45" t="str">
        <f>M446</f>
        <v>0,0000</v>
      </c>
      <c r="E452" t="str">
        <f>FIXED(C444,5)</f>
        <v>0,00000</v>
      </c>
      <c r="F452" t="str">
        <f>RIGHT(E452,1)</f>
        <v>0</v>
      </c>
      <c r="G452">
        <f>F452+0</f>
        <v>0</v>
      </c>
      <c r="M452" s="30"/>
    </row>
    <row r="453" spans="3:13" ht="28.8" x14ac:dyDescent="0.3">
      <c r="C453" s="34"/>
      <c r="E453" t="s">
        <v>44</v>
      </c>
      <c r="F453" t="s">
        <v>43</v>
      </c>
      <c r="G453" t="s">
        <v>42</v>
      </c>
      <c r="H453" t="s">
        <v>41</v>
      </c>
      <c r="I453" s="41" t="s">
        <v>40</v>
      </c>
      <c r="J453" s="41" t="s">
        <v>39</v>
      </c>
      <c r="K453" s="41" t="s">
        <v>38</v>
      </c>
      <c r="L453" s="41" t="s">
        <v>37</v>
      </c>
      <c r="M453" s="40" t="s">
        <v>36</v>
      </c>
    </row>
    <row r="454" spans="3:13" ht="18" x14ac:dyDescent="0.35">
      <c r="C454" s="34"/>
      <c r="E454" t="str">
        <f>RIGHT(C452,2)</f>
        <v>00</v>
      </c>
      <c r="F454" t="str">
        <f>LEFT(E454,1)</f>
        <v>0</v>
      </c>
      <c r="G454" s="39">
        <f>TRUNC(C452)</f>
        <v>0</v>
      </c>
      <c r="H454" s="15" t="str">
        <f>FIXED(C452-G454,I454)</f>
        <v>0,0000</v>
      </c>
      <c r="I454">
        <f>ABS(G457-H457)</f>
        <v>4</v>
      </c>
      <c r="J454" t="str">
        <f>RIGHT(C452,I454)</f>
        <v>0000</v>
      </c>
      <c r="K454">
        <v>5.0000000000000001E-4</v>
      </c>
      <c r="L454" s="47">
        <f>(C452-K454)</f>
        <v>-5.0000000000000001E-4</v>
      </c>
      <c r="M454" s="46" t="str">
        <f>IF(E456=5,IF(AND(G452=0,F457=FALSE),L454,L455),L455)</f>
        <v>0,000</v>
      </c>
    </row>
    <row r="455" spans="3:13" x14ac:dyDescent="0.3">
      <c r="C455" s="34"/>
      <c r="E455" t="str">
        <f>RIGHT(E454,1)</f>
        <v>0</v>
      </c>
      <c r="F455">
        <f>F454+0</f>
        <v>0</v>
      </c>
      <c r="L455" t="str">
        <f>FIXED(C452,3)</f>
        <v>0,000</v>
      </c>
      <c r="M455" s="30"/>
    </row>
    <row r="456" spans="3:13" x14ac:dyDescent="0.3">
      <c r="C456" s="34"/>
      <c r="E456">
        <f>E455+0</f>
        <v>0</v>
      </c>
      <c r="F456" t="s">
        <v>35</v>
      </c>
      <c r="G456" t="s">
        <v>34</v>
      </c>
      <c r="H456" t="s">
        <v>33</v>
      </c>
      <c r="M456" s="30"/>
    </row>
    <row r="457" spans="3:13" x14ac:dyDescent="0.3">
      <c r="C457" s="34"/>
      <c r="F457" t="b">
        <f>ISODD(F454)</f>
        <v>0</v>
      </c>
      <c r="G457">
        <f>LEN(C452)</f>
        <v>6</v>
      </c>
      <c r="H457">
        <f>LEN(G454)+1</f>
        <v>2</v>
      </c>
      <c r="M457" s="30"/>
    </row>
    <row r="458" spans="3:13" x14ac:dyDescent="0.3">
      <c r="C458" s="34"/>
      <c r="M458" s="30"/>
    </row>
    <row r="459" spans="3:13" x14ac:dyDescent="0.3">
      <c r="C459" s="180" t="s">
        <v>47</v>
      </c>
      <c r="D459" s="181"/>
      <c r="E459" s="181"/>
      <c r="F459" s="181"/>
      <c r="G459" s="181"/>
      <c r="H459" s="181"/>
      <c r="I459" s="181"/>
      <c r="J459" s="181"/>
      <c r="K459" s="181"/>
      <c r="L459" s="181"/>
      <c r="M459" s="182"/>
    </row>
    <row r="460" spans="3:13" x14ac:dyDescent="0.3">
      <c r="C460" s="45" t="str">
        <f>M454</f>
        <v>0,000</v>
      </c>
      <c r="E460" t="str">
        <f>FIXED(C452,4)</f>
        <v>0,0000</v>
      </c>
      <c r="F460" t="str">
        <f>RIGHT(E460,1)</f>
        <v>0</v>
      </c>
      <c r="G460">
        <f>F460+0</f>
        <v>0</v>
      </c>
      <c r="M460" s="30"/>
    </row>
    <row r="461" spans="3:13" ht="28.8" x14ac:dyDescent="0.3">
      <c r="C461" s="34"/>
      <c r="E461" t="s">
        <v>44</v>
      </c>
      <c r="F461" t="s">
        <v>43</v>
      </c>
      <c r="G461" t="s">
        <v>42</v>
      </c>
      <c r="H461" t="s">
        <v>41</v>
      </c>
      <c r="I461" s="41" t="s">
        <v>40</v>
      </c>
      <c r="J461" s="41" t="s">
        <v>39</v>
      </c>
      <c r="K461" s="41" t="s">
        <v>38</v>
      </c>
      <c r="L461" s="41" t="s">
        <v>37</v>
      </c>
      <c r="M461" s="40" t="s">
        <v>36</v>
      </c>
    </row>
    <row r="462" spans="3:13" ht="18" x14ac:dyDescent="0.35">
      <c r="C462" s="34"/>
      <c r="E462" t="str">
        <f>RIGHT(C460,2)</f>
        <v>00</v>
      </c>
      <c r="F462" t="str">
        <f>LEFT(E462,1)</f>
        <v>0</v>
      </c>
      <c r="G462" s="39">
        <f>TRUNC(C460)</f>
        <v>0</v>
      </c>
      <c r="H462" s="15" t="str">
        <f>FIXED(C460-G462,I462)</f>
        <v>0,000</v>
      </c>
      <c r="I462">
        <f>ABS(G465-H465)</f>
        <v>3</v>
      </c>
      <c r="J462" t="str">
        <f>RIGHT(C460,I462)</f>
        <v>000</v>
      </c>
      <c r="K462">
        <v>5.0000000000000001E-3</v>
      </c>
      <c r="L462" s="3">
        <f>(C460-K462)</f>
        <v>-5.0000000000000001E-3</v>
      </c>
      <c r="M462" s="44" t="str">
        <f>IF(E464=5,IF(AND(G460=0,F465=FALSE),L462,L463),L463)</f>
        <v>0,00</v>
      </c>
    </row>
    <row r="463" spans="3:13" ht="18" x14ac:dyDescent="0.35">
      <c r="C463" s="34"/>
      <c r="E463" t="str">
        <f>RIGHT(E462,1)</f>
        <v>0</v>
      </c>
      <c r="F463">
        <f>F462+0</f>
        <v>0</v>
      </c>
      <c r="L463" t="str">
        <f>FIXED(C460,2)</f>
        <v>0,00</v>
      </c>
      <c r="M463" s="44"/>
    </row>
    <row r="464" spans="3:13" x14ac:dyDescent="0.3">
      <c r="C464" s="34"/>
      <c r="E464">
        <f>E463+0</f>
        <v>0</v>
      </c>
      <c r="F464" t="s">
        <v>35</v>
      </c>
      <c r="G464" t="s">
        <v>34</v>
      </c>
      <c r="H464" t="s">
        <v>33</v>
      </c>
      <c r="M464" s="30"/>
    </row>
    <row r="465" spans="3:13" x14ac:dyDescent="0.3">
      <c r="C465" s="34"/>
      <c r="F465" t="b">
        <f>ISODD(F462)</f>
        <v>0</v>
      </c>
      <c r="G465">
        <f>LEN(C460)</f>
        <v>5</v>
      </c>
      <c r="H465">
        <f>LEN(G462)+1</f>
        <v>2</v>
      </c>
      <c r="M465" s="30"/>
    </row>
    <row r="466" spans="3:13" x14ac:dyDescent="0.3">
      <c r="C466" s="34"/>
      <c r="M466" s="30"/>
    </row>
    <row r="467" spans="3:13" x14ac:dyDescent="0.3">
      <c r="C467" s="180" t="s">
        <v>46</v>
      </c>
      <c r="D467" s="181"/>
      <c r="E467" s="181"/>
      <c r="F467" s="181"/>
      <c r="G467" s="181"/>
      <c r="H467" s="181"/>
      <c r="I467" s="181"/>
      <c r="J467" s="181"/>
      <c r="K467" s="181"/>
      <c r="L467" s="181"/>
      <c r="M467" s="182"/>
    </row>
    <row r="468" spans="3:13" x14ac:dyDescent="0.3">
      <c r="C468" s="42" t="str">
        <f>M462</f>
        <v>0,00</v>
      </c>
      <c r="E468" t="str">
        <f>FIXED(C460,3)</f>
        <v>0,000</v>
      </c>
      <c r="F468" t="str">
        <f>RIGHT(E468,1)</f>
        <v>0</v>
      </c>
      <c r="G468">
        <f>F468+0</f>
        <v>0</v>
      </c>
      <c r="M468" s="30"/>
    </row>
    <row r="469" spans="3:13" ht="28.8" x14ac:dyDescent="0.3">
      <c r="C469" s="34"/>
      <c r="E469" t="s">
        <v>44</v>
      </c>
      <c r="F469" t="s">
        <v>43</v>
      </c>
      <c r="G469" t="s">
        <v>42</v>
      </c>
      <c r="H469" t="s">
        <v>41</v>
      </c>
      <c r="I469" s="41" t="s">
        <v>40</v>
      </c>
      <c r="J469" s="41" t="s">
        <v>39</v>
      </c>
      <c r="K469" s="41" t="s">
        <v>38</v>
      </c>
      <c r="L469" s="41" t="s">
        <v>37</v>
      </c>
      <c r="M469" s="40" t="s">
        <v>36</v>
      </c>
    </row>
    <row r="470" spans="3:13" ht="18" x14ac:dyDescent="0.35">
      <c r="C470" s="34"/>
      <c r="E470" t="str">
        <f>RIGHT(C468,2)</f>
        <v>00</v>
      </c>
      <c r="F470" t="str">
        <f>LEFT(E470,1)</f>
        <v>0</v>
      </c>
      <c r="G470" s="39">
        <f>TRUNC(C468)</f>
        <v>0</v>
      </c>
      <c r="H470" s="15" t="str">
        <f>FIXED(C468-G470,I470)</f>
        <v>0,00</v>
      </c>
      <c r="I470">
        <f>ABS(G473-H473)</f>
        <v>2</v>
      </c>
      <c r="J470" t="str">
        <f>RIGHT(C468,I470)</f>
        <v>00</v>
      </c>
      <c r="K470">
        <v>0.05</v>
      </c>
      <c r="L470" s="3">
        <f>(C468-K470)</f>
        <v>-0.05</v>
      </c>
      <c r="M470" s="44" t="str">
        <f>IF(E472=5,IF(AND(G468=0,F473=FALSE),L470,L471),L471)</f>
        <v>0,0</v>
      </c>
    </row>
    <row r="471" spans="3:13" x14ac:dyDescent="0.3">
      <c r="C471" s="34"/>
      <c r="E471" t="str">
        <f>RIGHT(E470,1)</f>
        <v>0</v>
      </c>
      <c r="F471">
        <f>F470+0</f>
        <v>0</v>
      </c>
      <c r="L471" t="str">
        <f>FIXED(C468,1)</f>
        <v>0,0</v>
      </c>
      <c r="M471" s="43"/>
    </row>
    <row r="472" spans="3:13" x14ac:dyDescent="0.3">
      <c r="C472" s="34"/>
      <c r="E472">
        <f>E471+0</f>
        <v>0</v>
      </c>
      <c r="F472" t="s">
        <v>35</v>
      </c>
      <c r="G472" t="s">
        <v>34</v>
      </c>
      <c r="H472" t="s">
        <v>33</v>
      </c>
      <c r="M472" s="30"/>
    </row>
    <row r="473" spans="3:13" x14ac:dyDescent="0.3">
      <c r="C473" s="34"/>
      <c r="F473" t="b">
        <f>ISODD(F470)</f>
        <v>0</v>
      </c>
      <c r="G473">
        <f>LEN(C468)</f>
        <v>4</v>
      </c>
      <c r="H473">
        <f>LEN(G470)+1</f>
        <v>2</v>
      </c>
      <c r="M473" s="30"/>
    </row>
    <row r="474" spans="3:13" x14ac:dyDescent="0.3">
      <c r="C474" s="34"/>
      <c r="M474" s="30"/>
    </row>
    <row r="475" spans="3:13" x14ac:dyDescent="0.3">
      <c r="C475" s="180" t="s">
        <v>45</v>
      </c>
      <c r="D475" s="181"/>
      <c r="E475" s="181"/>
      <c r="F475" s="181"/>
      <c r="G475" s="181"/>
      <c r="H475" s="181"/>
      <c r="I475" s="181"/>
      <c r="J475" s="181"/>
      <c r="K475" s="181"/>
      <c r="L475" s="181"/>
      <c r="M475" s="182"/>
    </row>
    <row r="476" spans="3:13" x14ac:dyDescent="0.3">
      <c r="C476" s="42" t="str">
        <f>M470</f>
        <v>0,0</v>
      </c>
      <c r="E476" t="str">
        <f>FIXED(C468,2)</f>
        <v>0,00</v>
      </c>
      <c r="F476" t="str">
        <f>RIGHT(E476,1)</f>
        <v>0</v>
      </c>
      <c r="G476">
        <f>F476+0</f>
        <v>0</v>
      </c>
      <c r="M476" s="30"/>
    </row>
    <row r="477" spans="3:13" ht="28.8" x14ac:dyDescent="0.3">
      <c r="C477" s="34"/>
      <c r="E477" t="s">
        <v>44</v>
      </c>
      <c r="F477" t="s">
        <v>43</v>
      </c>
      <c r="G477" t="s">
        <v>42</v>
      </c>
      <c r="H477" t="s">
        <v>41</v>
      </c>
      <c r="I477" s="41" t="s">
        <v>40</v>
      </c>
      <c r="J477" s="41" t="s">
        <v>39</v>
      </c>
      <c r="K477" s="41" t="s">
        <v>38</v>
      </c>
      <c r="L477" s="41" t="s">
        <v>37</v>
      </c>
      <c r="M477" s="40" t="s">
        <v>36</v>
      </c>
    </row>
    <row r="478" spans="3:13" ht="18" x14ac:dyDescent="0.35">
      <c r="C478" s="34"/>
      <c r="E478" t="str">
        <f>RIGHT(C476,2)</f>
        <v>,0</v>
      </c>
      <c r="F478" t="str">
        <f>RIGHT(G478,1)</f>
        <v>0</v>
      </c>
      <c r="G478" s="39">
        <f>TRUNC(C476)</f>
        <v>0</v>
      </c>
      <c r="H478" s="15" t="str">
        <f>FIXED(C476-G478,I478)</f>
        <v>0,0</v>
      </c>
      <c r="I478">
        <f>ABS(G481-H481)</f>
        <v>1</v>
      </c>
      <c r="J478" t="str">
        <f>RIGHT(C476,I478)</f>
        <v>0</v>
      </c>
      <c r="K478">
        <v>0.5</v>
      </c>
      <c r="L478" s="13">
        <f>(C476-K478)</f>
        <v>-0.5</v>
      </c>
      <c r="M478" s="38" t="str">
        <f>IF(E480=5,IF(AND(G476=0,F481=FALSE),L478,L479),L479)</f>
        <v>0</v>
      </c>
    </row>
    <row r="479" spans="3:13" x14ac:dyDescent="0.3">
      <c r="C479" s="34"/>
      <c r="E479" t="str">
        <f>RIGHT(E478,1)</f>
        <v>0</v>
      </c>
      <c r="F479">
        <f>F478+0</f>
        <v>0</v>
      </c>
      <c r="L479" t="str">
        <f>FIXED(C476,0)</f>
        <v>0</v>
      </c>
      <c r="M479" s="37"/>
    </row>
    <row r="480" spans="3:13" x14ac:dyDescent="0.3">
      <c r="C480" s="34"/>
      <c r="E480">
        <f>E479+0</f>
        <v>0</v>
      </c>
      <c r="F480" t="s">
        <v>35</v>
      </c>
      <c r="G480" t="s">
        <v>34</v>
      </c>
      <c r="H480" t="s">
        <v>33</v>
      </c>
      <c r="M480" s="30"/>
    </row>
    <row r="481" spans="3:13" ht="15" thickBot="1" x14ac:dyDescent="0.35">
      <c r="C481" s="36"/>
      <c r="D481" s="36"/>
      <c r="E481" s="36"/>
      <c r="F481" s="36" t="b">
        <f>ISODD(F478)</f>
        <v>0</v>
      </c>
      <c r="G481" s="36">
        <f>LEN(C476)</f>
        <v>3</v>
      </c>
      <c r="H481" s="36">
        <f>LEN(G478)+1</f>
        <v>2</v>
      </c>
      <c r="I481" s="36"/>
      <c r="J481" s="36"/>
      <c r="K481" s="36"/>
      <c r="L481" s="36"/>
      <c r="M481" s="35"/>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94"/>
  <sheetViews>
    <sheetView topLeftCell="B30" workbookViewId="0">
      <selection activeCell="G41" sqref="G41:M41"/>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11" max="11" width="23.6640625" bestFit="1" customWidth="1"/>
    <col min="15" max="15" width="14.33203125" customWidth="1"/>
    <col min="18" max="19" width="12.5546875" bestFit="1" customWidth="1"/>
  </cols>
  <sheetData>
    <row r="2" spans="1:11" x14ac:dyDescent="0.3">
      <c r="C2" s="19" t="e">
        <f>INFORMACIÓN!#REF!</f>
        <v>#REF!</v>
      </c>
    </row>
    <row r="3" spans="1:11" x14ac:dyDescent="0.3">
      <c r="A3" s="20" t="s">
        <v>23</v>
      </c>
      <c r="C3" s="23" t="s">
        <v>26</v>
      </c>
      <c r="D3" s="23" t="s">
        <v>27</v>
      </c>
      <c r="E3" s="23" t="s">
        <v>15</v>
      </c>
      <c r="F3" s="23" t="s">
        <v>19</v>
      </c>
      <c r="G3" s="23" t="s">
        <v>14</v>
      </c>
      <c r="H3" s="22" t="s">
        <v>18</v>
      </c>
      <c r="I3" s="23" t="s">
        <v>16</v>
      </c>
      <c r="J3" s="23" t="s">
        <v>17</v>
      </c>
      <c r="K3" s="23" t="s">
        <v>28</v>
      </c>
    </row>
    <row r="4" spans="1:11" x14ac:dyDescent="0.3">
      <c r="A4" t="e">
        <f>_xlfn.IFS($C$2="PSI",0.8,$C$2="kPa",0.8*6.894757,$C$2="inHg",(0.8*6.894757)/3.386389,$C$2="mmHg",(0.8*6.894757)/0.1333224)</f>
        <v>#REF!</v>
      </c>
      <c r="C4" s="27">
        <v>60</v>
      </c>
      <c r="D4" s="25">
        <v>60.1</v>
      </c>
      <c r="E4" s="26">
        <f t="shared" ref="E4:E8" si="0">C4-D4</f>
        <v>-0.10000000000000142</v>
      </c>
      <c r="F4" s="26">
        <v>0</v>
      </c>
      <c r="G4" s="25">
        <v>2</v>
      </c>
      <c r="H4" s="6">
        <f>$K$16*D4^3-$K$17*D4^2+$K$18*D4-$K$19</f>
        <v>-0.18573683628546966</v>
      </c>
      <c r="I4" s="6">
        <f>E4-H4</f>
        <v>8.5736836285468243E-2</v>
      </c>
      <c r="J4" s="6">
        <f>6-3-1</f>
        <v>2</v>
      </c>
      <c r="K4" s="100">
        <f>(SQRT(SUMSQ(I4:I8)/J4))</f>
        <v>1.6754153321947411</v>
      </c>
    </row>
    <row r="5" spans="1:11" x14ac:dyDescent="0.3">
      <c r="C5" s="27">
        <v>120</v>
      </c>
      <c r="D5" s="27">
        <v>120</v>
      </c>
      <c r="E5" s="26">
        <f t="shared" si="0"/>
        <v>0</v>
      </c>
      <c r="F5" s="26">
        <v>0.3</v>
      </c>
      <c r="G5" s="25">
        <v>2</v>
      </c>
      <c r="H5" s="6">
        <f t="shared" ref="H5:H8" si="1">$K$16*D5^3-$K$17*D5^2+$K$18*D5-$K$19</f>
        <v>-0.93035314930968727</v>
      </c>
      <c r="I5" s="6">
        <f>E5-H5</f>
        <v>0.93035314930968727</v>
      </c>
      <c r="J5" s="3"/>
      <c r="K5" s="3"/>
    </row>
    <row r="6" spans="1:11" x14ac:dyDescent="0.3">
      <c r="C6" s="27">
        <v>140</v>
      </c>
      <c r="D6" s="27">
        <v>140.30000000000001</v>
      </c>
      <c r="E6" s="26">
        <f t="shared" si="0"/>
        <v>-0.30000000000001137</v>
      </c>
      <c r="F6" s="26">
        <v>0.4</v>
      </c>
      <c r="G6" s="25">
        <v>2</v>
      </c>
      <c r="H6" s="6">
        <f t="shared" si="1"/>
        <v>-1.2253363827655386</v>
      </c>
      <c r="I6" s="6">
        <f>E6-H6</f>
        <v>0.92533638276552721</v>
      </c>
      <c r="J6" s="3"/>
      <c r="K6" s="3"/>
    </row>
    <row r="7" spans="1:11" x14ac:dyDescent="0.3">
      <c r="C7" s="27">
        <v>180</v>
      </c>
      <c r="D7" s="27">
        <v>180.5</v>
      </c>
      <c r="E7" s="6">
        <f t="shared" si="0"/>
        <v>-0.5</v>
      </c>
      <c r="F7" s="26">
        <v>2</v>
      </c>
      <c r="G7" s="18">
        <v>2</v>
      </c>
      <c r="H7" s="6">
        <f t="shared" si="1"/>
        <v>-1.6138233127413579</v>
      </c>
      <c r="I7" s="6">
        <f t="shared" ref="I7:I8" si="2">E7-H7</f>
        <v>1.1138233127413579</v>
      </c>
      <c r="J7" s="3"/>
      <c r="K7" s="3"/>
    </row>
    <row r="8" spans="1:11" x14ac:dyDescent="0.3">
      <c r="C8" s="27">
        <v>200</v>
      </c>
      <c r="D8" s="27">
        <v>200</v>
      </c>
      <c r="E8" s="6">
        <f t="shared" si="0"/>
        <v>0</v>
      </c>
      <c r="F8" s="26">
        <v>0</v>
      </c>
      <c r="G8" s="18">
        <v>2</v>
      </c>
      <c r="H8" s="6">
        <f t="shared" si="1"/>
        <v>-1.6261228397338294</v>
      </c>
      <c r="I8" s="6">
        <f t="shared" si="2"/>
        <v>1.6261228397338294</v>
      </c>
      <c r="J8" s="3"/>
      <c r="K8" s="3"/>
    </row>
    <row r="9" spans="1:11" x14ac:dyDescent="0.3">
      <c r="C9" s="26"/>
      <c r="D9" s="27"/>
      <c r="E9" s="6"/>
      <c r="F9" s="26"/>
      <c r="G9" s="18"/>
      <c r="H9" s="6"/>
      <c r="I9" s="6"/>
      <c r="J9" s="3"/>
      <c r="K9" s="3"/>
    </row>
    <row r="10" spans="1:11" x14ac:dyDescent="0.3">
      <c r="C10" s="26"/>
      <c r="D10" s="27"/>
      <c r="E10" s="6"/>
      <c r="F10" s="26"/>
      <c r="G10" s="18"/>
      <c r="H10" s="6"/>
      <c r="I10" s="6"/>
      <c r="J10" s="3"/>
      <c r="K10" s="3"/>
    </row>
    <row r="11" spans="1:11" x14ac:dyDescent="0.3">
      <c r="C11" s="24"/>
      <c r="D11" s="27"/>
      <c r="E11" s="6"/>
      <c r="F11" s="26"/>
      <c r="G11" s="18"/>
      <c r="H11" s="6"/>
      <c r="I11" s="6"/>
      <c r="J11" s="3"/>
      <c r="K11" s="3"/>
    </row>
    <row r="12" spans="1:11" x14ac:dyDescent="0.3">
      <c r="C12" s="24"/>
      <c r="D12" s="27"/>
      <c r="E12" s="6"/>
      <c r="F12" s="26"/>
      <c r="G12" s="18"/>
      <c r="H12" s="6"/>
      <c r="I12" s="6"/>
      <c r="J12" s="3"/>
      <c r="K12" s="3"/>
    </row>
    <row r="13" spans="1:11" x14ac:dyDescent="0.3">
      <c r="C13" s="24"/>
      <c r="D13" s="27"/>
      <c r="E13" s="6"/>
      <c r="F13" s="26"/>
      <c r="G13" s="18"/>
      <c r="H13" s="6"/>
      <c r="I13" s="6"/>
      <c r="J13" s="3"/>
    </row>
    <row r="14" spans="1:11" x14ac:dyDescent="0.3">
      <c r="C14" s="24"/>
      <c r="D14" s="27"/>
      <c r="E14" s="6"/>
      <c r="F14" s="26"/>
      <c r="G14" s="18"/>
      <c r="H14" s="6"/>
      <c r="I14" s="6"/>
      <c r="J14" s="3"/>
    </row>
    <row r="15" spans="1:11" x14ac:dyDescent="0.3">
      <c r="E15" s="18"/>
    </row>
    <row r="16" spans="1:11" x14ac:dyDescent="0.3">
      <c r="K16" s="99">
        <v>8.8570576561284496E-7</v>
      </c>
    </row>
    <row r="17" spans="11:11" x14ac:dyDescent="0.3">
      <c r="K17" s="99">
        <v>3.0996720417966099E-4</v>
      </c>
    </row>
    <row r="18" spans="11:11" x14ac:dyDescent="0.3">
      <c r="K18" s="99">
        <v>2.1053052183142702E-2</v>
      </c>
    </row>
    <row r="19" spans="11:11" x14ac:dyDescent="0.3">
      <c r="K19" s="99">
        <v>0.52369123407868901</v>
      </c>
    </row>
    <row r="34" spans="2:17" x14ac:dyDescent="0.3">
      <c r="B34" s="191" t="s">
        <v>13</v>
      </c>
      <c r="C34" s="191"/>
      <c r="D34" s="191"/>
      <c r="E34" s="191"/>
      <c r="F34" s="191"/>
      <c r="G34" s="191"/>
      <c r="H34" s="191"/>
      <c r="I34" s="191"/>
      <c r="J34" s="191"/>
      <c r="K34" s="191"/>
      <c r="L34" s="191"/>
      <c r="M34" s="191"/>
      <c r="N34" s="4"/>
      <c r="O34" s="4"/>
      <c r="P34" s="4"/>
      <c r="Q34" s="4"/>
    </row>
    <row r="35" spans="2:17" x14ac:dyDescent="0.3">
      <c r="B35" s="186" t="s">
        <v>12</v>
      </c>
      <c r="C35" s="186"/>
      <c r="D35" s="186"/>
      <c r="E35" s="186"/>
      <c r="F35" s="186"/>
      <c r="G35" s="187" t="s">
        <v>121</v>
      </c>
      <c r="H35" s="188"/>
      <c r="I35" s="188"/>
      <c r="J35" s="188"/>
      <c r="K35" s="188"/>
      <c r="L35" s="188"/>
      <c r="M35" s="189"/>
      <c r="N35" s="10"/>
      <c r="O35" s="10"/>
      <c r="P35" s="10"/>
      <c r="Q35" s="10"/>
    </row>
    <row r="36" spans="2:17" x14ac:dyDescent="0.3">
      <c r="B36" s="186" t="s">
        <v>7</v>
      </c>
      <c r="C36" s="186"/>
      <c r="D36" s="186"/>
      <c r="E36" s="186"/>
      <c r="F36" s="186"/>
      <c r="G36" s="187" t="s">
        <v>122</v>
      </c>
      <c r="H36" s="188"/>
      <c r="I36" s="188"/>
      <c r="J36" s="188"/>
      <c r="K36" s="188"/>
      <c r="L36" s="188"/>
      <c r="M36" s="189"/>
      <c r="N36" s="10"/>
      <c r="O36" s="10"/>
      <c r="P36" s="10"/>
      <c r="Q36" s="10"/>
    </row>
    <row r="37" spans="2:17" x14ac:dyDescent="0.3">
      <c r="B37" s="186" t="s">
        <v>6</v>
      </c>
      <c r="C37" s="186"/>
      <c r="D37" s="186"/>
      <c r="E37" s="186"/>
      <c r="F37" s="186"/>
      <c r="G37" s="187" t="s">
        <v>123</v>
      </c>
      <c r="H37" s="188"/>
      <c r="I37" s="188"/>
      <c r="J37" s="188"/>
      <c r="K37" s="188"/>
      <c r="L37" s="188"/>
      <c r="M37" s="189"/>
      <c r="N37" s="10"/>
      <c r="O37" s="10"/>
      <c r="P37" s="10"/>
      <c r="Q37" s="10"/>
    </row>
    <row r="38" spans="2:17" x14ac:dyDescent="0.3">
      <c r="B38" s="186" t="s">
        <v>4</v>
      </c>
      <c r="C38" s="186"/>
      <c r="D38" s="186"/>
      <c r="E38" s="186"/>
      <c r="F38" s="186"/>
      <c r="G38" s="187" t="s">
        <v>124</v>
      </c>
      <c r="H38" s="188"/>
      <c r="I38" s="188"/>
      <c r="J38" s="188"/>
      <c r="K38" s="188"/>
      <c r="L38" s="188"/>
      <c r="M38" s="189"/>
      <c r="N38" s="10"/>
      <c r="O38" s="10"/>
      <c r="P38" s="10"/>
      <c r="Q38" s="10"/>
    </row>
    <row r="39" spans="2:17" x14ac:dyDescent="0.3">
      <c r="B39" s="2" t="s">
        <v>11</v>
      </c>
      <c r="C39" s="2"/>
      <c r="D39" s="2"/>
      <c r="E39" s="2"/>
      <c r="F39" s="2"/>
      <c r="G39" s="192">
        <v>44729</v>
      </c>
      <c r="H39" s="192"/>
      <c r="I39" s="192"/>
      <c r="J39" s="192"/>
      <c r="K39" s="192"/>
      <c r="L39" s="192"/>
      <c r="M39" s="192"/>
      <c r="N39" s="11"/>
      <c r="O39" s="11"/>
      <c r="P39" s="11"/>
      <c r="Q39" s="11"/>
    </row>
    <row r="40" spans="2:17" x14ac:dyDescent="0.3">
      <c r="B40" s="186" t="s">
        <v>10</v>
      </c>
      <c r="C40" s="186"/>
      <c r="D40" s="186"/>
      <c r="E40" s="186"/>
      <c r="F40" s="186"/>
      <c r="G40" s="190" t="s">
        <v>125</v>
      </c>
      <c r="H40" s="190"/>
      <c r="I40" s="190"/>
      <c r="J40" s="190"/>
      <c r="K40" s="190"/>
      <c r="L40" s="190"/>
      <c r="M40" s="190"/>
      <c r="N40" s="10"/>
      <c r="O40" s="10"/>
      <c r="P40" s="10"/>
      <c r="Q40" s="10"/>
    </row>
    <row r="41" spans="2:17" x14ac:dyDescent="0.3">
      <c r="B41" s="186" t="s">
        <v>126</v>
      </c>
      <c r="C41" s="186"/>
      <c r="D41" s="186"/>
      <c r="E41" s="186"/>
      <c r="F41" s="186"/>
      <c r="G41" s="187">
        <v>1.5</v>
      </c>
      <c r="H41" s="188"/>
      <c r="I41" s="188"/>
      <c r="J41" s="188"/>
      <c r="K41" s="188"/>
      <c r="L41" s="188"/>
      <c r="M41" s="189"/>
      <c r="N41" s="5"/>
      <c r="O41" s="5"/>
      <c r="P41" s="5"/>
      <c r="Q41" s="5"/>
    </row>
    <row r="42" spans="2:17" x14ac:dyDescent="0.3">
      <c r="B42" s="2" t="s">
        <v>127</v>
      </c>
      <c r="C42" s="2"/>
      <c r="D42" s="2"/>
      <c r="E42" s="2"/>
      <c r="F42" s="2"/>
      <c r="G42" s="187">
        <v>0.5</v>
      </c>
      <c r="H42" s="188"/>
      <c r="I42" s="188"/>
      <c r="J42" s="188"/>
      <c r="K42" s="188"/>
      <c r="L42" s="188"/>
      <c r="M42" s="189"/>
      <c r="N42" s="5"/>
      <c r="O42" s="5"/>
      <c r="P42" s="5"/>
      <c r="Q42" s="5"/>
    </row>
    <row r="43" spans="2:17" x14ac:dyDescent="0.3">
      <c r="B43" s="2" t="s">
        <v>128</v>
      </c>
      <c r="C43" s="2"/>
      <c r="D43" s="2"/>
      <c r="E43" s="2"/>
      <c r="F43" s="2"/>
      <c r="G43" s="187">
        <v>1</v>
      </c>
      <c r="H43" s="188"/>
      <c r="I43" s="188"/>
      <c r="J43" s="188"/>
      <c r="K43" s="188"/>
      <c r="L43" s="188"/>
      <c r="M43" s="189"/>
    </row>
    <row r="44" spans="2:17" x14ac:dyDescent="0.3">
      <c r="B44" s="186" t="s">
        <v>9</v>
      </c>
      <c r="C44" s="186"/>
      <c r="D44" s="186"/>
      <c r="E44" s="186"/>
      <c r="F44" s="186"/>
      <c r="G44" s="187">
        <v>2</v>
      </c>
      <c r="H44" s="188"/>
      <c r="I44" s="188"/>
      <c r="J44" s="188"/>
      <c r="K44" s="188"/>
      <c r="L44" s="188"/>
      <c r="M44" s="189"/>
    </row>
    <row r="71" spans="14:16" x14ac:dyDescent="0.3">
      <c r="N71" s="5"/>
      <c r="O71" s="5"/>
      <c r="P71" s="28"/>
    </row>
    <row r="72" spans="14:16" x14ac:dyDescent="0.3">
      <c r="N72" s="18"/>
      <c r="O72" s="18"/>
      <c r="P72" s="28"/>
    </row>
    <row r="73" spans="14:16" x14ac:dyDescent="0.3">
      <c r="N73" s="18"/>
      <c r="O73" s="18"/>
      <c r="P73" s="28"/>
    </row>
    <row r="74" spans="14:16" x14ac:dyDescent="0.3">
      <c r="N74" s="18"/>
      <c r="O74" s="18"/>
      <c r="P74" s="28"/>
    </row>
    <row r="75" spans="14:16" x14ac:dyDescent="0.3">
      <c r="N75" s="18"/>
      <c r="O75" s="18"/>
      <c r="P75" s="28"/>
    </row>
    <row r="76" spans="14:16" x14ac:dyDescent="0.3">
      <c r="N76" s="18"/>
      <c r="O76" s="18"/>
      <c r="P76" s="28"/>
    </row>
    <row r="77" spans="14:16" x14ac:dyDescent="0.3">
      <c r="N77" s="18"/>
      <c r="O77" s="18"/>
      <c r="P77" s="28"/>
    </row>
    <row r="85" spans="3:15" x14ac:dyDescent="0.3">
      <c r="C85" s="157"/>
      <c r="D85" s="157"/>
      <c r="E85" s="157"/>
    </row>
    <row r="88" spans="3:15" x14ac:dyDescent="0.3">
      <c r="N88" s="5"/>
      <c r="O88" s="5"/>
    </row>
    <row r="89" spans="3:15" x14ac:dyDescent="0.3">
      <c r="N89" s="18"/>
      <c r="O89" s="18"/>
    </row>
    <row r="90" spans="3:15" x14ac:dyDescent="0.3">
      <c r="N90" s="18"/>
      <c r="O90" s="18"/>
    </row>
    <row r="91" spans="3:15" x14ac:dyDescent="0.3">
      <c r="N91" s="18"/>
      <c r="O91" s="18"/>
    </row>
    <row r="92" spans="3:15" x14ac:dyDescent="0.3">
      <c r="N92" s="18"/>
      <c r="O92" s="18"/>
    </row>
    <row r="93" spans="3:15" x14ac:dyDescent="0.3">
      <c r="N93" s="18"/>
      <c r="O93" s="18"/>
    </row>
    <row r="94" spans="3:15" x14ac:dyDescent="0.3">
      <c r="N94" s="18"/>
      <c r="O94" s="18"/>
    </row>
  </sheetData>
  <mergeCells count="19">
    <mergeCell ref="B40:F40"/>
    <mergeCell ref="G40:M40"/>
    <mergeCell ref="G37:M37"/>
    <mergeCell ref="G35:M35"/>
    <mergeCell ref="B34:M34"/>
    <mergeCell ref="G38:M38"/>
    <mergeCell ref="G39:M39"/>
    <mergeCell ref="G36:M36"/>
    <mergeCell ref="B35:F35"/>
    <mergeCell ref="B36:F36"/>
    <mergeCell ref="B37:F37"/>
    <mergeCell ref="B38:F38"/>
    <mergeCell ref="C85:E85"/>
    <mergeCell ref="B41:F41"/>
    <mergeCell ref="G41:M41"/>
    <mergeCell ref="G42:M42"/>
    <mergeCell ref="G43:M43"/>
    <mergeCell ref="B44:F44"/>
    <mergeCell ref="G44:M4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50"/>
  <sheetViews>
    <sheetView zoomScaleNormal="100" workbookViewId="0">
      <selection activeCell="K15" sqref="K15"/>
    </sheetView>
  </sheetViews>
  <sheetFormatPr baseColWidth="10" defaultColWidth="11.44140625" defaultRowHeight="14.4" x14ac:dyDescent="0.3"/>
  <cols>
    <col min="1" max="1" width="5.6640625" style="17" customWidth="1"/>
    <col min="2" max="2" width="12.33203125" style="17" bestFit="1" customWidth="1"/>
    <col min="3" max="5" width="8.5546875" style="17" bestFit="1" customWidth="1"/>
    <col min="6" max="6" width="8.6640625" style="17" customWidth="1"/>
    <col min="7" max="9" width="5.6640625" style="17" customWidth="1"/>
    <col min="10" max="10" width="4.88671875" style="17" customWidth="1"/>
    <col min="11" max="11" width="12.6640625" style="17" bestFit="1" customWidth="1"/>
    <col min="12" max="15" width="8.6640625" style="17" bestFit="1" customWidth="1"/>
    <col min="16" max="16" width="9.33203125" style="17" bestFit="1" customWidth="1"/>
    <col min="17" max="17" width="7.33203125" style="17" customWidth="1"/>
    <col min="18" max="18" width="2.88671875" style="17" customWidth="1"/>
    <col min="19" max="21" width="5.6640625" style="17" customWidth="1"/>
    <col min="22" max="22" width="5" style="17" customWidth="1"/>
    <col min="23" max="23" width="13.109375" style="17" customWidth="1"/>
    <col min="24" max="28" width="10.33203125" style="17" customWidth="1"/>
    <col min="29" max="29" width="11.5546875" style="17" customWidth="1"/>
    <col min="30" max="31" width="10.33203125" style="17" customWidth="1"/>
    <col min="32" max="32" width="10.109375" style="17" customWidth="1"/>
    <col min="33" max="36" width="10.33203125" style="17" customWidth="1"/>
    <col min="37" max="37" width="6.44140625" style="17" customWidth="1"/>
    <col min="38" max="41" width="10.33203125" style="17" customWidth="1"/>
    <col min="42" max="16384" width="11.44140625" style="17"/>
  </cols>
  <sheetData>
    <row r="1" spans="1:32" x14ac:dyDescent="0.3">
      <c r="A1"/>
      <c r="B1"/>
      <c r="C1"/>
      <c r="D1"/>
      <c r="E1"/>
      <c r="F1"/>
      <c r="G1"/>
      <c r="H1"/>
      <c r="I1"/>
      <c r="J1"/>
      <c r="K1"/>
      <c r="L1"/>
      <c r="M1"/>
      <c r="N1"/>
      <c r="O1"/>
      <c r="P1"/>
      <c r="Q1"/>
      <c r="R1"/>
      <c r="S1"/>
      <c r="T1"/>
      <c r="U1"/>
      <c r="V1"/>
      <c r="W1"/>
      <c r="X1"/>
      <c r="Y1"/>
      <c r="Z1"/>
      <c r="AA1"/>
      <c r="AB1"/>
      <c r="AC1"/>
      <c r="AD1"/>
      <c r="AE1"/>
      <c r="AF1"/>
    </row>
    <row r="2" spans="1:32" x14ac:dyDescent="0.3">
      <c r="A2"/>
      <c r="B2"/>
      <c r="C2"/>
      <c r="D2"/>
      <c r="E2"/>
      <c r="F2"/>
      <c r="G2"/>
      <c r="H2"/>
      <c r="I2"/>
      <c r="J2"/>
      <c r="K2"/>
      <c r="L2"/>
      <c r="M2"/>
      <c r="N2"/>
      <c r="O2"/>
      <c r="P2"/>
      <c r="Q2"/>
      <c r="R2"/>
      <c r="S2"/>
      <c r="T2"/>
      <c r="U2"/>
      <c r="V2"/>
      <c r="W2"/>
      <c r="X2"/>
      <c r="Y2"/>
      <c r="Z2"/>
      <c r="AA2"/>
      <c r="AB2"/>
      <c r="AC2"/>
      <c r="AD2"/>
      <c r="AE2"/>
      <c r="AF2"/>
    </row>
    <row r="3" spans="1:32" ht="24.6" customHeight="1" x14ac:dyDescent="0.3">
      <c r="A3"/>
      <c r="B3" s="193" t="s">
        <v>151</v>
      </c>
      <c r="C3" s="193"/>
      <c r="D3" s="193"/>
      <c r="E3" s="193"/>
      <c r="F3" s="193"/>
      <c r="G3" s="20"/>
      <c r="H3" s="20"/>
      <c r="I3" s="20"/>
      <c r="J3"/>
      <c r="K3" s="194" t="s">
        <v>153</v>
      </c>
      <c r="L3" s="195"/>
      <c r="M3" s="195"/>
      <c r="N3" s="195"/>
      <c r="O3" s="195"/>
      <c r="P3" s="195"/>
      <c r="Q3" s="196"/>
      <c r="R3"/>
      <c r="S3"/>
      <c r="T3"/>
      <c r="U3"/>
      <c r="V3"/>
      <c r="W3"/>
      <c r="X3"/>
      <c r="Y3"/>
      <c r="Z3"/>
      <c r="AA3"/>
      <c r="AB3"/>
      <c r="AC3"/>
      <c r="AD3"/>
      <c r="AE3"/>
      <c r="AF3"/>
    </row>
    <row r="4" spans="1:32" x14ac:dyDescent="0.3">
      <c r="A4"/>
      <c r="B4" s="22" t="s">
        <v>114</v>
      </c>
      <c r="C4" s="22" t="s">
        <v>115</v>
      </c>
      <c r="D4" s="22" t="s">
        <v>116</v>
      </c>
      <c r="E4" s="22" t="s">
        <v>117</v>
      </c>
      <c r="F4" s="22" t="s">
        <v>118</v>
      </c>
      <c r="G4"/>
      <c r="H4"/>
      <c r="I4"/>
      <c r="J4"/>
      <c r="K4" s="98" t="s">
        <v>114</v>
      </c>
      <c r="L4" s="98" t="s">
        <v>115</v>
      </c>
      <c r="M4" s="98" t="s">
        <v>116</v>
      </c>
      <c r="N4" s="98" t="s">
        <v>117</v>
      </c>
      <c r="O4" s="98" t="s">
        <v>118</v>
      </c>
      <c r="P4" s="98" t="s">
        <v>119</v>
      </c>
      <c r="Q4" s="98" t="s">
        <v>120</v>
      </c>
      <c r="R4"/>
      <c r="S4"/>
      <c r="T4"/>
      <c r="U4"/>
      <c r="V4"/>
      <c r="W4"/>
      <c r="X4"/>
      <c r="Y4"/>
      <c r="Z4"/>
      <c r="AA4"/>
      <c r="AB4"/>
      <c r="AC4"/>
      <c r="AD4"/>
      <c r="AE4"/>
      <c r="AF4"/>
    </row>
    <row r="5" spans="1:32" x14ac:dyDescent="0.3">
      <c r="A5"/>
      <c r="B5" s="29">
        <v>60</v>
      </c>
      <c r="C5" s="29">
        <v>60</v>
      </c>
      <c r="D5" s="16">
        <f ca="1">C5+((RAND()*(0.9-0.1)+0.1)*RANDBETWEEN(-1,1))</f>
        <v>60</v>
      </c>
      <c r="E5" s="16">
        <f ca="1">C5+((RAND()*(0.9-0.1)+0.1)*RANDBETWEEN(-1,1))</f>
        <v>59.841266644746447</v>
      </c>
      <c r="F5" s="16">
        <f ca="1">C5+((RAND()*(0.9-0.1)+0.1)*RANDBETWEEN(-1,1))</f>
        <v>60</v>
      </c>
      <c r="G5"/>
      <c r="H5"/>
      <c r="I5"/>
      <c r="J5"/>
      <c r="K5" s="96">
        <f>B5</f>
        <v>60</v>
      </c>
      <c r="L5" s="97">
        <f>C5-0.1</f>
        <v>59.9</v>
      </c>
      <c r="M5" s="97">
        <f t="shared" ref="M5:O5" ca="1" si="0">D5-0.1</f>
        <v>59.9</v>
      </c>
      <c r="N5" s="97">
        <f t="shared" ca="1" si="0"/>
        <v>59.741266644746446</v>
      </c>
      <c r="O5" s="97">
        <f t="shared" ca="1" si="0"/>
        <v>59.9</v>
      </c>
      <c r="P5" s="97">
        <f ca="1">AVERAGE(L5:O5)</f>
        <v>59.860316661186609</v>
      </c>
      <c r="Q5" s="97">
        <f ca="1">K5-P5</f>
        <v>0.13968333881339134</v>
      </c>
      <c r="R5"/>
      <c r="S5"/>
      <c r="T5"/>
      <c r="U5"/>
      <c r="V5"/>
      <c r="W5"/>
      <c r="X5"/>
      <c r="Y5"/>
      <c r="Z5"/>
      <c r="AA5"/>
      <c r="AB5"/>
      <c r="AC5"/>
      <c r="AD5"/>
      <c r="AE5"/>
      <c r="AF5"/>
    </row>
    <row r="6" spans="1:32" x14ac:dyDescent="0.3">
      <c r="A6"/>
      <c r="B6" s="95">
        <v>120</v>
      </c>
      <c r="C6" s="95">
        <v>120</v>
      </c>
      <c r="D6" s="16">
        <f t="shared" ref="D6:D8" ca="1" si="1">C6+((RAND()*(0.9-0.1)+0.1)*RANDBETWEEN(-1,1))</f>
        <v>119.22678195501959</v>
      </c>
      <c r="E6" s="16">
        <f t="shared" ref="E6:E8" ca="1" si="2">C6+((RAND()*(0.9-0.1)+0.1)*RANDBETWEEN(-1,1))</f>
        <v>120</v>
      </c>
      <c r="F6" s="16">
        <f t="shared" ref="F6:F8" ca="1" si="3">C6+((RAND()*(0.9-0.1)+0.1)*RANDBETWEEN(-1,1))</f>
        <v>120.46715068074064</v>
      </c>
      <c r="G6"/>
      <c r="H6"/>
      <c r="I6"/>
      <c r="J6"/>
      <c r="K6" s="96">
        <f t="shared" ref="K6:K8" si="4">B6</f>
        <v>120</v>
      </c>
      <c r="L6" s="97">
        <f>C6</f>
        <v>120</v>
      </c>
      <c r="M6" s="97">
        <f t="shared" ref="M6:O6" ca="1" si="5">D6</f>
        <v>119.22678195501959</v>
      </c>
      <c r="N6" s="97">
        <f t="shared" ca="1" si="5"/>
        <v>120</v>
      </c>
      <c r="O6" s="97">
        <f t="shared" ca="1" si="5"/>
        <v>120.46715068074064</v>
      </c>
      <c r="P6" s="97">
        <f t="shared" ref="P6:P8" ca="1" si="6">AVERAGE(L6:O6)</f>
        <v>119.92348315894006</v>
      </c>
      <c r="Q6" s="97">
        <f t="shared" ref="Q6:Q8" ca="1" si="7">K6-P6</f>
        <v>7.6516841059941498E-2</v>
      </c>
      <c r="R6"/>
      <c r="S6"/>
      <c r="T6"/>
      <c r="U6"/>
      <c r="V6"/>
      <c r="W6"/>
      <c r="X6"/>
      <c r="Y6"/>
      <c r="Z6"/>
      <c r="AA6"/>
      <c r="AB6"/>
      <c r="AC6"/>
      <c r="AD6"/>
      <c r="AE6"/>
      <c r="AF6"/>
    </row>
    <row r="7" spans="1:32" x14ac:dyDescent="0.3">
      <c r="A7"/>
      <c r="B7" s="29">
        <v>180</v>
      </c>
      <c r="C7" s="29">
        <v>179</v>
      </c>
      <c r="D7" s="16">
        <f t="shared" ca="1" si="1"/>
        <v>178.44037347739336</v>
      </c>
      <c r="E7" s="16">
        <f t="shared" ca="1" si="2"/>
        <v>179</v>
      </c>
      <c r="F7" s="16">
        <f t="shared" ca="1" si="3"/>
        <v>179</v>
      </c>
      <c r="G7"/>
      <c r="H7"/>
      <c r="I7"/>
      <c r="J7"/>
      <c r="K7" s="96">
        <f t="shared" si="4"/>
        <v>180</v>
      </c>
      <c r="L7" s="97">
        <f>C7-0.5</f>
        <v>178.5</v>
      </c>
      <c r="M7" s="97">
        <f t="shared" ref="M7:O7" ca="1" si="8">D7-0.5</f>
        <v>177.94037347739336</v>
      </c>
      <c r="N7" s="97">
        <f t="shared" ca="1" si="8"/>
        <v>178.5</v>
      </c>
      <c r="O7" s="97">
        <f t="shared" ca="1" si="8"/>
        <v>178.5</v>
      </c>
      <c r="P7" s="97">
        <f t="shared" ca="1" si="6"/>
        <v>178.36009336934833</v>
      </c>
      <c r="Q7" s="97">
        <f t="shared" ca="1" si="7"/>
        <v>1.6399066306516659</v>
      </c>
      <c r="R7"/>
      <c r="S7"/>
      <c r="T7"/>
      <c r="U7"/>
      <c r="V7"/>
      <c r="W7"/>
      <c r="X7"/>
      <c r="Y7"/>
      <c r="Z7"/>
      <c r="AA7"/>
      <c r="AB7"/>
      <c r="AC7"/>
      <c r="AD7"/>
      <c r="AE7"/>
      <c r="AF7"/>
    </row>
    <row r="8" spans="1:32" x14ac:dyDescent="0.3">
      <c r="A8"/>
      <c r="B8" s="29">
        <v>200</v>
      </c>
      <c r="C8" s="29">
        <v>200</v>
      </c>
      <c r="D8" s="16">
        <f t="shared" ca="1" si="1"/>
        <v>200</v>
      </c>
      <c r="E8" s="16">
        <f t="shared" ca="1" si="2"/>
        <v>199.73175372694715</v>
      </c>
      <c r="F8" s="16">
        <f t="shared" ca="1" si="3"/>
        <v>200.75554207549365</v>
      </c>
      <c r="G8"/>
      <c r="H8"/>
      <c r="I8"/>
      <c r="J8"/>
      <c r="K8" s="96">
        <f t="shared" si="4"/>
        <v>200</v>
      </c>
      <c r="L8" s="97">
        <f>C8</f>
        <v>200</v>
      </c>
      <c r="M8" s="97">
        <f t="shared" ref="M8:O8" ca="1" si="9">D8</f>
        <v>200</v>
      </c>
      <c r="N8" s="97">
        <f t="shared" ca="1" si="9"/>
        <v>199.73175372694715</v>
      </c>
      <c r="O8" s="97">
        <f t="shared" ca="1" si="9"/>
        <v>200.75554207549365</v>
      </c>
      <c r="P8" s="97">
        <f t="shared" ca="1" si="6"/>
        <v>200.12182395061018</v>
      </c>
      <c r="Q8" s="97">
        <f t="shared" ca="1" si="7"/>
        <v>-0.12182395061017814</v>
      </c>
      <c r="R8"/>
      <c r="S8"/>
      <c r="T8"/>
      <c r="U8"/>
      <c r="V8"/>
      <c r="W8"/>
      <c r="X8"/>
      <c r="Y8"/>
      <c r="Z8"/>
      <c r="AA8"/>
      <c r="AB8"/>
      <c r="AC8"/>
      <c r="AD8"/>
      <c r="AE8"/>
      <c r="AF8"/>
    </row>
    <row r="9" spans="1:32" x14ac:dyDescent="0.3">
      <c r="A9"/>
      <c r="B9"/>
      <c r="C9"/>
      <c r="D9"/>
      <c r="E9"/>
      <c r="F9"/>
      <c r="G9"/>
      <c r="H9"/>
      <c r="I9"/>
      <c r="J9"/>
      <c r="K9"/>
      <c r="L9"/>
      <c r="M9"/>
      <c r="N9"/>
      <c r="O9"/>
      <c r="P9"/>
      <c r="Q9"/>
      <c r="R9"/>
      <c r="S9"/>
      <c r="T9"/>
      <c r="U9"/>
      <c r="V9"/>
      <c r="W9"/>
      <c r="X9"/>
      <c r="Y9"/>
      <c r="Z9"/>
      <c r="AA9"/>
      <c r="AB9"/>
      <c r="AC9"/>
      <c r="AD9"/>
      <c r="AE9"/>
      <c r="AF9"/>
    </row>
    <row r="10" spans="1:32" x14ac:dyDescent="0.3">
      <c r="A10"/>
      <c r="B10"/>
      <c r="C10"/>
      <c r="D10"/>
      <c r="E10"/>
      <c r="F10"/>
      <c r="G10"/>
      <c r="H10"/>
      <c r="I10"/>
      <c r="J10"/>
      <c r="K10"/>
      <c r="L10"/>
      <c r="M10"/>
      <c r="N10"/>
      <c r="O10"/>
      <c r="P10"/>
      <c r="Q10"/>
      <c r="R10"/>
      <c r="S10"/>
      <c r="T10"/>
      <c r="U10"/>
      <c r="V10"/>
      <c r="W10"/>
      <c r="X10"/>
      <c r="Y10"/>
      <c r="Z10"/>
      <c r="AA10"/>
      <c r="AB10"/>
      <c r="AC10"/>
      <c r="AD10"/>
      <c r="AE10"/>
      <c r="AF10"/>
    </row>
    <row r="11" spans="1:32" x14ac:dyDescent="0.3">
      <c r="A11"/>
      <c r="B11" s="193" t="s">
        <v>152</v>
      </c>
      <c r="C11" s="193"/>
      <c r="D11" s="193"/>
      <c r="E11" s="193"/>
      <c r="F11" s="193"/>
      <c r="G11" s="20"/>
      <c r="H11" s="20"/>
      <c r="I11" s="20"/>
      <c r="J11"/>
      <c r="K11"/>
      <c r="L11"/>
      <c r="M11"/>
      <c r="N11"/>
      <c r="O11"/>
      <c r="P11"/>
      <c r="Q11"/>
      <c r="R11"/>
      <c r="S11"/>
      <c r="T11"/>
      <c r="U11"/>
      <c r="V11"/>
      <c r="W11"/>
      <c r="X11"/>
      <c r="Y11"/>
      <c r="Z11"/>
      <c r="AA11"/>
      <c r="AB11"/>
      <c r="AC11"/>
      <c r="AD11"/>
      <c r="AE11"/>
      <c r="AF11"/>
    </row>
    <row r="12" spans="1:32" x14ac:dyDescent="0.3">
      <c r="A12"/>
      <c r="B12" s="22" t="s">
        <v>114</v>
      </c>
      <c r="C12" s="22" t="s">
        <v>115</v>
      </c>
      <c r="D12" s="22" t="s">
        <v>116</v>
      </c>
      <c r="E12" s="22" t="s">
        <v>117</v>
      </c>
      <c r="F12" s="22" t="s">
        <v>118</v>
      </c>
      <c r="G12"/>
      <c r="H12"/>
      <c r="I12"/>
      <c r="J12"/>
      <c r="K12"/>
      <c r="L12"/>
      <c r="M12"/>
      <c r="N12"/>
      <c r="O12"/>
      <c r="P12"/>
      <c r="Q12"/>
      <c r="R12"/>
      <c r="S12"/>
      <c r="T12"/>
      <c r="U12"/>
      <c r="V12"/>
      <c r="W12"/>
      <c r="X12"/>
      <c r="Y12"/>
      <c r="Z12"/>
      <c r="AA12"/>
      <c r="AB12"/>
      <c r="AC12"/>
      <c r="AD12"/>
      <c r="AE12"/>
      <c r="AF12"/>
    </row>
    <row r="13" spans="1:32" x14ac:dyDescent="0.3">
      <c r="A13"/>
      <c r="B13" s="29">
        <v>20</v>
      </c>
      <c r="C13" s="16">
        <f ca="1">19 + (21 - 19) * RAND()</f>
        <v>20.83813948486408</v>
      </c>
      <c r="D13" s="16">
        <f ca="1">C13+((RAND()*(0.9-0.1)+0.1)*RANDBETWEEN(-1,1))</f>
        <v>20.303565923679852</v>
      </c>
      <c r="E13" s="16">
        <f ca="1">C13+((RAND()*(0.9-0.1)+0.1)*RANDBETWEEN(-1,1))</f>
        <v>20.83813948486408</v>
      </c>
      <c r="F13" s="16">
        <f ca="1">C13+((RAND()*(0.9-0.1)+0.1)*RANDBETWEEN(-1,1))</f>
        <v>20.322817793191511</v>
      </c>
      <c r="G13"/>
      <c r="H13"/>
      <c r="I13"/>
      <c r="J13"/>
      <c r="K13"/>
      <c r="L13"/>
      <c r="M13"/>
      <c r="N13"/>
      <c r="O13"/>
      <c r="P13"/>
      <c r="Q13"/>
      <c r="R13"/>
      <c r="S13"/>
      <c r="T13"/>
      <c r="U13"/>
      <c r="V13"/>
      <c r="W13"/>
      <c r="X13"/>
      <c r="Y13"/>
      <c r="Z13"/>
      <c r="AA13"/>
      <c r="AB13"/>
      <c r="AC13"/>
      <c r="AD13"/>
      <c r="AE13"/>
    </row>
    <row r="14" spans="1:32" customFormat="1" x14ac:dyDescent="0.3">
      <c r="B14" s="95">
        <v>60</v>
      </c>
      <c r="C14" s="16">
        <f ca="1">59 + (61 - 59) * RAND()</f>
        <v>60.817861371791182</v>
      </c>
      <c r="D14" s="16">
        <f t="shared" ref="D14:D16" ca="1" si="10">C14+((RAND()*(0.9-0.1)+0.1)*RANDBETWEEN(-1,1))</f>
        <v>60.430511546660817</v>
      </c>
      <c r="E14" s="16">
        <f t="shared" ref="E14:E16" ca="1" si="11">C14+((RAND()*(0.9-0.1)+0.1)*RANDBETWEEN(-1,1))</f>
        <v>60.817861371791182</v>
      </c>
      <c r="F14" s="16">
        <f t="shared" ref="F14:F16" ca="1" si="12">C14+((RAND()*(0.9-0.1)+0.1)*RANDBETWEEN(-1,1))</f>
        <v>61.691672925889762</v>
      </c>
    </row>
    <row r="15" spans="1:32" customFormat="1" x14ac:dyDescent="0.3">
      <c r="B15" s="29">
        <v>80</v>
      </c>
      <c r="C15" s="16">
        <f ca="1">79 + (81 - 79) * RAND()</f>
        <v>79.555966476805253</v>
      </c>
      <c r="D15" s="16">
        <f t="shared" ca="1" si="10"/>
        <v>78.742193641160142</v>
      </c>
      <c r="E15" s="16">
        <f t="shared" ca="1" si="11"/>
        <v>79.555966476805253</v>
      </c>
      <c r="F15" s="16">
        <f t="shared" ca="1" si="12"/>
        <v>79.555966476805253</v>
      </c>
    </row>
    <row r="16" spans="1:32" customFormat="1" x14ac:dyDescent="0.3">
      <c r="B16" s="29">
        <v>100</v>
      </c>
      <c r="C16" s="16">
        <f ca="1">99 + (101 - 99) * RAND()</f>
        <v>100.8565035140558</v>
      </c>
      <c r="D16" s="16">
        <f t="shared" ca="1" si="10"/>
        <v>100.8565035140558</v>
      </c>
      <c r="E16" s="16">
        <f t="shared" ca="1" si="11"/>
        <v>100.8565035140558</v>
      </c>
      <c r="F16" s="16">
        <f t="shared" ca="1" si="12"/>
        <v>100.8565035140558</v>
      </c>
    </row>
    <row r="17" spans="2:6" customFormat="1" x14ac:dyDescent="0.3"/>
    <row r="18" spans="2:6" customFormat="1" x14ac:dyDescent="0.3"/>
    <row r="19" spans="2:6" customFormat="1" x14ac:dyDescent="0.3"/>
    <row r="20" spans="2:6" customFormat="1" x14ac:dyDescent="0.3"/>
    <row r="21" spans="2:6" customFormat="1" x14ac:dyDescent="0.3"/>
    <row r="22" spans="2:6" customFormat="1" x14ac:dyDescent="0.3"/>
    <row r="23" spans="2:6" customFormat="1" x14ac:dyDescent="0.3"/>
    <row r="24" spans="2:6" customFormat="1" x14ac:dyDescent="0.3"/>
    <row r="25" spans="2:6" x14ac:dyDescent="0.3">
      <c r="B25"/>
      <c r="C25"/>
      <c r="D25"/>
      <c r="E25"/>
      <c r="F25"/>
    </row>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ht="30" customHeight="1" x14ac:dyDescent="0.3"/>
    <row r="45" customFormat="1" x14ac:dyDescent="0.3"/>
    <row r="46" customFormat="1" x14ac:dyDescent="0.3"/>
    <row r="47" customFormat="1" x14ac:dyDescent="0.3"/>
    <row r="48" customFormat="1" x14ac:dyDescent="0.3"/>
    <row r="49" customFormat="1" x14ac:dyDescent="0.3"/>
    <row r="50" customFormat="1" x14ac:dyDescent="0.3"/>
  </sheetData>
  <sheetProtection formatCells="0" formatColumns="0" formatRows="0"/>
  <mergeCells count="3">
    <mergeCell ref="B3:F3"/>
    <mergeCell ref="K3:Q3"/>
    <mergeCell ref="B11:F11"/>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7"/>
  <sheetViews>
    <sheetView zoomScaleNormal="100" workbookViewId="0">
      <selection activeCell="G19" sqref="G19"/>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97" t="s">
        <v>154</v>
      </c>
      <c r="C2" s="198"/>
      <c r="D2" s="198"/>
      <c r="E2" s="198"/>
      <c r="F2" s="198"/>
      <c r="G2" s="198"/>
      <c r="H2" s="198"/>
      <c r="I2" s="198"/>
      <c r="J2" s="198"/>
      <c r="K2" s="198"/>
      <c r="L2" s="199"/>
    </row>
    <row r="3" spans="1:12" ht="22.8" x14ac:dyDescent="0.3">
      <c r="B3" s="21" t="s">
        <v>60</v>
      </c>
      <c r="C3" s="21" t="s">
        <v>24</v>
      </c>
      <c r="D3" s="21" t="s">
        <v>23</v>
      </c>
      <c r="E3" s="21" t="s">
        <v>20</v>
      </c>
      <c r="F3" s="21" t="s">
        <v>25</v>
      </c>
      <c r="G3" s="21" t="s">
        <v>61</v>
      </c>
      <c r="H3" s="21" t="s">
        <v>21</v>
      </c>
      <c r="I3" s="21" t="s">
        <v>22</v>
      </c>
      <c r="J3" s="21" t="s">
        <v>2</v>
      </c>
      <c r="K3" s="21" t="s">
        <v>1</v>
      </c>
      <c r="L3" s="21" t="s">
        <v>0</v>
      </c>
    </row>
    <row r="4" spans="1:12" x14ac:dyDescent="0.3">
      <c r="A4" s="55"/>
      <c r="B4" s="7">
        <f>MEDIDA!B5</f>
        <v>60</v>
      </c>
      <c r="C4" s="9">
        <f>PATRON!$G$41/2</f>
        <v>0.75</v>
      </c>
      <c r="D4" s="8">
        <f>PATRON!$G$42/SQRT(3)</f>
        <v>0.28867513459481292</v>
      </c>
      <c r="E4" s="9">
        <v>0</v>
      </c>
      <c r="F4" s="9">
        <f>1/SQRT(12)</f>
        <v>0.28867513459481292</v>
      </c>
      <c r="G4" s="9">
        <f>PATRON!$G$43/SQRT(12)</f>
        <v>0.28867513459481292</v>
      </c>
      <c r="H4" s="8">
        <f ca="1">STDEVA(MEDIDA!L5:O5)/SQRT(4)</f>
        <v>3.9683338813388147E-2</v>
      </c>
      <c r="I4" s="9">
        <f ca="1">SQRT(SUMSQ(C4:H4))</f>
        <v>0.90226091978949097</v>
      </c>
      <c r="J4" s="16">
        <f ca="1">I4^4/(C4^4/200+D4^4/200+E4^4/200+F4^4/200+G4^4/200+H4^4/3)</f>
        <v>392.83229630070838</v>
      </c>
      <c r="K4" s="12">
        <f ca="1">TINV(0.0455,J4)</f>
        <v>2.0063999926752958</v>
      </c>
      <c r="L4" s="8">
        <f ca="1">I4*K4</f>
        <v>1.8102963028568404</v>
      </c>
    </row>
    <row r="5" spans="1:12" x14ac:dyDescent="0.3">
      <c r="A5" s="55"/>
      <c r="B5" s="7">
        <f>MEDIDA!B6</f>
        <v>120</v>
      </c>
      <c r="C5" s="9">
        <f>PATRON!$G$41/2</f>
        <v>0.75</v>
      </c>
      <c r="D5" s="8">
        <f>PATRON!$G$42/SQRT(3)</f>
        <v>0.28867513459481292</v>
      </c>
      <c r="E5" s="9">
        <v>0</v>
      </c>
      <c r="F5" s="9">
        <f t="shared" ref="F5:F7" si="0">1/SQRT(12)</f>
        <v>0.28867513459481292</v>
      </c>
      <c r="G5" s="9">
        <f>PATRON!$G$43/SQRT(12)</f>
        <v>0.28867513459481292</v>
      </c>
      <c r="H5" s="8">
        <f ca="1">STDEVA(MEDIDA!L6:O6)/SQRT(4)</f>
        <v>0.25701436336915201</v>
      </c>
      <c r="I5" s="9">
        <f ca="1">SQRT(SUMSQ(C5:H5))</f>
        <v>0.93731338568167832</v>
      </c>
      <c r="J5" s="16">
        <f ca="1">I5^4/(C5^4/200+D5^4/200+E5^4/200+F5^4/200+G5^4/200+H5^4/3)</f>
        <v>245.76249745111295</v>
      </c>
      <c r="K5" s="12">
        <f ca="1">TINV(0.0455,J5)</f>
        <v>2.0102577735603036</v>
      </c>
      <c r="L5" s="8">
        <f ca="1">I5*K5</f>
        <v>1.8842415198287208</v>
      </c>
    </row>
    <row r="6" spans="1:12" x14ac:dyDescent="0.3">
      <c r="A6" s="55"/>
      <c r="B6" s="7">
        <f>MEDIDA!B7</f>
        <v>180</v>
      </c>
      <c r="C6" s="9">
        <f>PATRON!$G$41/2</f>
        <v>0.75</v>
      </c>
      <c r="D6" s="8">
        <f>PATRON!$G$42/SQRT(3)</f>
        <v>0.28867513459481292</v>
      </c>
      <c r="E6" s="9">
        <v>0</v>
      </c>
      <c r="F6" s="9">
        <f t="shared" si="0"/>
        <v>0.28867513459481292</v>
      </c>
      <c r="G6" s="9">
        <f>PATRON!$G$43/SQRT(12)</f>
        <v>0.28867513459481292</v>
      </c>
      <c r="H6" s="8">
        <f ca="1">STDEVA(MEDIDA!L7:O7)/SQRT(4)</f>
        <v>0.13990663065165876</v>
      </c>
      <c r="I6" s="9">
        <f ca="1">SQRT(SUMSQ(C6:H6))</f>
        <v>0.91218082927690369</v>
      </c>
      <c r="J6" s="16">
        <f ca="1">I6^4/(C6^4/200+D6^4/200+E6^4/200+F6^4/200+G6^4/200+H6^4/3)</f>
        <v>381.68758280274517</v>
      </c>
      <c r="K6" s="12">
        <f t="shared" ref="K6:K7" ca="1" si="1">TINV(0.0455,J6)</f>
        <v>2.0065852936939725</v>
      </c>
      <c r="L6" s="8">
        <f t="shared" ref="L6:L7" ca="1" si="2">I6*K6</f>
        <v>1.8303686372166073</v>
      </c>
    </row>
    <row r="7" spans="1:12" x14ac:dyDescent="0.3">
      <c r="A7" s="55"/>
      <c r="B7" s="7">
        <f>MEDIDA!B8</f>
        <v>200</v>
      </c>
      <c r="C7" s="9">
        <f>PATRON!$G$41/2</f>
        <v>0.75</v>
      </c>
      <c r="D7" s="8">
        <f>PATRON!$G$42/SQRT(3)</f>
        <v>0.28867513459481292</v>
      </c>
      <c r="E7" s="9">
        <v>0</v>
      </c>
      <c r="F7" s="9">
        <f t="shared" si="0"/>
        <v>0.28867513459481292</v>
      </c>
      <c r="G7" s="9">
        <f>PATRON!$G$43/SQRT(12)</f>
        <v>0.28867513459481292</v>
      </c>
      <c r="H7" s="8">
        <f ca="1">STDEVA(MEDIDA!L8:O8)/SQRT(4)</f>
        <v>0.22049859997267054</v>
      </c>
      <c r="I7" s="9">
        <f ca="1">SQRT(SUMSQ(C7:H7))</f>
        <v>0.92796531863529674</v>
      </c>
      <c r="J7" s="16">
        <f ca="1">I7^4/(C7^4/200+D7^4/200+E7^4/200+F7^4/200+G7^4/200+H7^4/3)</f>
        <v>299.7093064356626</v>
      </c>
      <c r="K7" s="12">
        <f t="shared" ca="1" si="1"/>
        <v>2.0083980376162383</v>
      </c>
      <c r="L7" s="8">
        <f t="shared" ca="1" si="2"/>
        <v>1.8637237249230572</v>
      </c>
    </row>
    <row r="10" spans="1:12" x14ac:dyDescent="0.3">
      <c r="B10" s="197" t="s">
        <v>155</v>
      </c>
      <c r="C10" s="198"/>
      <c r="D10" s="198"/>
      <c r="E10" s="198"/>
      <c r="F10" s="198"/>
      <c r="G10" s="198"/>
      <c r="H10" s="198"/>
      <c r="I10" s="198"/>
      <c r="J10" s="198"/>
      <c r="K10" s="198"/>
      <c r="L10" s="199"/>
    </row>
    <row r="11" spans="1:12" ht="22.8" x14ac:dyDescent="0.3">
      <c r="B11" s="21" t="s">
        <v>60</v>
      </c>
      <c r="C11" s="21" t="s">
        <v>24</v>
      </c>
      <c r="D11" s="21" t="s">
        <v>23</v>
      </c>
      <c r="E11" s="21" t="s">
        <v>20</v>
      </c>
      <c r="F11" s="21" t="s">
        <v>25</v>
      </c>
      <c r="G11" s="21" t="s">
        <v>61</v>
      </c>
      <c r="H11" s="21" t="s">
        <v>21</v>
      </c>
      <c r="I11" s="21" t="s">
        <v>22</v>
      </c>
      <c r="J11" s="21" t="s">
        <v>2</v>
      </c>
      <c r="K11" s="21" t="s">
        <v>1</v>
      </c>
      <c r="L11" s="21" t="s">
        <v>0</v>
      </c>
    </row>
    <row r="12" spans="1:12" x14ac:dyDescent="0.3">
      <c r="B12" s="7">
        <f>MEDIDA!B13</f>
        <v>20</v>
      </c>
      <c r="C12" s="9">
        <f>PATRON!$G$41/2</f>
        <v>0.75</v>
      </c>
      <c r="D12" s="8">
        <f>PATRON!$G$42/SQRT(3)</f>
        <v>0.28867513459481292</v>
      </c>
      <c r="E12" s="9">
        <v>0</v>
      </c>
      <c r="F12" s="9">
        <f>1/SQRT(12)</f>
        <v>0.28867513459481292</v>
      </c>
      <c r="G12" s="9">
        <f>PATRON!$G$43/SQRT(12)</f>
        <v>0.28867513459481292</v>
      </c>
      <c r="H12" s="8">
        <f ca="1">STDEVA(MEDIDA!C13:F13)/SQRT(4)</f>
        <v>0.15159027226173849</v>
      </c>
      <c r="I12" s="9">
        <f ca="1">SQRT(SUMSQ(C12:H12))</f>
        <v>0.91404573772015818</v>
      </c>
      <c r="J12" s="16">
        <f ca="1">I12^4/(C12^4/200+D12^4/200+E12^4/200+F12^4/200+G12^4/200+H12^4/3)</f>
        <v>374.83575929618019</v>
      </c>
      <c r="K12" s="12">
        <f ca="1">TINV(0.0455,J12)</f>
        <v>2.006708906368873</v>
      </c>
      <c r="L12" s="8">
        <f ca="1">I12*K12</f>
        <v>1.8342237227115483</v>
      </c>
    </row>
    <row r="13" spans="1:12" x14ac:dyDescent="0.3">
      <c r="B13" s="7">
        <f>MEDIDA!B14</f>
        <v>60</v>
      </c>
      <c r="C13" s="9">
        <f>PATRON!$G$41/2</f>
        <v>0.75</v>
      </c>
      <c r="D13" s="8">
        <f>PATRON!$G$42/SQRT(3)</f>
        <v>0.28867513459481292</v>
      </c>
      <c r="E13" s="9">
        <v>0</v>
      </c>
      <c r="F13" s="9">
        <f t="shared" ref="F13:F15" si="3">1/SQRT(12)</f>
        <v>0.28867513459481292</v>
      </c>
      <c r="G13" s="9">
        <f>PATRON!$G$43/SQRT(12)</f>
        <v>0.28867513459481292</v>
      </c>
      <c r="H13" s="8">
        <f ca="1">STDEVA(MEDIDA!C14:F14)/SQRT(4)</f>
        <v>0.26683722654879161</v>
      </c>
      <c r="I13" s="9">
        <f ca="1">SQRT(SUMSQ(C13:H13))</f>
        <v>0.94005430985249527</v>
      </c>
      <c r="J13" s="16">
        <f ca="1">I13^4/(C13^4/200+D13^4/200+E13^4/200+F13^4/200+G13^4/200+H13^4/3)</f>
        <v>231.31033517063383</v>
      </c>
      <c r="K13" s="12">
        <f ca="1">TINV(0.0455,J13)</f>
        <v>2.0108826141150655</v>
      </c>
      <c r="L13" s="8">
        <f ca="1">I13*K13</f>
        <v>1.8903388680063196</v>
      </c>
    </row>
    <row r="14" spans="1:12" x14ac:dyDescent="0.3">
      <c r="B14" s="7">
        <f>MEDIDA!B15</f>
        <v>80</v>
      </c>
      <c r="C14" s="9">
        <f>PATRON!$G$41/2</f>
        <v>0.75</v>
      </c>
      <c r="D14" s="8">
        <f>PATRON!$G$42/SQRT(3)</f>
        <v>0.28867513459481292</v>
      </c>
      <c r="E14" s="9">
        <v>0</v>
      </c>
      <c r="F14" s="9">
        <f t="shared" si="3"/>
        <v>0.28867513459481292</v>
      </c>
      <c r="G14" s="9">
        <f>PATRON!$G$43/SQRT(12)</f>
        <v>0.28867513459481292</v>
      </c>
      <c r="H14" s="8">
        <f ca="1">STDEVA(MEDIDA!C15:F15)/SQRT(4)</f>
        <v>0.20344320891127762</v>
      </c>
      <c r="I14" s="9">
        <f ca="1">SQRT(SUMSQ(C14:H14))</f>
        <v>0.92406122051091277</v>
      </c>
      <c r="J14" s="16">
        <f ca="1">I14^4/(C14^4/200+D14^4/200+E14^4/200+F14^4/200+G14^4/200+H14^4/3)</f>
        <v>323.02001744656775</v>
      </c>
      <c r="K14" s="12">
        <f t="shared" ref="K14:K15" ca="1" si="4">TINV(0.0455,J14)</f>
        <v>2.0077718459924987</v>
      </c>
      <c r="L14" s="8">
        <f t="shared" ref="L14:L15" ca="1" si="5">I14*K14</f>
        <v>1.8553041025152768</v>
      </c>
    </row>
    <row r="15" spans="1:12" x14ac:dyDescent="0.3">
      <c r="B15" s="7">
        <f>MEDIDA!B16</f>
        <v>100</v>
      </c>
      <c r="C15" s="9">
        <f>PATRON!$G$41/2</f>
        <v>0.75</v>
      </c>
      <c r="D15" s="8">
        <f>PATRON!$G$42/SQRT(3)</f>
        <v>0.28867513459481292</v>
      </c>
      <c r="E15" s="9">
        <v>0</v>
      </c>
      <c r="F15" s="9">
        <f t="shared" si="3"/>
        <v>0.28867513459481292</v>
      </c>
      <c r="G15" s="9">
        <f>PATRON!$G$43/SQRT(12)</f>
        <v>0.28867513459481292</v>
      </c>
      <c r="H15" s="8">
        <f ca="1">STDEVA(MEDIDA!C16:F16)/SQRT(4)</f>
        <v>0</v>
      </c>
      <c r="I15" s="9">
        <f ca="1">SQRT(SUMSQ(C15:H15))</f>
        <v>0.90138781886599739</v>
      </c>
      <c r="J15" s="16">
        <f ca="1">I15^4/(C15^4/200+D15^4/200+E15^4/200+F15^4/200+G15^4/200+H15^4/3)</f>
        <v>391.50579150579159</v>
      </c>
      <c r="K15" s="12">
        <f t="shared" ca="1" si="4"/>
        <v>2.0064164060390595</v>
      </c>
      <c r="L15" s="8">
        <f t="shared" ca="1" si="5"/>
        <v>1.8085593079765012</v>
      </c>
    </row>
    <row r="50" spans="8:11" x14ac:dyDescent="0.3">
      <c r="H50" s="1"/>
      <c r="I50" s="1"/>
      <c r="J50" s="1"/>
      <c r="K50" s="1"/>
    </row>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sheetData>
  <mergeCells count="2">
    <mergeCell ref="B2:L2"/>
    <mergeCell ref="B10:L10"/>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46"/>
  <sheetViews>
    <sheetView tabSelected="1" view="pageLayout" zoomScaleNormal="100" workbookViewId="0">
      <selection activeCell="M102" sqref="M102"/>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7"/>
      <c r="E1" s="57"/>
      <c r="F1" s="58"/>
      <c r="G1" s="59"/>
      <c r="H1" s="60"/>
      <c r="I1" s="151"/>
      <c r="J1" s="151"/>
      <c r="K1" s="151"/>
      <c r="M1" s="66"/>
      <c r="O1" s="116" t="s">
        <v>79</v>
      </c>
      <c r="P1" s="116"/>
      <c r="Q1" s="116"/>
      <c r="R1" s="115">
        <f>INFORMACIÓN!G3</f>
        <v>0</v>
      </c>
      <c r="S1" s="115"/>
    </row>
    <row r="2" spans="1:27" ht="16.95" customHeight="1" x14ac:dyDescent="0.3">
      <c r="G2" s="153"/>
      <c r="H2" s="153"/>
      <c r="I2" s="153"/>
      <c r="J2" s="152"/>
      <c r="K2" s="152"/>
    </row>
    <row r="3" spans="1:27" ht="16.95" customHeight="1" x14ac:dyDescent="0.3">
      <c r="B3" s="85"/>
      <c r="C3" s="154" t="s">
        <v>70</v>
      </c>
      <c r="D3" s="154"/>
      <c r="E3" s="154"/>
      <c r="F3" s="154"/>
      <c r="G3" s="154"/>
      <c r="H3" s="154"/>
      <c r="I3" s="154"/>
      <c r="J3" s="154"/>
      <c r="K3" s="154"/>
      <c r="L3" s="154"/>
      <c r="M3" s="154"/>
      <c r="N3" s="154"/>
      <c r="O3" s="154"/>
      <c r="P3" s="154"/>
      <c r="Q3" s="154"/>
      <c r="R3" s="154"/>
    </row>
    <row r="4" spans="1:27" ht="16.95" customHeight="1" x14ac:dyDescent="0.3">
      <c r="A4" s="82"/>
      <c r="B4" s="82"/>
      <c r="C4" s="82"/>
      <c r="D4" s="82"/>
      <c r="E4" s="82"/>
      <c r="F4" s="82"/>
      <c r="G4" s="82"/>
      <c r="H4" s="82"/>
      <c r="I4" s="82"/>
      <c r="J4" s="82"/>
      <c r="K4" s="82"/>
      <c r="L4" s="82"/>
      <c r="M4" s="82"/>
      <c r="N4" s="82"/>
      <c r="O4" s="82"/>
      <c r="P4" s="82"/>
      <c r="Q4" s="82"/>
      <c r="R4" s="82"/>
    </row>
    <row r="5" spans="1:27" s="56" customFormat="1" ht="16.95" customHeight="1" x14ac:dyDescent="0.3">
      <c r="B5" s="80"/>
      <c r="C5" s="116" t="s">
        <v>62</v>
      </c>
      <c r="D5" s="116"/>
      <c r="E5" s="116"/>
      <c r="F5" s="116"/>
      <c r="G5" s="116"/>
      <c r="H5" s="54"/>
      <c r="I5" s="150">
        <f>INFORMACIÓN!A3</f>
        <v>0</v>
      </c>
      <c r="J5" s="150"/>
      <c r="K5" s="150"/>
      <c r="L5" s="150"/>
      <c r="M5" s="150"/>
      <c r="N5" s="150"/>
      <c r="O5" s="150"/>
      <c r="P5" s="150"/>
      <c r="Q5" s="150"/>
      <c r="R5" s="150"/>
      <c r="S5"/>
      <c r="T5"/>
      <c r="U5"/>
      <c r="V5"/>
      <c r="W5"/>
      <c r="X5"/>
      <c r="Y5"/>
      <c r="Z5"/>
      <c r="AA5"/>
    </row>
    <row r="6" spans="1:27" s="56" customFormat="1" ht="16.95" customHeight="1" x14ac:dyDescent="0.3">
      <c r="B6" s="80"/>
      <c r="C6" s="116" t="s">
        <v>63</v>
      </c>
      <c r="D6" s="116"/>
      <c r="E6" s="116"/>
      <c r="F6" s="116"/>
      <c r="G6" s="116"/>
      <c r="H6" s="54"/>
      <c r="I6" s="150">
        <f>INFORMACIÓN!B3</f>
        <v>0</v>
      </c>
      <c r="J6" s="150"/>
      <c r="K6" s="150"/>
      <c r="L6" s="150"/>
      <c r="M6" s="150"/>
      <c r="N6" s="150"/>
      <c r="O6" s="150"/>
      <c r="P6" s="150"/>
      <c r="Q6" s="150"/>
      <c r="R6" s="150"/>
      <c r="S6"/>
      <c r="T6"/>
      <c r="U6"/>
      <c r="V6"/>
      <c r="W6"/>
      <c r="X6"/>
      <c r="Y6"/>
      <c r="Z6"/>
      <c r="AA6"/>
    </row>
    <row r="7" spans="1:27" s="56" customFormat="1" ht="16.95" customHeight="1" x14ac:dyDescent="0.3">
      <c r="B7" s="80"/>
      <c r="C7" s="116" t="s">
        <v>64</v>
      </c>
      <c r="D7" s="116"/>
      <c r="E7" s="116"/>
      <c r="F7" s="116"/>
      <c r="G7" s="116"/>
      <c r="H7" s="54"/>
      <c r="I7" s="150">
        <f>INFORMACIÓN!C3</f>
        <v>0</v>
      </c>
      <c r="J7" s="150"/>
      <c r="K7" s="150"/>
      <c r="L7" s="150"/>
      <c r="M7" s="150"/>
      <c r="N7" s="150"/>
      <c r="O7" s="150"/>
      <c r="P7" s="150"/>
      <c r="Q7" s="150"/>
      <c r="R7" s="150"/>
      <c r="S7"/>
      <c r="T7"/>
      <c r="U7"/>
      <c r="V7"/>
      <c r="W7"/>
      <c r="X7"/>
      <c r="Y7"/>
      <c r="Z7"/>
      <c r="AA7"/>
    </row>
    <row r="8" spans="1:27" s="56" customFormat="1" ht="16.95" customHeight="1" x14ac:dyDescent="0.3">
      <c r="B8" s="80"/>
      <c r="C8" s="116" t="s">
        <v>179</v>
      </c>
      <c r="D8" s="116"/>
      <c r="E8" s="116"/>
      <c r="F8" s="116"/>
      <c r="G8" s="116"/>
      <c r="H8" s="54"/>
      <c r="I8" s="155">
        <f>INFORMACIÓN!D3</f>
        <v>0</v>
      </c>
      <c r="J8" s="150"/>
      <c r="K8" s="150"/>
      <c r="L8" s="150"/>
      <c r="M8" s="150"/>
      <c r="N8" s="150"/>
      <c r="O8" s="150"/>
      <c r="P8" s="150"/>
      <c r="Q8" s="150"/>
      <c r="R8" s="150"/>
      <c r="S8"/>
      <c r="T8"/>
      <c r="U8"/>
      <c r="V8"/>
      <c r="W8"/>
      <c r="X8"/>
      <c r="Y8"/>
      <c r="Z8"/>
      <c r="AA8"/>
    </row>
    <row r="9" spans="1:27" s="56" customFormat="1" ht="16.95" customHeight="1" x14ac:dyDescent="0.3">
      <c r="B9" s="80"/>
      <c r="C9" s="116" t="s">
        <v>65</v>
      </c>
      <c r="D9" s="116"/>
      <c r="E9" s="116"/>
      <c r="F9" s="116"/>
      <c r="G9" s="116"/>
      <c r="H9" s="54"/>
      <c r="I9" s="155">
        <f>INFORMACIÓN!F3</f>
        <v>0</v>
      </c>
      <c r="J9" s="150"/>
      <c r="K9" s="150"/>
      <c r="L9" s="150"/>
      <c r="M9" s="150"/>
      <c r="N9" s="150"/>
      <c r="O9" s="150"/>
      <c r="P9" s="150"/>
      <c r="Q9" s="150"/>
      <c r="R9" s="150"/>
      <c r="S9"/>
      <c r="T9"/>
      <c r="U9"/>
      <c r="V9"/>
      <c r="W9"/>
      <c r="X9"/>
      <c r="Y9"/>
      <c r="Z9"/>
      <c r="AA9"/>
    </row>
    <row r="10" spans="1:27" s="56" customFormat="1" ht="16.95" customHeight="1" x14ac:dyDescent="0.3">
      <c r="B10" s="80"/>
      <c r="C10" s="116" t="s">
        <v>67</v>
      </c>
      <c r="D10" s="116"/>
      <c r="E10" s="116"/>
      <c r="F10" s="116"/>
      <c r="G10" s="116"/>
      <c r="H10" s="54"/>
      <c r="I10" s="156">
        <f>INFORMACIÓN!E3</f>
        <v>0</v>
      </c>
      <c r="J10" s="150"/>
      <c r="K10" s="150"/>
      <c r="L10" s="150"/>
      <c r="M10" s="150"/>
      <c r="N10" s="150"/>
      <c r="O10" s="150"/>
      <c r="P10" s="150"/>
      <c r="Q10" s="150"/>
      <c r="R10" s="150"/>
      <c r="S10"/>
      <c r="T10"/>
      <c r="U10"/>
      <c r="V10"/>
      <c r="W10"/>
      <c r="X10"/>
      <c r="Y10"/>
      <c r="Z10"/>
      <c r="AA10"/>
    </row>
    <row r="11" spans="1:27" s="56" customFormat="1" ht="16.95" customHeight="1" x14ac:dyDescent="0.3">
      <c r="B11" s="80"/>
      <c r="C11" s="116" t="s">
        <v>66</v>
      </c>
      <c r="D11" s="116"/>
      <c r="E11" s="116"/>
      <c r="F11" s="116"/>
      <c r="G11" s="116"/>
      <c r="H11" s="54"/>
      <c r="I11" s="150" t="str">
        <f>INFORMACIÓN!B8</f>
        <v>BUEN ESTADO</v>
      </c>
      <c r="J11" s="150"/>
      <c r="K11" s="150"/>
      <c r="L11" s="150"/>
      <c r="M11" s="150"/>
      <c r="N11" s="150"/>
      <c r="O11" s="150"/>
      <c r="P11" s="150"/>
      <c r="Q11" s="150"/>
      <c r="R11" s="150"/>
      <c r="S11"/>
      <c r="T11"/>
      <c r="U11"/>
      <c r="V11"/>
      <c r="W11"/>
      <c r="X11"/>
      <c r="Y11"/>
      <c r="Z11"/>
      <c r="AA11"/>
    </row>
    <row r="12" spans="1:27" s="56" customFormat="1" ht="16.95" customHeight="1" x14ac:dyDescent="0.3">
      <c r="B12" s="80"/>
      <c r="C12" s="116" t="s">
        <v>76</v>
      </c>
      <c r="D12" s="116"/>
      <c r="E12" s="116"/>
      <c r="F12" s="116"/>
      <c r="G12" s="116"/>
      <c r="H12" s="81"/>
      <c r="I12" s="140">
        <f>INFORMACIÓN!H3</f>
        <v>0</v>
      </c>
      <c r="J12" s="140"/>
      <c r="K12" s="140"/>
      <c r="L12" s="140"/>
      <c r="M12" s="140"/>
      <c r="N12" s="140"/>
      <c r="O12" s="140"/>
      <c r="P12" s="140"/>
      <c r="Q12" s="140"/>
      <c r="R12" s="140"/>
      <c r="S12"/>
      <c r="T12"/>
      <c r="U12"/>
      <c r="V12"/>
      <c r="W12"/>
      <c r="X12"/>
      <c r="Y12"/>
      <c r="Z12"/>
      <c r="AA12"/>
    </row>
    <row r="13" spans="1:27" s="56" customFormat="1" ht="16.95" customHeight="1" x14ac:dyDescent="0.3">
      <c r="B13" s="80"/>
      <c r="C13" s="116" t="s">
        <v>75</v>
      </c>
      <c r="D13" s="116"/>
      <c r="E13" s="116"/>
      <c r="F13" s="116"/>
      <c r="G13" s="116"/>
      <c r="H13" s="81"/>
      <c r="I13" s="140">
        <f>INFORMACIÓN!B9</f>
        <v>0</v>
      </c>
      <c r="J13" s="140"/>
      <c r="K13" s="140"/>
      <c r="L13" s="140"/>
      <c r="M13" s="140"/>
      <c r="N13" s="140"/>
      <c r="O13" s="140"/>
      <c r="P13" s="140"/>
      <c r="Q13" s="140"/>
      <c r="R13" s="140"/>
      <c r="S13"/>
      <c r="T13"/>
      <c r="U13"/>
      <c r="V13"/>
      <c r="W13"/>
      <c r="X13"/>
      <c r="Y13"/>
      <c r="Z13"/>
      <c r="AA13"/>
    </row>
    <row r="14" spans="1:27" ht="16.95" customHeight="1" x14ac:dyDescent="0.3"/>
    <row r="15" spans="1:27" ht="16.95" customHeight="1" x14ac:dyDescent="0.3">
      <c r="B15" s="66"/>
      <c r="C15" s="138" t="s">
        <v>69</v>
      </c>
      <c r="D15" s="138"/>
      <c r="E15" s="138"/>
      <c r="F15" s="138"/>
      <c r="G15" s="138"/>
      <c r="H15" s="138"/>
      <c r="I15" s="138"/>
      <c r="J15" s="138"/>
      <c r="K15" s="138"/>
      <c r="L15" s="138"/>
      <c r="M15" s="138"/>
      <c r="N15" s="138"/>
      <c r="O15" s="138"/>
      <c r="P15" s="138"/>
      <c r="Q15" s="138"/>
      <c r="R15" s="138"/>
    </row>
    <row r="16" spans="1:27" ht="16.95" customHeight="1" x14ac:dyDescent="0.3"/>
    <row r="17" spans="1:18" ht="16.95" customHeight="1" x14ac:dyDescent="0.3">
      <c r="B17" s="53"/>
      <c r="C17" s="139" t="s">
        <v>71</v>
      </c>
      <c r="D17" s="139"/>
      <c r="E17" s="139"/>
      <c r="F17" s="139"/>
      <c r="G17" s="139"/>
      <c r="H17" s="52"/>
      <c r="I17" s="142">
        <f>INFORMACIÓN!E7</f>
        <v>0</v>
      </c>
      <c r="J17" s="142"/>
      <c r="K17" s="142"/>
      <c r="L17" s="142"/>
      <c r="M17" s="142"/>
      <c r="N17" s="142"/>
      <c r="O17" s="142"/>
      <c r="P17" s="142"/>
      <c r="Q17" s="142"/>
      <c r="R17" s="142"/>
    </row>
    <row r="18" spans="1:18" ht="16.95" customHeight="1" x14ac:dyDescent="0.3">
      <c r="B18" s="53"/>
      <c r="C18" s="139" t="s">
        <v>72</v>
      </c>
      <c r="D18" s="139"/>
      <c r="E18" s="139"/>
      <c r="F18" s="139"/>
      <c r="G18" s="139"/>
      <c r="H18" s="52"/>
      <c r="I18" s="142">
        <f>INFORMACIÓN!E8</f>
        <v>0</v>
      </c>
      <c r="J18" s="142"/>
      <c r="K18" s="142"/>
      <c r="L18" s="142"/>
      <c r="M18" s="142"/>
      <c r="N18" s="142"/>
      <c r="O18" s="142"/>
      <c r="P18" s="142"/>
      <c r="Q18" s="142"/>
      <c r="R18" s="142"/>
    </row>
    <row r="19" spans="1:18" ht="16.95" customHeight="1" x14ac:dyDescent="0.3">
      <c r="B19" s="53"/>
      <c r="C19" s="139" t="s">
        <v>89</v>
      </c>
      <c r="D19" s="139"/>
      <c r="E19" s="139"/>
      <c r="F19" s="139"/>
      <c r="G19" s="139"/>
      <c r="H19" s="52"/>
      <c r="I19" s="142">
        <f>INFORMACIÓN!E9</f>
        <v>0</v>
      </c>
      <c r="J19" s="142"/>
      <c r="K19" s="142"/>
      <c r="L19" s="142"/>
      <c r="M19" s="142"/>
      <c r="N19" s="142"/>
      <c r="O19" s="142"/>
      <c r="P19" s="142"/>
      <c r="Q19" s="142"/>
      <c r="R19" s="142"/>
    </row>
    <row r="20" spans="1:18" ht="16.95" customHeight="1" x14ac:dyDescent="0.3">
      <c r="B20" s="53"/>
      <c r="C20" s="139" t="s">
        <v>73</v>
      </c>
      <c r="D20" s="139"/>
      <c r="E20" s="139"/>
      <c r="F20" s="139"/>
      <c r="G20" s="139"/>
      <c r="H20" s="52"/>
      <c r="I20" s="142">
        <f>INFORMACIÓN!E10</f>
        <v>0</v>
      </c>
      <c r="J20" s="142"/>
      <c r="K20" s="142"/>
      <c r="L20" s="142"/>
      <c r="M20" s="142"/>
      <c r="N20" s="142"/>
      <c r="O20" s="142"/>
      <c r="P20" s="142"/>
      <c r="Q20" s="142"/>
      <c r="R20" s="142"/>
    </row>
    <row r="21" spans="1:18" ht="16.95" customHeight="1" x14ac:dyDescent="0.3">
      <c r="B21" s="53"/>
      <c r="C21" s="139" t="s">
        <v>74</v>
      </c>
      <c r="D21" s="139"/>
      <c r="E21" s="139"/>
      <c r="F21" s="139"/>
      <c r="G21" s="139"/>
      <c r="H21" s="52"/>
      <c r="I21" s="142">
        <f>INFORMACIÓN!E11</f>
        <v>0</v>
      </c>
      <c r="J21" s="142"/>
      <c r="K21" s="142"/>
      <c r="L21" s="142"/>
      <c r="M21" s="142"/>
      <c r="N21" s="142"/>
      <c r="O21" s="142"/>
      <c r="P21" s="142"/>
      <c r="Q21" s="142"/>
      <c r="R21" s="142"/>
    </row>
    <row r="22" spans="1:18" ht="16.95" customHeight="1" x14ac:dyDescent="0.3">
      <c r="A22" s="52"/>
      <c r="B22" s="52"/>
      <c r="C22" s="52"/>
      <c r="D22" s="52"/>
      <c r="E22" s="52"/>
      <c r="F22" s="52"/>
      <c r="G22" s="52"/>
      <c r="H22" s="52"/>
      <c r="I22" s="52"/>
      <c r="J22" s="52"/>
      <c r="K22" s="52"/>
      <c r="L22" s="52"/>
      <c r="M22" s="52"/>
      <c r="N22" s="52"/>
      <c r="O22" s="52"/>
      <c r="P22" s="52"/>
      <c r="Q22" s="52"/>
      <c r="R22" s="52"/>
    </row>
    <row r="23" spans="1:18" ht="16.95" customHeight="1" x14ac:dyDescent="0.3">
      <c r="B23" s="79"/>
      <c r="C23" s="147" t="s">
        <v>171</v>
      </c>
      <c r="D23" s="147"/>
      <c r="E23" s="147"/>
      <c r="F23" s="147"/>
      <c r="G23" s="147"/>
      <c r="H23" s="147"/>
      <c r="I23" s="147"/>
      <c r="J23" s="147"/>
      <c r="K23" s="147"/>
      <c r="L23" s="147"/>
      <c r="M23" s="147"/>
      <c r="N23" s="147"/>
      <c r="O23" s="147"/>
      <c r="P23" s="147"/>
      <c r="Q23" s="147"/>
      <c r="R23" s="147"/>
    </row>
    <row r="24" spans="1:18" ht="16.95" customHeight="1" x14ac:dyDescent="0.3">
      <c r="A24" s="79"/>
      <c r="B24" s="79"/>
      <c r="C24" s="148"/>
      <c r="D24" s="148"/>
      <c r="E24" s="148"/>
      <c r="F24" s="148"/>
      <c r="G24" s="148"/>
      <c r="H24" s="148"/>
      <c r="I24" s="148"/>
      <c r="J24" s="148"/>
      <c r="K24" s="148"/>
      <c r="L24" s="148"/>
      <c r="M24" s="148"/>
      <c r="N24" s="148"/>
      <c r="O24" s="148"/>
      <c r="P24" s="148"/>
      <c r="Q24" s="148"/>
      <c r="R24" s="148"/>
    </row>
    <row r="25" spans="1:18" ht="16.95" customHeight="1" x14ac:dyDescent="0.3">
      <c r="A25" s="79"/>
      <c r="B25" s="79"/>
      <c r="C25" s="148"/>
      <c r="D25" s="148"/>
      <c r="E25" s="148"/>
      <c r="F25" s="148"/>
      <c r="G25" s="148"/>
      <c r="H25" s="148"/>
      <c r="I25" s="148"/>
      <c r="J25" s="148"/>
      <c r="K25" s="148"/>
      <c r="L25" s="148"/>
      <c r="M25" s="148"/>
      <c r="N25" s="148"/>
      <c r="O25" s="148"/>
      <c r="P25" s="148"/>
      <c r="Q25" s="148"/>
      <c r="R25" s="148"/>
    </row>
    <row r="26" spans="1:18" ht="16.95" customHeight="1" x14ac:dyDescent="0.3">
      <c r="A26" s="79"/>
      <c r="B26" s="79"/>
      <c r="C26" s="148"/>
      <c r="D26" s="148"/>
      <c r="E26" s="148"/>
      <c r="F26" s="148"/>
      <c r="G26" s="148"/>
      <c r="H26" s="148"/>
      <c r="I26" s="148"/>
      <c r="J26" s="148"/>
      <c r="K26" s="148"/>
      <c r="L26" s="148"/>
      <c r="M26" s="148"/>
      <c r="N26" s="148"/>
      <c r="O26" s="148"/>
      <c r="P26" s="148"/>
      <c r="Q26" s="148"/>
      <c r="R26" s="148"/>
    </row>
    <row r="27" spans="1:18" ht="16.95" customHeight="1" x14ac:dyDescent="0.3">
      <c r="A27" s="79"/>
      <c r="B27" s="79"/>
      <c r="C27" s="148"/>
      <c r="D27" s="148"/>
      <c r="E27" s="148"/>
      <c r="F27" s="148"/>
      <c r="G27" s="148"/>
      <c r="H27" s="148"/>
      <c r="I27" s="148"/>
      <c r="J27" s="148"/>
      <c r="K27" s="148"/>
      <c r="L27" s="148"/>
      <c r="M27" s="148"/>
      <c r="N27" s="148"/>
      <c r="O27" s="148"/>
      <c r="P27" s="148"/>
      <c r="Q27" s="148"/>
      <c r="R27" s="148"/>
    </row>
    <row r="28" spans="1:18" ht="16.95" customHeight="1" x14ac:dyDescent="0.3">
      <c r="A28" s="79"/>
      <c r="B28" s="79"/>
      <c r="C28" s="149"/>
      <c r="D28" s="149"/>
      <c r="E28" s="149"/>
      <c r="F28" s="149"/>
      <c r="G28" s="149"/>
      <c r="H28" s="149"/>
      <c r="I28" s="149"/>
      <c r="J28" s="149"/>
      <c r="K28" s="149"/>
      <c r="L28" s="149"/>
      <c r="M28" s="149"/>
      <c r="N28" s="149"/>
      <c r="O28" s="149"/>
      <c r="P28" s="149"/>
      <c r="Q28" s="149"/>
      <c r="R28" s="149"/>
    </row>
    <row r="29" spans="1:18" ht="16.95" customHeight="1" x14ac:dyDescent="0.3">
      <c r="A29" s="79"/>
      <c r="B29" s="79"/>
      <c r="C29" s="86"/>
      <c r="D29" s="86"/>
      <c r="E29" s="86"/>
      <c r="F29" s="86"/>
      <c r="G29" s="86"/>
      <c r="H29" s="86"/>
      <c r="I29" s="86"/>
      <c r="J29" s="86"/>
      <c r="K29" s="86"/>
      <c r="L29" s="86"/>
      <c r="M29" s="86"/>
      <c r="N29" s="86"/>
      <c r="O29" s="86"/>
      <c r="P29" s="86"/>
      <c r="Q29" s="86"/>
      <c r="R29" s="86"/>
    </row>
    <row r="30" spans="1:18" ht="16.95" customHeight="1" x14ac:dyDescent="0.3">
      <c r="A30" s="79"/>
      <c r="B30" s="79"/>
      <c r="C30" s="84"/>
      <c r="D30" s="84"/>
      <c r="E30" s="84"/>
      <c r="F30" s="84"/>
      <c r="G30" s="84"/>
      <c r="H30" s="84"/>
      <c r="I30" s="84"/>
      <c r="J30" s="84"/>
      <c r="K30" s="84"/>
      <c r="L30" s="84"/>
      <c r="M30" s="84"/>
      <c r="N30" s="84"/>
      <c r="O30" s="84"/>
      <c r="P30" s="84"/>
      <c r="Q30" s="84"/>
      <c r="R30" s="84"/>
    </row>
    <row r="31" spans="1:18" ht="16.95" customHeight="1" x14ac:dyDescent="0.3">
      <c r="B31" s="52"/>
      <c r="C31" s="53" t="s">
        <v>59</v>
      </c>
      <c r="D31" s="52"/>
      <c r="H31" s="53"/>
      <c r="I31" s="139" t="s">
        <v>77</v>
      </c>
      <c r="J31" s="139"/>
      <c r="K31" s="139"/>
      <c r="L31" s="139"/>
      <c r="M31" s="142" t="str">
        <f>INFORMACIÓN!B15</f>
        <v>ING. GABRIEL DURÁN</v>
      </c>
      <c r="N31" s="142"/>
      <c r="O31" s="142"/>
      <c r="P31" s="142"/>
      <c r="Q31" s="142"/>
      <c r="R31" s="142"/>
    </row>
    <row r="32" spans="1:18" ht="16.95" customHeight="1" x14ac:dyDescent="0.3">
      <c r="F32" s="53"/>
      <c r="G32" s="53"/>
      <c r="H32" s="53"/>
      <c r="I32" s="139" t="s">
        <v>78</v>
      </c>
      <c r="J32" s="139"/>
      <c r="K32" s="139"/>
      <c r="L32" s="139"/>
      <c r="M32" s="146">
        <f>INFORMACIÓN!B10</f>
        <v>0</v>
      </c>
      <c r="N32" s="146"/>
      <c r="O32" s="146"/>
      <c r="P32" s="65"/>
      <c r="Q32" s="65"/>
      <c r="R32" s="53"/>
    </row>
    <row r="33" spans="1:19" ht="16.95" customHeight="1" x14ac:dyDescent="0.3">
      <c r="I33" s="139" t="s">
        <v>82</v>
      </c>
      <c r="J33" s="139"/>
      <c r="K33" s="139"/>
      <c r="L33" s="139"/>
      <c r="M33" s="64">
        <v>3</v>
      </c>
      <c r="N33" s="52"/>
      <c r="O33" s="52"/>
      <c r="P33" s="52"/>
      <c r="Q33" s="52"/>
      <c r="R33" s="65"/>
    </row>
    <row r="34" spans="1:19" ht="16.95" customHeight="1" x14ac:dyDescent="0.3"/>
    <row r="35" spans="1:19" ht="16.95" customHeight="1" x14ac:dyDescent="0.3">
      <c r="C35" s="87"/>
      <c r="D35" s="87"/>
      <c r="E35" s="87"/>
      <c r="F35" s="87"/>
      <c r="G35" s="87"/>
    </row>
    <row r="36" spans="1:19" x14ac:dyDescent="0.3">
      <c r="B36" s="54"/>
      <c r="C36" s="83" t="s">
        <v>80</v>
      </c>
      <c r="D36" s="54"/>
      <c r="E36" s="54"/>
      <c r="F36" s="54"/>
      <c r="H36" s="53"/>
      <c r="J36" s="53"/>
      <c r="K36" s="53"/>
      <c r="L36" s="53"/>
      <c r="N36" s="65"/>
      <c r="O36" s="65"/>
    </row>
    <row r="37" spans="1:19" ht="13.2" customHeight="1" x14ac:dyDescent="0.3">
      <c r="B37" s="54"/>
      <c r="C37" s="79" t="s">
        <v>81</v>
      </c>
      <c r="D37" s="79"/>
      <c r="E37" s="79"/>
      <c r="F37" s="79"/>
      <c r="G37" s="79"/>
      <c r="J37" s="53"/>
      <c r="K37" s="53"/>
      <c r="L37" s="53"/>
      <c r="N37" s="61"/>
      <c r="O37" s="63"/>
      <c r="P37" s="63"/>
      <c r="Q37" s="63"/>
    </row>
    <row r="38" spans="1:19" ht="16.95" customHeight="1" x14ac:dyDescent="0.3">
      <c r="B38" s="62"/>
      <c r="C38" s="62"/>
      <c r="D38" s="62"/>
      <c r="E38" s="62"/>
      <c r="G38" s="52"/>
      <c r="H38" s="52"/>
      <c r="I38" s="52"/>
      <c r="J38" s="53"/>
      <c r="K38" s="53"/>
      <c r="L38" s="53"/>
      <c r="M38" s="53"/>
      <c r="N38" s="52"/>
      <c r="O38" s="139" t="str">
        <f>O1</f>
        <v>CERTIFICADO N°:</v>
      </c>
      <c r="P38" s="139"/>
      <c r="Q38" s="139"/>
      <c r="R38" s="141">
        <f>R1</f>
        <v>0</v>
      </c>
      <c r="S38" s="141"/>
    </row>
    <row r="39" spans="1:19" ht="16.95" customHeight="1" x14ac:dyDescent="0.3"/>
    <row r="40" spans="1:19" ht="16.95" customHeight="1" x14ac:dyDescent="0.3">
      <c r="B40" s="145" t="s">
        <v>83</v>
      </c>
      <c r="C40" s="145"/>
      <c r="D40" s="145"/>
      <c r="E40" s="145"/>
      <c r="F40" s="145"/>
      <c r="G40" s="145"/>
      <c r="H40" s="145"/>
      <c r="I40" s="145"/>
      <c r="J40" s="145"/>
      <c r="K40" s="145"/>
      <c r="L40" s="145"/>
      <c r="M40" s="145"/>
      <c r="N40" s="145"/>
      <c r="O40" s="145"/>
      <c r="P40" s="145"/>
      <c r="Q40" s="145"/>
      <c r="R40" s="145"/>
      <c r="S40" s="145"/>
    </row>
    <row r="41" spans="1:19" ht="16.95" customHeight="1" x14ac:dyDescent="0.3">
      <c r="B41" s="143" t="s">
        <v>172</v>
      </c>
      <c r="C41" s="143"/>
      <c r="D41" s="143"/>
      <c r="E41" s="143"/>
      <c r="F41" s="143"/>
      <c r="G41" s="143"/>
      <c r="H41" s="143"/>
      <c r="I41" s="143"/>
      <c r="J41" s="143"/>
      <c r="K41" s="143"/>
      <c r="L41" s="143"/>
      <c r="M41" s="143"/>
      <c r="N41" s="143"/>
      <c r="O41" s="143"/>
      <c r="P41" s="143"/>
      <c r="Q41" s="143"/>
      <c r="R41" s="143"/>
      <c r="S41" s="143"/>
    </row>
    <row r="42" spans="1:19" ht="16.95" customHeight="1" x14ac:dyDescent="0.3">
      <c r="A42" s="88"/>
      <c r="B42" s="144"/>
      <c r="C42" s="144"/>
      <c r="D42" s="144"/>
      <c r="E42" s="144"/>
      <c r="F42" s="144"/>
      <c r="G42" s="144"/>
      <c r="H42" s="144"/>
      <c r="I42" s="144"/>
      <c r="J42" s="144"/>
      <c r="K42" s="144"/>
      <c r="L42" s="144"/>
      <c r="M42" s="144"/>
      <c r="N42" s="144"/>
      <c r="O42" s="144"/>
      <c r="P42" s="144"/>
      <c r="Q42" s="144"/>
      <c r="R42" s="144"/>
      <c r="S42" s="144"/>
    </row>
    <row r="43" spans="1:19" ht="16.95" customHeight="1" x14ac:dyDescent="0.3">
      <c r="A43" s="88"/>
      <c r="B43" s="144"/>
      <c r="C43" s="144"/>
      <c r="D43" s="144"/>
      <c r="E43" s="144"/>
      <c r="F43" s="144"/>
      <c r="G43" s="144"/>
      <c r="H43" s="144"/>
      <c r="I43" s="144"/>
      <c r="J43" s="144"/>
      <c r="K43" s="144"/>
      <c r="L43" s="144"/>
      <c r="M43" s="144"/>
      <c r="N43" s="144"/>
      <c r="O43" s="144"/>
      <c r="P43" s="144"/>
      <c r="Q43" s="144"/>
      <c r="R43" s="144"/>
      <c r="S43" s="144"/>
    </row>
    <row r="44" spans="1:19" ht="9" customHeight="1" x14ac:dyDescent="0.3">
      <c r="C44" s="88"/>
      <c r="D44" s="88"/>
      <c r="E44" s="88"/>
      <c r="F44" s="88"/>
      <c r="G44" s="88"/>
      <c r="H44" s="88"/>
      <c r="I44" s="88"/>
      <c r="J44" s="88"/>
      <c r="K44" s="88"/>
      <c r="L44" s="88"/>
      <c r="M44" s="88"/>
      <c r="N44" s="88"/>
      <c r="O44" s="88"/>
      <c r="P44" s="88"/>
      <c r="Q44" s="88"/>
      <c r="R44" s="88"/>
    </row>
    <row r="45" spans="1:19" ht="16.95" customHeight="1" x14ac:dyDescent="0.3">
      <c r="E45" s="77"/>
      <c r="F45" s="158" t="s">
        <v>84</v>
      </c>
      <c r="G45" s="159"/>
      <c r="H45" s="159"/>
      <c r="I45" s="159"/>
      <c r="J45" s="160"/>
      <c r="K45" s="167" t="s">
        <v>85</v>
      </c>
      <c r="L45" s="168"/>
      <c r="M45" s="168"/>
      <c r="N45" s="168"/>
      <c r="O45" s="169"/>
    </row>
    <row r="46" spans="1:19" ht="16.95" customHeight="1" x14ac:dyDescent="0.3">
      <c r="E46" s="77"/>
      <c r="F46" s="162">
        <f>AVERAGE(INFORMACIÓN!B11:B12)</f>
        <v>24.3</v>
      </c>
      <c r="G46" s="163"/>
      <c r="H46" s="73" t="s">
        <v>86</v>
      </c>
      <c r="I46" s="74">
        <f>ABS(INFORMACIÓN!B11-INFORMACIÓN!B12)</f>
        <v>0.39999999999999858</v>
      </c>
      <c r="J46" s="78"/>
      <c r="K46" s="164">
        <f>AVERAGE(INFORMACIÓN!B13:B14)</f>
        <v>61.5</v>
      </c>
      <c r="L46" s="165"/>
      <c r="M46" s="73" t="s">
        <v>86</v>
      </c>
      <c r="N46" s="75">
        <f>ABS(INFORMACIÓN!B13-INFORMACIÓN!B14)</f>
        <v>3</v>
      </c>
      <c r="O46" s="76"/>
    </row>
    <row r="47" spans="1:19" ht="11.4" customHeight="1" x14ac:dyDescent="0.3">
      <c r="E47" s="52"/>
      <c r="F47" s="68"/>
      <c r="G47" s="69"/>
      <c r="H47" s="70"/>
      <c r="I47" s="71"/>
      <c r="K47" s="72"/>
      <c r="L47" s="69"/>
      <c r="M47" s="67"/>
    </row>
    <row r="48" spans="1:19" ht="16.95" customHeight="1" x14ac:dyDescent="0.3">
      <c r="B48" s="54"/>
      <c r="D48" s="54"/>
      <c r="F48" s="161" t="s">
        <v>173</v>
      </c>
      <c r="G48" s="161"/>
      <c r="H48" s="161"/>
      <c r="I48" s="161"/>
      <c r="J48" s="161"/>
      <c r="K48" s="166" t="str">
        <f>INFORMACIÓN!B7</f>
        <v>En sitio (instalaciones del cliente)</v>
      </c>
      <c r="L48" s="166"/>
      <c r="M48" s="166"/>
      <c r="N48" s="166"/>
      <c r="O48" s="166"/>
      <c r="P48" s="166"/>
    </row>
    <row r="49" spans="1:19" ht="13.2" customHeight="1" x14ac:dyDescent="0.3"/>
    <row r="50" spans="1:19" ht="16.95" customHeight="1" x14ac:dyDescent="0.3">
      <c r="B50" s="157" t="s">
        <v>87</v>
      </c>
      <c r="C50" s="157"/>
      <c r="D50" s="157"/>
      <c r="E50" s="157"/>
      <c r="F50" s="157"/>
      <c r="G50" s="157"/>
      <c r="H50" s="157"/>
      <c r="I50" s="157"/>
      <c r="J50" s="157"/>
      <c r="K50" s="157"/>
      <c r="L50" s="157"/>
      <c r="M50" s="157"/>
      <c r="N50" s="157"/>
      <c r="O50" s="157"/>
      <c r="P50" s="157"/>
      <c r="Q50" s="157"/>
      <c r="R50" s="157"/>
      <c r="S50" s="157"/>
    </row>
    <row r="51" spans="1:19" ht="16.95" customHeight="1" x14ac:dyDescent="0.3">
      <c r="B51" s="143" t="s">
        <v>180</v>
      </c>
      <c r="C51" s="143"/>
      <c r="D51" s="143"/>
      <c r="E51" s="143"/>
      <c r="F51" s="143"/>
      <c r="G51" s="143"/>
      <c r="H51" s="143"/>
      <c r="I51" s="143"/>
      <c r="J51" s="143"/>
      <c r="K51" s="143"/>
      <c r="L51" s="143"/>
      <c r="M51" s="143"/>
      <c r="N51" s="143"/>
      <c r="O51" s="143"/>
      <c r="P51" s="143"/>
      <c r="Q51" s="143"/>
      <c r="R51" s="143"/>
      <c r="S51" s="143"/>
    </row>
    <row r="52" spans="1:19" ht="16.95" customHeight="1" x14ac:dyDescent="0.3">
      <c r="A52" s="88"/>
      <c r="B52" s="144"/>
      <c r="C52" s="144"/>
      <c r="D52" s="144"/>
      <c r="E52" s="144"/>
      <c r="F52" s="144"/>
      <c r="G52" s="144"/>
      <c r="H52" s="144"/>
      <c r="I52" s="144"/>
      <c r="J52" s="144"/>
      <c r="K52" s="144"/>
      <c r="L52" s="144"/>
      <c r="M52" s="144"/>
      <c r="N52" s="144"/>
      <c r="O52" s="144"/>
      <c r="P52" s="144"/>
      <c r="Q52" s="144"/>
      <c r="R52" s="144"/>
      <c r="S52" s="144"/>
    </row>
    <row r="53" spans="1:19" ht="16.95" customHeight="1" x14ac:dyDescent="0.3">
      <c r="A53" s="88"/>
      <c r="B53" s="144"/>
      <c r="C53" s="144"/>
      <c r="D53" s="144"/>
      <c r="E53" s="144"/>
      <c r="F53" s="144"/>
      <c r="G53" s="144"/>
      <c r="H53" s="144"/>
      <c r="I53" s="144"/>
      <c r="J53" s="144"/>
      <c r="K53" s="144"/>
      <c r="L53" s="144"/>
      <c r="M53" s="144"/>
      <c r="N53" s="144"/>
      <c r="O53" s="144"/>
      <c r="P53" s="144"/>
      <c r="Q53" s="144"/>
      <c r="R53" s="144"/>
      <c r="S53" s="144"/>
    </row>
    <row r="54" spans="1:19" ht="16.95" customHeight="1" x14ac:dyDescent="0.3">
      <c r="A54" s="88"/>
      <c r="B54" s="144"/>
      <c r="C54" s="144"/>
      <c r="D54" s="144"/>
      <c r="E54" s="144"/>
      <c r="F54" s="144"/>
      <c r="G54" s="144"/>
      <c r="H54" s="144"/>
      <c r="I54" s="144"/>
      <c r="J54" s="144"/>
      <c r="K54" s="144"/>
      <c r="L54" s="144"/>
      <c r="M54" s="144"/>
      <c r="N54" s="144"/>
      <c r="O54" s="144"/>
      <c r="P54" s="144"/>
      <c r="Q54" s="144"/>
      <c r="R54" s="144"/>
      <c r="S54" s="144"/>
    </row>
    <row r="55" spans="1:19" ht="16.95" customHeight="1" x14ac:dyDescent="0.3">
      <c r="A55" s="88"/>
      <c r="B55" s="144"/>
      <c r="C55" s="144"/>
      <c r="D55" s="144"/>
      <c r="E55" s="144"/>
      <c r="F55" s="144"/>
      <c r="G55" s="144"/>
      <c r="H55" s="144"/>
      <c r="I55" s="144"/>
      <c r="J55" s="144"/>
      <c r="K55" s="144"/>
      <c r="L55" s="144"/>
      <c r="M55" s="144"/>
      <c r="N55" s="144"/>
      <c r="O55" s="144"/>
      <c r="P55" s="144"/>
      <c r="Q55" s="144"/>
      <c r="R55" s="144"/>
      <c r="S55" s="144"/>
    </row>
    <row r="56" spans="1:19" ht="16.95" customHeight="1" x14ac:dyDescent="0.3">
      <c r="A56" s="88"/>
      <c r="B56" s="144"/>
      <c r="C56" s="144"/>
      <c r="D56" s="144"/>
      <c r="E56" s="144"/>
      <c r="F56" s="144"/>
      <c r="G56" s="144"/>
      <c r="H56" s="144"/>
      <c r="I56" s="144"/>
      <c r="J56" s="144"/>
      <c r="K56" s="144"/>
      <c r="L56" s="144"/>
      <c r="M56" s="144"/>
      <c r="N56" s="144"/>
      <c r="O56" s="144"/>
      <c r="P56" s="144"/>
      <c r="Q56" s="144"/>
      <c r="R56" s="144"/>
      <c r="S56" s="144"/>
    </row>
    <row r="57" spans="1:19" ht="16.95" customHeight="1" x14ac:dyDescent="0.3">
      <c r="A57" s="88"/>
      <c r="B57" s="144"/>
      <c r="C57" s="144"/>
      <c r="D57" s="144"/>
      <c r="E57" s="144"/>
      <c r="F57" s="144"/>
      <c r="G57" s="144"/>
      <c r="H57" s="144"/>
      <c r="I57" s="144"/>
      <c r="J57" s="144"/>
      <c r="K57" s="144"/>
      <c r="L57" s="144"/>
      <c r="M57" s="144"/>
      <c r="N57" s="144"/>
      <c r="O57" s="144"/>
      <c r="P57" s="144"/>
      <c r="Q57" s="144"/>
      <c r="R57" s="144"/>
      <c r="S57" s="144"/>
    </row>
    <row r="58" spans="1:19" ht="16.95" customHeight="1" x14ac:dyDescent="0.3">
      <c r="A58" s="88"/>
      <c r="B58" s="144"/>
      <c r="C58" s="144"/>
      <c r="D58" s="144"/>
      <c r="E58" s="144"/>
      <c r="F58" s="144"/>
      <c r="G58" s="144"/>
      <c r="H58" s="144"/>
      <c r="I58" s="144"/>
      <c r="J58" s="144"/>
      <c r="K58" s="144"/>
      <c r="L58" s="144"/>
      <c r="M58" s="144"/>
      <c r="N58" s="144"/>
      <c r="O58" s="144"/>
      <c r="P58" s="144"/>
      <c r="Q58" s="144"/>
      <c r="R58" s="144"/>
      <c r="S58" s="144"/>
    </row>
    <row r="59" spans="1:19" ht="16.95" customHeight="1" x14ac:dyDescent="0.3">
      <c r="B59" s="88"/>
      <c r="C59" s="88"/>
      <c r="D59" s="88"/>
      <c r="E59" s="88"/>
      <c r="F59" s="88"/>
      <c r="G59" s="88"/>
      <c r="H59" s="88"/>
      <c r="I59" s="88"/>
      <c r="J59" s="88"/>
      <c r="K59" s="88"/>
      <c r="L59" s="88"/>
      <c r="M59" s="88"/>
      <c r="N59" s="88"/>
      <c r="O59" s="88"/>
      <c r="P59" s="88"/>
      <c r="Q59" s="88"/>
      <c r="R59" s="88"/>
      <c r="S59" s="88"/>
    </row>
    <row r="60" spans="1:19" ht="16.95" customHeight="1" x14ac:dyDescent="0.3">
      <c r="B60" s="145" t="s">
        <v>88</v>
      </c>
      <c r="C60" s="145"/>
      <c r="D60" s="145"/>
      <c r="E60" s="145"/>
      <c r="F60" s="145"/>
      <c r="G60" s="145"/>
      <c r="H60" s="145"/>
      <c r="I60" s="145"/>
      <c r="J60" s="145"/>
      <c r="K60" s="145"/>
      <c r="L60" s="145"/>
      <c r="M60" s="145"/>
      <c r="N60" s="145"/>
      <c r="O60" s="145"/>
      <c r="P60" s="145"/>
      <c r="Q60" s="145"/>
      <c r="R60" s="145"/>
      <c r="S60" s="145"/>
    </row>
    <row r="61" spans="1:19" ht="16.95" customHeight="1" x14ac:dyDescent="0.3">
      <c r="B61" s="143" t="s">
        <v>174</v>
      </c>
      <c r="C61" s="143"/>
      <c r="D61" s="143"/>
      <c r="E61" s="143"/>
      <c r="F61" s="143"/>
      <c r="G61" s="143"/>
      <c r="H61" s="143"/>
      <c r="I61" s="143"/>
      <c r="J61" s="143"/>
      <c r="K61" s="143"/>
      <c r="L61" s="143"/>
      <c r="M61" s="143"/>
      <c r="N61" s="143"/>
      <c r="O61" s="143"/>
      <c r="P61" s="143"/>
      <c r="Q61" s="143"/>
      <c r="R61" s="143"/>
      <c r="S61" s="143"/>
    </row>
    <row r="62" spans="1:19" ht="16.95" customHeight="1" x14ac:dyDescent="0.3">
      <c r="A62" s="88"/>
      <c r="B62" s="144"/>
      <c r="C62" s="144"/>
      <c r="D62" s="144"/>
      <c r="E62" s="144"/>
      <c r="F62" s="144"/>
      <c r="G62" s="144"/>
      <c r="H62" s="144"/>
      <c r="I62" s="144"/>
      <c r="J62" s="144"/>
      <c r="K62" s="144"/>
      <c r="L62" s="144"/>
      <c r="M62" s="144"/>
      <c r="N62" s="144"/>
      <c r="O62" s="144"/>
      <c r="P62" s="144"/>
      <c r="Q62" s="144"/>
      <c r="R62" s="144"/>
      <c r="S62" s="144"/>
    </row>
    <row r="63" spans="1:19" ht="13.95" customHeight="1" x14ac:dyDescent="0.3"/>
    <row r="64" spans="1:19" ht="15" customHeight="1" x14ac:dyDescent="0.3">
      <c r="B64" s="145" t="s">
        <v>181</v>
      </c>
      <c r="C64" s="145"/>
      <c r="D64" s="145"/>
      <c r="E64" s="145"/>
      <c r="F64" s="145"/>
      <c r="G64" s="145"/>
      <c r="H64" s="145"/>
      <c r="I64" s="145"/>
      <c r="J64" s="145"/>
      <c r="K64" s="145"/>
      <c r="L64" s="145"/>
      <c r="M64" s="145"/>
      <c r="N64" s="145"/>
      <c r="O64" s="145"/>
      <c r="P64" s="145"/>
      <c r="Q64" s="145"/>
      <c r="R64" s="145"/>
      <c r="S64" s="145"/>
    </row>
    <row r="65" spans="1:19" ht="19.2" customHeight="1" x14ac:dyDescent="0.3">
      <c r="B65" s="143" t="s">
        <v>175</v>
      </c>
      <c r="C65" s="143"/>
      <c r="D65" s="143"/>
      <c r="E65" s="143"/>
      <c r="F65" s="143"/>
      <c r="G65" s="143"/>
      <c r="H65" s="143"/>
      <c r="I65" s="143"/>
      <c r="J65" s="143"/>
      <c r="K65" s="143"/>
      <c r="L65" s="143"/>
      <c r="M65" s="143"/>
      <c r="N65" s="143"/>
      <c r="O65" s="143"/>
      <c r="P65" s="143"/>
      <c r="Q65" s="143"/>
      <c r="R65" s="143"/>
      <c r="S65" s="143"/>
    </row>
    <row r="66" spans="1:19" ht="16.95" customHeight="1" x14ac:dyDescent="0.3">
      <c r="A66" s="88"/>
      <c r="B66" s="144"/>
      <c r="C66" s="144"/>
      <c r="D66" s="144"/>
      <c r="E66" s="144"/>
      <c r="F66" s="144"/>
      <c r="G66" s="144"/>
      <c r="H66" s="144"/>
      <c r="I66" s="144"/>
      <c r="J66" s="144"/>
      <c r="K66" s="144"/>
      <c r="L66" s="144"/>
      <c r="M66" s="144"/>
      <c r="N66" s="144"/>
      <c r="O66" s="144"/>
      <c r="P66" s="144"/>
      <c r="Q66" s="144"/>
      <c r="R66" s="144"/>
      <c r="S66" s="144"/>
    </row>
    <row r="67" spans="1:19" ht="16.95" customHeight="1" x14ac:dyDescent="0.3">
      <c r="A67" s="88"/>
      <c r="B67" s="144"/>
      <c r="C67" s="144"/>
      <c r="D67" s="144"/>
      <c r="E67" s="144"/>
      <c r="F67" s="144"/>
      <c r="G67" s="144"/>
      <c r="H67" s="144"/>
      <c r="I67" s="144"/>
      <c r="J67" s="144"/>
      <c r="K67" s="144"/>
      <c r="L67" s="144"/>
      <c r="M67" s="144"/>
      <c r="N67" s="144"/>
      <c r="O67" s="144"/>
      <c r="P67" s="144"/>
      <c r="Q67" s="144"/>
      <c r="R67" s="144"/>
      <c r="S67" s="144"/>
    </row>
    <row r="68" spans="1:19" ht="16.95" customHeight="1" x14ac:dyDescent="0.3">
      <c r="A68" s="88"/>
      <c r="B68" s="144"/>
      <c r="C68" s="144"/>
      <c r="D68" s="144"/>
      <c r="E68" s="144"/>
      <c r="F68" s="144"/>
      <c r="G68" s="144"/>
      <c r="H68" s="144"/>
      <c r="I68" s="144"/>
      <c r="J68" s="144"/>
      <c r="K68" s="144"/>
      <c r="L68" s="144"/>
      <c r="M68" s="144"/>
      <c r="N68" s="144"/>
      <c r="O68" s="144"/>
      <c r="P68" s="144"/>
      <c r="Q68" s="144"/>
      <c r="R68" s="144"/>
      <c r="S68" s="144"/>
    </row>
    <row r="69" spans="1:19" ht="16.95" customHeight="1" x14ac:dyDescent="0.3"/>
    <row r="70" spans="1:19" ht="16.95" customHeight="1" x14ac:dyDescent="0.3">
      <c r="B70" s="171" t="s">
        <v>90</v>
      </c>
      <c r="C70" s="171"/>
      <c r="D70" s="171"/>
      <c r="E70" s="171"/>
      <c r="F70" s="171"/>
      <c r="G70" s="171"/>
      <c r="H70" s="171" t="s">
        <v>91</v>
      </c>
      <c r="I70" s="171"/>
      <c r="J70" s="171"/>
      <c r="K70" s="171"/>
      <c r="L70" s="171"/>
      <c r="M70" s="171" t="s">
        <v>92</v>
      </c>
      <c r="N70" s="171"/>
      <c r="O70" s="171"/>
      <c r="P70" s="171" t="s">
        <v>93</v>
      </c>
      <c r="Q70" s="171"/>
      <c r="R70" s="171"/>
      <c r="S70" s="171"/>
    </row>
    <row r="71" spans="1:19" ht="16.95" customHeight="1" x14ac:dyDescent="0.3">
      <c r="B71" s="175" t="s">
        <v>167</v>
      </c>
      <c r="C71" s="175"/>
      <c r="D71" s="175"/>
      <c r="E71" s="175"/>
      <c r="F71" s="175"/>
      <c r="G71" s="175"/>
      <c r="H71" s="172" t="s">
        <v>124</v>
      </c>
      <c r="I71" s="172"/>
      <c r="J71" s="172"/>
      <c r="K71" s="172"/>
      <c r="L71" s="172"/>
      <c r="M71" s="173">
        <v>46069</v>
      </c>
      <c r="N71" s="173"/>
      <c r="O71" s="173"/>
      <c r="P71" s="170" t="s">
        <v>168</v>
      </c>
      <c r="Q71" s="170"/>
      <c r="R71" s="170"/>
      <c r="S71" s="170"/>
    </row>
    <row r="72" spans="1:19" ht="16.95" customHeight="1" x14ac:dyDescent="0.3">
      <c r="B72" s="117" t="s">
        <v>176</v>
      </c>
      <c r="C72" s="118"/>
      <c r="D72" s="118"/>
      <c r="E72" s="118"/>
      <c r="F72" s="118"/>
      <c r="G72" s="119"/>
      <c r="H72" s="120" t="s">
        <v>169</v>
      </c>
      <c r="I72" s="121"/>
      <c r="J72" s="121"/>
      <c r="K72" s="121"/>
      <c r="L72" s="122"/>
      <c r="M72" s="123">
        <v>46038</v>
      </c>
      <c r="N72" s="124"/>
      <c r="O72" s="125"/>
      <c r="P72" s="126" t="s">
        <v>170</v>
      </c>
      <c r="Q72" s="127"/>
      <c r="R72" s="127"/>
      <c r="S72" s="128"/>
    </row>
    <row r="73" spans="1:19" ht="16.95" customHeight="1" x14ac:dyDescent="0.3">
      <c r="B73" s="117" t="s">
        <v>177</v>
      </c>
      <c r="C73" s="118"/>
      <c r="D73" s="118"/>
      <c r="E73" s="118"/>
      <c r="F73" s="118"/>
      <c r="G73" s="119"/>
      <c r="H73" s="120" t="s">
        <v>169</v>
      </c>
      <c r="I73" s="121"/>
      <c r="J73" s="121"/>
      <c r="K73" s="121"/>
      <c r="L73" s="122"/>
      <c r="M73" s="123">
        <v>46038</v>
      </c>
      <c r="N73" s="124"/>
      <c r="O73" s="125"/>
      <c r="P73" s="126" t="s">
        <v>182</v>
      </c>
      <c r="Q73" s="127"/>
      <c r="R73" s="127"/>
      <c r="S73" s="128"/>
    </row>
    <row r="74" spans="1:19" ht="16.95" customHeight="1" x14ac:dyDescent="0.3"/>
    <row r="75" spans="1:19" ht="16.95" customHeight="1" x14ac:dyDescent="0.3"/>
    <row r="76" spans="1:19" ht="16.95" customHeight="1" x14ac:dyDescent="0.3">
      <c r="O76" s="139" t="str">
        <f>O1</f>
        <v>CERTIFICADO N°:</v>
      </c>
      <c r="P76" s="139"/>
      <c r="Q76" s="139"/>
      <c r="R76" s="141">
        <f>R1</f>
        <v>0</v>
      </c>
      <c r="S76" s="141"/>
    </row>
    <row r="77" spans="1:19" ht="16.95" customHeight="1" x14ac:dyDescent="0.3"/>
    <row r="78" spans="1:19" ht="16.95" customHeight="1" x14ac:dyDescent="0.3">
      <c r="B78" s="114" t="s">
        <v>94</v>
      </c>
      <c r="C78" s="114"/>
      <c r="D78" s="114"/>
      <c r="E78" s="114"/>
      <c r="F78" s="114"/>
      <c r="G78" s="114"/>
      <c r="H78" s="114"/>
      <c r="I78" s="114"/>
      <c r="J78" s="114"/>
      <c r="K78" s="114"/>
      <c r="L78" s="114"/>
      <c r="M78" s="114"/>
      <c r="N78" s="114"/>
      <c r="O78" s="114"/>
      <c r="P78" s="114"/>
      <c r="Q78" s="114"/>
      <c r="R78" s="114"/>
      <c r="S78" s="114"/>
    </row>
    <row r="79" spans="1:19" ht="16.649999999999999" customHeight="1" x14ac:dyDescent="0.3"/>
    <row r="80" spans="1:19" ht="16.649999999999999" customHeight="1" x14ac:dyDescent="0.3">
      <c r="B80" s="53" t="s">
        <v>129</v>
      </c>
      <c r="C80" s="53"/>
      <c r="D80" s="53"/>
      <c r="E80" s="53"/>
      <c r="F80" s="53"/>
      <c r="G80" s="53"/>
      <c r="H80" s="129" t="s">
        <v>131</v>
      </c>
      <c r="I80" s="129"/>
      <c r="J80" s="129"/>
      <c r="K80" s="129"/>
      <c r="L80" s="129"/>
      <c r="M80" s="89" t="s">
        <v>130</v>
      </c>
      <c r="O80" s="129" t="s">
        <v>132</v>
      </c>
      <c r="P80" s="129"/>
      <c r="Q80" s="129"/>
      <c r="R80" s="129"/>
      <c r="S80" s="91">
        <v>1</v>
      </c>
    </row>
    <row r="81" spans="2:20" ht="16.95" customHeight="1" x14ac:dyDescent="0.3"/>
    <row r="82" spans="2:20" ht="16.649999999999999" customHeight="1" x14ac:dyDescent="0.3">
      <c r="B82" s="133" t="s">
        <v>140</v>
      </c>
      <c r="C82" s="133"/>
      <c r="D82" s="136" t="s">
        <v>139</v>
      </c>
      <c r="E82" s="136"/>
      <c r="F82" s="136"/>
      <c r="G82" s="136"/>
      <c r="H82" s="136"/>
      <c r="I82" s="136"/>
      <c r="J82" s="136"/>
      <c r="K82" s="136"/>
      <c r="L82" s="134" t="s">
        <v>133</v>
      </c>
      <c r="M82" s="135"/>
      <c r="N82" s="135"/>
      <c r="O82" s="135"/>
      <c r="P82" s="135"/>
      <c r="Q82" s="135"/>
      <c r="R82" s="135"/>
      <c r="S82" s="135"/>
    </row>
    <row r="83" spans="2:20" ht="34.200000000000003" customHeight="1" x14ac:dyDescent="0.3">
      <c r="B83" s="133"/>
      <c r="C83" s="133"/>
      <c r="D83" s="133" t="s">
        <v>134</v>
      </c>
      <c r="E83" s="133"/>
      <c r="F83" s="133" t="s">
        <v>135</v>
      </c>
      <c r="G83" s="133"/>
      <c r="H83" s="133" t="s">
        <v>183</v>
      </c>
      <c r="I83" s="133"/>
      <c r="J83" s="133" t="s">
        <v>136</v>
      </c>
      <c r="K83" s="133"/>
      <c r="L83" s="133" t="s">
        <v>137</v>
      </c>
      <c r="M83" s="133"/>
      <c r="N83" s="133" t="s">
        <v>138</v>
      </c>
      <c r="O83" s="133"/>
      <c r="P83" s="133" t="s">
        <v>188</v>
      </c>
      <c r="Q83" s="133"/>
      <c r="R83" s="133"/>
      <c r="S83" s="90" t="s">
        <v>14</v>
      </c>
    </row>
    <row r="84" spans="2:20" x14ac:dyDescent="0.3">
      <c r="B84" s="130">
        <f>MEDIDA!B5</f>
        <v>60</v>
      </c>
      <c r="C84" s="130"/>
      <c r="D84" s="131">
        <f>MEDIDA!L5</f>
        <v>59.9</v>
      </c>
      <c r="E84" s="131"/>
      <c r="F84" s="131">
        <f ca="1">MEDIDA!M5</f>
        <v>59.9</v>
      </c>
      <c r="G84" s="131"/>
      <c r="H84" s="131">
        <f ca="1">MEDIDA!N5</f>
        <v>59.741266644746446</v>
      </c>
      <c r="I84" s="131"/>
      <c r="J84" s="131">
        <f ca="1">MEDIDA!O5</f>
        <v>59.9</v>
      </c>
      <c r="K84" s="131"/>
      <c r="L84" s="131">
        <f ca="1">MEDIDA!P5</f>
        <v>59.860316661186609</v>
      </c>
      <c r="M84" s="131"/>
      <c r="N84" s="132">
        <f ca="1">MEDIDA!Q5</f>
        <v>0.13968333881339134</v>
      </c>
      <c r="O84" s="132"/>
      <c r="P84" s="132">
        <f ca="1">INCERTIDUMBRE!L4</f>
        <v>1.8102963028568404</v>
      </c>
      <c r="Q84" s="132"/>
      <c r="R84" s="132"/>
      <c r="S84" s="112">
        <f ca="1">INCERTIDUMBRE!K4</f>
        <v>2.0063999926752958</v>
      </c>
    </row>
    <row r="85" spans="2:20" x14ac:dyDescent="0.3">
      <c r="B85" s="130">
        <f>MEDIDA!B6</f>
        <v>120</v>
      </c>
      <c r="C85" s="130"/>
      <c r="D85" s="131">
        <f>MEDIDA!L6</f>
        <v>120</v>
      </c>
      <c r="E85" s="131"/>
      <c r="F85" s="131">
        <f ca="1">MEDIDA!M6</f>
        <v>119.22678195501959</v>
      </c>
      <c r="G85" s="131"/>
      <c r="H85" s="131">
        <f ca="1">MEDIDA!N6</f>
        <v>120</v>
      </c>
      <c r="I85" s="131"/>
      <c r="J85" s="131">
        <f ca="1">MEDIDA!O6</f>
        <v>120.46715068074064</v>
      </c>
      <c r="K85" s="131"/>
      <c r="L85" s="131">
        <f ca="1">MEDIDA!P6</f>
        <v>119.92348315894006</v>
      </c>
      <c r="M85" s="131"/>
      <c r="N85" s="132">
        <f ca="1">MEDIDA!Q6</f>
        <v>7.6516841059941498E-2</v>
      </c>
      <c r="O85" s="132"/>
      <c r="P85" s="132">
        <f ca="1">INCERTIDUMBRE!L5</f>
        <v>1.8842415198287208</v>
      </c>
      <c r="Q85" s="132"/>
      <c r="R85" s="132"/>
      <c r="S85" s="112">
        <f ca="1">INCERTIDUMBRE!K5</f>
        <v>2.0102577735603036</v>
      </c>
    </row>
    <row r="86" spans="2:20" x14ac:dyDescent="0.3">
      <c r="B86" s="130">
        <f>MEDIDA!B7</f>
        <v>180</v>
      </c>
      <c r="C86" s="130"/>
      <c r="D86" s="131">
        <f>MEDIDA!L7</f>
        <v>178.5</v>
      </c>
      <c r="E86" s="131"/>
      <c r="F86" s="131">
        <f ca="1">MEDIDA!M7</f>
        <v>177.94037347739336</v>
      </c>
      <c r="G86" s="131"/>
      <c r="H86" s="131">
        <f ca="1">MEDIDA!N7</f>
        <v>178.5</v>
      </c>
      <c r="I86" s="131"/>
      <c r="J86" s="131">
        <f ca="1">MEDIDA!O7</f>
        <v>178.5</v>
      </c>
      <c r="K86" s="131"/>
      <c r="L86" s="131">
        <f ca="1">MEDIDA!P7</f>
        <v>178.36009336934833</v>
      </c>
      <c r="M86" s="131"/>
      <c r="N86" s="132">
        <f ca="1">MEDIDA!Q7</f>
        <v>1.6399066306516659</v>
      </c>
      <c r="O86" s="132"/>
      <c r="P86" s="132">
        <f ca="1">INCERTIDUMBRE!L6</f>
        <v>1.8303686372166073</v>
      </c>
      <c r="Q86" s="132"/>
      <c r="R86" s="132"/>
      <c r="S86" s="112">
        <f ca="1">INCERTIDUMBRE!K6</f>
        <v>2.0065852936939725</v>
      </c>
    </row>
    <row r="87" spans="2:20" x14ac:dyDescent="0.3">
      <c r="B87" s="130">
        <f>MEDIDA!B8</f>
        <v>200</v>
      </c>
      <c r="C87" s="130"/>
      <c r="D87" s="131">
        <f>MEDIDA!L8</f>
        <v>200</v>
      </c>
      <c r="E87" s="131"/>
      <c r="F87" s="131">
        <f ca="1">MEDIDA!M8</f>
        <v>200</v>
      </c>
      <c r="G87" s="131"/>
      <c r="H87" s="131">
        <f ca="1">MEDIDA!N8</f>
        <v>199.73175372694715</v>
      </c>
      <c r="I87" s="131"/>
      <c r="J87" s="131">
        <f ca="1">MEDIDA!O8</f>
        <v>200.75554207549365</v>
      </c>
      <c r="K87" s="131"/>
      <c r="L87" s="131">
        <f ca="1">MEDIDA!P8</f>
        <v>200.12182395061018</v>
      </c>
      <c r="M87" s="131"/>
      <c r="N87" s="132">
        <f ca="1">MEDIDA!Q8</f>
        <v>-0.12182395061017814</v>
      </c>
      <c r="O87" s="132"/>
      <c r="P87" s="132">
        <f ca="1">INCERTIDUMBRE!L7</f>
        <v>1.8637237249230572</v>
      </c>
      <c r="Q87" s="132"/>
      <c r="R87" s="132"/>
      <c r="S87" s="112">
        <f ca="1">INCERTIDUMBRE!K7</f>
        <v>2.0083980376162383</v>
      </c>
      <c r="T87" s="92"/>
    </row>
    <row r="88" spans="2:20" ht="16.2" customHeight="1" x14ac:dyDescent="0.3"/>
    <row r="89" spans="2:20" ht="16.95" customHeight="1" x14ac:dyDescent="0.3">
      <c r="B89" s="53" t="s">
        <v>141</v>
      </c>
      <c r="C89" s="53"/>
      <c r="D89" s="53"/>
      <c r="E89" s="53"/>
      <c r="F89" s="53"/>
      <c r="G89" s="53"/>
      <c r="H89" s="53"/>
      <c r="I89" s="129" t="s">
        <v>143</v>
      </c>
      <c r="J89" s="129"/>
      <c r="K89" s="129"/>
      <c r="L89" s="129"/>
      <c r="M89" s="129"/>
      <c r="N89" s="137" t="s">
        <v>142</v>
      </c>
      <c r="O89" s="137"/>
      <c r="P89" s="129" t="s">
        <v>144</v>
      </c>
      <c r="Q89" s="129"/>
      <c r="R89" s="129"/>
      <c r="S89" s="91">
        <v>1</v>
      </c>
    </row>
    <row r="90" spans="2:20" ht="16.95" customHeight="1" x14ac:dyDescent="0.3"/>
    <row r="91" spans="2:20" ht="14.4" customHeight="1" x14ac:dyDescent="0.3">
      <c r="B91" s="133" t="s">
        <v>145</v>
      </c>
      <c r="C91" s="133"/>
      <c r="D91" s="136" t="s">
        <v>139</v>
      </c>
      <c r="E91" s="136"/>
      <c r="F91" s="136"/>
      <c r="G91" s="136"/>
      <c r="H91" s="136"/>
      <c r="I91" s="136"/>
      <c r="J91" s="136"/>
      <c r="K91" s="136"/>
      <c r="L91" s="134" t="s">
        <v>156</v>
      </c>
      <c r="M91" s="135"/>
      <c r="N91" s="135"/>
      <c r="O91" s="135"/>
      <c r="P91" s="135"/>
      <c r="Q91" s="135"/>
      <c r="R91" s="135"/>
      <c r="S91" s="135"/>
    </row>
    <row r="92" spans="2:20" ht="34.799999999999997" customHeight="1" x14ac:dyDescent="0.3">
      <c r="B92" s="133"/>
      <c r="C92" s="133"/>
      <c r="D92" s="133" t="s">
        <v>146</v>
      </c>
      <c r="E92" s="133"/>
      <c r="F92" s="133" t="s">
        <v>147</v>
      </c>
      <c r="G92" s="133"/>
      <c r="H92" s="133" t="s">
        <v>184</v>
      </c>
      <c r="I92" s="133"/>
      <c r="J92" s="133" t="s">
        <v>148</v>
      </c>
      <c r="K92" s="133"/>
      <c r="L92" s="133" t="s">
        <v>149</v>
      </c>
      <c r="M92" s="133"/>
      <c r="N92" s="133" t="s">
        <v>150</v>
      </c>
      <c r="O92" s="133"/>
      <c r="P92" s="133" t="s">
        <v>189</v>
      </c>
      <c r="Q92" s="133"/>
      <c r="R92" s="133"/>
      <c r="S92" s="90" t="s">
        <v>14</v>
      </c>
    </row>
    <row r="93" spans="2:20" x14ac:dyDescent="0.3">
      <c r="B93" s="130">
        <f>MEDIDA!B13</f>
        <v>20</v>
      </c>
      <c r="C93" s="130"/>
      <c r="D93" s="131">
        <f ca="1">MEDIDA!C13</f>
        <v>20.83813948486408</v>
      </c>
      <c r="E93" s="131"/>
      <c r="F93" s="131">
        <f ca="1">MEDIDA!D13</f>
        <v>20.303565923679852</v>
      </c>
      <c r="G93" s="131"/>
      <c r="H93" s="131">
        <f ca="1">MEDIDA!E13</f>
        <v>20.83813948486408</v>
      </c>
      <c r="I93" s="131"/>
      <c r="J93" s="131">
        <f ca="1">MEDIDA!F13</f>
        <v>20.322817793191511</v>
      </c>
      <c r="K93" s="131"/>
      <c r="L93" s="132">
        <f ca="1">AVERAGE(D93:K93)</f>
        <v>20.57566567164988</v>
      </c>
      <c r="M93" s="132"/>
      <c r="N93" s="132">
        <f ca="1">L93-B93</f>
        <v>0.57566567164987958</v>
      </c>
      <c r="O93" s="132"/>
      <c r="P93" s="132">
        <f ca="1">INCERTIDUMBRE!L12</f>
        <v>1.8342237227115483</v>
      </c>
      <c r="Q93" s="132"/>
      <c r="R93" s="132"/>
      <c r="S93" s="112">
        <f ca="1">INCERTIDUMBRE!K12</f>
        <v>2.006708906368873</v>
      </c>
    </row>
    <row r="94" spans="2:20" x14ac:dyDescent="0.3">
      <c r="B94" s="130">
        <f>MEDIDA!B14</f>
        <v>60</v>
      </c>
      <c r="C94" s="130"/>
      <c r="D94" s="131">
        <f ca="1">MEDIDA!C14</f>
        <v>60.817861371791182</v>
      </c>
      <c r="E94" s="131"/>
      <c r="F94" s="131">
        <f ca="1">MEDIDA!D14</f>
        <v>60.430511546660817</v>
      </c>
      <c r="G94" s="131"/>
      <c r="H94" s="131">
        <f ca="1">MEDIDA!E14</f>
        <v>60.817861371791182</v>
      </c>
      <c r="I94" s="131"/>
      <c r="J94" s="131">
        <f ca="1">MEDIDA!F14</f>
        <v>61.691672925889762</v>
      </c>
      <c r="K94" s="131"/>
      <c r="L94" s="132">
        <f t="shared" ref="L94:L96" ca="1" si="0">AVERAGE(D94:K94)</f>
        <v>60.939476804033234</v>
      </c>
      <c r="M94" s="132"/>
      <c r="N94" s="132">
        <f t="shared" ref="N94:N96" ca="1" si="1">L94-B94</f>
        <v>0.93947680403323375</v>
      </c>
      <c r="O94" s="132"/>
      <c r="P94" s="132">
        <f ca="1">INCERTIDUMBRE!L13</f>
        <v>1.8903388680063196</v>
      </c>
      <c r="Q94" s="132"/>
      <c r="R94" s="132"/>
      <c r="S94" s="112">
        <f ca="1">INCERTIDUMBRE!K13</f>
        <v>2.0108826141150655</v>
      </c>
    </row>
    <row r="95" spans="2:20" x14ac:dyDescent="0.3">
      <c r="B95" s="130">
        <f>MEDIDA!B15</f>
        <v>80</v>
      </c>
      <c r="C95" s="130"/>
      <c r="D95" s="131">
        <f ca="1">MEDIDA!C15</f>
        <v>79.555966476805253</v>
      </c>
      <c r="E95" s="131"/>
      <c r="F95" s="131">
        <f ca="1">MEDIDA!D15</f>
        <v>78.742193641160142</v>
      </c>
      <c r="G95" s="131"/>
      <c r="H95" s="131">
        <f ca="1">MEDIDA!E15</f>
        <v>79.555966476805253</v>
      </c>
      <c r="I95" s="131"/>
      <c r="J95" s="131">
        <f ca="1">MEDIDA!F15</f>
        <v>79.555966476805253</v>
      </c>
      <c r="K95" s="131"/>
      <c r="L95" s="132">
        <f t="shared" ca="1" si="0"/>
        <v>79.352523267893972</v>
      </c>
      <c r="M95" s="132"/>
      <c r="N95" s="132">
        <f t="shared" ca="1" si="1"/>
        <v>-0.64747673210602841</v>
      </c>
      <c r="O95" s="132"/>
      <c r="P95" s="132">
        <f ca="1">INCERTIDUMBRE!L14</f>
        <v>1.8553041025152768</v>
      </c>
      <c r="Q95" s="132"/>
      <c r="R95" s="132"/>
      <c r="S95" s="112">
        <f ca="1">INCERTIDUMBRE!K14</f>
        <v>2.0077718459924987</v>
      </c>
    </row>
    <row r="96" spans="2:20" x14ac:dyDescent="0.3">
      <c r="B96" s="130">
        <f>MEDIDA!B16</f>
        <v>100</v>
      </c>
      <c r="C96" s="130"/>
      <c r="D96" s="131">
        <f ca="1">MEDIDA!C16</f>
        <v>100.8565035140558</v>
      </c>
      <c r="E96" s="131"/>
      <c r="F96" s="131">
        <f ca="1">MEDIDA!D16</f>
        <v>100.8565035140558</v>
      </c>
      <c r="G96" s="131"/>
      <c r="H96" s="131">
        <f ca="1">MEDIDA!E16</f>
        <v>100.8565035140558</v>
      </c>
      <c r="I96" s="131"/>
      <c r="J96" s="131">
        <f ca="1">MEDIDA!F16</f>
        <v>100.8565035140558</v>
      </c>
      <c r="K96" s="131"/>
      <c r="L96" s="132">
        <f t="shared" ca="1" si="0"/>
        <v>100.8565035140558</v>
      </c>
      <c r="M96" s="132"/>
      <c r="N96" s="132">
        <f t="shared" ca="1" si="1"/>
        <v>0.85650351405580238</v>
      </c>
      <c r="O96" s="132"/>
      <c r="P96" s="132">
        <f ca="1">INCERTIDUMBRE!L15</f>
        <v>1.8085593079765012</v>
      </c>
      <c r="Q96" s="132"/>
      <c r="R96" s="132"/>
      <c r="S96" s="112">
        <f ca="1">INCERTIDUMBRE!K15</f>
        <v>2.0064164060390595</v>
      </c>
    </row>
    <row r="97" spans="2:20" ht="16.649999999999999" customHeight="1" x14ac:dyDescent="0.3"/>
    <row r="98" spans="2:20" ht="16.95" customHeight="1" x14ac:dyDescent="0.3"/>
    <row r="99" spans="2:20" ht="16.95" customHeight="1" x14ac:dyDescent="0.3">
      <c r="B99" s="114" t="s">
        <v>191</v>
      </c>
      <c r="C99" s="114"/>
      <c r="D99" s="114"/>
      <c r="E99" s="114"/>
      <c r="F99" s="114"/>
      <c r="G99" s="114"/>
      <c r="H99" s="114"/>
      <c r="I99" s="114"/>
      <c r="J99" s="114"/>
      <c r="K99" s="114"/>
      <c r="L99" s="114"/>
      <c r="M99" s="114"/>
      <c r="N99" s="114"/>
      <c r="O99" s="114"/>
      <c r="P99" s="114"/>
      <c r="Q99" s="114"/>
      <c r="R99" s="114"/>
      <c r="S99" s="114"/>
    </row>
    <row r="100" spans="2:20" ht="24" customHeight="1" x14ac:dyDescent="0.3"/>
    <row r="101" spans="2:20" ht="16.95" customHeight="1" x14ac:dyDescent="0.3">
      <c r="B101" s="116" t="s">
        <v>95</v>
      </c>
      <c r="C101" s="116"/>
      <c r="D101" s="116"/>
      <c r="E101" s="116"/>
      <c r="F101" s="116"/>
      <c r="G101" s="116"/>
      <c r="I101" s="79" t="s">
        <v>96</v>
      </c>
      <c r="J101" s="79"/>
      <c r="K101" s="79"/>
      <c r="L101" s="79"/>
      <c r="M101" s="79"/>
      <c r="N101" s="79"/>
      <c r="O101" s="79"/>
      <c r="P101" s="79"/>
      <c r="Q101" s="79"/>
      <c r="R101" s="79"/>
      <c r="S101" s="79"/>
      <c r="T101" s="89"/>
    </row>
    <row r="102" spans="2:20" ht="16.95" customHeight="1" x14ac:dyDescent="0.3">
      <c r="B102" s="115" t="s">
        <v>185</v>
      </c>
      <c r="C102" s="115"/>
      <c r="D102" s="115"/>
      <c r="E102" s="115"/>
      <c r="F102" s="115"/>
      <c r="G102" s="115"/>
      <c r="I102" s="79" t="s">
        <v>96</v>
      </c>
    </row>
    <row r="103" spans="2:20" ht="16.95" customHeight="1" x14ac:dyDescent="0.3">
      <c r="B103" s="116" t="s">
        <v>186</v>
      </c>
      <c r="C103" s="116"/>
      <c r="D103" s="116"/>
      <c r="E103" s="116"/>
      <c r="F103" s="116"/>
      <c r="G103" s="116"/>
      <c r="I103" s="79" t="s">
        <v>96</v>
      </c>
      <c r="J103" s="79"/>
      <c r="K103" s="79"/>
      <c r="L103" s="79"/>
      <c r="M103" s="79"/>
      <c r="N103" s="79"/>
      <c r="O103" s="79"/>
      <c r="P103" s="79"/>
      <c r="Q103" s="79"/>
      <c r="R103" s="79"/>
      <c r="S103" s="79"/>
    </row>
    <row r="104" spans="2:20" x14ac:dyDescent="0.3">
      <c r="B104" s="174" t="s">
        <v>97</v>
      </c>
      <c r="C104" s="174"/>
      <c r="D104" s="174"/>
      <c r="E104" s="174"/>
      <c r="F104" s="174"/>
      <c r="G104" s="174"/>
      <c r="I104" s="113" t="s">
        <v>187</v>
      </c>
      <c r="J104" s="113"/>
      <c r="K104" s="113"/>
      <c r="L104" s="113"/>
      <c r="M104" s="89"/>
      <c r="N104" s="89"/>
      <c r="O104" s="89"/>
      <c r="P104" s="89"/>
      <c r="Q104" s="89"/>
      <c r="R104" s="89"/>
      <c r="S104" s="89"/>
    </row>
    <row r="105" spans="2:20" ht="16.95" customHeight="1" x14ac:dyDescent="0.3"/>
    <row r="106" spans="2:20" ht="16.649999999999999" customHeight="1" x14ac:dyDescent="0.3"/>
    <row r="108" spans="2:20" x14ac:dyDescent="0.3">
      <c r="B108" s="138" t="s">
        <v>178</v>
      </c>
      <c r="C108" s="138"/>
      <c r="D108" s="138"/>
      <c r="E108" s="138"/>
      <c r="F108" s="138"/>
      <c r="G108" s="138"/>
      <c r="H108" s="138"/>
      <c r="I108" s="138"/>
      <c r="J108" s="138"/>
      <c r="K108" s="138"/>
      <c r="L108" s="138"/>
      <c r="M108" s="138"/>
      <c r="N108" s="138"/>
      <c r="O108" s="138"/>
      <c r="P108" s="138"/>
      <c r="Q108" s="138"/>
      <c r="R108" s="138"/>
      <c r="S108" s="138"/>
    </row>
    <row r="110" spans="2:20" ht="24" customHeight="1" x14ac:dyDescent="0.3"/>
    <row r="111" spans="2:20" ht="16.95" customHeight="1" x14ac:dyDescent="0.3"/>
    <row r="112" spans="2:20" ht="16.95" customHeight="1" x14ac:dyDescent="0.3"/>
    <row r="113" ht="16.95" customHeight="1" x14ac:dyDescent="0.3"/>
    <row r="114" ht="16.95" customHeight="1" x14ac:dyDescent="0.3"/>
    <row r="115" ht="16.95" customHeight="1" x14ac:dyDescent="0.3"/>
    <row r="120" ht="24" customHeight="1" x14ac:dyDescent="0.3"/>
    <row r="132" ht="16.2" customHeight="1" x14ac:dyDescent="0.3"/>
    <row r="137" ht="16.95" customHeight="1" x14ac:dyDescent="0.3"/>
    <row r="138" ht="24" customHeight="1" x14ac:dyDescent="0.3"/>
    <row r="142" ht="16.95" customHeight="1" x14ac:dyDescent="0.3"/>
    <row r="146" ht="24" customHeight="1" x14ac:dyDescent="0.3"/>
  </sheetData>
  <mergeCells count="172">
    <mergeCell ref="B103:G103"/>
    <mergeCell ref="B104:G104"/>
    <mergeCell ref="B108:S108"/>
    <mergeCell ref="B70:G70"/>
    <mergeCell ref="B71:G71"/>
    <mergeCell ref="N83:O83"/>
    <mergeCell ref="P83:R83"/>
    <mergeCell ref="B87:C87"/>
    <mergeCell ref="D87:E87"/>
    <mergeCell ref="F87:G87"/>
    <mergeCell ref="H87:I87"/>
    <mergeCell ref="J87:K87"/>
    <mergeCell ref="L85:M85"/>
    <mergeCell ref="N85:O85"/>
    <mergeCell ref="P85:R85"/>
    <mergeCell ref="F83:G83"/>
    <mergeCell ref="H83:I83"/>
    <mergeCell ref="J83:K83"/>
    <mergeCell ref="L83:M83"/>
    <mergeCell ref="B85:C85"/>
    <mergeCell ref="D85:E85"/>
    <mergeCell ref="F85:G85"/>
    <mergeCell ref="H85:I85"/>
    <mergeCell ref="J85:K85"/>
    <mergeCell ref="B65:S68"/>
    <mergeCell ref="P71:S71"/>
    <mergeCell ref="H70:L70"/>
    <mergeCell ref="H71:L71"/>
    <mergeCell ref="M70:O70"/>
    <mergeCell ref="M71:O71"/>
    <mergeCell ref="P70:S70"/>
    <mergeCell ref="B73:G73"/>
    <mergeCell ref="H73:L73"/>
    <mergeCell ref="M73:O73"/>
    <mergeCell ref="P73:S73"/>
    <mergeCell ref="B50:S50"/>
    <mergeCell ref="B60:S60"/>
    <mergeCell ref="B64:S64"/>
    <mergeCell ref="F45:J45"/>
    <mergeCell ref="F48:J48"/>
    <mergeCell ref="F46:G46"/>
    <mergeCell ref="K46:L46"/>
    <mergeCell ref="K48:P48"/>
    <mergeCell ref="K45:O45"/>
    <mergeCell ref="B51:S58"/>
    <mergeCell ref="B61:S62"/>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M32:O32"/>
    <mergeCell ref="I32:L32"/>
    <mergeCell ref="I33:L33"/>
    <mergeCell ref="C19:G19"/>
    <mergeCell ref="C20:G20"/>
    <mergeCell ref="C21:G21"/>
    <mergeCell ref="I17:R17"/>
    <mergeCell ref="I18:R18"/>
    <mergeCell ref="I19:R19"/>
    <mergeCell ref="I20:R20"/>
    <mergeCell ref="I21:R21"/>
    <mergeCell ref="C23:R28"/>
    <mergeCell ref="C15:R15"/>
    <mergeCell ref="C17:G17"/>
    <mergeCell ref="C18:G18"/>
    <mergeCell ref="I13:R13"/>
    <mergeCell ref="P84:R84"/>
    <mergeCell ref="B84:C84"/>
    <mergeCell ref="D84:E84"/>
    <mergeCell ref="F84:G84"/>
    <mergeCell ref="H84:I84"/>
    <mergeCell ref="J84:K84"/>
    <mergeCell ref="L84:M84"/>
    <mergeCell ref="N84:O84"/>
    <mergeCell ref="R76:S76"/>
    <mergeCell ref="O76:Q76"/>
    <mergeCell ref="B78:S78"/>
    <mergeCell ref="D82:K82"/>
    <mergeCell ref="D83:E83"/>
    <mergeCell ref="B82:C83"/>
    <mergeCell ref="R38:S38"/>
    <mergeCell ref="O38:Q38"/>
    <mergeCell ref="M31:R31"/>
    <mergeCell ref="I31:L31"/>
    <mergeCell ref="B41:S43"/>
    <mergeCell ref="B40:S40"/>
    <mergeCell ref="I89:M89"/>
    <mergeCell ref="P89:R89"/>
    <mergeCell ref="L82:S82"/>
    <mergeCell ref="L87:M87"/>
    <mergeCell ref="N87:O87"/>
    <mergeCell ref="P87:R87"/>
    <mergeCell ref="L92:M92"/>
    <mergeCell ref="N92:O92"/>
    <mergeCell ref="P92:R92"/>
    <mergeCell ref="B86:C86"/>
    <mergeCell ref="D86:E86"/>
    <mergeCell ref="F86:G86"/>
    <mergeCell ref="H86:I86"/>
    <mergeCell ref="J86:K86"/>
    <mergeCell ref="L86:M86"/>
    <mergeCell ref="N86:O86"/>
    <mergeCell ref="P86:R86"/>
    <mergeCell ref="B93:C93"/>
    <mergeCell ref="D93:E93"/>
    <mergeCell ref="F93:G93"/>
    <mergeCell ref="H93:I93"/>
    <mergeCell ref="J93:K93"/>
    <mergeCell ref="L93:M93"/>
    <mergeCell ref="N93:O93"/>
    <mergeCell ref="P93:R93"/>
    <mergeCell ref="B91:C92"/>
    <mergeCell ref="L91:S91"/>
    <mergeCell ref="D91:K91"/>
    <mergeCell ref="D92:E92"/>
    <mergeCell ref="F92:G92"/>
    <mergeCell ref="H92:I92"/>
    <mergeCell ref="J92:K92"/>
    <mergeCell ref="N89:O89"/>
    <mergeCell ref="N94:O94"/>
    <mergeCell ref="P94:R94"/>
    <mergeCell ref="B94:C94"/>
    <mergeCell ref="D94:E94"/>
    <mergeCell ref="F94:G94"/>
    <mergeCell ref="H94:I94"/>
    <mergeCell ref="J94:K94"/>
    <mergeCell ref="L95:M95"/>
    <mergeCell ref="N95:O95"/>
    <mergeCell ref="P95:R95"/>
    <mergeCell ref="I104:L104"/>
    <mergeCell ref="B99:S99"/>
    <mergeCell ref="B102:G102"/>
    <mergeCell ref="B101:G101"/>
    <mergeCell ref="B72:G72"/>
    <mergeCell ref="H72:L72"/>
    <mergeCell ref="M72:O72"/>
    <mergeCell ref="P72:S72"/>
    <mergeCell ref="O80:R80"/>
    <mergeCell ref="H80:L80"/>
    <mergeCell ref="B96:C96"/>
    <mergeCell ref="D96:E96"/>
    <mergeCell ref="F96:G96"/>
    <mergeCell ref="H96:I96"/>
    <mergeCell ref="J96:K96"/>
    <mergeCell ref="L96:M96"/>
    <mergeCell ref="N96:O96"/>
    <mergeCell ref="P96:R96"/>
    <mergeCell ref="B95:C95"/>
    <mergeCell ref="D95:E95"/>
    <mergeCell ref="F95:G95"/>
    <mergeCell ref="H95:I95"/>
    <mergeCell ref="J95:K95"/>
    <mergeCell ref="L94:M94"/>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2024-05-02T21:23:48Z</cp:lastPrinted>
  <dcterms:created xsi:type="dcterms:W3CDTF">2012-07-25T22:15:54Z</dcterms:created>
  <dcterms:modified xsi:type="dcterms:W3CDTF">2026-06-22T17:30:46Z</dcterms:modified>
</cp:coreProperties>
</file>