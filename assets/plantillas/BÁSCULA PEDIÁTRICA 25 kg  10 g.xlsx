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E2A49C8A-3A28-476A-BBAB-44085C7F2FA8}" xr6:coauthVersionLast="47" xr6:coauthVersionMax="47" xr10:uidLastSave="{00000000-0000-0000-0000-000000000000}"/>
  <bookViews>
    <workbookView xWindow="-108" yWindow="-108" windowWidth="23256" windowHeight="12456" activeTab="4"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0" i="5" l="1"/>
  <c r="U42" i="2"/>
  <c r="U41" i="2"/>
  <c r="U40" i="2"/>
  <c r="U39" i="2"/>
  <c r="J99" i="6"/>
  <c r="J100" i="6"/>
  <c r="J101" i="6"/>
  <c r="J102" i="6"/>
  <c r="J98" i="6"/>
  <c r="G11" i="5"/>
  <c r="G12" i="5"/>
  <c r="G13" i="5"/>
  <c r="G14" i="5"/>
  <c r="G15" i="5"/>
  <c r="G10" i="5"/>
  <c r="G6" i="5"/>
  <c r="G7" i="5"/>
  <c r="G8" i="5"/>
  <c r="G9" i="5"/>
  <c r="G5" i="5"/>
  <c r="F11" i="5"/>
  <c r="F12" i="5"/>
  <c r="F13" i="5"/>
  <c r="F14" i="5"/>
  <c r="F15" i="5"/>
  <c r="F10" i="5"/>
  <c r="F6" i="5"/>
  <c r="F7" i="5"/>
  <c r="F8" i="5"/>
  <c r="F9" i="5"/>
  <c r="F5" i="5"/>
  <c r="N46" i="6"/>
  <c r="K46" i="6"/>
  <c r="I46" i="6"/>
  <c r="F46" i="6"/>
  <c r="M32" i="6"/>
  <c r="M31" i="6"/>
  <c r="I18" i="6"/>
  <c r="I19" i="6"/>
  <c r="I20" i="6"/>
  <c r="I21" i="6"/>
  <c r="I17" i="6"/>
  <c r="I13" i="6"/>
  <c r="I12" i="6"/>
  <c r="I11" i="6"/>
  <c r="I10" i="6"/>
  <c r="I9" i="6"/>
  <c r="I8" i="6"/>
  <c r="I7" i="6"/>
  <c r="I6" i="6"/>
  <c r="I5" i="6"/>
  <c r="R1" i="6"/>
  <c r="B9" i="1"/>
  <c r="B8" i="1"/>
  <c r="G122" i="6" l="1"/>
  <c r="G123" i="6"/>
  <c r="G124" i="6"/>
  <c r="G125" i="6"/>
  <c r="G126" i="6"/>
  <c r="G127" i="6"/>
  <c r="G128" i="6"/>
  <c r="G129" i="6"/>
  <c r="G130" i="6"/>
  <c r="G121" i="6"/>
  <c r="H99" i="6"/>
  <c r="H100" i="6"/>
  <c r="H101" i="6"/>
  <c r="H102" i="6"/>
  <c r="H98" i="6"/>
  <c r="H87" i="6"/>
  <c r="H88" i="6"/>
  <c r="H89" i="6"/>
  <c r="H90" i="6"/>
  <c r="H86" i="6"/>
  <c r="R76" i="6"/>
  <c r="R112" i="6" s="1"/>
  <c r="O38" i="6"/>
  <c r="O76" i="6"/>
  <c r="O112" i="6" s="1"/>
  <c r="L98" i="6"/>
  <c r="L86" i="6" l="1"/>
  <c r="R38" i="6"/>
  <c r="M18" i="4"/>
  <c r="M16" i="4"/>
  <c r="M17" i="4"/>
  <c r="M15" i="4"/>
  <c r="M14" i="4"/>
  <c r="M13" i="4"/>
  <c r="M12" i="4"/>
  <c r="M11" i="4"/>
  <c r="M10" i="4"/>
  <c r="M9" i="4"/>
  <c r="M8" i="4"/>
  <c r="M7" i="4"/>
  <c r="M6" i="4"/>
  <c r="M5" i="4"/>
  <c r="M4" i="4"/>
  <c r="M3" i="4"/>
  <c r="K18" i="4"/>
  <c r="K17" i="4"/>
  <c r="K16" i="4"/>
  <c r="K15" i="4"/>
  <c r="K14" i="4"/>
  <c r="K13" i="4"/>
  <c r="K12" i="4"/>
  <c r="K11" i="4"/>
  <c r="K10" i="4"/>
  <c r="K9" i="4"/>
  <c r="K8" i="4"/>
  <c r="K7" i="4"/>
  <c r="K6" i="4"/>
  <c r="K5" i="4"/>
  <c r="K4" i="4"/>
  <c r="K3" i="4"/>
  <c r="J18" i="4"/>
  <c r="J17" i="4"/>
  <c r="J15" i="4"/>
  <c r="J14" i="4"/>
  <c r="J13" i="4"/>
  <c r="J12" i="4"/>
  <c r="J11" i="4"/>
  <c r="J10" i="4"/>
  <c r="J9" i="4"/>
  <c r="J8" i="4"/>
  <c r="J7" i="4"/>
  <c r="J6" i="4"/>
  <c r="J5" i="4"/>
  <c r="J4" i="4"/>
  <c r="J3" i="4"/>
  <c r="AH77" i="2"/>
  <c r="AG77" i="2"/>
  <c r="AF77" i="2"/>
  <c r="AE77" i="2"/>
  <c r="AD77" i="2"/>
  <c r="AC77" i="2"/>
  <c r="AB77" i="2"/>
  <c r="AA77" i="2"/>
  <c r="Z77" i="2"/>
  <c r="Y77" i="2"/>
  <c r="X77" i="2"/>
  <c r="W77" i="2"/>
  <c r="V77" i="2"/>
  <c r="S77" i="2"/>
  <c r="R77" i="2"/>
  <c r="Q77" i="2"/>
  <c r="P77" i="2"/>
  <c r="O77" i="2"/>
  <c r="N77" i="2"/>
  <c r="M77" i="2"/>
  <c r="L77" i="2"/>
  <c r="K77" i="2"/>
  <c r="J77" i="2"/>
  <c r="I77" i="2"/>
  <c r="H77" i="2"/>
  <c r="G77" i="2"/>
  <c r="AH76" i="2"/>
  <c r="AG76" i="2"/>
  <c r="AF76" i="2"/>
  <c r="AE76" i="2"/>
  <c r="AD76" i="2"/>
  <c r="AC76" i="2"/>
  <c r="AB76" i="2"/>
  <c r="AA76" i="2"/>
  <c r="Z76" i="2"/>
  <c r="Y76" i="2"/>
  <c r="X76" i="2"/>
  <c r="W76" i="2"/>
  <c r="V76" i="2"/>
  <c r="S76" i="2"/>
  <c r="R76" i="2"/>
  <c r="Q76" i="2"/>
  <c r="P76" i="2"/>
  <c r="O76" i="2"/>
  <c r="N76" i="2"/>
  <c r="M76" i="2"/>
  <c r="L76" i="2"/>
  <c r="K76" i="2"/>
  <c r="J76" i="2"/>
  <c r="I76" i="2"/>
  <c r="H76" i="2"/>
  <c r="G76" i="2"/>
  <c r="AH75" i="2"/>
  <c r="AG75" i="2"/>
  <c r="AF75" i="2"/>
  <c r="AE75" i="2"/>
  <c r="AD75" i="2"/>
  <c r="AC75" i="2"/>
  <c r="AB75" i="2"/>
  <c r="AA75" i="2"/>
  <c r="Z75" i="2"/>
  <c r="Z74" i="2" s="1"/>
  <c r="Y75" i="2"/>
  <c r="Y74" i="2"/>
  <c r="X75" i="2"/>
  <c r="X74" i="2"/>
  <c r="W75" i="2"/>
  <c r="V75" i="2"/>
  <c r="T75" i="2"/>
  <c r="T74" i="2"/>
  <c r="S75" i="2"/>
  <c r="R75" i="2"/>
  <c r="Q75" i="2"/>
  <c r="P75" i="2"/>
  <c r="O75" i="2"/>
  <c r="N75" i="2"/>
  <c r="M75" i="2"/>
  <c r="L75" i="2"/>
  <c r="K75" i="2"/>
  <c r="J75" i="2"/>
  <c r="I75" i="2"/>
  <c r="H75" i="2"/>
  <c r="G75" i="2"/>
  <c r="AH74" i="2"/>
  <c r="AG74" i="2"/>
  <c r="AF74" i="2"/>
  <c r="AE74" i="2"/>
  <c r="AD74" i="2"/>
  <c r="AC74" i="2"/>
  <c r="AB74" i="2"/>
  <c r="AA74" i="2"/>
  <c r="W74" i="2"/>
  <c r="V74" i="2"/>
  <c r="S74" i="2"/>
  <c r="R74" i="2"/>
  <c r="Q74" i="2"/>
  <c r="P74" i="2"/>
  <c r="O74" i="2"/>
  <c r="N74" i="2"/>
  <c r="M74" i="2"/>
  <c r="L74" i="2"/>
  <c r="K74" i="2"/>
  <c r="J74" i="2"/>
  <c r="I74" i="2"/>
  <c r="H74" i="2"/>
  <c r="G74" i="2"/>
  <c r="AH72" i="2"/>
  <c r="AG72" i="2"/>
  <c r="AF72" i="2"/>
  <c r="AE72" i="2"/>
  <c r="AD72" i="2"/>
  <c r="AC72" i="2"/>
  <c r="AB72" i="2"/>
  <c r="AA72" i="2"/>
  <c r="Z72" i="2"/>
  <c r="Y72" i="2"/>
  <c r="X72" i="2"/>
  <c r="W72" i="2"/>
  <c r="V72" i="2"/>
  <c r="T72" i="2"/>
  <c r="S72" i="2"/>
  <c r="P72" i="2"/>
  <c r="O72" i="2"/>
  <c r="N72" i="2"/>
  <c r="M72" i="2"/>
  <c r="L72" i="2"/>
  <c r="K72" i="2"/>
  <c r="J72" i="2"/>
  <c r="I72" i="2"/>
  <c r="H72" i="2"/>
  <c r="G72" i="2"/>
  <c r="AH71" i="2"/>
  <c r="AG71" i="2"/>
  <c r="AF71" i="2"/>
  <c r="AE71" i="2"/>
  <c r="AD71" i="2"/>
  <c r="AC71" i="2"/>
  <c r="AB71" i="2"/>
  <c r="AA71" i="2"/>
  <c r="Z71" i="2"/>
  <c r="Y71" i="2"/>
  <c r="X71" i="2"/>
  <c r="W71" i="2"/>
  <c r="V71" i="2"/>
  <c r="T71" i="2"/>
  <c r="S71" i="2"/>
  <c r="P71" i="2"/>
  <c r="O71" i="2"/>
  <c r="N71" i="2"/>
  <c r="M71" i="2"/>
  <c r="L71" i="2"/>
  <c r="K71" i="2"/>
  <c r="J71" i="2"/>
  <c r="I71" i="2"/>
  <c r="H71" i="2"/>
  <c r="G71" i="2"/>
  <c r="AH70" i="2"/>
  <c r="AG70" i="2"/>
  <c r="AF70" i="2"/>
  <c r="AE70" i="2"/>
  <c r="AD70" i="2"/>
  <c r="AC70" i="2"/>
  <c r="AB70" i="2"/>
  <c r="AA70" i="2"/>
  <c r="Z70" i="2"/>
  <c r="Y70" i="2"/>
  <c r="Y69" i="2" s="1"/>
  <c r="X70" i="2"/>
  <c r="X69" i="2"/>
  <c r="W70" i="2"/>
  <c r="V70" i="2"/>
  <c r="V69" i="2" s="1"/>
  <c r="T70" i="2"/>
  <c r="T69" i="2" s="1"/>
  <c r="S70" i="2"/>
  <c r="P70" i="2"/>
  <c r="O70" i="2"/>
  <c r="N70" i="2"/>
  <c r="M70" i="2"/>
  <c r="L70" i="2"/>
  <c r="K70" i="2"/>
  <c r="J70" i="2"/>
  <c r="I70" i="2"/>
  <c r="H70" i="2"/>
  <c r="G70" i="2"/>
  <c r="AH69" i="2"/>
  <c r="AG69" i="2"/>
  <c r="AF69" i="2"/>
  <c r="AE69" i="2"/>
  <c r="AD69" i="2"/>
  <c r="AC69" i="2"/>
  <c r="AB69" i="2"/>
  <c r="AA69" i="2"/>
  <c r="Z69" i="2"/>
  <c r="W69" i="2"/>
  <c r="S69" i="2"/>
  <c r="P69" i="2"/>
  <c r="O69" i="2"/>
  <c r="N69" i="2"/>
  <c r="M69" i="2"/>
  <c r="L69" i="2"/>
  <c r="K69" i="2"/>
  <c r="J69" i="2"/>
  <c r="I69" i="2"/>
  <c r="H69" i="2"/>
  <c r="G69" i="2"/>
  <c r="AH67" i="2"/>
  <c r="AG67" i="2"/>
  <c r="AF67" i="2"/>
  <c r="AE67" i="2"/>
  <c r="AD67" i="2"/>
  <c r="AC67" i="2"/>
  <c r="AB67" i="2"/>
  <c r="AA67" i="2"/>
  <c r="Z67" i="2"/>
  <c r="Y67" i="2"/>
  <c r="X67" i="2"/>
  <c r="W67" i="2"/>
  <c r="V67" i="2"/>
  <c r="T67" i="2"/>
  <c r="S67" i="2"/>
  <c r="R67" i="2"/>
  <c r="O67" i="2"/>
  <c r="N67" i="2"/>
  <c r="M67" i="2"/>
  <c r="L67" i="2"/>
  <c r="K67" i="2"/>
  <c r="J67" i="2"/>
  <c r="I67" i="2"/>
  <c r="H67" i="2"/>
  <c r="G67" i="2"/>
  <c r="AH66" i="2"/>
  <c r="AG66" i="2"/>
  <c r="AF66" i="2"/>
  <c r="AE66" i="2"/>
  <c r="AD66" i="2"/>
  <c r="AC66" i="2"/>
  <c r="AB66" i="2"/>
  <c r="AA66" i="2"/>
  <c r="Z66" i="2"/>
  <c r="Y66" i="2"/>
  <c r="X66" i="2"/>
  <c r="W66" i="2"/>
  <c r="V66" i="2"/>
  <c r="T66" i="2"/>
  <c r="S66" i="2"/>
  <c r="R66" i="2"/>
  <c r="O66" i="2"/>
  <c r="N66" i="2"/>
  <c r="M66" i="2"/>
  <c r="L66" i="2"/>
  <c r="K66" i="2"/>
  <c r="J66" i="2"/>
  <c r="I66" i="2"/>
  <c r="H66" i="2"/>
  <c r="G66" i="2"/>
  <c r="AH65" i="2"/>
  <c r="AG65" i="2"/>
  <c r="AF65" i="2"/>
  <c r="AE65" i="2"/>
  <c r="AD65" i="2"/>
  <c r="AC65" i="2"/>
  <c r="AB65" i="2"/>
  <c r="AA65" i="2"/>
  <c r="Z65" i="2"/>
  <c r="Z64" i="2" s="1"/>
  <c r="Y65" i="2"/>
  <c r="X65" i="2"/>
  <c r="X64" i="2"/>
  <c r="W65" i="2"/>
  <c r="V65" i="2"/>
  <c r="T65" i="2"/>
  <c r="S65" i="2"/>
  <c r="R65" i="2"/>
  <c r="O65" i="2"/>
  <c r="N65" i="2"/>
  <c r="M65" i="2"/>
  <c r="L65" i="2"/>
  <c r="K65" i="2"/>
  <c r="J65" i="2"/>
  <c r="I65" i="2"/>
  <c r="H65" i="2"/>
  <c r="G65" i="2"/>
  <c r="AH64" i="2"/>
  <c r="AG64" i="2"/>
  <c r="AF64" i="2"/>
  <c r="AE64" i="2"/>
  <c r="AD64" i="2"/>
  <c r="AC64" i="2"/>
  <c r="AB64" i="2"/>
  <c r="AA64" i="2"/>
  <c r="Y64" i="2"/>
  <c r="W64" i="2"/>
  <c r="V64" i="2"/>
  <c r="S64" i="2"/>
  <c r="R64" i="2"/>
  <c r="O64" i="2"/>
  <c r="N64" i="2"/>
  <c r="M64" i="2"/>
  <c r="L64" i="2"/>
  <c r="K64" i="2"/>
  <c r="J64" i="2"/>
  <c r="I64" i="2"/>
  <c r="H64" i="2"/>
  <c r="G64" i="2"/>
  <c r="AH62" i="2"/>
  <c r="AG62" i="2"/>
  <c r="AF62" i="2"/>
  <c r="AE62" i="2"/>
  <c r="AD62" i="2"/>
  <c r="AC62" i="2"/>
  <c r="AB62" i="2"/>
  <c r="AA62" i="2"/>
  <c r="Z62" i="2"/>
  <c r="Y62" i="2"/>
  <c r="X62" i="2"/>
  <c r="W62" i="2"/>
  <c r="V62" i="2"/>
  <c r="T62" i="2"/>
  <c r="S62" i="2"/>
  <c r="R62" i="2"/>
  <c r="Q62" i="2"/>
  <c r="P62" i="2"/>
  <c r="N62" i="2"/>
  <c r="M62" i="2"/>
  <c r="L62" i="2"/>
  <c r="K62" i="2"/>
  <c r="J62" i="2"/>
  <c r="I62" i="2"/>
  <c r="H62" i="2"/>
  <c r="G62" i="2"/>
  <c r="AH61" i="2"/>
  <c r="AG61" i="2"/>
  <c r="AF61" i="2"/>
  <c r="AE61" i="2"/>
  <c r="AD61" i="2"/>
  <c r="AC61" i="2"/>
  <c r="AB61" i="2"/>
  <c r="AA61" i="2"/>
  <c r="Z61" i="2"/>
  <c r="Y61" i="2"/>
  <c r="X61" i="2"/>
  <c r="W61" i="2"/>
  <c r="V61" i="2"/>
  <c r="T61" i="2"/>
  <c r="S61" i="2"/>
  <c r="R61" i="2"/>
  <c r="Q61" i="2"/>
  <c r="P61" i="2"/>
  <c r="N61" i="2"/>
  <c r="M61" i="2"/>
  <c r="L61" i="2"/>
  <c r="K61" i="2"/>
  <c r="J61" i="2"/>
  <c r="I61" i="2"/>
  <c r="H61" i="2"/>
  <c r="G61" i="2"/>
  <c r="AH60" i="2"/>
  <c r="AG60" i="2"/>
  <c r="AF60" i="2"/>
  <c r="AE60" i="2"/>
  <c r="AD60" i="2"/>
  <c r="AC60" i="2"/>
  <c r="AB60" i="2"/>
  <c r="AA60" i="2"/>
  <c r="Z60" i="2"/>
  <c r="Y60" i="2"/>
  <c r="X60" i="2"/>
  <c r="X59" i="2"/>
  <c r="W60" i="2"/>
  <c r="V60" i="2"/>
  <c r="T60" i="2"/>
  <c r="T59" i="2" s="1"/>
  <c r="S60" i="2"/>
  <c r="S59" i="2"/>
  <c r="R60" i="2"/>
  <c r="Q60" i="2"/>
  <c r="P60" i="2"/>
  <c r="N60" i="2"/>
  <c r="M60" i="2"/>
  <c r="L60" i="2"/>
  <c r="K60" i="2"/>
  <c r="J60" i="2"/>
  <c r="I60" i="2"/>
  <c r="H60" i="2"/>
  <c r="G60" i="2"/>
  <c r="AH59" i="2"/>
  <c r="AG59" i="2"/>
  <c r="AF59" i="2"/>
  <c r="AE59" i="2"/>
  <c r="AD59" i="2"/>
  <c r="AC59" i="2"/>
  <c r="AB59" i="2"/>
  <c r="AA59" i="2"/>
  <c r="Z59" i="2"/>
  <c r="Y59" i="2"/>
  <c r="W59" i="2"/>
  <c r="V59" i="2"/>
  <c r="R59" i="2"/>
  <c r="Q59" i="2"/>
  <c r="P59" i="2"/>
  <c r="N59" i="2"/>
  <c r="M59" i="2"/>
  <c r="L59" i="2"/>
  <c r="K59" i="2"/>
  <c r="J59" i="2"/>
  <c r="I59" i="2"/>
  <c r="H59" i="2"/>
  <c r="G59" i="2"/>
  <c r="AH57" i="2"/>
  <c r="AG57" i="2"/>
  <c r="AF57" i="2"/>
  <c r="AE57" i="2"/>
  <c r="AD57" i="2"/>
  <c r="AC57" i="2"/>
  <c r="AB57" i="2"/>
  <c r="AA57" i="2"/>
  <c r="Z57" i="2"/>
  <c r="Y57" i="2"/>
  <c r="X57" i="2"/>
  <c r="W57" i="2"/>
  <c r="V57" i="2"/>
  <c r="U57" i="2"/>
  <c r="T57" i="2"/>
  <c r="Q57" i="2"/>
  <c r="N57" i="2"/>
  <c r="M57" i="2"/>
  <c r="L57" i="2"/>
  <c r="K57" i="2"/>
  <c r="J57" i="2"/>
  <c r="I57" i="2"/>
  <c r="H57" i="2"/>
  <c r="G57" i="2"/>
  <c r="AH56" i="2"/>
  <c r="AG56" i="2"/>
  <c r="AF56" i="2"/>
  <c r="AE56" i="2"/>
  <c r="AD56" i="2"/>
  <c r="AC56" i="2"/>
  <c r="AB56" i="2"/>
  <c r="AA56" i="2"/>
  <c r="Z56" i="2"/>
  <c r="Y56" i="2"/>
  <c r="X56" i="2"/>
  <c r="W56" i="2"/>
  <c r="V56" i="2"/>
  <c r="U56" i="2"/>
  <c r="T56" i="2"/>
  <c r="Q56" i="2"/>
  <c r="N56" i="2"/>
  <c r="M56" i="2"/>
  <c r="L56" i="2"/>
  <c r="K56" i="2"/>
  <c r="J56" i="2"/>
  <c r="I56" i="2"/>
  <c r="H56" i="2"/>
  <c r="G56" i="2"/>
  <c r="AH55" i="2"/>
  <c r="AG55" i="2"/>
  <c r="AF55" i="2"/>
  <c r="AE55" i="2"/>
  <c r="AD55" i="2"/>
  <c r="AC55" i="2"/>
  <c r="AB55" i="2"/>
  <c r="AA55" i="2"/>
  <c r="Z55" i="2"/>
  <c r="Y55" i="2"/>
  <c r="X55" i="2"/>
  <c r="X54" i="2"/>
  <c r="W55" i="2"/>
  <c r="V55" i="2"/>
  <c r="U55" i="2"/>
  <c r="U54" i="2"/>
  <c r="T55" i="2"/>
  <c r="T54" i="2" s="1"/>
  <c r="Q55" i="2"/>
  <c r="N55" i="2"/>
  <c r="M55" i="2"/>
  <c r="L55" i="2"/>
  <c r="K55" i="2"/>
  <c r="J55" i="2"/>
  <c r="I55" i="2"/>
  <c r="H55" i="2"/>
  <c r="G55" i="2"/>
  <c r="AH54" i="2"/>
  <c r="AG54" i="2"/>
  <c r="AF54" i="2"/>
  <c r="AE54" i="2"/>
  <c r="AD54" i="2"/>
  <c r="AC54" i="2"/>
  <c r="AB54" i="2"/>
  <c r="AA54" i="2"/>
  <c r="Z54" i="2"/>
  <c r="Y54" i="2"/>
  <c r="W54" i="2"/>
  <c r="V54" i="2"/>
  <c r="N54" i="2"/>
  <c r="M54" i="2"/>
  <c r="L54" i="2"/>
  <c r="K54" i="2"/>
  <c r="J54" i="2"/>
  <c r="I54" i="2"/>
  <c r="H54" i="2"/>
  <c r="G54" i="2"/>
  <c r="AH52" i="2"/>
  <c r="AG52" i="2"/>
  <c r="AF52" i="2"/>
  <c r="AE52" i="2"/>
  <c r="AD52" i="2"/>
  <c r="AC52" i="2"/>
  <c r="AB52" i="2"/>
  <c r="AA52" i="2"/>
  <c r="Z52" i="2"/>
  <c r="Y52" i="2"/>
  <c r="X52" i="2"/>
  <c r="W52" i="2"/>
  <c r="V52" i="2"/>
  <c r="U52" i="2"/>
  <c r="T52" i="2"/>
  <c r="Q52" i="2"/>
  <c r="P52" i="2"/>
  <c r="O52" i="2"/>
  <c r="N52" i="2"/>
  <c r="M52" i="2"/>
  <c r="L52" i="2"/>
  <c r="K52" i="2"/>
  <c r="J52" i="2"/>
  <c r="I52" i="2"/>
  <c r="H52" i="2"/>
  <c r="G52" i="2"/>
  <c r="AH51" i="2"/>
  <c r="AG51" i="2"/>
  <c r="AF51" i="2"/>
  <c r="AE51" i="2"/>
  <c r="AD51" i="2"/>
  <c r="AC51" i="2"/>
  <c r="AB51" i="2"/>
  <c r="AA51" i="2"/>
  <c r="Z51" i="2"/>
  <c r="Y51" i="2"/>
  <c r="X51" i="2"/>
  <c r="W51" i="2"/>
  <c r="V51" i="2"/>
  <c r="U51" i="2"/>
  <c r="T51" i="2"/>
  <c r="Q51" i="2"/>
  <c r="P51" i="2"/>
  <c r="O51" i="2"/>
  <c r="N51" i="2"/>
  <c r="M51" i="2"/>
  <c r="L51" i="2"/>
  <c r="K51" i="2"/>
  <c r="J51" i="2"/>
  <c r="I51" i="2"/>
  <c r="H51" i="2"/>
  <c r="G51" i="2"/>
  <c r="AH50" i="2"/>
  <c r="AG50" i="2"/>
  <c r="AF50" i="2"/>
  <c r="AE50" i="2"/>
  <c r="AD50" i="2"/>
  <c r="AC50" i="2"/>
  <c r="AB50" i="2"/>
  <c r="AA50" i="2"/>
  <c r="Z50" i="2"/>
  <c r="Y50" i="2"/>
  <c r="X50" i="2"/>
  <c r="W50" i="2"/>
  <c r="W49" i="2"/>
  <c r="V50" i="2"/>
  <c r="V49" i="2"/>
  <c r="U50" i="2"/>
  <c r="T50" i="2"/>
  <c r="Q50" i="2"/>
  <c r="P50" i="2"/>
  <c r="P49" i="2" s="1"/>
  <c r="O50" i="2"/>
  <c r="N50" i="2"/>
  <c r="M50" i="2"/>
  <c r="L50" i="2"/>
  <c r="K50" i="2"/>
  <c r="J50" i="2"/>
  <c r="I50" i="2"/>
  <c r="H50" i="2"/>
  <c r="G50" i="2"/>
  <c r="AH49" i="2"/>
  <c r="AG49" i="2"/>
  <c r="AF49" i="2"/>
  <c r="AE49" i="2"/>
  <c r="AD49" i="2"/>
  <c r="AC49" i="2"/>
  <c r="AB49" i="2"/>
  <c r="AA49" i="2"/>
  <c r="Z49" i="2"/>
  <c r="Y49" i="2"/>
  <c r="X49" i="2"/>
  <c r="U49" i="2"/>
  <c r="Q49" i="2"/>
  <c r="O49" i="2"/>
  <c r="N49" i="2"/>
  <c r="M49" i="2"/>
  <c r="L49" i="2"/>
  <c r="K49" i="2"/>
  <c r="J49" i="2"/>
  <c r="I49" i="2"/>
  <c r="H49" i="2"/>
  <c r="G49" i="2"/>
  <c r="AH47" i="2"/>
  <c r="AG47" i="2"/>
  <c r="AF47" i="2"/>
  <c r="AE47" i="2"/>
  <c r="AD47" i="2"/>
  <c r="AC47" i="2"/>
  <c r="AB47" i="2"/>
  <c r="AA47" i="2"/>
  <c r="Z47" i="2"/>
  <c r="Y47" i="2"/>
  <c r="X47" i="2"/>
  <c r="W47" i="2"/>
  <c r="V47" i="2"/>
  <c r="U47" i="2"/>
  <c r="T47" i="2"/>
  <c r="S47" i="2"/>
  <c r="R47" i="2"/>
  <c r="Q47" i="2"/>
  <c r="P47" i="2"/>
  <c r="O47" i="2"/>
  <c r="N47" i="2"/>
  <c r="M47" i="2"/>
  <c r="L47" i="2"/>
  <c r="K47" i="2"/>
  <c r="J47" i="2"/>
  <c r="I47" i="2"/>
  <c r="H47" i="2"/>
  <c r="G47" i="2"/>
  <c r="AH46"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AH45" i="2"/>
  <c r="AG45" i="2"/>
  <c r="AF45" i="2"/>
  <c r="AE45" i="2"/>
  <c r="AD45" i="2"/>
  <c r="AC45" i="2"/>
  <c r="AB45" i="2"/>
  <c r="AA45" i="2"/>
  <c r="Z45" i="2"/>
  <c r="Y45" i="2"/>
  <c r="X45" i="2"/>
  <c r="W45" i="2"/>
  <c r="W44" i="2" s="1"/>
  <c r="V45" i="2"/>
  <c r="V44" i="2"/>
  <c r="U45" i="2"/>
  <c r="U44" i="2"/>
  <c r="T45" i="2"/>
  <c r="T44" i="2"/>
  <c r="S45" i="2"/>
  <c r="S44" i="2"/>
  <c r="R45" i="2"/>
  <c r="Q45" i="2"/>
  <c r="P45" i="2"/>
  <c r="O45" i="2"/>
  <c r="N45" i="2"/>
  <c r="M45" i="2"/>
  <c r="L45" i="2"/>
  <c r="K45" i="2"/>
  <c r="J45" i="2"/>
  <c r="I45" i="2"/>
  <c r="H45" i="2"/>
  <c r="G45" i="2"/>
  <c r="AH44" i="2"/>
  <c r="AG44" i="2"/>
  <c r="AF44" i="2"/>
  <c r="AE44" i="2"/>
  <c r="AD44" i="2"/>
  <c r="AC44" i="2"/>
  <c r="AB44" i="2"/>
  <c r="AA44" i="2"/>
  <c r="Z44" i="2"/>
  <c r="Y44" i="2"/>
  <c r="X44" i="2"/>
  <c r="R44" i="2"/>
  <c r="Q44" i="2"/>
  <c r="P44" i="2"/>
  <c r="O44" i="2"/>
  <c r="N44" i="2"/>
  <c r="M44" i="2"/>
  <c r="L44" i="2"/>
  <c r="K44" i="2"/>
  <c r="J44" i="2"/>
  <c r="I44" i="2"/>
  <c r="H44" i="2"/>
  <c r="G44" i="2"/>
  <c r="AH42" i="2"/>
  <c r="AG42" i="2"/>
  <c r="AF42" i="2"/>
  <c r="AE42" i="2"/>
  <c r="AD42" i="2"/>
  <c r="AC42" i="2"/>
  <c r="AB42" i="2"/>
  <c r="AA42" i="2"/>
  <c r="Z42" i="2"/>
  <c r="Y42" i="2"/>
  <c r="X42" i="2"/>
  <c r="W42" i="2"/>
  <c r="V42" i="2"/>
  <c r="T42" i="2"/>
  <c r="S42" i="2"/>
  <c r="R42" i="2"/>
  <c r="Q42" i="2"/>
  <c r="P42" i="2"/>
  <c r="O42" i="2"/>
  <c r="N42" i="2"/>
  <c r="M42" i="2"/>
  <c r="L42" i="2"/>
  <c r="K42" i="2"/>
  <c r="J42" i="2"/>
  <c r="I42" i="2"/>
  <c r="H42" i="2"/>
  <c r="G42" i="2"/>
  <c r="AH41" i="2"/>
  <c r="AG41" i="2"/>
  <c r="AF41" i="2"/>
  <c r="AE41" i="2"/>
  <c r="AD41" i="2"/>
  <c r="AC41" i="2"/>
  <c r="AB41" i="2"/>
  <c r="AA41" i="2"/>
  <c r="Z41" i="2"/>
  <c r="Y41" i="2"/>
  <c r="X41" i="2"/>
  <c r="W41" i="2"/>
  <c r="V41" i="2"/>
  <c r="T41" i="2"/>
  <c r="S41" i="2"/>
  <c r="R41" i="2"/>
  <c r="Q41" i="2"/>
  <c r="P41" i="2"/>
  <c r="O41" i="2"/>
  <c r="N41" i="2"/>
  <c r="M41" i="2"/>
  <c r="L41" i="2"/>
  <c r="K41" i="2"/>
  <c r="J41" i="2"/>
  <c r="I41" i="2"/>
  <c r="H41" i="2"/>
  <c r="G41" i="2"/>
  <c r="AH40" i="2"/>
  <c r="AG40" i="2"/>
  <c r="AF40" i="2"/>
  <c r="AE40" i="2"/>
  <c r="AD40" i="2"/>
  <c r="AC40" i="2"/>
  <c r="AB40" i="2"/>
  <c r="AA40" i="2"/>
  <c r="Z40" i="2"/>
  <c r="Y40" i="2"/>
  <c r="X40" i="2"/>
  <c r="W40" i="2"/>
  <c r="V40" i="2"/>
  <c r="V39" i="2"/>
  <c r="T40" i="2"/>
  <c r="T39" i="2"/>
  <c r="S40" i="2"/>
  <c r="R40" i="2"/>
  <c r="R39" i="2" s="1"/>
  <c r="Q40" i="2"/>
  <c r="Q39" i="2"/>
  <c r="P40" i="2"/>
  <c r="O40" i="2"/>
  <c r="N40" i="2"/>
  <c r="M40" i="2"/>
  <c r="L40" i="2"/>
  <c r="K40" i="2"/>
  <c r="J40" i="2"/>
  <c r="I40" i="2"/>
  <c r="H40" i="2"/>
  <c r="G40" i="2"/>
  <c r="AH39" i="2"/>
  <c r="AG39" i="2"/>
  <c r="AF39" i="2"/>
  <c r="AE39" i="2"/>
  <c r="AD39" i="2"/>
  <c r="AC39" i="2"/>
  <c r="AB39" i="2"/>
  <c r="AA39" i="2"/>
  <c r="Z39" i="2"/>
  <c r="Y39" i="2"/>
  <c r="X39" i="2"/>
  <c r="W39" i="2"/>
  <c r="S39" i="2"/>
  <c r="P39" i="2"/>
  <c r="O39" i="2"/>
  <c r="N39" i="2"/>
  <c r="M39" i="2"/>
  <c r="L39" i="2"/>
  <c r="K39" i="2"/>
  <c r="J39" i="2"/>
  <c r="I39" i="2"/>
  <c r="H39" i="2"/>
  <c r="G39" i="2"/>
  <c r="AH37" i="2"/>
  <c r="AG37" i="2"/>
  <c r="AF37" i="2"/>
  <c r="AE37" i="2"/>
  <c r="AD37" i="2"/>
  <c r="AC37" i="2"/>
  <c r="AB37" i="2"/>
  <c r="AA37" i="2"/>
  <c r="Z37" i="2"/>
  <c r="Y37" i="2"/>
  <c r="X37" i="2"/>
  <c r="W37" i="2"/>
  <c r="V37" i="2"/>
  <c r="U37" i="2"/>
  <c r="T37" i="2"/>
  <c r="S37" i="2"/>
  <c r="R37" i="2"/>
  <c r="Q37" i="2"/>
  <c r="P37" i="2"/>
  <c r="O37" i="2"/>
  <c r="N37" i="2"/>
  <c r="M37" i="2"/>
  <c r="L37" i="2"/>
  <c r="K37" i="2"/>
  <c r="J37" i="2"/>
  <c r="I37" i="2"/>
  <c r="H37" i="2"/>
  <c r="G37" i="2"/>
  <c r="AH36" i="2"/>
  <c r="AG36" i="2"/>
  <c r="AF36" i="2"/>
  <c r="AE36" i="2"/>
  <c r="AD36" i="2"/>
  <c r="AC36" i="2"/>
  <c r="AB36" i="2"/>
  <c r="AA36" i="2"/>
  <c r="Z36" i="2"/>
  <c r="Y36" i="2"/>
  <c r="X36" i="2"/>
  <c r="W36" i="2"/>
  <c r="V36" i="2"/>
  <c r="U36" i="2"/>
  <c r="T36" i="2"/>
  <c r="S36" i="2"/>
  <c r="R36" i="2"/>
  <c r="Q36" i="2"/>
  <c r="P36" i="2"/>
  <c r="D36" i="2" s="1"/>
  <c r="I7" i="5" s="1"/>
  <c r="O36" i="2"/>
  <c r="N36" i="2"/>
  <c r="M36" i="2"/>
  <c r="L36" i="2"/>
  <c r="K36" i="2"/>
  <c r="J36" i="2"/>
  <c r="I36" i="2"/>
  <c r="H36" i="2"/>
  <c r="G36" i="2"/>
  <c r="AH35" i="2"/>
  <c r="AG35" i="2"/>
  <c r="AF35" i="2"/>
  <c r="AE35" i="2"/>
  <c r="AD35" i="2"/>
  <c r="AC35" i="2"/>
  <c r="AB35" i="2"/>
  <c r="AA35" i="2"/>
  <c r="Z35" i="2"/>
  <c r="Y35" i="2"/>
  <c r="X35" i="2"/>
  <c r="W35" i="2"/>
  <c r="V35" i="2"/>
  <c r="U35" i="2"/>
  <c r="U34" i="2"/>
  <c r="T35" i="2"/>
  <c r="T34" i="2"/>
  <c r="S35" i="2"/>
  <c r="S34" i="2"/>
  <c r="R35" i="2"/>
  <c r="R34" i="2" s="1"/>
  <c r="Q35" i="2"/>
  <c r="P35" i="2"/>
  <c r="O35" i="2"/>
  <c r="N35" i="2"/>
  <c r="M35" i="2"/>
  <c r="L35" i="2"/>
  <c r="K35" i="2"/>
  <c r="J35" i="2"/>
  <c r="I35" i="2"/>
  <c r="H35" i="2"/>
  <c r="G35" i="2"/>
  <c r="AH34" i="2"/>
  <c r="AG34" i="2"/>
  <c r="AF34" i="2"/>
  <c r="AE34" i="2"/>
  <c r="AD34" i="2"/>
  <c r="AC34" i="2"/>
  <c r="AB34" i="2"/>
  <c r="AA34" i="2"/>
  <c r="Z34" i="2"/>
  <c r="Y34" i="2"/>
  <c r="X34" i="2"/>
  <c r="W34" i="2"/>
  <c r="V34" i="2"/>
  <c r="Q34" i="2"/>
  <c r="P34" i="2"/>
  <c r="O34" i="2"/>
  <c r="N34" i="2"/>
  <c r="M34" i="2"/>
  <c r="L34" i="2"/>
  <c r="K34" i="2"/>
  <c r="J34" i="2"/>
  <c r="I34" i="2"/>
  <c r="H34" i="2"/>
  <c r="G34" i="2"/>
  <c r="AH32" i="2"/>
  <c r="AG32" i="2"/>
  <c r="AF32" i="2"/>
  <c r="AE32" i="2"/>
  <c r="AD32" i="2"/>
  <c r="AC32" i="2"/>
  <c r="AB32" i="2"/>
  <c r="AA32" i="2"/>
  <c r="Z32" i="2"/>
  <c r="Y32" i="2"/>
  <c r="X32" i="2"/>
  <c r="W32" i="2"/>
  <c r="V32" i="2"/>
  <c r="U32" i="2"/>
  <c r="T32" i="2"/>
  <c r="S32" i="2"/>
  <c r="R32" i="2"/>
  <c r="Q32" i="2"/>
  <c r="P32" i="2"/>
  <c r="O32" i="2"/>
  <c r="N32" i="2"/>
  <c r="M32" i="2"/>
  <c r="L32" i="2"/>
  <c r="K32" i="2"/>
  <c r="J32" i="2"/>
  <c r="I32" i="2"/>
  <c r="AH31" i="2"/>
  <c r="AG31" i="2"/>
  <c r="AF31" i="2"/>
  <c r="AE31" i="2"/>
  <c r="AD31" i="2"/>
  <c r="AC31" i="2"/>
  <c r="AB31" i="2"/>
  <c r="AA31" i="2"/>
  <c r="Z31" i="2"/>
  <c r="Y31" i="2"/>
  <c r="X31" i="2"/>
  <c r="W31" i="2"/>
  <c r="V31" i="2"/>
  <c r="U31" i="2"/>
  <c r="T31" i="2"/>
  <c r="S31" i="2"/>
  <c r="R31" i="2"/>
  <c r="Q31" i="2"/>
  <c r="P31" i="2"/>
  <c r="O31" i="2"/>
  <c r="N31" i="2"/>
  <c r="M31" i="2"/>
  <c r="L31" i="2"/>
  <c r="K31" i="2"/>
  <c r="J31" i="2"/>
  <c r="I31" i="2"/>
  <c r="AH30" i="2"/>
  <c r="AG30" i="2"/>
  <c r="AF30" i="2"/>
  <c r="AE30" i="2"/>
  <c r="AD30" i="2"/>
  <c r="AC30" i="2"/>
  <c r="AB30" i="2"/>
  <c r="AA30" i="2"/>
  <c r="Z30" i="2"/>
  <c r="Y30" i="2"/>
  <c r="X30" i="2"/>
  <c r="W30" i="2"/>
  <c r="V30" i="2"/>
  <c r="U30" i="2"/>
  <c r="T30" i="2"/>
  <c r="S30" i="2"/>
  <c r="R30" i="2"/>
  <c r="Q30" i="2"/>
  <c r="Q29" i="2" s="1"/>
  <c r="P30" i="2"/>
  <c r="P29" i="2" s="1"/>
  <c r="I30" i="2"/>
  <c r="J30" i="2"/>
  <c r="K30" i="2"/>
  <c r="L30" i="2"/>
  <c r="M30" i="2"/>
  <c r="N30" i="2"/>
  <c r="O30" i="2"/>
  <c r="O29" i="2"/>
  <c r="T76" i="2"/>
  <c r="T77" i="2"/>
  <c r="H31" i="2"/>
  <c r="H32" i="2"/>
  <c r="H30" i="2"/>
  <c r="G31" i="2"/>
  <c r="G32" i="2"/>
  <c r="G30" i="2"/>
  <c r="G29" i="2"/>
  <c r="AH29" i="2"/>
  <c r="AG29" i="2"/>
  <c r="AF29" i="2"/>
  <c r="AE29" i="2"/>
  <c r="AD29" i="2"/>
  <c r="AC29" i="2"/>
  <c r="AB29" i="2"/>
  <c r="AA29" i="2"/>
  <c r="Z29" i="2"/>
  <c r="Y29" i="2"/>
  <c r="X29" i="2"/>
  <c r="W29" i="2"/>
  <c r="V29" i="2"/>
  <c r="U29" i="2"/>
  <c r="T29" i="2"/>
  <c r="S29" i="2"/>
  <c r="R29" i="2"/>
  <c r="N29" i="2"/>
  <c r="M29" i="2"/>
  <c r="L29" i="2"/>
  <c r="K29" i="2"/>
  <c r="J29" i="2"/>
  <c r="I29" i="2"/>
  <c r="H29" i="2"/>
  <c r="P66" i="2"/>
  <c r="P56" i="2"/>
  <c r="S57" i="2"/>
  <c r="S52" i="2"/>
  <c r="Q70" i="2"/>
  <c r="Q69" i="2" s="1"/>
  <c r="Q65" i="2"/>
  <c r="Q64" i="2" s="1"/>
  <c r="S51" i="2"/>
  <c r="S56" i="2"/>
  <c r="Q67" i="2"/>
  <c r="Q72" i="2"/>
  <c r="O60" i="2"/>
  <c r="O59" i="2"/>
  <c r="O55" i="2"/>
  <c r="O54" i="2"/>
  <c r="Q66" i="2"/>
  <c r="Q71" i="2"/>
  <c r="O62" i="2"/>
  <c r="O57" i="2"/>
  <c r="R55" i="2"/>
  <c r="R54" i="2" s="1"/>
  <c r="R50" i="2"/>
  <c r="R49" i="2"/>
  <c r="R70" i="2"/>
  <c r="R69" i="2" s="1"/>
  <c r="U60" i="2"/>
  <c r="U59" i="2"/>
  <c r="U75" i="2"/>
  <c r="U74" i="2"/>
  <c r="U65" i="2"/>
  <c r="U64" i="2"/>
  <c r="U70" i="2"/>
  <c r="U69" i="2"/>
  <c r="O61" i="2"/>
  <c r="O56" i="2"/>
  <c r="R57" i="2"/>
  <c r="R52" i="2"/>
  <c r="R72" i="2"/>
  <c r="U62" i="2"/>
  <c r="U72" i="2"/>
  <c r="U77" i="2"/>
  <c r="U67" i="2"/>
  <c r="P55" i="2"/>
  <c r="P54" i="2"/>
  <c r="P65" i="2"/>
  <c r="P64" i="2" s="1"/>
  <c r="R71" i="2"/>
  <c r="R56" i="2"/>
  <c r="R51" i="2"/>
  <c r="U76" i="2"/>
  <c r="U61" i="2"/>
  <c r="U66" i="2"/>
  <c r="U71" i="2"/>
  <c r="P57" i="2"/>
  <c r="P67" i="2"/>
  <c r="S55" i="2"/>
  <c r="S54" i="2"/>
  <c r="S50" i="2"/>
  <c r="S49" i="2"/>
  <c r="D47" i="2"/>
  <c r="J9" i="5" s="1"/>
  <c r="C26" i="5"/>
  <c r="C27" i="5"/>
  <c r="C28" i="5"/>
  <c r="C25" i="5"/>
  <c r="C24" i="5"/>
  <c r="E6" i="5"/>
  <c r="E7" i="5"/>
  <c r="E8" i="5"/>
  <c r="E9" i="5"/>
  <c r="E10" i="5"/>
  <c r="E11" i="5"/>
  <c r="E12" i="5"/>
  <c r="E13" i="5"/>
  <c r="E14" i="5"/>
  <c r="E15" i="5"/>
  <c r="E5" i="5"/>
  <c r="I25" i="5"/>
  <c r="C6" i="5" s="1"/>
  <c r="I26" i="5"/>
  <c r="C7" i="5"/>
  <c r="I27" i="5"/>
  <c r="C8" i="5" s="1"/>
  <c r="I28" i="5"/>
  <c r="C9" i="5"/>
  <c r="I29" i="5"/>
  <c r="I30" i="5"/>
  <c r="C11" i="5" s="1"/>
  <c r="I31" i="5"/>
  <c r="I32" i="5"/>
  <c r="C13" i="5" s="1"/>
  <c r="I33" i="5"/>
  <c r="C14" i="5" s="1"/>
  <c r="I34" i="5"/>
  <c r="C15" i="5" s="1"/>
  <c r="I24" i="5"/>
  <c r="C5" i="5"/>
  <c r="G24" i="5"/>
  <c r="B5" i="5"/>
  <c r="G70" i="4"/>
  <c r="G61" i="4"/>
  <c r="G52" i="4"/>
  <c r="P13" i="2"/>
  <c r="L13" i="2"/>
  <c r="O13" i="2"/>
  <c r="J13" i="2"/>
  <c r="B10" i="2"/>
  <c r="C10" i="2" s="1"/>
  <c r="J81" i="6" s="1"/>
  <c r="R10" i="2"/>
  <c r="H9" i="2"/>
  <c r="B9" i="2"/>
  <c r="E9" i="2"/>
  <c r="R8" i="2"/>
  <c r="U7" i="2"/>
  <c r="K24" i="5"/>
  <c r="D5" i="5"/>
  <c r="S10" i="2"/>
  <c r="E121" i="6" s="1"/>
  <c r="D77" i="2" l="1"/>
  <c r="J15" i="5" s="1"/>
  <c r="D75" i="2"/>
  <c r="D56" i="2"/>
  <c r="I11" i="5" s="1"/>
  <c r="D57" i="2"/>
  <c r="J11" i="5" s="1"/>
  <c r="D52" i="2"/>
  <c r="J10" i="5" s="1"/>
  <c r="D46" i="2"/>
  <c r="I9" i="5" s="1"/>
  <c r="D45" i="2"/>
  <c r="D44" i="2"/>
  <c r="G28" i="5" s="1"/>
  <c r="B9" i="5" s="1"/>
  <c r="D40" i="2"/>
  <c r="D41" i="2"/>
  <c r="I8" i="5" s="1"/>
  <c r="D34" i="2"/>
  <c r="G26" i="5" s="1"/>
  <c r="D31" i="2"/>
  <c r="I6" i="5" s="1"/>
  <c r="B11" i="2"/>
  <c r="B12" i="2" s="1"/>
  <c r="C12" i="2" s="1"/>
  <c r="R12" i="2"/>
  <c r="M13" i="2"/>
  <c r="N13" i="2" s="1"/>
  <c r="K13" i="2"/>
  <c r="R11" i="2"/>
  <c r="S11" i="2" s="1"/>
  <c r="D76" i="2"/>
  <c r="I15" i="5" s="1"/>
  <c r="D74" i="2"/>
  <c r="G34" i="5" s="1"/>
  <c r="B15" i="5" s="1"/>
  <c r="D71" i="2"/>
  <c r="I14" i="5" s="1"/>
  <c r="D70" i="2"/>
  <c r="D69" i="2"/>
  <c r="G33" i="5" s="1"/>
  <c r="B14" i="5" s="1"/>
  <c r="D72" i="2"/>
  <c r="J14" i="5" s="1"/>
  <c r="D65" i="2"/>
  <c r="T64" i="2"/>
  <c r="D64" i="2" s="1"/>
  <c r="G32" i="5" s="1"/>
  <c r="D66" i="2"/>
  <c r="I13" i="5" s="1"/>
  <c r="D67" i="2"/>
  <c r="J13" i="5" s="1"/>
  <c r="D59" i="2"/>
  <c r="G31" i="5" s="1"/>
  <c r="B12" i="5" s="1"/>
  <c r="D62" i="2"/>
  <c r="J12" i="5" s="1"/>
  <c r="D61" i="2"/>
  <c r="I12" i="5" s="1"/>
  <c r="D60" i="2"/>
  <c r="D55" i="2"/>
  <c r="Q54" i="2"/>
  <c r="D54" i="2" s="1"/>
  <c r="G30" i="5" s="1"/>
  <c r="B11" i="5" s="1"/>
  <c r="D50" i="2"/>
  <c r="D51" i="2"/>
  <c r="I10" i="5" s="1"/>
  <c r="T49" i="2"/>
  <c r="D49" i="2" s="1"/>
  <c r="G29" i="5" s="1"/>
  <c r="B10" i="5" s="1"/>
  <c r="D42" i="2"/>
  <c r="J8" i="5" s="1"/>
  <c r="D39" i="2"/>
  <c r="G27" i="5" s="1"/>
  <c r="B8" i="5" s="1"/>
  <c r="D37" i="2"/>
  <c r="J7" i="5" s="1"/>
  <c r="B7" i="5"/>
  <c r="K26" i="5"/>
  <c r="D7" i="5" s="1"/>
  <c r="J122" i="6" s="1"/>
  <c r="D35" i="2"/>
  <c r="D29" i="2"/>
  <c r="G25" i="5" s="1"/>
  <c r="B6" i="5" s="1"/>
  <c r="D32" i="2"/>
  <c r="J6" i="5" s="1"/>
  <c r="D30" i="2"/>
  <c r="E122" i="6"/>
  <c r="B34" i="2"/>
  <c r="S12" i="2"/>
  <c r="R13" i="2"/>
  <c r="B29" i="2"/>
  <c r="C11" i="2"/>
  <c r="J94" i="6"/>
  <c r="C10" i="5"/>
  <c r="C12" i="5"/>
  <c r="K28" i="5" l="1"/>
  <c r="D9" i="5" s="1"/>
  <c r="J124" i="6" s="1"/>
  <c r="B13" i="2"/>
  <c r="K34" i="5"/>
  <c r="D15" i="5" s="1"/>
  <c r="J130" i="6" s="1"/>
  <c r="K33" i="5"/>
  <c r="D14" i="5" s="1"/>
  <c r="J129" i="6" s="1"/>
  <c r="B13" i="5"/>
  <c r="H13" i="5" s="1"/>
  <c r="M13" i="5" s="1"/>
  <c r="K13" i="5" s="1"/>
  <c r="L13" i="5" s="1"/>
  <c r="O128" i="6" s="1"/>
  <c r="K32" i="5"/>
  <c r="D13" i="5" s="1"/>
  <c r="J128" i="6" s="1"/>
  <c r="K31" i="5"/>
  <c r="D12" i="5" s="1"/>
  <c r="J127" i="6" s="1"/>
  <c r="K30" i="5"/>
  <c r="D11" i="5" s="1"/>
  <c r="J126" i="6" s="1"/>
  <c r="K29" i="5"/>
  <c r="D10" i="5" s="1"/>
  <c r="J125" i="6" s="1"/>
  <c r="H8" i="5"/>
  <c r="M8" i="5" s="1"/>
  <c r="K8" i="5" s="1"/>
  <c r="L8" i="5" s="1"/>
  <c r="O123" i="6" s="1"/>
  <c r="K27" i="5"/>
  <c r="D8" i="5" s="1"/>
  <c r="J123" i="6" s="1"/>
  <c r="K25" i="5"/>
  <c r="D6" i="5" s="1"/>
  <c r="J121" i="6" s="1"/>
  <c r="S13" i="2"/>
  <c r="R14" i="2"/>
  <c r="E123" i="6"/>
  <c r="B39" i="2"/>
  <c r="B14" i="2"/>
  <c r="C14" i="2" s="1"/>
  <c r="C13" i="2"/>
  <c r="H9" i="5"/>
  <c r="M9" i="5" s="1"/>
  <c r="K9" i="5" s="1"/>
  <c r="L9" i="5" s="1"/>
  <c r="O124" i="6" s="1"/>
  <c r="H11" i="5"/>
  <c r="M11" i="5" s="1"/>
  <c r="K11" i="5" s="1"/>
  <c r="L11" i="5" s="1"/>
  <c r="O126" i="6" s="1"/>
  <c r="H14" i="5"/>
  <c r="M14" i="5" s="1"/>
  <c r="K14" i="5" s="1"/>
  <c r="L14" i="5" s="1"/>
  <c r="O129" i="6" s="1"/>
  <c r="H10" i="5"/>
  <c r="M10" i="5" s="1"/>
  <c r="K10" i="5" s="1"/>
  <c r="L10" i="5" s="1"/>
  <c r="O125" i="6" s="1"/>
  <c r="H12" i="5"/>
  <c r="M12" i="5" s="1"/>
  <c r="K12" i="5" s="1"/>
  <c r="L12" i="5" s="1"/>
  <c r="O127" i="6" s="1"/>
  <c r="H6" i="5"/>
  <c r="M6" i="5" s="1"/>
  <c r="K6" i="5" s="1"/>
  <c r="L6" i="5" s="1"/>
  <c r="N6" i="5" s="1"/>
  <c r="L121" i="6" s="1"/>
  <c r="H5" i="5"/>
  <c r="M5" i="5" s="1"/>
  <c r="K5" i="5" s="1"/>
  <c r="L5" i="5" s="1"/>
  <c r="O120" i="6" s="1"/>
  <c r="H7" i="5"/>
  <c r="M7" i="5" s="1"/>
  <c r="K7" i="5" s="1"/>
  <c r="L7" i="5" s="1"/>
  <c r="O122" i="6" s="1"/>
  <c r="H15" i="5"/>
  <c r="M15" i="5" s="1"/>
  <c r="N8" i="5" l="1"/>
  <c r="L123" i="6" s="1"/>
  <c r="S14" i="2"/>
  <c r="R15" i="2"/>
  <c r="E124" i="6"/>
  <c r="B44" i="2"/>
  <c r="N12" i="5"/>
  <c r="L127" i="6" s="1"/>
  <c r="N11" i="5"/>
  <c r="L126" i="6" s="1"/>
  <c r="N5" i="5"/>
  <c r="L120" i="6" s="1"/>
  <c r="N14" i="5"/>
  <c r="L129" i="6" s="1"/>
  <c r="N10" i="5"/>
  <c r="L125" i="6" s="1"/>
  <c r="N9" i="5"/>
  <c r="L124" i="6" s="1"/>
  <c r="O121" i="6"/>
  <c r="K15" i="5"/>
  <c r="L15" i="5" s="1"/>
  <c r="O130" i="6" s="1"/>
  <c r="N7" i="5"/>
  <c r="L122" i="6" s="1"/>
  <c r="N13" i="5"/>
  <c r="L128" i="6" s="1"/>
  <c r="R16" i="2" l="1"/>
  <c r="S15" i="2"/>
  <c r="E125" i="6"/>
  <c r="B49" i="2"/>
  <c r="N15" i="5"/>
  <c r="L130" i="6" s="1"/>
  <c r="E126" i="6" l="1"/>
  <c r="B54" i="2"/>
  <c r="S16" i="2"/>
  <c r="R17" i="2"/>
  <c r="S17" i="2" l="1"/>
  <c r="R18" i="2"/>
  <c r="E127" i="6"/>
  <c r="B59" i="2"/>
  <c r="E128" i="6" l="1"/>
  <c r="B64" i="2"/>
  <c r="R19" i="2"/>
  <c r="S19" i="2" s="1"/>
  <c r="S18" i="2"/>
  <c r="E130" i="6" l="1"/>
  <c r="B74" i="2"/>
  <c r="E129" i="6"/>
  <c r="B69" i="2"/>
</calcChain>
</file>

<file path=xl/sharedStrings.xml><?xml version="1.0" encoding="utf-8"?>
<sst xmlns="http://schemas.openxmlformats.org/spreadsheetml/2006/main" count="764" uniqueCount="311">
  <si>
    <t>Nit:</t>
  </si>
  <si>
    <t>Marca:</t>
  </si>
  <si>
    <t>Modelo:</t>
  </si>
  <si>
    <t>Dirección:</t>
  </si>
  <si>
    <t>Serie:</t>
  </si>
  <si>
    <t>Ciudad:</t>
  </si>
  <si>
    <t>kg</t>
  </si>
  <si>
    <t>Temperatura mínima:</t>
  </si>
  <si>
    <t>Temperatura máxima:</t>
  </si>
  <si>
    <t>Telefono:</t>
  </si>
  <si>
    <t>Solicitante:</t>
  </si>
  <si>
    <t>Datos del cliente</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</si>
  <si>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</si>
  <si>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</si>
  <si>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</si>
  <si>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</si>
  <si>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</si>
  <si>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</si>
  <si>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</si>
  <si>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</si>
  <si>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</si>
  <si>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Suministrados por el cliente:</t>
  </si>
  <si>
    <t>Datos de calibración:</t>
  </si>
  <si>
    <t>El intervalo de calibración fue de:</t>
  </si>
  <si>
    <t>La resolución del instrumento es:</t>
  </si>
  <si>
    <t xml:space="preserve">Comentarios: </t>
  </si>
  <si>
    <t>Carga:</t>
  </si>
  <si>
    <t>Repetición</t>
  </si>
  <si>
    <t>Posición</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</si>
  <si>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</si>
  <si>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</si>
  <si>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</si>
  <si>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</si>
  <si>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</si>
  <si>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</si>
  <si>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</si>
  <si>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</si>
  <si>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</si>
  <si>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</si>
  <si>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</si>
  <si>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</si>
  <si>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</si>
  <si>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</si>
  <si>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</si>
  <si>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</si>
  <si>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</si>
  <si>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</si>
  <si>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</si>
  <si>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</si>
  <si>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</si>
  <si>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</si>
  <si>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</si>
  <si>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</si>
  <si>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5 kg 001</t>
  </si>
  <si>
    <t>5 kg 002</t>
  </si>
  <si>
    <t>10 kg 001D</t>
  </si>
  <si>
    <t>10 kg 001C</t>
  </si>
  <si>
    <t>20 kg 001D</t>
  </si>
  <si>
    <t>20 kg 002D</t>
  </si>
  <si>
    <t>20 kg 003D</t>
  </si>
  <si>
    <t>20 kg 006</t>
  </si>
  <si>
    <t>20 kg 005</t>
  </si>
  <si>
    <t>20 kg 004</t>
  </si>
  <si>
    <t>20 kg 003C</t>
  </si>
  <si>
    <t>20 kg 001C</t>
  </si>
  <si>
    <t>20 kg 002C</t>
  </si>
  <si>
    <t>PLACA</t>
  </si>
  <si>
    <t>EQUIPO</t>
  </si>
  <si>
    <t>MARCA</t>
  </si>
  <si>
    <t>MODELO</t>
  </si>
  <si>
    <t>SERIE</t>
  </si>
  <si>
    <t xml:space="preserve">FECHA CALIBRACIÓN </t>
  </si>
  <si>
    <t>CERTIFICADO</t>
  </si>
  <si>
    <t>ERROR (g)</t>
  </si>
  <si>
    <t>EMP (g)</t>
  </si>
  <si>
    <t xml:space="preserve">CLASE </t>
  </si>
  <si>
    <t>INCERT(g)</t>
  </si>
  <si>
    <t>000065</t>
  </si>
  <si>
    <t>MASA PATRÓN 5 kg 001</t>
  </si>
  <si>
    <t>CONAMET</t>
  </si>
  <si>
    <t>PARALELEPIPEDO</t>
  </si>
  <si>
    <t>001</t>
  </si>
  <si>
    <t>CAP-387-20</t>
  </si>
  <si>
    <t>M1</t>
  </si>
  <si>
    <t>Conformidad</t>
  </si>
  <si>
    <t>Si</t>
  </si>
  <si>
    <t>Buen estado</t>
  </si>
  <si>
    <t>000066</t>
  </si>
  <si>
    <t>MASA PATRÓN 5 kg 002</t>
  </si>
  <si>
    <t>002</t>
  </si>
  <si>
    <t>CAP-386-20</t>
  </si>
  <si>
    <t>No</t>
  </si>
  <si>
    <t>Mal estado</t>
  </si>
  <si>
    <t>000036</t>
  </si>
  <si>
    <t>MASA PATRÓN 10 kg 001D</t>
  </si>
  <si>
    <t>DETECTO</t>
  </si>
  <si>
    <t>001D</t>
  </si>
  <si>
    <t>CAP-385-20</t>
  </si>
  <si>
    <t>000064</t>
  </si>
  <si>
    <t>MASA PATRÓN 10 kg 001C</t>
  </si>
  <si>
    <t>001C</t>
  </si>
  <si>
    <t>CAP-384-20</t>
  </si>
  <si>
    <t>000033</t>
  </si>
  <si>
    <t>MASA PATRÓN 20 kg 001D</t>
  </si>
  <si>
    <t>CAP-375-20</t>
  </si>
  <si>
    <t>000034</t>
  </si>
  <si>
    <t>MASA PATRÓN 20 kg 002D</t>
  </si>
  <si>
    <t>002D</t>
  </si>
  <si>
    <t>CAP-383-20</t>
  </si>
  <si>
    <t>000035</t>
  </si>
  <si>
    <t>MASA PATRÓN 20 kg 003D</t>
  </si>
  <si>
    <t>003D</t>
  </si>
  <si>
    <t>CAP-379-20</t>
  </si>
  <si>
    <t>000063</t>
  </si>
  <si>
    <t>MASA PATRÓN 20 kg 006</t>
  </si>
  <si>
    <t>006</t>
  </si>
  <si>
    <t>CAP-376-20</t>
  </si>
  <si>
    <t>000062</t>
  </si>
  <si>
    <t>MASA PATRÓN 20 kg 005</t>
  </si>
  <si>
    <t>005</t>
  </si>
  <si>
    <t>CAP-381-20</t>
  </si>
  <si>
    <t>000061</t>
  </si>
  <si>
    <t>MASA PATRÓN 20 kg 004</t>
  </si>
  <si>
    <t>004</t>
  </si>
  <si>
    <t>CAP-382-20</t>
  </si>
  <si>
    <t>000060</t>
  </si>
  <si>
    <t>MASA PATRÓN 20 kg 003C</t>
  </si>
  <si>
    <t>003C</t>
  </si>
  <si>
    <t>CAP-380-20</t>
  </si>
  <si>
    <t>000058</t>
  </si>
  <si>
    <t>MASA PATRÓN 20 kg 001C</t>
  </si>
  <si>
    <t>CAP-378-20</t>
  </si>
  <si>
    <t>000059</t>
  </si>
  <si>
    <t>MASA PATRÓN 20 kg 002C</t>
  </si>
  <si>
    <t>002C</t>
  </si>
  <si>
    <t>CAP-377-20</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</si>
  <si>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</si>
  <si>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</si>
  <si>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</si>
  <si>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</si>
  <si>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</si>
  <si>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</si>
  <si>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</si>
  <si>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</si>
  <si>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</si>
  <si>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</si>
  <si>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</si>
  <si>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</si>
  <si>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Conamet</t>
  </si>
  <si>
    <t>Paralelepípedo</t>
  </si>
  <si>
    <t>001 - 002</t>
  </si>
  <si>
    <t>CAP386-20 - CAP387-20</t>
  </si>
  <si>
    <t>EQUIPO PATRÓN 3</t>
  </si>
  <si>
    <t>Masa de 10 kg</t>
  </si>
  <si>
    <t>Detecto-Conamet</t>
  </si>
  <si>
    <t>001D 001C</t>
  </si>
  <si>
    <t>CAP-385-20 - CAP 384-20</t>
  </si>
  <si>
    <t>EQUIPO PATRÓN 4</t>
  </si>
  <si>
    <t>Masa de 20 kg</t>
  </si>
  <si>
    <t>Detecto - Conamet</t>
  </si>
  <si>
    <t xml:space="preserve">001D 002D 003 D 001C 002C 003C 004C 005C 006C </t>
  </si>
  <si>
    <t>CAP375-383-379-376-381-382-380-378-377-20</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</si>
  <si>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</si>
  <si>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</si>
  <si>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</si>
  <si>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</si>
  <si>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</si>
  <si>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</si>
  <si>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</si>
  <si>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</si>
  <si>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</si>
  <si>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</si>
  <si>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</si>
  <si>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</si>
  <si>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</si>
  <si>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</si>
  <si>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</si>
  <si>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</si>
  <si>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1 g</t>
  </si>
  <si>
    <t>2 g</t>
  </si>
  <si>
    <t>2 g punto</t>
  </si>
  <si>
    <t>5 g</t>
  </si>
  <si>
    <t>10 g</t>
  </si>
  <si>
    <t>20 g</t>
  </si>
  <si>
    <t>20 g punto</t>
  </si>
  <si>
    <t>50 g</t>
  </si>
  <si>
    <t>100 g</t>
  </si>
  <si>
    <t>200 g</t>
  </si>
  <si>
    <t>200 g punto</t>
  </si>
  <si>
    <t>500 g</t>
  </si>
  <si>
    <t xml:space="preserve">1000 g </t>
  </si>
  <si>
    <t>1000g *</t>
  </si>
  <si>
    <t>2000 g</t>
  </si>
  <si>
    <t xml:space="preserve">MASA  1 g </t>
  </si>
  <si>
    <t>CILÍNDRICAS</t>
  </si>
  <si>
    <t>MASA 2 g</t>
  </si>
  <si>
    <t>MASA 2 g punto</t>
  </si>
  <si>
    <t>2 PUNTO</t>
  </si>
  <si>
    <t>MASA 5 g</t>
  </si>
  <si>
    <t>MASA 10 g</t>
  </si>
  <si>
    <t>MASA 20 g</t>
  </si>
  <si>
    <t>MASA 20 g punto</t>
  </si>
  <si>
    <t>20 PUNTO</t>
  </si>
  <si>
    <t>MASA 50 g</t>
  </si>
  <si>
    <t>MASA 100 g</t>
  </si>
  <si>
    <t>MASA 200 g</t>
  </si>
  <si>
    <t>MASA 200 g punto</t>
  </si>
  <si>
    <t>200 PUNTO</t>
  </si>
  <si>
    <t>MASA 500 g</t>
  </si>
  <si>
    <t>MASA 1000 g</t>
  </si>
  <si>
    <t>g</t>
  </si>
  <si>
    <t>Indicación
g</t>
  </si>
  <si>
    <t>Desviación estandar
g</t>
  </si>
  <si>
    <t>Desviación
g</t>
  </si>
  <si>
    <t>YANTAI JIA JIA</t>
  </si>
  <si>
    <t xml:space="preserve">MASA 2000 g </t>
  </si>
  <si>
    <t>MASA 2000 g *</t>
  </si>
  <si>
    <t xml:space="preserve">MASA 5000 g </t>
  </si>
  <si>
    <t>2 punto</t>
  </si>
  <si>
    <t>CAP-184-21</t>
  </si>
  <si>
    <t>8. INFORMACIÓN ADICIONAL</t>
  </si>
  <si>
    <t>Error de indicación</t>
  </si>
  <si>
    <t>Prueba de excentricidad</t>
  </si>
  <si>
    <t>Prueba de repetibilidad</t>
  </si>
  <si>
    <t>7. RESULTADOS DE LA CALIBRACIÓN</t>
  </si>
  <si>
    <t>CALIBRACIÓN</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</si>
  <si>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</si>
  <si>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</si>
  <si>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</si>
  <si>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</si>
  <si>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</si>
  <si>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</si>
  <si>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</si>
  <si>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</si>
  <si>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</si>
  <si>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</si>
  <si>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</si>
  <si>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</si>
  <si>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</si>
  <si>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</si>
  <si>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</si>
  <si>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</si>
  <si>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</si>
  <si>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</si>
  <si>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</si>
  <si>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</si>
  <si>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</si>
  <si>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</si>
  <si>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</si>
  <si>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</si>
  <si>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</si>
  <si>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</si>
  <si>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</si>
  <si>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</si>
  <si>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</si>
  <si>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En sitio ( instalaciones del cliente)</t>
  </si>
  <si>
    <t>En sitio (instalaciones del cliente)</t>
  </si>
  <si>
    <t>Laboratorio BTMC</t>
  </si>
  <si>
    <t>BUEN ESTADO</t>
  </si>
  <si>
    <t>REGULAR ESTADO</t>
  </si>
  <si>
    <t>MAL ESTADO</t>
  </si>
  <si>
    <t>g= gramos</t>
  </si>
  <si>
    <t>Indicación                   g</t>
  </si>
  <si>
    <t>Carga                g</t>
  </si>
  <si>
    <r>
      <t xml:space="preserve">Incertidumbre Expandida                     </t>
    </r>
    <r>
      <rPr>
        <b/>
        <sz val="9"/>
        <color theme="1"/>
        <rFont val="Calibri"/>
        <family val="2"/>
      </rPr>
      <t>± g</t>
    </r>
  </si>
  <si>
    <t>Intrumento</t>
  </si>
  <si>
    <t>Marca</t>
  </si>
  <si>
    <t>Modelo</t>
  </si>
  <si>
    <t>Serie</t>
  </si>
  <si>
    <t>Ubicación</t>
  </si>
  <si>
    <t>Inventario</t>
  </si>
  <si>
    <t>Número de Certificado</t>
  </si>
  <si>
    <t>Fecha de Recepción</t>
  </si>
  <si>
    <t xml:space="preserve">BASCULA DE PISO </t>
  </si>
  <si>
    <t xml:space="preserve">HEALTH O METER </t>
  </si>
  <si>
    <t>844KL</t>
  </si>
  <si>
    <t>UNIDAD MATERNA</t>
  </si>
  <si>
    <t>1204002438</t>
  </si>
  <si>
    <t>JD1741-24</t>
  </si>
  <si>
    <t xml:space="preserve">HOSPITAL DE ALTA COMPLEJIDAD DEL MAGDALENA CENTRO </t>
  </si>
  <si>
    <t>Estado Físico:</t>
  </si>
  <si>
    <t>901.532.463-8</t>
  </si>
  <si>
    <t>CARRERA 15 ENTRE CALLE 18 y 19</t>
  </si>
  <si>
    <t>LA DORADA - CALDAS</t>
  </si>
  <si>
    <t>ING. GABRIEL DURÁN</t>
  </si>
  <si>
    <t>01-02</t>
  </si>
  <si>
    <t>01-02-03-04-05-06</t>
  </si>
  <si>
    <t>No registra</t>
  </si>
  <si>
    <t>0 g a 25000 g</t>
  </si>
  <si>
    <t>Masa de 5 Kg</t>
  </si>
  <si>
    <t>Masa de 10 Kg</t>
  </si>
  <si>
    <t>CBC-0547-004-25                    CBC-0567-003-25
CBC-0007-003-26</t>
  </si>
  <si>
    <t>Masa de 20 Kg</t>
  </si>
  <si>
    <t>2026-01-05                         2025-12-29</t>
  </si>
  <si>
    <t xml:space="preserve">CBC-0547-001-25                      CBC-0547-002-25                          CBC-0547-003-25                   CBC-0567-001-25                              CBC-0567-002-25                         CBC-0567-003-25                                     </t>
  </si>
  <si>
    <t>CBC-0007-001-26</t>
  </si>
  <si>
    <t xml:space="preserve"> CBC-0007-002-26</t>
  </si>
  <si>
    <t>CBC-0007-004-26</t>
  </si>
  <si>
    <t>10 KG SB 01 - 10 KG SB 02 - SB 10KG 01 - M1 10 KG 02 - SB 10 KG 03</t>
  </si>
  <si>
    <t>Error                  g</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</si>
  <si>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</si>
  <si>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</si>
  <si>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</si>
  <si>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</si>
  <si>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Básculas BTM-P-001.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</si>
  <si>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</si>
  <si>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xml:space="preserve">2026-01-05                          2026-01-19
2025-12-29 </t>
  </si>
  <si>
    <t>Juego de Pesas (1 mg  a 500 g)</t>
  </si>
  <si>
    <t>Juego de Pesas (1 kg  a 5 kg)</t>
  </si>
  <si>
    <t>Desviación máxima
g</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</si>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</sst>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
    <numFmt numFmtId="166" formatCode="&quot;+/-&quot;\ 0\ &quot;mg&quot;"/>
    <numFmt numFmtId="167" formatCode="0.000000"/>
    <numFmt numFmtId="168" formatCode="yyyy\-mm\-dd;@"/>
    <numFmt numFmtId="169" formatCode="0.0000"/>
    <numFmt numFmtId="170" formatCode="0.00000"/>
    <numFmt numFmtId="171" formatCode="0.000000\ &quot;g&quot;"/>
    <numFmt numFmtId="172" formatCode="0.00000\ &quot;g&quot;"/>
    <numFmt numFmtId="173" formatCode="0.0000\ &quot;g&quot;"/>
    <numFmt numFmtId="174" formatCode="0.000\ &quot;g&quot;"/>
    <numFmt numFmtId="175" formatCode="0.00\ &quot;g&quot;"/>
    <numFmt numFmtId="176" formatCode="0.00\ &quot;kg&quot;"/>
  </numFmts>
  <fonts count="34"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b/>
      <sz val="8"/>
      <color theme="1"/>
      <name val="Calibri"/>
      <family val="2"/>
      <scheme val="minor"/>
    </font>
    <font>
      <sz val="8"/>
      <name val="Calibri"/>
      <family val="2"/>
      <scheme val="minor"/>
    </font>
    <font>
      <b/>
      <sz val="9"/>
      <color theme="1"/>
      <name val="Calibri"/>
      <family val="2"/>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11"/>
      <color theme="1"/>
      <name val="Calibri"/>
      <family val="2"/>
    </font>
  </fonts>
  <fills count="12">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bgColor rgb="FF11E987"/>
      </patternFill>
    </fill>
  </fills>
  <borders count="13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style="hair">
        <color indexed="64"/>
      </left>
      <right style="dotted">
        <color indexed="64"/>
      </right>
      <top style="thin">
        <color indexed="64"/>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indexed="64"/>
      </left>
      <right style="dotted">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hair">
        <color indexed="64"/>
      </left>
      <right style="dotted">
        <color indexed="64"/>
      </right>
      <top style="hair">
        <color indexed="64"/>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style="hair">
        <color indexed="64"/>
      </left>
      <right/>
      <top/>
      <bottom/>
      <diagonal/>
    </border>
    <border>
      <left style="hair">
        <color indexed="64"/>
      </left>
      <right style="thin">
        <color indexed="64"/>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double">
        <color indexed="64"/>
      </right>
      <top style="hair">
        <color indexed="64"/>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style="hair">
        <color indexed="64"/>
      </left>
      <right style="dotted">
        <color indexed="64"/>
      </right>
      <top/>
      <bottom style="hair">
        <color indexed="64"/>
      </bottom>
      <diagonal/>
    </border>
    <border>
      <left style="dotted">
        <color indexed="64"/>
      </left>
      <right style="dotted">
        <color indexed="64"/>
      </right>
      <top/>
      <bottom style="hair">
        <color indexed="64"/>
      </bottom>
      <diagonal/>
    </border>
    <border>
      <left style="dotted">
        <color indexed="64"/>
      </left>
      <right style="hair">
        <color indexed="64"/>
      </right>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hair">
        <color indexed="64"/>
      </left>
      <right/>
      <top style="hair">
        <color indexed="64"/>
      </top>
      <bottom style="double">
        <color theme="1"/>
      </bottom>
      <diagonal/>
    </border>
    <border>
      <left/>
      <right/>
      <top style="hair">
        <color indexed="64"/>
      </top>
      <bottom style="double">
        <color theme="1"/>
      </bottom>
      <diagonal/>
    </border>
    <border>
      <left/>
      <right style="double">
        <color indexed="64"/>
      </right>
      <top style="hair">
        <color indexed="64"/>
      </top>
      <bottom style="double">
        <color theme="1"/>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rgb="FF92D050"/>
      </right>
      <top style="thin">
        <color rgb="FF92D050"/>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style="thin">
        <color rgb="FF92D050"/>
      </right>
      <top/>
      <bottom/>
      <diagonal/>
    </border>
    <border>
      <left/>
      <right/>
      <top style="thin">
        <color rgb="FF6EA92D"/>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79">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5" fontId="9" fillId="4" borderId="52" xfId="0" applyNumberFormat="1" applyFont="1" applyFill="1" applyBorder="1" applyAlignment="1">
      <alignment vertical="center"/>
    </xf>
    <xf numFmtId="0" fontId="0" fillId="0" borderId="57" xfId="0" applyBorder="1" applyAlignment="1" applyProtection="1">
      <alignment horizontal="center"/>
      <protection locked="0"/>
    </xf>
    <xf numFmtId="0" fontId="10" fillId="0" borderId="58" xfId="0" applyFont="1" applyBorder="1" applyAlignment="1">
      <alignment horizontal="left" vertical="center"/>
    </xf>
    <xf numFmtId="0" fontId="10" fillId="0" borderId="59" xfId="0" applyFont="1" applyBorder="1" applyAlignment="1">
      <alignment vertical="center"/>
    </xf>
    <xf numFmtId="0" fontId="10" fillId="0" borderId="60" xfId="0" applyFont="1" applyBorder="1" applyAlignment="1">
      <alignment horizontal="right" vertical="center"/>
    </xf>
    <xf numFmtId="165" fontId="9" fillId="4" borderId="64" xfId="0" applyNumberFormat="1" applyFont="1" applyFill="1" applyBorder="1" applyAlignment="1">
      <alignment vertical="center"/>
    </xf>
    <xf numFmtId="0" fontId="0" fillId="0" borderId="68" xfId="0" applyBorder="1" applyAlignment="1" applyProtection="1">
      <alignment horizontal="center"/>
      <protection locked="0"/>
    </xf>
    <xf numFmtId="165" fontId="9" fillId="4" borderId="75" xfId="0" applyNumberFormat="1" applyFont="1" applyFill="1" applyBorder="1" applyAlignment="1">
      <alignment vertical="center"/>
    </xf>
    <xf numFmtId="0" fontId="0" fillId="0" borderId="79" xfId="0" applyBorder="1" applyAlignment="1" applyProtection="1">
      <alignment horizontal="center"/>
      <protection locked="0"/>
    </xf>
    <xf numFmtId="165" fontId="9" fillId="4" borderId="83" xfId="0" applyNumberFormat="1" applyFont="1" applyFill="1" applyBorder="1" applyAlignment="1">
      <alignment vertical="center"/>
    </xf>
    <xf numFmtId="0" fontId="0" fillId="0" borderId="84" xfId="0" applyBorder="1" applyAlignment="1" applyProtection="1">
      <alignment horizontal="center"/>
      <protection locked="0"/>
    </xf>
    <xf numFmtId="165" fontId="9" fillId="4" borderId="85" xfId="0" applyNumberFormat="1" applyFont="1" applyFill="1" applyBorder="1" applyAlignment="1">
      <alignment vertical="center"/>
    </xf>
    <xf numFmtId="164" fontId="10" fillId="4" borderId="30" xfId="0" applyNumberFormat="1" applyFont="1" applyFill="1" applyBorder="1" applyAlignment="1">
      <alignment horizontal="center" vertical="center"/>
    </xf>
    <xf numFmtId="0" fontId="6" fillId="4" borderId="35" xfId="0" applyFont="1" applyFill="1" applyBorder="1" applyAlignment="1">
      <alignment horizontal="center" vertical="center" wrapText="1"/>
    </xf>
    <xf numFmtId="165"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6" xfId="0" applyFont="1" applyFill="1" applyBorder="1" applyAlignment="1">
      <alignment horizontal="center" vertical="center"/>
    </xf>
    <xf numFmtId="165" fontId="9" fillId="4" borderId="87" xfId="0" applyNumberFormat="1" applyFont="1" applyFill="1" applyBorder="1" applyAlignment="1">
      <alignment vertical="center"/>
    </xf>
    <xf numFmtId="0" fontId="0" fillId="0" borderId="63" xfId="0" applyBorder="1" applyAlignment="1" applyProtection="1">
      <alignment horizontal="center"/>
      <protection locked="0"/>
    </xf>
    <xf numFmtId="0" fontId="9" fillId="0" borderId="84"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79"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6" fontId="0" fillId="0" borderId="0" xfId="0" applyNumberFormat="1"/>
    <xf numFmtId="0" fontId="15" fillId="3" borderId="0" xfId="0" applyFont="1" applyFill="1" applyAlignment="1">
      <alignment horizontal="center" vertical="center"/>
    </xf>
    <xf numFmtId="167" fontId="16" fillId="3" borderId="0" xfId="0" applyNumberFormat="1" applyFont="1" applyFill="1" applyAlignment="1">
      <alignment horizontal="center" vertical="center"/>
    </xf>
    <xf numFmtId="0" fontId="0" fillId="3" borderId="0" xfId="0" applyFill="1"/>
    <xf numFmtId="164" fontId="10" fillId="0" borderId="0" xfId="0" applyNumberFormat="1" applyFont="1" applyAlignment="1" applyProtection="1">
      <alignment vertical="center"/>
      <protection locked="0"/>
    </xf>
    <xf numFmtId="165" fontId="9" fillId="4" borderId="104" xfId="0" applyNumberFormat="1" applyFont="1" applyFill="1" applyBorder="1" applyAlignment="1">
      <alignment horizontal="center" vertical="center"/>
    </xf>
    <xf numFmtId="165" fontId="6" fillId="4" borderId="110" xfId="0" applyNumberFormat="1" applyFont="1" applyFill="1" applyBorder="1" applyAlignment="1">
      <alignment horizontal="center" vertical="center" wrapText="1"/>
    </xf>
    <xf numFmtId="165" fontId="9" fillId="4" borderId="109" xfId="0" applyNumberFormat="1" applyFont="1" applyFill="1" applyBorder="1" applyAlignment="1">
      <alignment horizontal="center" vertical="center"/>
    </xf>
    <xf numFmtId="165" fontId="9" fillId="4" borderId="111" xfId="0" applyNumberFormat="1" applyFont="1" applyFill="1" applyBorder="1" applyAlignment="1">
      <alignment horizontal="center" vertical="center"/>
    </xf>
    <xf numFmtId="49" fontId="4" fillId="0" borderId="0" xfId="0" applyNumberFormat="1" applyFont="1" applyAlignment="1">
      <alignment horizontal="center"/>
    </xf>
    <xf numFmtId="168" fontId="4" fillId="0" borderId="0" xfId="0" applyNumberFormat="1" applyFont="1" applyAlignment="1">
      <alignment horizontal="center"/>
    </xf>
    <xf numFmtId="0" fontId="0" fillId="6"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68"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9" borderId="113" xfId="0" applyFont="1" applyFill="1" applyBorder="1" applyAlignment="1">
      <alignment horizontal="center" vertical="center"/>
    </xf>
    <xf numFmtId="0" fontId="20" fillId="9" borderId="113" xfId="0" applyFont="1" applyFill="1" applyBorder="1" applyAlignment="1">
      <alignment horizontal="center" vertical="center" wrapText="1"/>
    </xf>
    <xf numFmtId="1" fontId="21" fillId="0" borderId="114" xfId="0" applyNumberFormat="1" applyFont="1" applyBorder="1" applyAlignment="1">
      <alignment horizontal="center" vertical="center"/>
    </xf>
    <xf numFmtId="169" fontId="21" fillId="0" borderId="114" xfId="0" applyNumberFormat="1" applyFont="1" applyBorder="1" applyAlignment="1">
      <alignment horizontal="center" vertical="center"/>
    </xf>
    <xf numFmtId="2" fontId="21" fillId="0" borderId="114" xfId="0" applyNumberFormat="1" applyFont="1" applyBorder="1" applyAlignment="1">
      <alignment horizontal="center" vertical="center"/>
    </xf>
    <xf numFmtId="170" fontId="21" fillId="0" borderId="114" xfId="0" applyNumberFormat="1" applyFont="1" applyBorder="1" applyAlignment="1">
      <alignment horizontal="center" vertical="center"/>
    </xf>
    <xf numFmtId="167" fontId="21" fillId="0" borderId="114" xfId="0" applyNumberFormat="1" applyFont="1" applyBorder="1" applyAlignment="1">
      <alignment horizontal="center" vertical="center"/>
    </xf>
    <xf numFmtId="1" fontId="0" fillId="0" borderId="114" xfId="0" applyNumberFormat="1" applyBorder="1" applyAlignment="1">
      <alignment horizontal="center"/>
    </xf>
    <xf numFmtId="164" fontId="0" fillId="0" borderId="114" xfId="0" applyNumberFormat="1" applyBorder="1" applyAlignment="1">
      <alignment horizontal="center"/>
    </xf>
    <xf numFmtId="0" fontId="9" fillId="10" borderId="0" xfId="0" applyFont="1" applyFill="1" applyAlignment="1">
      <alignment vertical="center"/>
    </xf>
    <xf numFmtId="2" fontId="21" fillId="0" borderId="121"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0" fillId="5" borderId="0" xfId="0" applyFill="1"/>
    <xf numFmtId="167" fontId="13" fillId="5" borderId="0" xfId="0" applyNumberFormat="1" applyFont="1" applyFill="1" applyAlignment="1">
      <alignment horizontal="center" vertical="center"/>
    </xf>
    <xf numFmtId="0" fontId="14" fillId="5" borderId="0" xfId="0" applyFont="1" applyFill="1" applyAlignment="1">
      <alignment vertical="center"/>
    </xf>
    <xf numFmtId="167" fontId="14" fillId="5" borderId="0" xfId="0" applyNumberFormat="1" applyFont="1" applyFill="1" applyAlignment="1">
      <alignment vertical="center"/>
    </xf>
    <xf numFmtId="0" fontId="14" fillId="5" borderId="0" xfId="0" applyFont="1" applyFill="1"/>
    <xf numFmtId="167" fontId="17" fillId="5" borderId="0" xfId="0" applyNumberFormat="1" applyFont="1" applyFill="1" applyAlignment="1">
      <alignment horizontal="center" vertical="center"/>
    </xf>
    <xf numFmtId="167" fontId="22" fillId="5" borderId="0" xfId="0" applyNumberFormat="1" applyFont="1" applyFill="1" applyAlignment="1">
      <alignment horizontal="center" vertical="center"/>
    </xf>
    <xf numFmtId="0" fontId="17" fillId="5" borderId="0" xfId="0" applyFont="1" applyFill="1" applyAlignment="1">
      <alignment horizontal="center" vertical="center"/>
    </xf>
    <xf numFmtId="0" fontId="17" fillId="5" borderId="0" xfId="0" applyFont="1" applyFill="1" applyAlignment="1">
      <alignment horizontal="center"/>
    </xf>
    <xf numFmtId="0" fontId="17" fillId="5" borderId="0" xfId="0" applyFont="1" applyFill="1" applyAlignment="1">
      <alignment vertical="center"/>
    </xf>
    <xf numFmtId="0" fontId="18" fillId="5" borderId="0" xfId="0" applyFont="1" applyFill="1" applyAlignment="1" applyProtection="1">
      <alignment horizontal="center"/>
      <protection locked="0"/>
    </xf>
    <xf numFmtId="171" fontId="8" fillId="5" borderId="0" xfId="0" applyNumberFormat="1" applyFont="1" applyFill="1" applyAlignment="1">
      <alignment horizontal="center"/>
    </xf>
    <xf numFmtId="172" fontId="8" fillId="5" borderId="0" xfId="0" applyNumberFormat="1" applyFont="1" applyFill="1" applyAlignment="1">
      <alignment horizontal="center"/>
    </xf>
    <xf numFmtId="173" fontId="8" fillId="5" borderId="0" xfId="0" applyNumberFormat="1" applyFont="1" applyFill="1" applyAlignment="1">
      <alignment horizontal="center"/>
    </xf>
    <xf numFmtId="174" fontId="8" fillId="5" borderId="0" xfId="0" applyNumberFormat="1" applyFont="1" applyFill="1" applyAlignment="1">
      <alignment horizontal="center"/>
    </xf>
    <xf numFmtId="175" fontId="8" fillId="5" borderId="0" xfId="0" applyNumberFormat="1" applyFont="1" applyFill="1" applyAlignment="1">
      <alignment horizontal="center"/>
    </xf>
    <xf numFmtId="174" fontId="0" fillId="3" borderId="0" xfId="0" applyNumberFormat="1" applyFill="1"/>
    <xf numFmtId="169" fontId="4" fillId="0" borderId="0" xfId="0" applyNumberFormat="1" applyFont="1" applyAlignment="1">
      <alignment horizont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vertical="center" wrapText="1"/>
    </xf>
    <xf numFmtId="164" fontId="4" fillId="0" borderId="0" xfId="0" applyNumberFormat="1" applyFont="1" applyAlignment="1">
      <alignment horizontal="center"/>
    </xf>
    <xf numFmtId="0" fontId="2" fillId="0" borderId="0" xfId="0" applyFont="1" applyAlignment="1">
      <alignment horizontal="left"/>
    </xf>
    <xf numFmtId="2" fontId="4" fillId="0" borderId="0" xfId="0" applyNumberFormat="1" applyFont="1" applyAlignment="1">
      <alignment horizontal="center"/>
    </xf>
    <xf numFmtId="0" fontId="2" fillId="0" borderId="0" xfId="0" applyFont="1" applyAlignment="1">
      <alignment vertical="center" wrapText="1"/>
    </xf>
    <xf numFmtId="164" fontId="2" fillId="0" borderId="0" xfId="0" applyNumberFormat="1" applyFont="1" applyAlignment="1">
      <alignment horizontal="left" vertical="center"/>
    </xf>
    <xf numFmtId="1" fontId="2" fillId="0" borderId="0" xfId="0" applyNumberFormat="1" applyFont="1" applyAlignment="1">
      <alignment horizontal="left"/>
    </xf>
    <xf numFmtId="164" fontId="25" fillId="0" borderId="0" xfId="0" applyNumberFormat="1" applyFont="1" applyAlignment="1">
      <alignment horizontal="center" vertical="center"/>
    </xf>
    <xf numFmtId="1" fontId="2" fillId="0" borderId="0" xfId="0" applyNumberFormat="1" applyFont="1"/>
    <xf numFmtId="164" fontId="2" fillId="0" borderId="0" xfId="0" applyNumberFormat="1" applyFont="1" applyAlignment="1">
      <alignment vertical="center"/>
    </xf>
    <xf numFmtId="164" fontId="2" fillId="0" borderId="0" xfId="0" applyNumberFormat="1" applyFont="1" applyAlignment="1">
      <alignment horizontal="right" vertical="center"/>
    </xf>
    <xf numFmtId="0" fontId="0" fillId="0" borderId="131" xfId="0" applyBorder="1"/>
    <xf numFmtId="1" fontId="2" fillId="0" borderId="132" xfId="0" applyNumberFormat="1" applyFont="1" applyBorder="1" applyAlignment="1">
      <alignment horizontal="left"/>
    </xf>
    <xf numFmtId="164" fontId="25" fillId="0" borderId="132" xfId="0" applyNumberFormat="1" applyFont="1" applyBorder="1" applyAlignment="1">
      <alignment horizontal="center" vertical="center"/>
    </xf>
    <xf numFmtId="164" fontId="2" fillId="0" borderId="131" xfId="0" applyNumberFormat="1" applyFont="1" applyBorder="1" applyAlignment="1">
      <alignment vertical="center"/>
    </xf>
    <xf numFmtId="164" fontId="2" fillId="0" borderId="132" xfId="0" applyNumberFormat="1" applyFont="1" applyBorder="1" applyAlignment="1">
      <alignment horizontal="left" vertical="center"/>
    </xf>
    <xf numFmtId="0" fontId="0" fillId="0" borderId="133" xfId="0" applyBorder="1"/>
    <xf numFmtId="168" fontId="0" fillId="0" borderId="0" xfId="0" applyNumberFormat="1" applyAlignment="1">
      <alignment horizontal="left"/>
    </xf>
    <xf numFmtId="168" fontId="2" fillId="0" borderId="0" xfId="0" applyNumberFormat="1" applyFont="1" applyAlignment="1">
      <alignment horizontal="left"/>
    </xf>
    <xf numFmtId="168" fontId="2" fillId="0" borderId="0" xfId="0" applyNumberFormat="1" applyFont="1"/>
    <xf numFmtId="0" fontId="26"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68" fontId="2" fillId="0" borderId="0" xfId="0" applyNumberFormat="1" applyFont="1" applyAlignment="1">
      <alignment vertical="center"/>
    </xf>
    <xf numFmtId="0" fontId="27" fillId="0" borderId="0" xfId="0" applyFont="1" applyAlignment="1">
      <alignment horizontal="center" vertical="center"/>
    </xf>
    <xf numFmtId="0" fontId="28" fillId="0" borderId="0" xfId="0" applyFont="1" applyAlignment="1">
      <alignment vertical="center"/>
    </xf>
    <xf numFmtId="0" fontId="30" fillId="0" borderId="0" xfId="0" applyFont="1" applyAlignment="1">
      <alignment horizontal="center"/>
    </xf>
    <xf numFmtId="0" fontId="31" fillId="0" borderId="0" xfId="0" applyFont="1" applyAlignment="1">
      <alignment horizontal="right" vertical="center"/>
    </xf>
    <xf numFmtId="0" fontId="31" fillId="0" borderId="0" xfId="0" applyFont="1"/>
    <xf numFmtId="0" fontId="32" fillId="0" borderId="0" xfId="0" applyFont="1"/>
    <xf numFmtId="168" fontId="0" fillId="0" borderId="1" xfId="0" applyNumberFormat="1" applyBorder="1" applyAlignment="1">
      <alignment horizontal="left" vertical="center"/>
    </xf>
    <xf numFmtId="0" fontId="0" fillId="0" borderId="1" xfId="0" applyBorder="1" applyAlignment="1">
      <alignment horizontal="left" vertical="center"/>
    </xf>
    <xf numFmtId="0" fontId="0" fillId="0" borderId="3" xfId="0"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33" fillId="0" borderId="135" xfId="0" applyFont="1" applyBorder="1" applyAlignment="1">
      <alignment horizontal="center" vertical="center" wrapText="1"/>
    </xf>
    <xf numFmtId="1" fontId="33" fillId="0" borderId="135" xfId="0" applyNumberFormat="1" applyFont="1" applyBorder="1" applyAlignment="1">
      <alignment horizontal="center" vertical="center" shrinkToFit="1"/>
    </xf>
    <xf numFmtId="49" fontId="0" fillId="0" borderId="1" xfId="0" applyNumberFormat="1" applyBorder="1" applyAlignment="1">
      <alignment horizontal="center" vertical="center"/>
    </xf>
    <xf numFmtId="0" fontId="0" fillId="0" borderId="1" xfId="0" applyBorder="1" applyAlignment="1">
      <alignment horizontal="center" vertical="center"/>
    </xf>
    <xf numFmtId="168" fontId="0" fillId="0" borderId="1" xfId="0" applyNumberFormat="1" applyBorder="1" applyAlignment="1">
      <alignment horizontal="center" vertical="center"/>
    </xf>
    <xf numFmtId="0" fontId="1" fillId="0" borderId="1" xfId="0" applyFont="1" applyBorder="1"/>
    <xf numFmtId="0" fontId="33" fillId="11" borderId="135" xfId="0" applyFont="1" applyFill="1" applyBorder="1" applyAlignment="1">
      <alignment horizontal="center" vertical="center" wrapText="1"/>
    </xf>
    <xf numFmtId="164" fontId="4" fillId="0" borderId="1" xfId="0" applyNumberFormat="1" applyFont="1" applyBorder="1" applyAlignment="1">
      <alignment horizontal="center"/>
    </xf>
    <xf numFmtId="1" fontId="4" fillId="0" borderId="1" xfId="0" applyNumberFormat="1" applyFont="1" applyBorder="1" applyAlignment="1">
      <alignment horizontal="center" wrapText="1"/>
    </xf>
    <xf numFmtId="0" fontId="4" fillId="0" borderId="128" xfId="0" applyFont="1" applyBorder="1" applyAlignment="1">
      <alignment horizontal="center" vertical="center"/>
    </xf>
    <xf numFmtId="0" fontId="4" fillId="0" borderId="127" xfId="0" applyFont="1" applyBorder="1" applyAlignment="1">
      <alignment horizontal="center" vertical="center"/>
    </xf>
    <xf numFmtId="0" fontId="4" fillId="0" borderId="126" xfId="0" applyFont="1" applyBorder="1" applyAlignment="1">
      <alignment horizontal="center" vertical="center"/>
    </xf>
    <xf numFmtId="0" fontId="4" fillId="0" borderId="128" xfId="0" applyFont="1" applyBorder="1" applyAlignment="1">
      <alignment horizontal="center" vertical="center" wrapText="1"/>
    </xf>
    <xf numFmtId="0" fontId="4" fillId="0" borderId="127" xfId="0" applyFont="1" applyBorder="1" applyAlignment="1">
      <alignment horizontal="center" vertical="center" wrapText="1"/>
    </xf>
    <xf numFmtId="0" fontId="4" fillId="0" borderId="126" xfId="0" applyFont="1" applyBorder="1" applyAlignment="1">
      <alignment horizontal="center" vertical="center" wrapText="1"/>
    </xf>
    <xf numFmtId="168" fontId="4" fillId="0" borderId="128" xfId="0" applyNumberFormat="1" applyFont="1" applyBorder="1" applyAlignment="1">
      <alignment horizontal="center" vertical="center"/>
    </xf>
    <xf numFmtId="168" fontId="4" fillId="0" borderId="127" xfId="0" applyNumberFormat="1" applyFont="1" applyBorder="1" applyAlignment="1">
      <alignment horizontal="center" vertical="center"/>
    </xf>
    <xf numFmtId="168" fontId="4" fillId="0" borderId="126" xfId="0" applyNumberFormat="1" applyFont="1" applyBorder="1" applyAlignment="1">
      <alignment horizontal="center" vertical="center"/>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Font="1" applyBorder="1" applyAlignment="1">
      <alignment horizontal="center" vertical="center"/>
    </xf>
    <xf numFmtId="0" fontId="5" fillId="0" borderId="35" xfId="0" applyFont="1" applyBorder="1" applyAlignment="1">
      <alignment horizontal="center" vertical="center"/>
    </xf>
    <xf numFmtId="0" fontId="5" fillId="0" borderId="124" xfId="0" applyFont="1" applyBorder="1" applyAlignment="1">
      <alignment horizontal="center" vertical="center" wrapText="1"/>
    </xf>
    <xf numFmtId="0" fontId="5" fillId="0" borderId="123"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1" xfId="0" applyFont="1" applyBorder="1" applyAlignment="1">
      <alignment horizontal="center" vertical="center" wrapText="1"/>
    </xf>
    <xf numFmtId="1" fontId="4" fillId="0" borderId="29" xfId="0" applyNumberFormat="1" applyFont="1" applyBorder="1" applyAlignment="1">
      <alignment horizontal="center"/>
    </xf>
    <xf numFmtId="1" fontId="4" fillId="0" borderId="35" xfId="0" applyNumberFormat="1" applyFont="1" applyBorder="1" applyAlignment="1">
      <alignment horizontal="center"/>
    </xf>
    <xf numFmtId="1" fontId="4" fillId="0" borderId="30" xfId="0" applyNumberFormat="1" applyFont="1" applyBorder="1" applyAlignment="1">
      <alignment horizontal="center"/>
    </xf>
    <xf numFmtId="0" fontId="4" fillId="0" borderId="29" xfId="0" applyFont="1" applyBorder="1" applyAlignment="1">
      <alignment horizontal="center"/>
    </xf>
    <xf numFmtId="0" fontId="4" fillId="0" borderId="35" xfId="0" applyFont="1" applyBorder="1" applyAlignment="1">
      <alignment horizontal="center"/>
    </xf>
    <xf numFmtId="0" fontId="1" fillId="0" borderId="0" xfId="0" applyFont="1" applyAlignment="1">
      <alignment horizontal="right"/>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1" fontId="4" fillId="0" borderId="1" xfId="0" applyNumberFormat="1" applyFont="1" applyBorder="1" applyAlignment="1">
      <alignment horizontal="center"/>
    </xf>
    <xf numFmtId="0" fontId="3" fillId="0" borderId="0" xfId="0" applyFont="1" applyAlignment="1">
      <alignment horizontal="left"/>
    </xf>
    <xf numFmtId="0" fontId="3" fillId="0" borderId="0" xfId="0" applyFont="1" applyAlignment="1">
      <alignment horizontal="right"/>
    </xf>
    <xf numFmtId="0" fontId="1" fillId="0" borderId="122" xfId="0" applyFont="1" applyBorder="1" applyAlignment="1">
      <alignment horizontal="center"/>
    </xf>
    <xf numFmtId="0" fontId="4" fillId="0" borderId="0" xfId="0" applyFont="1" applyAlignment="1">
      <alignment horizontal="left"/>
    </xf>
    <xf numFmtId="0" fontId="2" fillId="0" borderId="0" xfId="0" applyFont="1" applyAlignment="1">
      <alignment horizontal="left"/>
    </xf>
    <xf numFmtId="176" fontId="4" fillId="0" borderId="0" xfId="0" applyNumberFormat="1" applyFont="1" applyAlignment="1">
      <alignment horizontal="left"/>
    </xf>
    <xf numFmtId="0" fontId="4" fillId="0" borderId="1" xfId="0" applyFont="1" applyBorder="1" applyAlignment="1">
      <alignment horizontal="center"/>
    </xf>
    <xf numFmtId="0" fontId="5" fillId="0" borderId="2" xfId="0" applyFont="1" applyBorder="1" applyAlignment="1">
      <alignment horizontal="center" vertical="center" wrapText="1"/>
    </xf>
    <xf numFmtId="0" fontId="5" fillId="0" borderId="40" xfId="0" applyFont="1" applyBorder="1" applyAlignment="1">
      <alignment horizontal="center" vertical="center" wrapText="1"/>
    </xf>
    <xf numFmtId="0" fontId="8" fillId="0" borderId="0" xfId="0" applyFont="1" applyAlignment="1">
      <alignment horizontal="center"/>
    </xf>
    <xf numFmtId="0" fontId="1" fillId="0" borderId="0" xfId="0" applyFont="1" applyAlignment="1">
      <alignment horizontal="center" vertical="center"/>
    </xf>
    <xf numFmtId="0" fontId="3" fillId="0" borderId="128" xfId="0" applyFont="1" applyBorder="1" applyAlignment="1">
      <alignment vertical="center"/>
    </xf>
    <xf numFmtId="0" fontId="3" fillId="0" borderId="127" xfId="0" applyFont="1" applyBorder="1" applyAlignment="1">
      <alignment vertical="center"/>
    </xf>
    <xf numFmtId="0" fontId="3" fillId="0" borderId="126" xfId="0" applyFont="1" applyBorder="1" applyAlignment="1">
      <alignment vertical="center"/>
    </xf>
    <xf numFmtId="0" fontId="2" fillId="0" borderId="0" xfId="0" applyFont="1" applyAlignment="1">
      <alignment horizontal="center" vertical="center"/>
    </xf>
    <xf numFmtId="164" fontId="2" fillId="0" borderId="128" xfId="0" applyNumberFormat="1" applyFont="1" applyBorder="1" applyAlignment="1">
      <alignment horizontal="right" vertical="center"/>
    </xf>
    <xf numFmtId="164" fontId="2" fillId="0" borderId="127" xfId="0" applyNumberFormat="1" applyFont="1" applyBorder="1" applyAlignment="1">
      <alignment horizontal="right" vertical="center"/>
    </xf>
    <xf numFmtId="1" fontId="2" fillId="0" borderId="128" xfId="0" applyNumberFormat="1" applyFont="1" applyBorder="1" applyAlignment="1">
      <alignment horizontal="right"/>
    </xf>
    <xf numFmtId="1" fontId="2" fillId="0" borderId="127" xfId="0" applyNumberFormat="1" applyFont="1" applyBorder="1" applyAlignment="1">
      <alignment horizontal="right"/>
    </xf>
    <xf numFmtId="164" fontId="2" fillId="0" borderId="0" xfId="0" applyNumberFormat="1" applyFont="1" applyAlignment="1">
      <alignment horizontal="left" vertical="center"/>
    </xf>
    <xf numFmtId="0" fontId="3" fillId="0" borderId="128" xfId="0" applyFont="1" applyBorder="1" applyAlignment="1">
      <alignment horizontal="center" vertical="center"/>
    </xf>
    <xf numFmtId="0" fontId="3" fillId="0" borderId="127" xfId="0" applyFont="1" applyBorder="1" applyAlignment="1">
      <alignment horizontal="center" vertical="center"/>
    </xf>
    <xf numFmtId="0" fontId="3" fillId="0" borderId="126" xfId="0" applyFont="1" applyBorder="1" applyAlignment="1">
      <alignment horizontal="center" vertical="center"/>
    </xf>
    <xf numFmtId="0" fontId="2" fillId="0" borderId="130" xfId="0" applyFont="1" applyBorder="1" applyAlignment="1">
      <alignment horizontal="justify" vertical="center" wrapText="1"/>
    </xf>
    <xf numFmtId="0" fontId="2" fillId="0" borderId="0" xfId="0" applyFont="1" applyAlignment="1">
      <alignment horizontal="justify" vertical="center" wrapText="1"/>
    </xf>
    <xf numFmtId="0" fontId="8" fillId="0" borderId="128" xfId="0" applyFont="1" applyBorder="1" applyAlignment="1">
      <alignment horizontal="center" vertical="center" wrapText="1"/>
    </xf>
    <xf numFmtId="0" fontId="8" fillId="0" borderId="127" xfId="0" applyFont="1" applyBorder="1" applyAlignment="1">
      <alignment horizontal="center" vertical="center" wrapText="1"/>
    </xf>
    <xf numFmtId="0" fontId="8" fillId="0" borderId="126" xfId="0" applyFont="1" applyBorder="1" applyAlignment="1">
      <alignment horizontal="center" vertical="center" wrapText="1"/>
    </xf>
    <xf numFmtId="168" fontId="8" fillId="0" borderId="128" xfId="0" applyNumberFormat="1" applyFont="1" applyBorder="1" applyAlignment="1">
      <alignment horizontal="center" vertical="center" wrapText="1"/>
    </xf>
    <xf numFmtId="168" fontId="8" fillId="0" borderId="127" xfId="0" applyNumberFormat="1" applyFont="1" applyBorder="1" applyAlignment="1">
      <alignment horizontal="center" vertical="center" wrapText="1"/>
    </xf>
    <xf numFmtId="168" fontId="8" fillId="0" borderId="126" xfId="0" applyNumberFormat="1" applyFont="1" applyBorder="1" applyAlignment="1">
      <alignment horizontal="center" vertical="center" wrapText="1"/>
    </xf>
    <xf numFmtId="0" fontId="3" fillId="0" borderId="129" xfId="0" applyFont="1" applyBorder="1" applyAlignment="1">
      <alignment horizontal="center" vertical="center"/>
    </xf>
    <xf numFmtId="14" fontId="8" fillId="0" borderId="128" xfId="0" applyNumberFormat="1" applyFont="1" applyBorder="1" applyAlignment="1">
      <alignment horizontal="center" vertical="center" wrapText="1"/>
    </xf>
    <xf numFmtId="168" fontId="8" fillId="0" borderId="128" xfId="0" applyNumberFormat="1" applyFont="1" applyBorder="1" applyAlignment="1">
      <alignment horizontal="center" vertical="center"/>
    </xf>
    <xf numFmtId="168" fontId="8" fillId="0" borderId="127" xfId="0" applyNumberFormat="1" applyFont="1" applyBorder="1" applyAlignment="1">
      <alignment horizontal="center" vertical="center"/>
    </xf>
    <xf numFmtId="168" fontId="8" fillId="0" borderId="126" xfId="0" applyNumberFormat="1" applyFont="1" applyBorder="1" applyAlignment="1">
      <alignment horizontal="center" vertical="center"/>
    </xf>
    <xf numFmtId="0" fontId="30" fillId="0" borderId="0" xfId="0" applyFont="1" applyAlignment="1">
      <alignment horizontal="left" vertical="center"/>
    </xf>
    <xf numFmtId="0" fontId="29" fillId="0" borderId="0" xfId="0" applyFont="1" applyAlignment="1">
      <alignment horizontal="left"/>
    </xf>
    <xf numFmtId="0" fontId="29" fillId="0" borderId="0" xfId="0" applyFont="1" applyAlignment="1">
      <alignment horizontal="right"/>
    </xf>
    <xf numFmtId="0" fontId="28" fillId="0" borderId="132" xfId="0" applyFont="1" applyBorder="1" applyAlignment="1">
      <alignment horizontal="center" vertical="center"/>
    </xf>
    <xf numFmtId="49" fontId="2" fillId="0" borderId="0" xfId="0" applyNumberFormat="1" applyFont="1" applyAlignment="1">
      <alignment horizontal="left" vertical="center"/>
    </xf>
    <xf numFmtId="0" fontId="2" fillId="0" borderId="0" xfId="0" applyFont="1" applyAlignment="1">
      <alignment horizontal="left" vertical="center"/>
    </xf>
    <xf numFmtId="1" fontId="2" fillId="0" borderId="0" xfId="0" applyNumberFormat="1" applyFont="1" applyAlignment="1">
      <alignment horizontal="left" vertical="center"/>
    </xf>
    <xf numFmtId="0" fontId="3" fillId="0" borderId="0" xfId="0" applyFont="1" applyAlignment="1">
      <alignment horizontal="right" vertical="center"/>
    </xf>
    <xf numFmtId="0" fontId="3" fillId="0" borderId="0" xfId="0" applyFont="1" applyAlignment="1">
      <alignment horizontal="left" vertical="center"/>
    </xf>
    <xf numFmtId="0" fontId="1" fillId="0" borderId="0" xfId="0" applyFont="1" applyAlignment="1">
      <alignment horizontal="center"/>
    </xf>
    <xf numFmtId="49" fontId="8" fillId="0" borderId="128" xfId="0" applyNumberFormat="1" applyFont="1" applyBorder="1" applyAlignment="1">
      <alignment horizontal="center" vertical="center"/>
    </xf>
    <xf numFmtId="49" fontId="8" fillId="0" borderId="127" xfId="0" applyNumberFormat="1" applyFont="1" applyBorder="1" applyAlignment="1">
      <alignment horizontal="center" vertical="center"/>
    </xf>
    <xf numFmtId="49" fontId="8" fillId="0" borderId="126" xfId="0" applyNumberFormat="1" applyFont="1" applyBorder="1" applyAlignment="1">
      <alignment horizontal="center" vertical="center"/>
    </xf>
    <xf numFmtId="0" fontId="4" fillId="0" borderId="134" xfId="0" applyFont="1" applyBorder="1" applyAlignment="1">
      <alignment horizontal="justify" vertical="center" wrapText="1"/>
    </xf>
    <xf numFmtId="0" fontId="4" fillId="0" borderId="0" xfId="0" applyFont="1" applyAlignment="1">
      <alignment horizontal="justify" vertical="center" wrapText="1"/>
    </xf>
    <xf numFmtId="0" fontId="4" fillId="0" borderId="132" xfId="0" applyFont="1" applyBorder="1" applyAlignment="1">
      <alignment horizontal="justify" vertical="center" wrapText="1"/>
    </xf>
    <xf numFmtId="168" fontId="2" fillId="0" borderId="0" xfId="0" applyNumberFormat="1" applyFont="1" applyAlignment="1">
      <alignment horizontal="left"/>
    </xf>
    <xf numFmtId="0" fontId="1" fillId="0" borderId="122" xfId="0" applyFont="1" applyBorder="1" applyAlignment="1">
      <alignment horizontal="center" vertical="center"/>
    </xf>
    <xf numFmtId="168" fontId="2" fillId="0" borderId="0" xfId="0" applyNumberFormat="1" applyFont="1" applyAlignment="1">
      <alignment horizontal="left" vertical="center"/>
    </xf>
    <xf numFmtId="0" fontId="7" fillId="0" borderId="124" xfId="0" applyFont="1" applyBorder="1" applyAlignment="1">
      <alignment horizontal="center" vertical="center"/>
    </xf>
    <xf numFmtId="0" fontId="7" fillId="0" borderId="123"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0" fontId="4" fillId="0" borderId="124" xfId="0" applyFont="1" applyBorder="1" applyAlignment="1">
      <alignment horizontal="center"/>
    </xf>
    <xf numFmtId="0" fontId="4" fillId="0" borderId="2" xfId="0" applyFont="1" applyBorder="1" applyAlignment="1">
      <alignment horizontal="center"/>
    </xf>
    <xf numFmtId="0" fontId="4" fillId="0" borderId="125" xfId="0" applyFont="1" applyBorder="1" applyAlignment="1">
      <alignment horizontal="center"/>
    </xf>
    <xf numFmtId="0" fontId="4" fillId="0" borderId="0" xfId="0" applyFont="1" applyAlignment="1">
      <alignment horizontal="center"/>
    </xf>
    <xf numFmtId="0" fontId="1" fillId="2" borderId="1" xfId="0" applyFont="1" applyFill="1" applyBorder="1" applyAlignment="1">
      <alignment horizontal="center"/>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1" fontId="9" fillId="0" borderId="49" xfId="0" applyNumberFormat="1" applyFont="1" applyBorder="1" applyAlignment="1" applyProtection="1">
      <alignment horizontal="center" vertical="center"/>
      <protection locked="0"/>
    </xf>
    <xf numFmtId="1"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3" borderId="1" xfId="0" applyFont="1" applyFill="1" applyBorder="1" applyAlignment="1">
      <alignment horizontal="center" vertical="center"/>
    </xf>
    <xf numFmtId="0" fontId="9" fillId="0" borderId="1" xfId="0" applyFont="1" applyBorder="1" applyAlignment="1" applyProtection="1">
      <alignment horizontal="center" vertical="center"/>
      <protection locked="0"/>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21" xfId="0" applyFont="1" applyFill="1" applyBorder="1" applyAlignment="1">
      <alignment horizontal="center" vertical="center" wrapText="1"/>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0" fontId="10" fillId="4" borderId="0" xfId="0" applyFont="1" applyFill="1" applyAlignment="1">
      <alignment horizontal="center" vertical="center"/>
    </xf>
    <xf numFmtId="0" fontId="10" fillId="4" borderId="92" xfId="0" applyFont="1" applyFill="1" applyBorder="1" applyAlignment="1">
      <alignment horizontal="center" vertical="center"/>
    </xf>
    <xf numFmtId="1" fontId="9" fillId="0" borderId="65" xfId="0" applyNumberFormat="1" applyFont="1" applyBorder="1" applyAlignment="1" applyProtection="1">
      <alignment horizontal="center" vertical="center"/>
      <protection locked="0"/>
    </xf>
    <xf numFmtId="1" fontId="9" fillId="0" borderId="82" xfId="0" applyNumberFormat="1" applyFont="1" applyBorder="1" applyAlignment="1" applyProtection="1">
      <alignment horizontal="center" vertical="center"/>
      <protection locked="0"/>
    </xf>
    <xf numFmtId="1" fontId="9" fillId="0" borderId="68" xfId="0" applyNumberFormat="1" applyFont="1" applyBorder="1" applyAlignment="1" applyProtection="1">
      <alignment horizontal="center" vertical="center"/>
      <protection locked="0"/>
    </xf>
    <xf numFmtId="164" fontId="10" fillId="4" borderId="53" xfId="0" applyNumberFormat="1" applyFont="1" applyFill="1" applyBorder="1" applyAlignment="1">
      <alignment horizontal="center" vertical="center"/>
    </xf>
    <xf numFmtId="164" fontId="10" fillId="4" borderId="50" xfId="0" applyNumberFormat="1" applyFont="1" applyFill="1" applyBorder="1" applyAlignment="1">
      <alignment horizontal="center" vertical="center"/>
    </xf>
    <xf numFmtId="1" fontId="9" fillId="0" borderId="54" xfId="0" applyNumberFormat="1" applyFont="1" applyBorder="1" applyAlignment="1" applyProtection="1">
      <alignment horizontal="center" vertical="center"/>
      <protection locked="0"/>
    </xf>
    <xf numFmtId="1" fontId="9" fillId="0" borderId="55" xfId="0" applyNumberFormat="1" applyFont="1" applyBorder="1" applyAlignment="1" applyProtection="1">
      <alignment horizontal="center" vertical="center"/>
      <protection locked="0"/>
    </xf>
    <xf numFmtId="1" fontId="9" fillId="0" borderId="56" xfId="0" applyNumberFormat="1" applyFont="1" applyBorder="1" applyAlignment="1" applyProtection="1">
      <alignment horizontal="center" vertical="center"/>
      <protection locked="0"/>
    </xf>
    <xf numFmtId="0" fontId="10" fillId="4" borderId="61" xfId="0" applyFont="1" applyFill="1" applyBorder="1" applyAlignment="1">
      <alignment horizontal="center" vertical="center"/>
    </xf>
    <xf numFmtId="0" fontId="10" fillId="4" borderId="62" xfId="0" applyFont="1" applyFill="1" applyBorder="1" applyAlignment="1">
      <alignment horizontal="center" vertical="center"/>
    </xf>
    <xf numFmtId="1" fontId="9" fillId="0" borderId="0" xfId="0" applyNumberFormat="1" applyFont="1" applyAlignment="1" applyProtection="1">
      <alignment horizontal="center" vertical="center"/>
      <protection locked="0"/>
    </xf>
    <xf numFmtId="1" fontId="9" fillId="0" borderId="63" xfId="0" applyNumberFormat="1" applyFont="1" applyBorder="1" applyAlignment="1" applyProtection="1">
      <alignment horizontal="center" vertical="center"/>
      <protection locked="0"/>
    </xf>
    <xf numFmtId="164" fontId="10" fillId="4" borderId="65" xfId="0" applyNumberFormat="1" applyFont="1" applyFill="1" applyBorder="1" applyAlignment="1">
      <alignment horizontal="center" vertical="center"/>
    </xf>
    <xf numFmtId="164" fontId="10" fillId="4" borderId="66" xfId="0" applyNumberFormat="1" applyFont="1" applyFill="1" applyBorder="1" applyAlignment="1">
      <alignment horizontal="center" vertical="center"/>
    </xf>
    <xf numFmtId="0" fontId="6" fillId="4" borderId="80" xfId="0" applyFont="1" applyFill="1" applyBorder="1" applyAlignment="1">
      <alignment horizontal="center" vertical="center" wrapText="1"/>
    </xf>
    <xf numFmtId="0" fontId="12" fillId="4" borderId="69"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70" xfId="0" applyFont="1" applyFill="1" applyBorder="1" applyAlignment="1">
      <alignment horizontal="center" vertical="center" wrapText="1"/>
    </xf>
    <xf numFmtId="0" fontId="6" fillId="4" borderId="81" xfId="0" applyFont="1" applyFill="1" applyBorder="1" applyAlignment="1">
      <alignment horizontal="center" vertical="center" wrapText="1"/>
    </xf>
    <xf numFmtId="0" fontId="10" fillId="4" borderId="71" xfId="0" applyFont="1" applyFill="1" applyBorder="1" applyAlignment="1">
      <alignment horizontal="center" vertical="center"/>
    </xf>
    <xf numFmtId="0" fontId="10" fillId="4" borderId="72" xfId="0" applyFont="1" applyFill="1" applyBorder="1" applyAlignment="1">
      <alignment horizontal="center" vertical="center"/>
    </xf>
    <xf numFmtId="1" fontId="9" fillId="0" borderId="73" xfId="0" applyNumberFormat="1" applyFont="1" applyBorder="1" applyAlignment="1" applyProtection="1">
      <alignment horizontal="center" vertical="center"/>
      <protection locked="0"/>
    </xf>
    <xf numFmtId="1" fontId="9" fillId="0" borderId="71" xfId="0" applyNumberFormat="1" applyFont="1" applyBorder="1" applyAlignment="1" applyProtection="1">
      <alignment horizontal="center" vertical="center"/>
      <protection locked="0"/>
    </xf>
    <xf numFmtId="1" fontId="9" fillId="0" borderId="74" xfId="0" applyNumberFormat="1" applyFont="1" applyBorder="1" applyAlignment="1" applyProtection="1">
      <alignment horizontal="center" vertical="center"/>
      <protection locked="0"/>
    </xf>
    <xf numFmtId="0" fontId="10" fillId="4" borderId="82" xfId="0" applyFont="1" applyFill="1" applyBorder="1" applyAlignment="1">
      <alignment horizontal="center" vertical="center"/>
    </xf>
    <xf numFmtId="0" fontId="10" fillId="4" borderId="66" xfId="0" applyFont="1" applyFill="1" applyBorder="1" applyAlignment="1">
      <alignment horizontal="center" vertical="center"/>
    </xf>
    <xf numFmtId="0" fontId="9" fillId="0" borderId="98" xfId="0" applyFont="1" applyBorder="1" applyAlignment="1">
      <alignment horizontal="center" vertical="center"/>
    </xf>
    <xf numFmtId="0" fontId="9" fillId="0" borderId="67" xfId="0" applyFont="1" applyBorder="1" applyAlignment="1">
      <alignment horizontal="center" vertical="center"/>
    </xf>
    <xf numFmtId="0" fontId="9" fillId="0" borderId="99" xfId="0" applyFont="1" applyBorder="1" applyAlignment="1">
      <alignment horizontal="center" vertical="center"/>
    </xf>
    <xf numFmtId="1" fontId="9" fillId="0" borderId="76" xfId="0" applyNumberFormat="1" applyFont="1" applyBorder="1" applyAlignment="1" applyProtection="1">
      <alignment horizontal="center" vertical="center"/>
      <protection locked="0"/>
    </xf>
    <xf numFmtId="1" fontId="9" fillId="0" borderId="77" xfId="0" applyNumberFormat="1" applyFont="1" applyBorder="1" applyAlignment="1" applyProtection="1">
      <alignment horizontal="center" vertical="center"/>
      <protection locked="0"/>
    </xf>
    <xf numFmtId="1" fontId="9" fillId="0" borderId="78" xfId="0" applyNumberFormat="1" applyFont="1" applyBorder="1" applyAlignment="1" applyProtection="1">
      <alignment horizontal="center" vertical="center"/>
      <protection locked="0"/>
    </xf>
    <xf numFmtId="0" fontId="9" fillId="0" borderId="100" xfId="0" applyFont="1" applyBorder="1" applyAlignment="1">
      <alignment horizontal="center" vertical="center"/>
    </xf>
    <xf numFmtId="0" fontId="9" fillId="0" borderId="77" xfId="0" applyFont="1" applyBorder="1" applyAlignment="1">
      <alignment horizontal="center" vertical="center"/>
    </xf>
    <xf numFmtId="0" fontId="9" fillId="0" borderId="78" xfId="0" applyFont="1" applyBorder="1" applyAlignment="1">
      <alignment horizontal="center" vertical="center"/>
    </xf>
    <xf numFmtId="1" fontId="9" fillId="0" borderId="101" xfId="0" applyNumberFormat="1" applyFont="1" applyBorder="1" applyAlignment="1" applyProtection="1">
      <alignment horizontal="center" vertical="center"/>
      <protection locked="0"/>
    </xf>
    <xf numFmtId="1" fontId="9" fillId="0" borderId="102" xfId="0" applyNumberFormat="1" applyFont="1" applyBorder="1" applyAlignment="1" applyProtection="1">
      <alignment horizontal="center" vertical="center"/>
      <protection locked="0"/>
    </xf>
    <xf numFmtId="1" fontId="9" fillId="0" borderId="103" xfId="0" applyNumberFormat="1" applyFont="1" applyBorder="1" applyAlignment="1" applyProtection="1">
      <alignment horizontal="center" vertical="center"/>
      <protection locked="0"/>
    </xf>
    <xf numFmtId="0" fontId="9" fillId="0" borderId="93"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1" fontId="9" fillId="0" borderId="94" xfId="0" applyNumberFormat="1" applyFont="1" applyBorder="1" applyAlignment="1" applyProtection="1">
      <alignment horizontal="center" vertical="center"/>
      <protection locked="0"/>
    </xf>
    <xf numFmtId="1" fontId="9" fillId="0" borderId="66" xfId="0" applyNumberFormat="1" applyFont="1" applyBorder="1" applyAlignment="1" applyProtection="1">
      <alignment horizontal="center" vertical="center"/>
      <protection locked="0"/>
    </xf>
    <xf numFmtId="1" fontId="9" fillId="0" borderId="95" xfId="0" applyNumberFormat="1" applyFont="1" applyBorder="1" applyAlignment="1" applyProtection="1">
      <alignment horizontal="center" vertical="center"/>
      <protection locked="0"/>
    </xf>
    <xf numFmtId="1" fontId="9" fillId="0" borderId="96" xfId="0" applyNumberFormat="1" applyFont="1" applyBorder="1" applyAlignment="1" applyProtection="1">
      <alignment horizontal="center" vertical="center"/>
      <protection locked="0"/>
    </xf>
    <xf numFmtId="1" fontId="9" fillId="0" borderId="97" xfId="0" applyNumberFormat="1" applyFont="1" applyBorder="1" applyAlignment="1" applyProtection="1">
      <alignment horizontal="center" vertical="center"/>
      <protection locked="0"/>
    </xf>
    <xf numFmtId="164" fontId="10" fillId="4" borderId="88" xfId="0" applyNumberFormat="1" applyFont="1" applyFill="1" applyBorder="1" applyAlignment="1">
      <alignment horizontal="center" vertical="center"/>
    </xf>
    <xf numFmtId="164" fontId="10" fillId="4" borderId="89" xfId="0" applyNumberFormat="1" applyFont="1" applyFill="1" applyBorder="1" applyAlignment="1">
      <alignment horizontal="center" vertical="center"/>
    </xf>
    <xf numFmtId="0" fontId="9" fillId="0" borderId="90"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1" fontId="9" fillId="0" borderId="91" xfId="0" applyNumberFormat="1" applyFont="1" applyBorder="1" applyAlignment="1" applyProtection="1">
      <alignment horizontal="center" vertical="center"/>
      <protection locked="0"/>
    </xf>
    <xf numFmtId="1" fontId="9" fillId="0" borderId="2" xfId="0" applyNumberFormat="1" applyFont="1" applyBorder="1" applyAlignment="1" applyProtection="1">
      <alignment horizontal="center" vertical="center"/>
      <protection locked="0"/>
    </xf>
    <xf numFmtId="171" fontId="0" fillId="3" borderId="0" xfId="0" applyNumberFormat="1" applyFill="1" applyAlignment="1">
      <alignment horizontal="center"/>
    </xf>
    <xf numFmtId="173" fontId="0" fillId="3" borderId="0" xfId="0" applyNumberFormat="1" applyFill="1" applyAlignment="1">
      <alignment horizontal="center"/>
    </xf>
    <xf numFmtId="0" fontId="1" fillId="3" borderId="0" xfId="0" applyFont="1" applyFill="1" applyAlignment="1">
      <alignment horizontal="center"/>
    </xf>
    <xf numFmtId="0" fontId="1" fillId="7" borderId="0" xfId="0" applyFont="1" applyFill="1" applyAlignment="1">
      <alignment horizontal="center"/>
    </xf>
    <xf numFmtId="172" fontId="0" fillId="3" borderId="0" xfId="0" applyNumberFormat="1" applyFill="1" applyAlignment="1">
      <alignment horizontal="center"/>
    </xf>
    <xf numFmtId="0" fontId="10" fillId="4" borderId="105" xfId="0" applyFont="1" applyFill="1" applyBorder="1" applyAlignment="1">
      <alignment horizontal="center" vertical="center"/>
    </xf>
    <xf numFmtId="0" fontId="10" fillId="4" borderId="89" xfId="0" applyFont="1" applyFill="1" applyBorder="1" applyAlignment="1">
      <alignment horizontal="center" vertical="center"/>
    </xf>
    <xf numFmtId="1" fontId="9" fillId="0" borderId="106" xfId="0" applyNumberFormat="1" applyFont="1" applyBorder="1" applyAlignment="1" applyProtection="1">
      <alignment horizontal="center" vertical="center"/>
      <protection locked="0"/>
    </xf>
    <xf numFmtId="1" fontId="9" fillId="0" borderId="107" xfId="0" applyNumberFormat="1" applyFont="1" applyBorder="1" applyAlignment="1" applyProtection="1">
      <alignment horizontal="center" vertical="center"/>
      <protection locked="0"/>
    </xf>
    <xf numFmtId="1" fontId="9" fillId="0" borderId="108" xfId="0" applyNumberFormat="1" applyFont="1" applyBorder="1" applyAlignment="1" applyProtection="1">
      <alignment horizontal="center" vertical="center"/>
      <protection locked="0"/>
    </xf>
    <xf numFmtId="0" fontId="13" fillId="3" borderId="0" xfId="0" applyFont="1" applyFill="1" applyAlignment="1">
      <alignment horizontal="center" vertical="center"/>
    </xf>
    <xf numFmtId="167" fontId="13" fillId="3" borderId="0" xfId="0" applyNumberFormat="1" applyFont="1" applyFill="1" applyAlignment="1">
      <alignment horizontal="center" vertical="center"/>
    </xf>
    <xf numFmtId="0" fontId="0" fillId="3" borderId="0" xfId="0" applyFill="1" applyAlignment="1">
      <alignment horizont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7" borderId="0" xfId="0" applyFont="1" applyFill="1" applyAlignment="1">
      <alignment horizontal="center" vertical="center"/>
    </xf>
    <xf numFmtId="14" fontId="9" fillId="0" borderId="1" xfId="0" applyNumberFormat="1" applyFont="1" applyBorder="1" applyAlignment="1">
      <alignment horizontal="left" vertical="center"/>
    </xf>
    <xf numFmtId="168" fontId="9" fillId="0" borderId="1" xfId="0" applyNumberFormat="1" applyFont="1" applyBorder="1" applyAlignment="1">
      <alignment horizontal="left" vertical="center"/>
    </xf>
    <xf numFmtId="0" fontId="9" fillId="0" borderId="112" xfId="0" applyFont="1" applyBorder="1" applyAlignment="1">
      <alignment horizontal="left" vertical="center"/>
    </xf>
    <xf numFmtId="49" fontId="9" fillId="0" borderId="1" xfId="0" applyNumberFormat="1" applyFont="1" applyBorder="1" applyAlignment="1">
      <alignment horizontal="left" vertical="center"/>
    </xf>
    <xf numFmtId="0" fontId="9" fillId="0" borderId="119" xfId="0" applyFont="1" applyBorder="1" applyAlignment="1">
      <alignment horizontal="center" vertical="center"/>
    </xf>
    <xf numFmtId="0" fontId="9" fillId="0" borderId="120" xfId="0" applyFont="1" applyBorder="1" applyAlignment="1">
      <alignment horizontal="center" vertical="center"/>
    </xf>
    <xf numFmtId="1" fontId="9" fillId="0" borderId="119" xfId="0" applyNumberFormat="1" applyFont="1" applyBorder="1" applyAlignment="1">
      <alignment horizontal="center" vertical="center"/>
    </xf>
    <xf numFmtId="1" fontId="9" fillId="0" borderId="120" xfId="0" applyNumberFormat="1" applyFont="1" applyBorder="1" applyAlignment="1">
      <alignment horizontal="center" vertical="center"/>
    </xf>
    <xf numFmtId="2" fontId="9" fillId="0" borderId="119" xfId="0" applyNumberFormat="1" applyFont="1" applyBorder="1" applyAlignment="1">
      <alignment horizontal="center" vertical="center"/>
    </xf>
    <xf numFmtId="2" fontId="9" fillId="0" borderId="120" xfId="0" applyNumberFormat="1" applyFont="1" applyBorder="1" applyAlignment="1">
      <alignment horizontal="center" vertical="center"/>
    </xf>
    <xf numFmtId="0" fontId="19" fillId="8" borderId="115" xfId="0" applyFont="1" applyFill="1" applyBorder="1" applyAlignment="1">
      <alignment horizontal="center" vertical="center"/>
    </xf>
    <xf numFmtId="0" fontId="9" fillId="0" borderId="116" xfId="0" applyFont="1" applyBorder="1" applyAlignment="1">
      <alignment horizontal="center" vertical="center"/>
    </xf>
    <xf numFmtId="0" fontId="9" fillId="0" borderId="117" xfId="0" applyFont="1" applyBorder="1" applyAlignment="1">
      <alignment horizontal="center" vertical="center"/>
    </xf>
    <xf numFmtId="0" fontId="9" fillId="0" borderId="118" xfId="0" applyFont="1" applyBorder="1" applyAlignment="1">
      <alignment horizontal="center" vertical="center"/>
    </xf>
    <xf numFmtId="170" fontId="9" fillId="0" borderId="119" xfId="0" applyNumberFormat="1" applyFont="1" applyBorder="1" applyAlignment="1">
      <alignment horizontal="center" vertical="center"/>
    </xf>
    <xf numFmtId="170" fontId="9" fillId="0" borderId="120"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C052D192-6C8C-4060-8494-88E6270FA33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9DE2CFA8-862B-44AE-A5BE-DF24FD163C77}"/>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894A527F-2187-48E2-B83A-38CB07E98AAD}"/>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1F63A45A-4B90-421A-B1F7-29E3D266A8A3}"/>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C764B23A-5217-4E6E-93F8-793F68E2BBEC}"/>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1:L14"/>
  <sheetViews>
    <sheetView workbookViewId="0">
      <selection activeCell="B2" sqref="A2:B2"/>
    </sheetView>
  </sheetViews>
  <sheetFormatPr baseColWidth="10" defaultRowHeight="14.4" x14ac:dyDescent="0.3"/>
  <cols>
    <col min="1" max="1" width="28" customWidth="1"/>
    <col min="2" max="2" width="47.33203125" bestFit="1" customWidth="1"/>
    <col min="4" max="4" width="21.44140625" bestFit="1" customWidth="1"/>
    <col min="5" max="5" width="23.33203125" customWidth="1"/>
    <col min="7" max="7" width="24.6640625" bestFit="1" customWidth="1"/>
    <col min="8" max="8" width="32.5546875" customWidth="1"/>
  </cols>
  <sheetData>
    <row r="1" spans="1:12" x14ac:dyDescent="0.3">
      <c r="A1" s="148" t="s">
        <v>265</v>
      </c>
      <c r="B1" s="148" t="s">
        <v>266</v>
      </c>
      <c r="C1" s="148" t="s">
        <v>267</v>
      </c>
      <c r="D1" s="148" t="s">
        <v>268</v>
      </c>
      <c r="E1" s="148" t="s">
        <v>269</v>
      </c>
      <c r="F1" s="148" t="s">
        <v>270</v>
      </c>
      <c r="G1" s="148" t="s">
        <v>271</v>
      </c>
      <c r="H1" s="148" t="s">
        <v>272</v>
      </c>
    </row>
    <row r="2" spans="1:12" x14ac:dyDescent="0.3">
      <c r="A2" s="155" t="s">
        <v>273</v>
      </c>
      <c r="B2" s="155" t="s">
        <v>274</v>
      </c>
      <c r="C2" s="149" t="s">
        <v>275</v>
      </c>
      <c r="D2" s="150">
        <v>8440131906</v>
      </c>
      <c r="E2" s="150" t="s">
        <v>276</v>
      </c>
      <c r="F2" s="151" t="s">
        <v>277</v>
      </c>
      <c r="G2" s="152" t="s">
        <v>278</v>
      </c>
      <c r="H2" s="153">
        <v>45465</v>
      </c>
      <c r="L2" t="s">
        <v>256</v>
      </c>
    </row>
    <row r="3" spans="1:12" x14ac:dyDescent="0.3">
      <c r="A3" s="21"/>
      <c r="B3" s="21"/>
      <c r="G3" s="21"/>
      <c r="L3" t="s">
        <v>257</v>
      </c>
    </row>
    <row r="4" spans="1:12" x14ac:dyDescent="0.3">
      <c r="G4" s="21"/>
    </row>
    <row r="5" spans="1:12" x14ac:dyDescent="0.3">
      <c r="A5" s="250" t="s">
        <v>18</v>
      </c>
      <c r="B5" s="250"/>
      <c r="D5" s="147" t="s">
        <v>11</v>
      </c>
      <c r="E5" s="147"/>
      <c r="F5" s="21"/>
      <c r="G5" s="21"/>
      <c r="L5" t="s">
        <v>258</v>
      </c>
    </row>
    <row r="6" spans="1:12" x14ac:dyDescent="0.3">
      <c r="A6" s="154" t="s">
        <v>12</v>
      </c>
      <c r="B6" s="144" t="s">
        <v>255</v>
      </c>
      <c r="D6" s="154" t="s">
        <v>10</v>
      </c>
      <c r="E6" s="145" t="s">
        <v>279</v>
      </c>
      <c r="F6" s="21"/>
      <c r="G6" s="21"/>
      <c r="L6" t="s">
        <v>259</v>
      </c>
    </row>
    <row r="7" spans="1:12" x14ac:dyDescent="0.3">
      <c r="A7" s="154" t="s">
        <v>280</v>
      </c>
      <c r="B7" s="144" t="s">
        <v>258</v>
      </c>
      <c r="D7" s="154" t="s">
        <v>0</v>
      </c>
      <c r="E7" s="144" t="s">
        <v>281</v>
      </c>
      <c r="F7" s="21"/>
      <c r="G7" s="21"/>
      <c r="L7" t="s">
        <v>260</v>
      </c>
    </row>
    <row r="8" spans="1:12" x14ac:dyDescent="0.3">
      <c r="A8" s="154" t="s">
        <v>13</v>
      </c>
      <c r="B8" s="143">
        <f>H2</f>
        <v>45465</v>
      </c>
      <c r="D8" s="154" t="s">
        <v>9</v>
      </c>
      <c r="E8" s="144">
        <v>3007835072</v>
      </c>
      <c r="F8" s="21"/>
      <c r="G8" s="21"/>
    </row>
    <row r="9" spans="1:12" x14ac:dyDescent="0.3">
      <c r="A9" s="154" t="s">
        <v>14</v>
      </c>
      <c r="B9" s="143">
        <f>H2</f>
        <v>45465</v>
      </c>
      <c r="D9" s="154" t="s">
        <v>3</v>
      </c>
      <c r="E9" s="146" t="s">
        <v>282</v>
      </c>
      <c r="F9" s="21"/>
    </row>
    <row r="10" spans="1:12" x14ac:dyDescent="0.3">
      <c r="A10" s="154" t="s">
        <v>7</v>
      </c>
      <c r="B10" s="144">
        <v>24.1</v>
      </c>
      <c r="D10" s="154" t="s">
        <v>5</v>
      </c>
      <c r="E10" s="146" t="s">
        <v>283</v>
      </c>
      <c r="F10" s="21"/>
    </row>
    <row r="11" spans="1:12" x14ac:dyDescent="0.3">
      <c r="A11" s="154" t="s">
        <v>8</v>
      </c>
      <c r="B11" s="144">
        <v>24.5</v>
      </c>
    </row>
    <row r="12" spans="1:12" x14ac:dyDescent="0.3">
      <c r="A12" s="154" t="s">
        <v>16</v>
      </c>
      <c r="B12" s="144">
        <v>60</v>
      </c>
    </row>
    <row r="13" spans="1:12" x14ac:dyDescent="0.3">
      <c r="A13" s="154" t="s">
        <v>15</v>
      </c>
      <c r="B13" s="144">
        <v>63</v>
      </c>
    </row>
    <row r="14" spans="1:12" x14ac:dyDescent="0.3">
      <c r="A14" s="154" t="s">
        <v>17</v>
      </c>
      <c r="B14" s="144" t="s">
        <v>284</v>
      </c>
    </row>
  </sheetData>
  <mergeCells count="1">
    <mergeCell ref="A5:B5"/>
  </mergeCells>
  <dataValidations count="2">
    <dataValidation type="list" allowBlank="1" showInputMessage="1" showErrorMessage="1" sqref="B6" xr:uid="{86960D83-5FCD-496F-BC68-7616AED81B56}">
      <formula1>$L$2:$L$3</formula1>
    </dataValidation>
    <dataValidation type="list" allowBlank="1" showInputMessage="1" showErrorMessage="1" sqref="B7" xr:uid="{BC5A0E3B-24E2-49BB-85A8-D9C1F1B93735}">
      <formula1>$L$5:$L$7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AI77"/>
  <sheetViews>
    <sheetView topLeftCell="A5" workbookViewId="0">
      <selection activeCell="Q7" sqref="Q7"/>
    </sheetView>
  </sheetViews>
  <sheetFormatPr baseColWidth="10" defaultRowHeight="14.4" x14ac:dyDescent="0.3"/>
  <cols>
    <col min="1" max="8" width="8.6640625" customWidth="1"/>
    <col min="9" max="23" width="9.6640625" customWidth="1"/>
  </cols>
  <sheetData>
    <row r="2" spans="1:23" x14ac:dyDescent="0.3">
      <c r="B2" s="21"/>
      <c r="C2" s="22"/>
      <c r="D2" s="22"/>
      <c r="E2" s="22"/>
      <c r="F2" s="21"/>
      <c r="G2" s="21"/>
      <c r="H2" s="21"/>
      <c r="I2" s="21"/>
      <c r="J2" s="22" t="s">
        <v>38</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267" t="s">
        <v>39</v>
      </c>
      <c r="B4" s="267"/>
      <c r="C4" s="267"/>
      <c r="D4" s="267"/>
      <c r="E4" s="267"/>
      <c r="F4" s="268" t="s">
        <v>210</v>
      </c>
      <c r="G4" s="268"/>
      <c r="H4" s="21"/>
      <c r="I4" s="22"/>
      <c r="J4" s="22"/>
      <c r="K4" s="22"/>
      <c r="L4" s="22"/>
      <c r="M4" s="63"/>
      <c r="N4" s="22"/>
      <c r="R4" s="22"/>
      <c r="S4" s="22"/>
      <c r="T4" s="22"/>
      <c r="U4" s="22"/>
      <c r="V4" s="22"/>
    </row>
    <row r="5" spans="1:23" ht="15" thickBot="1" x14ac:dyDescent="0.35">
      <c r="A5" s="267" t="s">
        <v>40</v>
      </c>
      <c r="B5" s="267"/>
      <c r="C5" s="267"/>
      <c r="D5" s="267"/>
      <c r="E5" s="267"/>
      <c r="F5" s="269">
        <v>25000</v>
      </c>
      <c r="G5" s="269"/>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270" t="s">
        <v>41</v>
      </c>
      <c r="S6" s="270"/>
      <c r="T6" s="271"/>
      <c r="U6" s="274" t="s">
        <v>42</v>
      </c>
      <c r="V6" s="274"/>
      <c r="W6" s="275"/>
    </row>
    <row r="7" spans="1:23" ht="15.6" thickTop="1" thickBot="1" x14ac:dyDescent="0.35">
      <c r="B7" s="276" t="s">
        <v>43</v>
      </c>
      <c r="C7" s="270"/>
      <c r="D7" s="271"/>
      <c r="E7" s="280" t="s">
        <v>44</v>
      </c>
      <c r="F7" s="281"/>
      <c r="G7" s="282"/>
      <c r="H7" s="286" t="s">
        <v>45</v>
      </c>
      <c r="I7" s="21"/>
      <c r="J7" s="21"/>
      <c r="K7" s="21"/>
      <c r="L7" s="26"/>
      <c r="M7" s="27"/>
      <c r="N7" s="21"/>
      <c r="O7" s="21"/>
      <c r="P7" s="21"/>
      <c r="Q7" s="28"/>
      <c r="R7" s="272"/>
      <c r="S7" s="272"/>
      <c r="T7" s="273"/>
      <c r="U7" s="288" t="str">
        <f>R8</f>
        <v>g</v>
      </c>
      <c r="V7" s="260"/>
      <c r="W7" s="289"/>
    </row>
    <row r="8" spans="1:23" ht="15" thickTop="1" x14ac:dyDescent="0.3">
      <c r="B8" s="277"/>
      <c r="C8" s="278"/>
      <c r="D8" s="279"/>
      <c r="E8" s="283"/>
      <c r="F8" s="284"/>
      <c r="G8" s="285"/>
      <c r="H8" s="287"/>
      <c r="I8" s="21"/>
      <c r="J8" s="21"/>
      <c r="K8" s="29" t="s">
        <v>31</v>
      </c>
      <c r="L8" s="30"/>
      <c r="M8" s="30"/>
      <c r="N8" s="31" t="s">
        <v>32</v>
      </c>
      <c r="O8" s="21"/>
      <c r="P8" s="21"/>
      <c r="Q8" s="28"/>
      <c r="R8" s="251" t="str">
        <f>F4</f>
        <v>g</v>
      </c>
      <c r="S8" s="251"/>
      <c r="T8" s="252"/>
      <c r="U8" s="253" t="s">
        <v>46</v>
      </c>
      <c r="V8" s="254"/>
      <c r="W8" s="255"/>
    </row>
    <row r="9" spans="1:23" x14ac:dyDescent="0.3">
      <c r="A9" s="25"/>
      <c r="B9" s="256" t="str">
        <f>F4</f>
        <v>g</v>
      </c>
      <c r="C9" s="257"/>
      <c r="D9" s="258"/>
      <c r="E9" s="259" t="str">
        <f>B9</f>
        <v>g</v>
      </c>
      <c r="F9" s="260"/>
      <c r="G9" s="261"/>
      <c r="H9" s="32" t="str">
        <f>F4</f>
        <v>g</v>
      </c>
      <c r="I9" s="21"/>
      <c r="J9" s="21"/>
      <c r="K9" s="33"/>
      <c r="L9" s="262" t="s">
        <v>29</v>
      </c>
      <c r="M9" s="262"/>
      <c r="N9" s="34"/>
      <c r="O9" s="21"/>
      <c r="P9" s="21"/>
      <c r="Q9" s="28"/>
      <c r="R9" s="65">
        <v>0</v>
      </c>
      <c r="S9" s="263">
        <v>0</v>
      </c>
      <c r="T9" s="264"/>
      <c r="U9" s="265">
        <v>0</v>
      </c>
      <c r="V9" s="265"/>
      <c r="W9" s="266"/>
    </row>
    <row r="10" spans="1:23" ht="15" thickBot="1" x14ac:dyDescent="0.35">
      <c r="A10" s="25"/>
      <c r="B10" s="35">
        <f>F5*50%</f>
        <v>12500</v>
      </c>
      <c r="C10" s="295">
        <f>MROUND(B10,5)</f>
        <v>12500</v>
      </c>
      <c r="D10" s="296"/>
      <c r="E10" s="297">
        <v>11500</v>
      </c>
      <c r="F10" s="298"/>
      <c r="G10" s="299"/>
      <c r="H10" s="36"/>
      <c r="I10" s="21"/>
      <c r="J10" s="21"/>
      <c r="K10" s="37" t="s">
        <v>30</v>
      </c>
      <c r="L10" s="38"/>
      <c r="M10" s="38"/>
      <c r="N10" s="39" t="s">
        <v>33</v>
      </c>
      <c r="O10" s="21"/>
      <c r="P10" s="23"/>
      <c r="Q10" s="28"/>
      <c r="R10" s="66">
        <f>F5/10</f>
        <v>2500</v>
      </c>
      <c r="S10" s="300">
        <f t="shared" ref="S10:S19" si="0">MROUND(R10,5)</f>
        <v>2500</v>
      </c>
      <c r="T10" s="301"/>
      <c r="U10" s="302">
        <v>2300</v>
      </c>
      <c r="V10" s="302"/>
      <c r="W10" s="303"/>
    </row>
    <row r="11" spans="1:23" ht="15" thickTop="1" x14ac:dyDescent="0.3">
      <c r="B11" s="40">
        <f>B10</f>
        <v>12500</v>
      </c>
      <c r="C11" s="304">
        <f>MROUND(B11,5)</f>
        <v>12500</v>
      </c>
      <c r="D11" s="305"/>
      <c r="E11" s="297">
        <v>11500</v>
      </c>
      <c r="F11" s="298"/>
      <c r="G11" s="299"/>
      <c r="H11" s="41"/>
      <c r="I11" s="21"/>
      <c r="J11" s="276" t="s">
        <v>43</v>
      </c>
      <c r="K11" s="270"/>
      <c r="L11" s="271"/>
      <c r="M11" s="307" t="s">
        <v>47</v>
      </c>
      <c r="N11" s="308"/>
      <c r="O11" s="308"/>
      <c r="P11" s="311" t="s">
        <v>45</v>
      </c>
      <c r="Q11" s="28"/>
      <c r="R11" s="67">
        <f>R10+R10</f>
        <v>5000</v>
      </c>
      <c r="S11" s="313">
        <f t="shared" si="0"/>
        <v>5000</v>
      </c>
      <c r="T11" s="314"/>
      <c r="U11" s="315">
        <v>4600</v>
      </c>
      <c r="V11" s="316"/>
      <c r="W11" s="317"/>
    </row>
    <row r="12" spans="1:23" x14ac:dyDescent="0.3">
      <c r="B12" s="42">
        <f>B11</f>
        <v>12500</v>
      </c>
      <c r="C12" s="304">
        <f>MROUND(B12,5)</f>
        <v>12500</v>
      </c>
      <c r="D12" s="305"/>
      <c r="E12" s="297">
        <v>11500</v>
      </c>
      <c r="F12" s="298"/>
      <c r="G12" s="299"/>
      <c r="H12" s="43"/>
      <c r="I12" s="21"/>
      <c r="J12" s="306"/>
      <c r="K12" s="251"/>
      <c r="L12" s="252"/>
      <c r="M12" s="309"/>
      <c r="N12" s="310"/>
      <c r="O12" s="310"/>
      <c r="P12" s="312"/>
      <c r="Q12" s="28"/>
      <c r="R12" s="67">
        <f>R10+R11</f>
        <v>7500</v>
      </c>
      <c r="S12" s="318">
        <f t="shared" si="0"/>
        <v>7500</v>
      </c>
      <c r="T12" s="319"/>
      <c r="U12" s="315">
        <v>6900</v>
      </c>
      <c r="V12" s="316"/>
      <c r="W12" s="317"/>
    </row>
    <row r="13" spans="1:23" x14ac:dyDescent="0.3">
      <c r="B13" s="44">
        <f>B12</f>
        <v>12500</v>
      </c>
      <c r="C13" s="304">
        <f>MROUND(B13,5)</f>
        <v>12500</v>
      </c>
      <c r="D13" s="305"/>
      <c r="E13" s="297">
        <v>11500</v>
      </c>
      <c r="F13" s="298"/>
      <c r="G13" s="299"/>
      <c r="H13" s="45"/>
      <c r="I13" s="21"/>
      <c r="J13" s="46">
        <f>F5/3</f>
        <v>8333.3333333333339</v>
      </c>
      <c r="K13" s="47">
        <f>MROUND(J13,100)</f>
        <v>8300</v>
      </c>
      <c r="L13" s="48" t="str">
        <f>F4</f>
        <v>g</v>
      </c>
      <c r="M13" s="49">
        <f>J13</f>
        <v>8333.3333333333339</v>
      </c>
      <c r="N13" s="47">
        <f>MROUND(M13,100)</f>
        <v>8300</v>
      </c>
      <c r="O13" s="50" t="str">
        <f>L13</f>
        <v>g</v>
      </c>
      <c r="P13" s="51" t="str">
        <f>F4</f>
        <v>g</v>
      </c>
      <c r="Q13" s="28"/>
      <c r="R13" s="67">
        <f t="shared" ref="R13:R19" si="1">$R$10+R12</f>
        <v>10000</v>
      </c>
      <c r="S13" s="318">
        <f t="shared" si="0"/>
        <v>10000</v>
      </c>
      <c r="T13" s="319"/>
      <c r="U13" s="292">
        <v>9200</v>
      </c>
      <c r="V13" s="293"/>
      <c r="W13" s="294"/>
    </row>
    <row r="14" spans="1:23" ht="15" thickBot="1" x14ac:dyDescent="0.35">
      <c r="B14" s="52">
        <f>B13</f>
        <v>12500</v>
      </c>
      <c r="C14" s="340">
        <f>MROUND(B14,5)</f>
        <v>12500</v>
      </c>
      <c r="D14" s="341"/>
      <c r="E14" s="297">
        <v>11500</v>
      </c>
      <c r="F14" s="298"/>
      <c r="G14" s="299"/>
      <c r="H14" s="53"/>
      <c r="I14" s="21"/>
      <c r="J14" s="342" t="s">
        <v>29</v>
      </c>
      <c r="K14" s="343"/>
      <c r="L14" s="344"/>
      <c r="M14" s="345">
        <v>7700</v>
      </c>
      <c r="N14" s="346"/>
      <c r="O14" s="346"/>
      <c r="P14" s="54"/>
      <c r="Q14" s="28"/>
      <c r="R14" s="67">
        <f t="shared" si="1"/>
        <v>12500</v>
      </c>
      <c r="S14" s="290">
        <f t="shared" si="0"/>
        <v>12500</v>
      </c>
      <c r="T14" s="291"/>
      <c r="U14" s="292">
        <v>11500</v>
      </c>
      <c r="V14" s="293"/>
      <c r="W14" s="294"/>
    </row>
    <row r="15" spans="1:23" ht="15" thickTop="1" x14ac:dyDescent="0.3">
      <c r="B15" s="21"/>
      <c r="C15" s="21"/>
      <c r="D15" s="21"/>
      <c r="E15" s="21"/>
      <c r="F15" s="21"/>
      <c r="G15" s="21"/>
      <c r="H15" s="55"/>
      <c r="I15" s="21"/>
      <c r="J15" s="332" t="s">
        <v>30</v>
      </c>
      <c r="K15" s="333"/>
      <c r="L15" s="334"/>
      <c r="M15" s="292">
        <v>7700</v>
      </c>
      <c r="N15" s="293"/>
      <c r="O15" s="293"/>
      <c r="P15" s="56"/>
      <c r="Q15" s="28"/>
      <c r="R15" s="67">
        <f t="shared" si="1"/>
        <v>15000</v>
      </c>
      <c r="S15" s="318">
        <f t="shared" si="0"/>
        <v>15000</v>
      </c>
      <c r="T15" s="319"/>
      <c r="U15" s="335">
        <v>13800</v>
      </c>
      <c r="V15" s="302"/>
      <c r="W15" s="303"/>
    </row>
    <row r="16" spans="1:23" x14ac:dyDescent="0.3">
      <c r="B16" s="21"/>
      <c r="C16" s="21"/>
      <c r="D16" s="21"/>
      <c r="E16" s="21"/>
      <c r="F16" s="21"/>
      <c r="J16" s="332" t="s">
        <v>31</v>
      </c>
      <c r="K16" s="333"/>
      <c r="L16" s="334"/>
      <c r="M16" s="292">
        <v>7700</v>
      </c>
      <c r="N16" s="293"/>
      <c r="O16" s="336"/>
      <c r="P16" s="36"/>
      <c r="Q16" s="28"/>
      <c r="R16" s="67">
        <f t="shared" si="1"/>
        <v>17500</v>
      </c>
      <c r="S16" s="318">
        <f t="shared" si="0"/>
        <v>17500</v>
      </c>
      <c r="T16" s="319"/>
      <c r="U16" s="337">
        <v>16100</v>
      </c>
      <c r="V16" s="338"/>
      <c r="W16" s="339"/>
    </row>
    <row r="17" spans="2:35" x14ac:dyDescent="0.3">
      <c r="B17" s="21"/>
      <c r="C17" s="21"/>
      <c r="D17" s="21"/>
      <c r="E17" s="21"/>
      <c r="F17" s="21"/>
      <c r="I17" s="25"/>
      <c r="J17" s="320" t="s">
        <v>32</v>
      </c>
      <c r="K17" s="321"/>
      <c r="L17" s="322"/>
      <c r="M17" s="323">
        <v>7700</v>
      </c>
      <c r="N17" s="324"/>
      <c r="O17" s="325"/>
      <c r="P17" s="53"/>
      <c r="Q17" s="25"/>
      <c r="R17" s="67">
        <f t="shared" si="1"/>
        <v>20000</v>
      </c>
      <c r="S17" s="290">
        <f t="shared" si="0"/>
        <v>20000</v>
      </c>
      <c r="T17" s="291"/>
      <c r="U17" s="292">
        <v>18400</v>
      </c>
      <c r="V17" s="293"/>
      <c r="W17" s="294"/>
    </row>
    <row r="18" spans="2:35" x14ac:dyDescent="0.3">
      <c r="B18" s="21" t="s">
        <v>48</v>
      </c>
      <c r="C18" s="21"/>
      <c r="E18" s="21"/>
      <c r="F18" s="21"/>
      <c r="I18" s="25"/>
      <c r="J18" s="326" t="s">
        <v>33</v>
      </c>
      <c r="K18" s="327"/>
      <c r="L18" s="328"/>
      <c r="M18" s="329">
        <v>7700</v>
      </c>
      <c r="N18" s="330"/>
      <c r="O18" s="331"/>
      <c r="P18" s="41"/>
      <c r="Q18" s="25"/>
      <c r="R18" s="67">
        <f t="shared" si="1"/>
        <v>22500</v>
      </c>
      <c r="S18" s="318">
        <f t="shared" si="0"/>
        <v>22500</v>
      </c>
      <c r="T18" s="319"/>
      <c r="U18" s="302">
        <v>20700</v>
      </c>
      <c r="V18" s="302"/>
      <c r="W18" s="303"/>
    </row>
    <row r="19" spans="2:35" ht="15" thickBot="1" x14ac:dyDescent="0.35">
      <c r="B19" s="57" t="s">
        <v>49</v>
      </c>
      <c r="C19" s="21"/>
      <c r="D19" s="21"/>
      <c r="E19" s="21"/>
      <c r="F19" s="21"/>
      <c r="Q19" s="25"/>
      <c r="R19" s="64">
        <f t="shared" si="1"/>
        <v>25000</v>
      </c>
      <c r="S19" s="352">
        <f t="shared" si="0"/>
        <v>25000</v>
      </c>
      <c r="T19" s="353"/>
      <c r="U19" s="354">
        <v>23000</v>
      </c>
      <c r="V19" s="355"/>
      <c r="W19" s="356"/>
    </row>
    <row r="20" spans="2:35" ht="15" thickTop="1" x14ac:dyDescent="0.3">
      <c r="B20" s="21"/>
      <c r="C20" s="21"/>
      <c r="D20" s="21"/>
      <c r="E20" s="21"/>
      <c r="F20" s="21"/>
    </row>
    <row r="21" spans="2:35" x14ac:dyDescent="0.3">
      <c r="B21" s="21"/>
      <c r="C21" s="21"/>
      <c r="D21" s="21"/>
      <c r="E21" s="21"/>
      <c r="F21" s="58"/>
      <c r="G21" s="58"/>
      <c r="H21" s="58"/>
      <c r="I21" s="58"/>
      <c r="J21" s="21"/>
      <c r="K21" s="21"/>
      <c r="L21" s="21"/>
    </row>
    <row r="22" spans="2:35" x14ac:dyDescent="0.3">
      <c r="H22" s="59"/>
    </row>
    <row r="23" spans="2:35" x14ac:dyDescent="0.3">
      <c r="G23" s="350" t="s">
        <v>50</v>
      </c>
      <c r="H23" s="350"/>
      <c r="I23" s="350"/>
      <c r="J23" s="350"/>
      <c r="K23" s="350"/>
      <c r="L23" s="350"/>
      <c r="M23" s="350"/>
      <c r="N23" s="350"/>
      <c r="O23" s="350"/>
      <c r="P23" s="350"/>
      <c r="Q23" s="350"/>
      <c r="R23" s="350"/>
      <c r="S23" s="350"/>
      <c r="T23" s="350"/>
      <c r="U23" s="350"/>
      <c r="V23" s="350"/>
      <c r="W23" s="350"/>
      <c r="X23" s="350"/>
      <c r="Y23" s="350"/>
      <c r="Z23" s="350"/>
      <c r="AA23" s="350"/>
      <c r="AB23" s="350"/>
      <c r="AC23" s="350"/>
      <c r="AD23" s="350"/>
      <c r="AE23" s="350"/>
      <c r="AF23" s="350"/>
      <c r="AG23" s="350"/>
      <c r="AH23" s="350"/>
    </row>
    <row r="24" spans="2:35" x14ac:dyDescent="0.3">
      <c r="B24" s="92"/>
      <c r="C24" s="92"/>
      <c r="D24" s="92"/>
      <c r="E24" s="92"/>
      <c r="F24" s="92"/>
      <c r="G24" s="92"/>
      <c r="H24" s="92"/>
      <c r="I24" s="92"/>
      <c r="J24" s="92"/>
      <c r="K24" s="92"/>
      <c r="L24" s="92"/>
      <c r="M24" s="92"/>
      <c r="N24" s="92"/>
      <c r="O24" s="92"/>
      <c r="P24" s="92"/>
      <c r="Q24" s="92"/>
      <c r="R24" s="92"/>
      <c r="X24" s="92"/>
      <c r="Y24" s="92"/>
      <c r="Z24" s="92"/>
      <c r="AA24" s="92"/>
      <c r="AB24" s="92"/>
      <c r="AC24" s="92"/>
      <c r="AD24" s="92"/>
      <c r="AE24" s="92"/>
      <c r="AF24" s="92"/>
      <c r="AG24" s="92"/>
      <c r="AH24" s="92"/>
      <c r="AI24" s="92"/>
    </row>
    <row r="25" spans="2:35" x14ac:dyDescent="0.3">
      <c r="B25" s="357" t="s">
        <v>51</v>
      </c>
      <c r="C25" s="357"/>
      <c r="D25" s="358" t="s">
        <v>52</v>
      </c>
      <c r="E25" s="358"/>
      <c r="F25" s="358"/>
      <c r="G25" s="93"/>
      <c r="H25" s="93"/>
      <c r="I25" s="93"/>
      <c r="J25" s="93"/>
      <c r="K25" s="93"/>
      <c r="L25" s="93"/>
      <c r="M25" s="93"/>
      <c r="N25" s="93"/>
      <c r="O25" s="93"/>
      <c r="P25" s="93"/>
      <c r="Q25" s="93"/>
      <c r="R25" s="93"/>
      <c r="S25" s="92"/>
      <c r="T25" s="92"/>
      <c r="U25" s="92"/>
      <c r="V25" s="92"/>
      <c r="W25" s="92"/>
      <c r="X25" s="94"/>
      <c r="Y25" s="94"/>
      <c r="Z25" s="94"/>
      <c r="AA25" s="95"/>
      <c r="AB25" s="94"/>
      <c r="AC25" s="96"/>
      <c r="AD25" s="94"/>
      <c r="AE25" s="94"/>
      <c r="AF25" s="94"/>
      <c r="AG25" s="94"/>
      <c r="AH25" s="94"/>
      <c r="AI25" s="92"/>
    </row>
    <row r="26" spans="2:35" x14ac:dyDescent="0.3">
      <c r="B26" s="60"/>
      <c r="C26" s="60"/>
      <c r="D26" s="61"/>
      <c r="E26" s="61"/>
      <c r="F26" s="61"/>
      <c r="G26" s="97" t="s">
        <v>178</v>
      </c>
      <c r="H26" s="97" t="s">
        <v>179</v>
      </c>
      <c r="I26" s="97" t="s">
        <v>180</v>
      </c>
      <c r="J26" s="97" t="s">
        <v>181</v>
      </c>
      <c r="K26" s="97" t="s">
        <v>182</v>
      </c>
      <c r="L26" s="97" t="s">
        <v>183</v>
      </c>
      <c r="M26" s="97" t="s">
        <v>184</v>
      </c>
      <c r="N26" s="97" t="s">
        <v>185</v>
      </c>
      <c r="O26" s="97" t="s">
        <v>186</v>
      </c>
      <c r="P26" s="98" t="s">
        <v>187</v>
      </c>
      <c r="Q26" s="98" t="s">
        <v>188</v>
      </c>
      <c r="R26" s="98" t="s">
        <v>189</v>
      </c>
      <c r="S26" s="98" t="s">
        <v>190</v>
      </c>
      <c r="T26" s="98" t="s">
        <v>191</v>
      </c>
      <c r="U26" s="98" t="s">
        <v>192</v>
      </c>
      <c r="V26" s="99" t="s">
        <v>53</v>
      </c>
      <c r="W26" s="99" t="s">
        <v>54</v>
      </c>
      <c r="X26" s="99" t="s">
        <v>55</v>
      </c>
      <c r="Y26" s="99" t="s">
        <v>56</v>
      </c>
      <c r="Z26" s="99" t="s">
        <v>57</v>
      </c>
      <c r="AA26" s="99" t="s">
        <v>58</v>
      </c>
      <c r="AB26" s="99" t="s">
        <v>59</v>
      </c>
      <c r="AC26" s="100" t="s">
        <v>60</v>
      </c>
      <c r="AD26" s="99" t="s">
        <v>61</v>
      </c>
      <c r="AE26" s="99" t="s">
        <v>62</v>
      </c>
      <c r="AF26" s="101" t="s">
        <v>63</v>
      </c>
      <c r="AG26" s="101" t="s">
        <v>64</v>
      </c>
      <c r="AH26" s="99" t="s">
        <v>65</v>
      </c>
    </row>
    <row r="27" spans="2:35" x14ac:dyDescent="0.3">
      <c r="B27" s="62"/>
      <c r="C27" s="62"/>
      <c r="D27" s="62"/>
      <c r="E27" s="62"/>
      <c r="F27" s="62"/>
      <c r="G27" s="92"/>
      <c r="H27" s="92"/>
      <c r="I27" s="92"/>
      <c r="J27" s="92"/>
      <c r="K27" s="92"/>
      <c r="L27" s="92"/>
      <c r="M27" s="92"/>
      <c r="N27" s="92"/>
      <c r="O27" s="92"/>
      <c r="P27" s="92"/>
      <c r="Q27" s="92"/>
      <c r="R27" s="92"/>
      <c r="S27" s="92"/>
      <c r="T27" s="92"/>
      <c r="U27" s="92"/>
      <c r="V27" s="92"/>
      <c r="W27" s="92"/>
      <c r="X27" s="92"/>
      <c r="Y27" s="92"/>
      <c r="Z27" s="92"/>
      <c r="AA27" s="92"/>
      <c r="AB27" s="92"/>
      <c r="AC27" s="92"/>
      <c r="AD27" s="92"/>
      <c r="AE27" s="92"/>
      <c r="AF27" s="92"/>
      <c r="AG27" s="92"/>
      <c r="AH27" s="92"/>
    </row>
    <row r="28" spans="2:35" x14ac:dyDescent="0.3">
      <c r="B28" s="62"/>
      <c r="C28" s="62"/>
      <c r="D28" s="62"/>
      <c r="E28" s="62"/>
      <c r="F28" s="62"/>
      <c r="G28" s="102" t="s">
        <v>49</v>
      </c>
      <c r="H28" s="102" t="s">
        <v>49</v>
      </c>
      <c r="I28" s="102" t="s">
        <v>49</v>
      </c>
      <c r="J28" s="102" t="s">
        <v>49</v>
      </c>
      <c r="K28" s="102" t="s">
        <v>49</v>
      </c>
      <c r="L28" s="102" t="s">
        <v>49</v>
      </c>
      <c r="M28" s="102" t="s">
        <v>49</v>
      </c>
      <c r="N28" s="102" t="s">
        <v>49</v>
      </c>
      <c r="O28" s="102" t="s">
        <v>48</v>
      </c>
      <c r="P28" s="102" t="s">
        <v>48</v>
      </c>
      <c r="Q28" s="102" t="s">
        <v>48</v>
      </c>
      <c r="R28" s="102" t="s">
        <v>49</v>
      </c>
      <c r="S28" s="102" t="s">
        <v>49</v>
      </c>
      <c r="T28" s="102" t="s">
        <v>49</v>
      </c>
      <c r="U28" s="102" t="s">
        <v>48</v>
      </c>
      <c r="V28" s="102" t="s">
        <v>49</v>
      </c>
      <c r="W28" s="102" t="s">
        <v>49</v>
      </c>
      <c r="X28" s="102" t="s">
        <v>49</v>
      </c>
      <c r="Y28" s="102" t="s">
        <v>49</v>
      </c>
      <c r="Z28" s="102" t="s">
        <v>49</v>
      </c>
      <c r="AA28" s="102" t="s">
        <v>49</v>
      </c>
      <c r="AB28" s="102" t="s">
        <v>49</v>
      </c>
      <c r="AC28" s="102" t="s">
        <v>49</v>
      </c>
      <c r="AD28" s="102" t="s">
        <v>49</v>
      </c>
      <c r="AE28" s="102" t="s">
        <v>49</v>
      </c>
      <c r="AF28" s="102" t="s">
        <v>49</v>
      </c>
      <c r="AG28" s="102" t="s">
        <v>49</v>
      </c>
      <c r="AH28" s="102" t="s">
        <v>49</v>
      </c>
    </row>
    <row r="29" spans="2:35" x14ac:dyDescent="0.3">
      <c r="B29" s="349">
        <f>S10</f>
        <v>2500</v>
      </c>
      <c r="C29" s="349"/>
      <c r="D29" s="347">
        <f>SUM(G29:AH29)</f>
        <v>2500.0140999999999</v>
      </c>
      <c r="E29" s="347"/>
      <c r="F29" s="347"/>
      <c r="G29" s="103" t="str">
        <f>IF(G28="Montar",1+G30,"")</f>
        <v/>
      </c>
      <c r="H29" s="104" t="str">
        <f>IF(H28="Montar",2+H30,"")</f>
        <v/>
      </c>
      <c r="I29" s="103" t="str">
        <f>IF(I28="Montar",2+I30,"")</f>
        <v/>
      </c>
      <c r="J29" s="103" t="str">
        <f>IF(J28="Montar",5+J30,"")</f>
        <v/>
      </c>
      <c r="K29" s="105" t="str">
        <f>IF(K28="Montar",10+K30,"")</f>
        <v/>
      </c>
      <c r="L29" s="103" t="str">
        <f>IF(L28="Montar",20+L30,"")</f>
        <v/>
      </c>
      <c r="M29" s="103" t="str">
        <f>IF(M28="Montar",20+M30,"")</f>
        <v/>
      </c>
      <c r="N29" s="103" t="str">
        <f>IF(N28="Montar",50+N30,"")</f>
        <v/>
      </c>
      <c r="O29" s="104">
        <f>IF(O28="Montar",100+O30,"")</f>
        <v>100.00069999999999</v>
      </c>
      <c r="P29" s="104">
        <f>IF(P28="Montar",200+P30,"")</f>
        <v>200.0008</v>
      </c>
      <c r="Q29" s="104">
        <f>IF(Q28="Montar",200+Q30,"")</f>
        <v>200.0016</v>
      </c>
      <c r="R29" s="105" t="str">
        <f>IF(R28="Montar",500+R30,"")</f>
        <v/>
      </c>
      <c r="S29" s="106" t="str">
        <f>IF(S28="Montar",1000+S30,"")</f>
        <v/>
      </c>
      <c r="T29" s="106" t="str">
        <f>IF(T28="Montar",1000+T30,"")</f>
        <v/>
      </c>
      <c r="U29" s="106">
        <f>IF(U28="Montar",2000+U30,"")</f>
        <v>2000.011</v>
      </c>
      <c r="V29" s="106" t="str">
        <f>IF(V28="Montar",5000+V30,"")</f>
        <v/>
      </c>
      <c r="W29" s="106" t="str">
        <f>IF(W28="Montar",5000+W30,"")</f>
        <v/>
      </c>
      <c r="X29" s="107" t="str">
        <f>IF(X28="Montar",10000+X30,"")</f>
        <v/>
      </c>
      <c r="Y29" s="107" t="str">
        <f>IF(Y28="Montar",10000+Y30,"")</f>
        <v/>
      </c>
      <c r="Z29" s="106" t="str">
        <f>IF(Z28="Montar",(20000+Z30),"")</f>
        <v/>
      </c>
      <c r="AA29" s="106" t="str">
        <f>IF(AA28="Montar",(20000+AA30),"")</f>
        <v/>
      </c>
      <c r="AB29" s="107" t="str">
        <f t="shared" ref="AB29:AH29" si="2">IF(AB28="Montar",20000+AB30,"")</f>
        <v/>
      </c>
      <c r="AC29" s="107" t="str">
        <f t="shared" si="2"/>
        <v/>
      </c>
      <c r="AD29" s="107" t="str">
        <f t="shared" si="2"/>
        <v/>
      </c>
      <c r="AE29" s="107" t="str">
        <f t="shared" si="2"/>
        <v/>
      </c>
      <c r="AF29" s="107" t="str">
        <f t="shared" si="2"/>
        <v/>
      </c>
      <c r="AG29" s="106" t="str">
        <f t="shared" si="2"/>
        <v/>
      </c>
      <c r="AH29" s="106" t="str">
        <f t="shared" si="2"/>
        <v/>
      </c>
    </row>
    <row r="30" spans="2:35" x14ac:dyDescent="0.3">
      <c r="B30" s="62"/>
      <c r="C30" s="62"/>
      <c r="D30" s="347">
        <f>SUM(G30:AH30)</f>
        <v>1.41E-2</v>
      </c>
      <c r="E30" s="347"/>
      <c r="F30" s="347"/>
      <c r="G30" s="103" t="str">
        <f>IF(G28="Montar",PATRÓN!$J$3,"")</f>
        <v/>
      </c>
      <c r="H30" s="103" t="str">
        <f>IF(H28="Montar",PATRÓN!$J$4,"")</f>
        <v/>
      </c>
      <c r="I30" s="104" t="str">
        <f>IF(I28="Montar",PATRÓN!$J$5,"")</f>
        <v/>
      </c>
      <c r="J30" s="104" t="str">
        <f>IF(J28="Montar",PATRÓN!$J$6,"")</f>
        <v/>
      </c>
      <c r="K30" s="104" t="str">
        <f>IF(K28="Montar",PATRÓN!$J$7,"")</f>
        <v/>
      </c>
      <c r="L30" s="104" t="str">
        <f>IF(L28="Montar",PATRÓN!$J$8,"")</f>
        <v/>
      </c>
      <c r="M30" s="104" t="str">
        <f>IF(M28="Montar",PATRÓN!$J$9,"")</f>
        <v/>
      </c>
      <c r="N30" s="104" t="str">
        <f>IF(N28="Montar",PATRÓN!$J$10,"")</f>
        <v/>
      </c>
      <c r="O30" s="104">
        <f>IF(O28="Montar",PATRÓN!$J$11,"")</f>
        <v>6.9999999999999999E-4</v>
      </c>
      <c r="P30" s="104">
        <f>IF(P28="Montar",PATRÓN!$J$12,"")</f>
        <v>8.0000000000000004E-4</v>
      </c>
      <c r="Q30" s="104">
        <f>IF(Q28="Montar",PATRÓN!$J$13,"")</f>
        <v>1.6000000000000001E-3</v>
      </c>
      <c r="R30" s="104" t="str">
        <f>IF(R28="Montar",PATRÓN!$J$14,"")</f>
        <v/>
      </c>
      <c r="S30" s="104" t="str">
        <f>IF(S28="Montar",PATRÓN!$J$15,"")</f>
        <v/>
      </c>
      <c r="T30" s="104" t="str">
        <f>IF(T28="Montar",PATRÓN!$J$16,"")</f>
        <v/>
      </c>
      <c r="U30" s="104">
        <f>IF(U28="Montar",PATRÓN!$J$17,"")</f>
        <v>1.0999999999999999E-2</v>
      </c>
      <c r="V30" s="104" t="str">
        <f>IF(V28="Montar",PATRÓN!$J$19,"")</f>
        <v/>
      </c>
      <c r="W30" s="104" t="str">
        <f>IF(W28="Montar",PATRÓN!$J$20,"")</f>
        <v/>
      </c>
      <c r="X30" s="104" t="str">
        <f>IF(X28="Montar",PATRÓN!$J$21,"")</f>
        <v/>
      </c>
      <c r="Y30" s="104" t="str">
        <f>IF(Y28="Montar",PATRÓN!$J$22,"")</f>
        <v/>
      </c>
      <c r="Z30" s="104" t="str">
        <f>IF(Z28="Montar",PATRÓN!$J$23,"")</f>
        <v/>
      </c>
      <c r="AA30" s="104" t="str">
        <f>IF(AA28="Montar",PATRÓN!$J$24,"")</f>
        <v/>
      </c>
      <c r="AB30" s="104" t="str">
        <f>IF(AB28="Montar",PATRÓN!$J$25,"")</f>
        <v/>
      </c>
      <c r="AC30" s="104" t="str">
        <f>IF(AC28="Montar",PATRÓN!$J$26,"")</f>
        <v/>
      </c>
      <c r="AD30" s="104" t="str">
        <f>IF(AD28="Montar",PATRÓN!$J$27,"")</f>
        <v/>
      </c>
      <c r="AE30" s="104" t="str">
        <f>IF(AE28="Montar",PATRÓN!$J$28,"")</f>
        <v/>
      </c>
      <c r="AF30" s="104" t="str">
        <f>IF(AF28="Montar",PATRÓN!$J$29,"")</f>
        <v/>
      </c>
      <c r="AG30" s="104" t="str">
        <f>IF(AG28="Montar",PATRÓN!$J$30,"")</f>
        <v/>
      </c>
      <c r="AH30" s="105" t="str">
        <f>IF(AH28="Montar",PATRÓN!$J$31,"")</f>
        <v/>
      </c>
    </row>
    <row r="31" spans="2:35" x14ac:dyDescent="0.3">
      <c r="B31" s="62"/>
      <c r="C31" s="62"/>
      <c r="D31" s="347">
        <f>SUM(G31:AH31)</f>
        <v>4.1300000000000003E-2</v>
      </c>
      <c r="E31" s="347"/>
      <c r="F31" s="347"/>
      <c r="G31" s="103" t="str">
        <f>IF(G28="Montar",PATRÓN!$M$3,"")</f>
        <v/>
      </c>
      <c r="H31" s="103" t="str">
        <f>IF(H28="Montar",PATRÓN!$M$4,"")</f>
        <v/>
      </c>
      <c r="I31" s="103" t="str">
        <f>IF(I28="Montar",PATRÓN!$M$5,"")</f>
        <v/>
      </c>
      <c r="J31" s="103" t="str">
        <f>IF(J28="Montar",PATRÓN!$M$6,"")</f>
        <v/>
      </c>
      <c r="K31" s="103" t="str">
        <f>IF(K28="Montar",PATRÓN!$M$7,"")</f>
        <v/>
      </c>
      <c r="L31" s="103" t="str">
        <f>IF(L28="Montar",PATRÓN!$M$8,"")</f>
        <v/>
      </c>
      <c r="M31" s="103" t="str">
        <f>IF(M28="Montar",PATRÓN!$M$9,"")</f>
        <v/>
      </c>
      <c r="N31" s="103" t="str">
        <f>IF(N28="Montar",PATRÓN!$M$10,"")</f>
        <v/>
      </c>
      <c r="O31" s="103">
        <f>IF(O28="Montar",PATRÓN!$M$11,"")</f>
        <v>1.6999999999999999E-3</v>
      </c>
      <c r="P31" s="103">
        <f>IF(P28="Montar",PATRÓN!$M$12,"")</f>
        <v>3.3E-3</v>
      </c>
      <c r="Q31" s="103">
        <f>IF(Q28="Montar",PATRÓN!$M$13,"")</f>
        <v>3.3E-3</v>
      </c>
      <c r="R31" s="103" t="str">
        <f>IF(R28="Montar",PATRÓN!$M$14,"")</f>
        <v/>
      </c>
      <c r="S31" s="103" t="str">
        <f>IF(S28="Montar",PATRÓN!$M$15,"")</f>
        <v/>
      </c>
      <c r="T31" s="103" t="str">
        <f>IF(T28="Montar",PATRÓN!$M$16,"")</f>
        <v/>
      </c>
      <c r="U31" s="103">
        <f>IF(U28="Montar",PATRÓN!$M$17,"")</f>
        <v>3.3000000000000002E-2</v>
      </c>
      <c r="V31" s="103" t="str">
        <f>IF(V28="Montar",PATRÓN!$M$19,"")</f>
        <v/>
      </c>
      <c r="W31" s="103" t="str">
        <f>IF(W28="Montar",PATRÓN!$M$20,"")</f>
        <v/>
      </c>
      <c r="X31" s="103" t="str">
        <f>IF(X28="Montar",PATRÓN!$M$21,"")</f>
        <v/>
      </c>
      <c r="Y31" s="103" t="str">
        <f>IF(Y28="Montar",PATRÓN!$M$22,"")</f>
        <v/>
      </c>
      <c r="Z31" s="103" t="str">
        <f>IF(Z28="Montar",PATRÓN!$M$23,"")</f>
        <v/>
      </c>
      <c r="AA31" s="103" t="str">
        <f>IF(AA28="Montar",PATRÓN!$M$24,"")</f>
        <v/>
      </c>
      <c r="AB31" s="103" t="str">
        <f>IF(AB28="Montar",PATRÓN!$M$25,"")</f>
        <v/>
      </c>
      <c r="AC31" s="103" t="str">
        <f>IF(AC28="Montar",PATRÓN!$M$26,"")</f>
        <v/>
      </c>
      <c r="AD31" s="103" t="str">
        <f>IF(AD28="Montar",PATRÓN!$M$27,"")</f>
        <v/>
      </c>
      <c r="AE31" s="103" t="str">
        <f>IF(AE28="Montar",PATRÓN!$M$28,"")</f>
        <v/>
      </c>
      <c r="AF31" s="103" t="str">
        <f>IF(AF28="Montar",PATRÓN!$M$29,"")</f>
        <v/>
      </c>
      <c r="AG31" s="103" t="str">
        <f>IF(AG28="Montar",PATRÓN!$M$30,"")</f>
        <v/>
      </c>
      <c r="AH31" s="103" t="str">
        <f>IF(AH28="Montar",PATRÓN!$M$31,"")</f>
        <v/>
      </c>
    </row>
    <row r="32" spans="2:35" x14ac:dyDescent="0.3">
      <c r="B32" s="62"/>
      <c r="C32" s="62"/>
      <c r="D32" s="351">
        <f>SUM(G32:AH32)</f>
        <v>0.125</v>
      </c>
      <c r="E32" s="351"/>
      <c r="F32" s="351"/>
      <c r="G32" s="104" t="str">
        <f>IF(G28="Montar",PATRÓN!$K$3,"")</f>
        <v/>
      </c>
      <c r="H32" s="104" t="str">
        <f>IF(H28="Montar",PATRÓN!$K$4,"")</f>
        <v/>
      </c>
      <c r="I32" s="104" t="str">
        <f>IF(I28="Montar",PATRÓN!$K$5,"")</f>
        <v/>
      </c>
      <c r="J32" s="104" t="str">
        <f>IF(J28="Montar",PATRÓN!$K$6,"")</f>
        <v/>
      </c>
      <c r="K32" s="104" t="str">
        <f>IF(K28="Montar",PATRÓN!$K$7,"")</f>
        <v/>
      </c>
      <c r="L32" s="104" t="str">
        <f>IF(L28="Montar",PATRÓN!$K$8,"")</f>
        <v/>
      </c>
      <c r="M32" s="104" t="str">
        <f>IF(M28="Montar",PATRÓN!$K$9,"")</f>
        <v/>
      </c>
      <c r="N32" s="104" t="str">
        <f>IF(N28="Montar",PATRÓN!$K$10,"")</f>
        <v/>
      </c>
      <c r="O32" s="104">
        <f>IF(O28="Montar",PATRÓN!$K$11,"")</f>
        <v>5.0000000000000001E-3</v>
      </c>
      <c r="P32" s="104">
        <f>IF(P28="Montar",PATRÓN!$K$12,"")</f>
        <v>0.01</v>
      </c>
      <c r="Q32" s="104">
        <f>IF(Q28="Montar",PATRÓN!$K$13,"")</f>
        <v>0.01</v>
      </c>
      <c r="R32" s="104" t="str">
        <f>IF(R28="Montar",PATRÓN!$K$14,"")</f>
        <v/>
      </c>
      <c r="S32" s="104" t="str">
        <f>IF(S28="Montar",PATRÓN!$K$15,"")</f>
        <v/>
      </c>
      <c r="T32" s="104" t="str">
        <f>IF(T28="Montar",PATRÓN!$K$16,"")</f>
        <v/>
      </c>
      <c r="U32" s="104">
        <f>IF(U28="Montar",PATRÓN!$K$17,"")</f>
        <v>0.1</v>
      </c>
      <c r="V32" s="104" t="str">
        <f>IF(V28="Montar",PATRÓN!$K$19,"")</f>
        <v/>
      </c>
      <c r="W32" s="104" t="str">
        <f>IF(W28="Montar",PATRÓN!$K$20,"")</f>
        <v/>
      </c>
      <c r="X32" s="104" t="str">
        <f>IF(X28="Montar",PATRÓN!$K$21,"")</f>
        <v/>
      </c>
      <c r="Y32" s="104" t="str">
        <f>IF(Y28="Montar",PATRÓN!$K$22,"")</f>
        <v/>
      </c>
      <c r="Z32" s="104" t="str">
        <f>IF(Z28="Montar",PATRÓN!$K$23,"")</f>
        <v/>
      </c>
      <c r="AA32" s="104" t="str">
        <f>IF(AA28="Montar",PATRÓN!$K$24,"")</f>
        <v/>
      </c>
      <c r="AB32" s="104" t="str">
        <f>IF(AB28="Montar",PATRÓN!$K$25,"")</f>
        <v/>
      </c>
      <c r="AC32" s="104" t="str">
        <f>IF(AC28="Montar",PATRÓN!$K$26,"")</f>
        <v/>
      </c>
      <c r="AD32" s="104" t="str">
        <f>IF(AD28="Montar",PATRÓN!$K$27,"")</f>
        <v/>
      </c>
      <c r="AE32" s="104" t="str">
        <f>IF(AE28="Montar",PATRÓN!$K$28,"")</f>
        <v/>
      </c>
      <c r="AF32" s="104" t="str">
        <f>IF(AF28="Montar",PATRÓN!$K$29,"")</f>
        <v/>
      </c>
      <c r="AG32" s="104" t="str">
        <f>IF(AG28="Montar",PATRÓN!$K$30,"")</f>
        <v/>
      </c>
      <c r="AH32" s="104" t="str">
        <f>IF(AH28="Montar",PATRÓN!$K$31,"")</f>
        <v/>
      </c>
    </row>
    <row r="33" spans="2:34" x14ac:dyDescent="0.3">
      <c r="B33" s="349"/>
      <c r="C33" s="349"/>
      <c r="D33" s="108"/>
      <c r="E33" s="108"/>
      <c r="F33" s="108"/>
      <c r="G33" s="102" t="s">
        <v>49</v>
      </c>
      <c r="H33" s="102" t="s">
        <v>49</v>
      </c>
      <c r="I33" s="102" t="s">
        <v>49</v>
      </c>
      <c r="J33" s="102" t="s">
        <v>49</v>
      </c>
      <c r="K33" s="102" t="s">
        <v>49</v>
      </c>
      <c r="L33" s="102" t="s">
        <v>49</v>
      </c>
      <c r="M33" s="102" t="s">
        <v>49</v>
      </c>
      <c r="N33" s="102" t="s">
        <v>49</v>
      </c>
      <c r="O33" s="102" t="s">
        <v>48</v>
      </c>
      <c r="P33" s="102" t="s">
        <v>48</v>
      </c>
      <c r="Q33" s="102" t="s">
        <v>48</v>
      </c>
      <c r="R33" s="102" t="s">
        <v>48</v>
      </c>
      <c r="S33" s="102" t="s">
        <v>48</v>
      </c>
      <c r="T33" s="102" t="s">
        <v>48</v>
      </c>
      <c r="U33" s="102" t="s">
        <v>48</v>
      </c>
      <c r="V33" s="102" t="s">
        <v>49</v>
      </c>
      <c r="W33" s="102" t="s">
        <v>49</v>
      </c>
      <c r="X33" s="102" t="s">
        <v>49</v>
      </c>
      <c r="Y33" s="102" t="s">
        <v>49</v>
      </c>
      <c r="Z33" s="102" t="s">
        <v>49</v>
      </c>
      <c r="AA33" s="102" t="s">
        <v>49</v>
      </c>
      <c r="AB33" s="102" t="s">
        <v>49</v>
      </c>
      <c r="AC33" s="102" t="s">
        <v>49</v>
      </c>
      <c r="AD33" s="102" t="s">
        <v>49</v>
      </c>
      <c r="AE33" s="102" t="s">
        <v>49</v>
      </c>
      <c r="AF33" s="102" t="s">
        <v>49</v>
      </c>
      <c r="AG33" s="102" t="s">
        <v>49</v>
      </c>
      <c r="AH33" s="102" t="s">
        <v>49</v>
      </c>
    </row>
    <row r="34" spans="2:34" x14ac:dyDescent="0.3">
      <c r="B34" s="349">
        <f>S11</f>
        <v>5000</v>
      </c>
      <c r="C34" s="349"/>
      <c r="D34" s="347">
        <f>SUM(G34:AH34)</f>
        <v>5000.0329999999994</v>
      </c>
      <c r="E34" s="347"/>
      <c r="F34" s="347"/>
      <c r="G34" s="103" t="str">
        <f>IF(G33="Montar",1+G35,"")</f>
        <v/>
      </c>
      <c r="H34" s="104" t="str">
        <f>IF(H33="Montar",2+H35,"")</f>
        <v/>
      </c>
      <c r="I34" s="103" t="str">
        <f>IF(I33="Montar",2+I35,"")</f>
        <v/>
      </c>
      <c r="J34" s="103" t="str">
        <f>IF(J33="Montar",5+J35,"")</f>
        <v/>
      </c>
      <c r="K34" s="105" t="str">
        <f>IF(K33="Montar",10+K35,"")</f>
        <v/>
      </c>
      <c r="L34" s="103" t="str">
        <f>IF(L33="Montar",20+L35,"")</f>
        <v/>
      </c>
      <c r="M34" s="103" t="str">
        <f>IF(M33="Montar",20+M35,"")</f>
        <v/>
      </c>
      <c r="N34" s="103" t="str">
        <f>IF(N33="Montar",50+N35,"")</f>
        <v/>
      </c>
      <c r="O34" s="104">
        <f>IF(O33="Montar",100+O35,"")</f>
        <v>100.00069999999999</v>
      </c>
      <c r="P34" s="104">
        <f>IF(P33="Montar",200+P35,"")</f>
        <v>200.0008</v>
      </c>
      <c r="Q34" s="104">
        <f>IF(Q33="Montar",200+Q35,"")</f>
        <v>200.0016</v>
      </c>
      <c r="R34" s="105">
        <f>IF(R33="Montar",500+R35,"")</f>
        <v>500.00290000000001</v>
      </c>
      <c r="S34" s="106">
        <f>IF(S33="Montar",1000+S35,"")</f>
        <v>1000.008</v>
      </c>
      <c r="T34" s="106">
        <f>IF(T33="Montar",1000+T35,"")</f>
        <v>1000.008</v>
      </c>
      <c r="U34" s="106">
        <f>IF(U33="Montar",2000+U35,"")</f>
        <v>2000.011</v>
      </c>
      <c r="V34" s="106" t="str">
        <f>IF(V33="Montar",5000+V35,"")</f>
        <v/>
      </c>
      <c r="W34" s="106" t="str">
        <f>IF(W33="Montar",5000+W35,"")</f>
        <v/>
      </c>
      <c r="X34" s="107" t="str">
        <f>IF(X33="Montar",10000+X35,"")</f>
        <v/>
      </c>
      <c r="Y34" s="107" t="str">
        <f>IF(Y33="Montar",10000+Y35,"")</f>
        <v/>
      </c>
      <c r="Z34" s="106" t="str">
        <f>IF(Z33="Montar",(20000+Z35),"")</f>
        <v/>
      </c>
      <c r="AA34" s="106" t="str">
        <f>IF(AA33="Montar",(20000+AA35),"")</f>
        <v/>
      </c>
      <c r="AB34" s="107" t="str">
        <f t="shared" ref="AB34:AH34" si="3">IF(AB33="Montar",20000+AB35,"")</f>
        <v/>
      </c>
      <c r="AC34" s="107" t="str">
        <f t="shared" si="3"/>
        <v/>
      </c>
      <c r="AD34" s="107" t="str">
        <f t="shared" si="3"/>
        <v/>
      </c>
      <c r="AE34" s="107" t="str">
        <f t="shared" si="3"/>
        <v/>
      </c>
      <c r="AF34" s="107" t="str">
        <f t="shared" si="3"/>
        <v/>
      </c>
      <c r="AG34" s="106" t="str">
        <f t="shared" si="3"/>
        <v/>
      </c>
      <c r="AH34" s="106" t="str">
        <f t="shared" si="3"/>
        <v/>
      </c>
    </row>
    <row r="35" spans="2:34" x14ac:dyDescent="0.3">
      <c r="B35" s="62"/>
      <c r="C35" s="62"/>
      <c r="D35" s="347">
        <f>SUM(G35:AH35)</f>
        <v>3.3000000000000002E-2</v>
      </c>
      <c r="E35" s="347"/>
      <c r="F35" s="347"/>
      <c r="G35" s="103" t="str">
        <f>IF(G33="Montar",PATRÓN!$J$3,"")</f>
        <v/>
      </c>
      <c r="H35" s="103" t="str">
        <f>IF(H33="Montar",PATRÓN!$J$4,"")</f>
        <v/>
      </c>
      <c r="I35" s="104" t="str">
        <f>IF(I33="Montar",PATRÓN!$J$5,"")</f>
        <v/>
      </c>
      <c r="J35" s="104" t="str">
        <f>IF(J33="Montar",PATRÓN!$J$6,"")</f>
        <v/>
      </c>
      <c r="K35" s="104" t="str">
        <f>IF(K33="Montar",PATRÓN!$J$7,"")</f>
        <v/>
      </c>
      <c r="L35" s="104" t="str">
        <f>IF(L33="Montar",PATRÓN!$J$8,"")</f>
        <v/>
      </c>
      <c r="M35" s="104" t="str">
        <f>IF(M33="Montar",PATRÓN!$J$9,"")</f>
        <v/>
      </c>
      <c r="N35" s="104" t="str">
        <f>IF(N33="Montar",PATRÓN!$J$10,"")</f>
        <v/>
      </c>
      <c r="O35" s="104">
        <f>IF(O33="Montar",PATRÓN!$J$11,"")</f>
        <v>6.9999999999999999E-4</v>
      </c>
      <c r="P35" s="104">
        <f>IF(P33="Montar",PATRÓN!$J$12,"")</f>
        <v>8.0000000000000004E-4</v>
      </c>
      <c r="Q35" s="104">
        <f>IF(Q33="Montar",PATRÓN!$J$13,"")</f>
        <v>1.6000000000000001E-3</v>
      </c>
      <c r="R35" s="104">
        <f>IF(R33="Montar",PATRÓN!$J$14,"")</f>
        <v>2.8999999999999998E-3</v>
      </c>
      <c r="S35" s="104">
        <f>IF(S33="Montar",PATRÓN!$J$15,"")</f>
        <v>8.0000000000000002E-3</v>
      </c>
      <c r="T35" s="104">
        <f>IF(T33="Montar",PATRÓN!$J$16,"")</f>
        <v>8.0000000000000002E-3</v>
      </c>
      <c r="U35" s="104">
        <f>IF(U33="Montar",PATRÓN!$J$17,"")</f>
        <v>1.0999999999999999E-2</v>
      </c>
      <c r="V35" s="104" t="str">
        <f>IF(V33="Montar",PATRÓN!$J$19,"")</f>
        <v/>
      </c>
      <c r="W35" s="104" t="str">
        <f>IF(W33="Montar",PATRÓN!$J$20,"")</f>
        <v/>
      </c>
      <c r="X35" s="104" t="str">
        <f>IF(X33="Montar",PATRÓN!$J$21,"")</f>
        <v/>
      </c>
      <c r="Y35" s="104" t="str">
        <f>IF(Y33="Montar",PATRÓN!$J$22,"")</f>
        <v/>
      </c>
      <c r="Z35" s="104" t="str">
        <f>IF(Z33="Montar",PATRÓN!$J$23,"")</f>
        <v/>
      </c>
      <c r="AA35" s="104" t="str">
        <f>IF(AA33="Montar",PATRÓN!$J$24,"")</f>
        <v/>
      </c>
      <c r="AB35" s="104" t="str">
        <f>IF(AB33="Montar",PATRÓN!$J$25,"")</f>
        <v/>
      </c>
      <c r="AC35" s="104" t="str">
        <f>IF(AC33="Montar",PATRÓN!$J$26,"")</f>
        <v/>
      </c>
      <c r="AD35" s="104" t="str">
        <f>IF(AD33="Montar",PATRÓN!$J$27,"")</f>
        <v/>
      </c>
      <c r="AE35" s="104" t="str">
        <f>IF(AE33="Montar",PATRÓN!$J$28,"")</f>
        <v/>
      </c>
      <c r="AF35" s="104" t="str">
        <f>IF(AF33="Montar",PATRÓN!$J$29,"")</f>
        <v/>
      </c>
      <c r="AG35" s="104" t="str">
        <f>IF(AG33="Montar",PATRÓN!$J$30,"")</f>
        <v/>
      </c>
      <c r="AH35" s="105" t="str">
        <f>IF(AH33="Montar",PATRÓN!$J$31,"")</f>
        <v/>
      </c>
    </row>
    <row r="36" spans="2:34" x14ac:dyDescent="0.3">
      <c r="B36" s="62"/>
      <c r="C36" s="62"/>
      <c r="D36" s="347">
        <f>SUM(G36:AH36)</f>
        <v>9.9600000000000008E-2</v>
      </c>
      <c r="E36" s="347"/>
      <c r="F36" s="347"/>
      <c r="G36" s="103" t="str">
        <f>IF(G33="Montar",PATRÓN!$M$3,"")</f>
        <v/>
      </c>
      <c r="H36" s="103" t="str">
        <f>IF(H33="Montar",PATRÓN!$M$4,"")</f>
        <v/>
      </c>
      <c r="I36" s="103" t="str">
        <f>IF(I33="Montar",PATRÓN!$M$5,"")</f>
        <v/>
      </c>
      <c r="J36" s="103" t="str">
        <f>IF(J33="Montar",PATRÓN!$M$6,"")</f>
        <v/>
      </c>
      <c r="K36" s="103" t="str">
        <f>IF(K33="Montar",PATRÓN!$M$7,"")</f>
        <v/>
      </c>
      <c r="L36" s="103" t="str">
        <f>IF(L33="Montar",PATRÓN!$M$8,"")</f>
        <v/>
      </c>
      <c r="M36" s="103" t="str">
        <f>IF(M33="Montar",PATRÓN!$M$9,"")</f>
        <v/>
      </c>
      <c r="N36" s="103" t="str">
        <f>IF(N33="Montar",PATRÓN!$M$10,"")</f>
        <v/>
      </c>
      <c r="O36" s="103">
        <f>IF(O33="Montar",PATRÓN!$M$11,"")</f>
        <v>1.6999999999999999E-3</v>
      </c>
      <c r="P36" s="103">
        <f>IF(P33="Montar",PATRÓN!$M$12,"")</f>
        <v>3.3E-3</v>
      </c>
      <c r="Q36" s="103">
        <f>IF(Q33="Montar",PATRÓN!$M$13,"")</f>
        <v>3.3E-3</v>
      </c>
      <c r="R36" s="103">
        <f>IF(R33="Montar",PATRÓN!$M$14,"")</f>
        <v>8.3000000000000001E-3</v>
      </c>
      <c r="S36" s="103">
        <f>IF(S33="Montar",PATRÓN!$M$15,"")</f>
        <v>1.7000000000000001E-2</v>
      </c>
      <c r="T36" s="103">
        <f>IF(T33="Montar",PATRÓN!$M$16,"")</f>
        <v>3.3000000000000002E-2</v>
      </c>
      <c r="U36" s="103">
        <f>IF(U33="Montar",PATRÓN!$M$17,"")</f>
        <v>3.3000000000000002E-2</v>
      </c>
      <c r="V36" s="103" t="str">
        <f>IF(V33="Montar",PATRÓN!$M$19,"")</f>
        <v/>
      </c>
      <c r="W36" s="103" t="str">
        <f>IF(W33="Montar",PATRÓN!$M$20,"")</f>
        <v/>
      </c>
      <c r="X36" s="103" t="str">
        <f>IF(X33="Montar",PATRÓN!$M$21,"")</f>
        <v/>
      </c>
      <c r="Y36" s="103" t="str">
        <f>IF(Y33="Montar",PATRÓN!$M$22,"")</f>
        <v/>
      </c>
      <c r="Z36" s="103" t="str">
        <f>IF(Z33="Montar",PATRÓN!$M$23,"")</f>
        <v/>
      </c>
      <c r="AA36" s="103" t="str">
        <f>IF(AA33="Montar",PATRÓN!$M$24,"")</f>
        <v/>
      </c>
      <c r="AB36" s="103" t="str">
        <f>IF(AB33="Montar",PATRÓN!$M$25,"")</f>
        <v/>
      </c>
      <c r="AC36" s="103" t="str">
        <f>IF(AC33="Montar",PATRÓN!$M$26,"")</f>
        <v/>
      </c>
      <c r="AD36" s="103" t="str">
        <f>IF(AD33="Montar",PATRÓN!$M$27,"")</f>
        <v/>
      </c>
      <c r="AE36" s="103" t="str">
        <f>IF(AE33="Montar",PATRÓN!$M$28,"")</f>
        <v/>
      </c>
      <c r="AF36" s="103" t="str">
        <f>IF(AF33="Montar",PATRÓN!$M$29,"")</f>
        <v/>
      </c>
      <c r="AG36" s="103" t="str">
        <f>IF(AG33="Montar",PATRÓN!$M$30,"")</f>
        <v/>
      </c>
      <c r="AH36" s="103" t="str">
        <f>IF(AH33="Montar",PATRÓN!$M$31,"")</f>
        <v/>
      </c>
    </row>
    <row r="37" spans="2:34" x14ac:dyDescent="0.3">
      <c r="B37" s="62"/>
      <c r="C37" s="62"/>
      <c r="D37" s="348">
        <f>SUM(G37:AH37)</f>
        <v>0.30000000000000004</v>
      </c>
      <c r="E37" s="348"/>
      <c r="F37" s="348"/>
      <c r="G37" s="104" t="str">
        <f>IF(G33="Montar",PATRÓN!$K$3,"")</f>
        <v/>
      </c>
      <c r="H37" s="104" t="str">
        <f>IF(H33="Montar",PATRÓN!$K$4,"")</f>
        <v/>
      </c>
      <c r="I37" s="104" t="str">
        <f>IF(I33="Montar",PATRÓN!$K$5,"")</f>
        <v/>
      </c>
      <c r="J37" s="104" t="str">
        <f>IF(J33="Montar",PATRÓN!$K$6,"")</f>
        <v/>
      </c>
      <c r="K37" s="104" t="str">
        <f>IF(K33="Montar",PATRÓN!$K$7,"")</f>
        <v/>
      </c>
      <c r="L37" s="104" t="str">
        <f>IF(L33="Montar",PATRÓN!$K$8,"")</f>
        <v/>
      </c>
      <c r="M37" s="104" t="str">
        <f>IF(M33="Montar",PATRÓN!$K$9,"")</f>
        <v/>
      </c>
      <c r="N37" s="104" t="str">
        <f>IF(N33="Montar",PATRÓN!$K$10,"")</f>
        <v/>
      </c>
      <c r="O37" s="104">
        <f>IF(O33="Montar",PATRÓN!$K$11,"")</f>
        <v>5.0000000000000001E-3</v>
      </c>
      <c r="P37" s="104">
        <f>IF(P33="Montar",PATRÓN!$K$12,"")</f>
        <v>0.01</v>
      </c>
      <c r="Q37" s="104">
        <f>IF(Q33="Montar",PATRÓN!$K$13,"")</f>
        <v>0.01</v>
      </c>
      <c r="R37" s="104">
        <f>IF(R33="Montar",PATRÓN!$K$14,"")</f>
        <v>2.5000000000000001E-2</v>
      </c>
      <c r="S37" s="104">
        <f>IF(S33="Montar",PATRÓN!$K$15,"")</f>
        <v>0.05</v>
      </c>
      <c r="T37" s="104">
        <f>IF(T33="Montar",PATRÓN!$K$16,"")</f>
        <v>0.1</v>
      </c>
      <c r="U37" s="104">
        <f>IF(U33="Montar",PATRÓN!$K$17,"")</f>
        <v>0.1</v>
      </c>
      <c r="V37" s="104" t="str">
        <f>IF(V33="Montar",PATRÓN!$K$19,"")</f>
        <v/>
      </c>
      <c r="W37" s="104" t="str">
        <f>IF(W33="Montar",PATRÓN!$K$20,"")</f>
        <v/>
      </c>
      <c r="X37" s="104" t="str">
        <f>IF(X33="Montar",PATRÓN!$K$21,"")</f>
        <v/>
      </c>
      <c r="Y37" s="104" t="str">
        <f>IF(Y33="Montar",PATRÓN!$K$22,"")</f>
        <v/>
      </c>
      <c r="Z37" s="104" t="str">
        <f>IF(Z33="Montar",PATRÓN!$K$23,"")</f>
        <v/>
      </c>
      <c r="AA37" s="104" t="str">
        <f>IF(AA33="Montar",PATRÓN!$K$24,"")</f>
        <v/>
      </c>
      <c r="AB37" s="104" t="str">
        <f>IF(AB33="Montar",PATRÓN!$K$25,"")</f>
        <v/>
      </c>
      <c r="AC37" s="104" t="str">
        <f>IF(AC33="Montar",PATRÓN!$K$26,"")</f>
        <v/>
      </c>
      <c r="AD37" s="104" t="str">
        <f>IF(AD33="Montar",PATRÓN!$K$27,"")</f>
        <v/>
      </c>
      <c r="AE37" s="104" t="str">
        <f>IF(AE33="Montar",PATRÓN!$K$28,"")</f>
        <v/>
      </c>
      <c r="AF37" s="104" t="str">
        <f>IF(AF33="Montar",PATRÓN!$K$29,"")</f>
        <v/>
      </c>
      <c r="AG37" s="104" t="str">
        <f>IF(AG33="Montar",PATRÓN!$K$30,"")</f>
        <v/>
      </c>
      <c r="AH37" s="104" t="str">
        <f>IF(AH33="Montar",PATRÓN!$K$31,"")</f>
        <v/>
      </c>
    </row>
    <row r="38" spans="2:34" x14ac:dyDescent="0.3">
      <c r="B38" s="359"/>
      <c r="C38" s="359"/>
      <c r="D38" s="108"/>
      <c r="E38" s="108"/>
      <c r="F38" s="108"/>
      <c r="G38" s="102" t="s">
        <v>49</v>
      </c>
      <c r="H38" s="102" t="s">
        <v>49</v>
      </c>
      <c r="I38" s="102" t="s">
        <v>49</v>
      </c>
      <c r="J38" s="102" t="s">
        <v>49</v>
      </c>
      <c r="K38" s="102" t="s">
        <v>49</v>
      </c>
      <c r="L38" s="102" t="s">
        <v>49</v>
      </c>
      <c r="M38" s="102" t="s">
        <v>49</v>
      </c>
      <c r="N38" s="102" t="s">
        <v>49</v>
      </c>
      <c r="O38" s="102" t="s">
        <v>49</v>
      </c>
      <c r="P38" s="102" t="s">
        <v>49</v>
      </c>
      <c r="Q38" s="102" t="s">
        <v>49</v>
      </c>
      <c r="R38" s="102" t="s">
        <v>48</v>
      </c>
      <c r="S38" s="102"/>
      <c r="T38" s="102" t="s">
        <v>48</v>
      </c>
      <c r="U38" s="102" t="s">
        <v>48</v>
      </c>
      <c r="V38" s="102" t="s">
        <v>48</v>
      </c>
      <c r="W38" s="102" t="s">
        <v>49</v>
      </c>
      <c r="X38" s="102"/>
      <c r="Y38" s="102"/>
      <c r="Z38" s="102"/>
      <c r="AA38" s="102"/>
      <c r="AB38" s="102"/>
      <c r="AC38" s="102"/>
      <c r="AD38" s="102"/>
      <c r="AE38" s="102" t="s">
        <v>49</v>
      </c>
      <c r="AF38" s="102" t="s">
        <v>49</v>
      </c>
      <c r="AG38" s="102" t="s">
        <v>49</v>
      </c>
      <c r="AH38" s="102" t="s">
        <v>49</v>
      </c>
    </row>
    <row r="39" spans="2:34" x14ac:dyDescent="0.3">
      <c r="B39" s="349">
        <f>S12</f>
        <v>7500</v>
      </c>
      <c r="C39" s="349"/>
      <c r="D39" s="347">
        <f>SUM(G39:AH39)</f>
        <v>7500.0879000000004</v>
      </c>
      <c r="E39" s="347"/>
      <c r="F39" s="347"/>
      <c r="G39" s="103" t="str">
        <f>IF(G38="Montar",1+G40,"")</f>
        <v/>
      </c>
      <c r="H39" s="104" t="str">
        <f>IF(H38="Montar",2+H40,"")</f>
        <v/>
      </c>
      <c r="I39" s="103" t="str">
        <f>IF(I38="Montar",2+I40,"")</f>
        <v/>
      </c>
      <c r="J39" s="103" t="str">
        <f>IF(J38="Montar",5+J40,"")</f>
        <v/>
      </c>
      <c r="K39" s="105" t="str">
        <f>IF(K38="Montar",10+K40,"")</f>
        <v/>
      </c>
      <c r="L39" s="103" t="str">
        <f>IF(L38="Montar",20+L40,"")</f>
        <v/>
      </c>
      <c r="M39" s="103" t="str">
        <f>IF(M38="Montar",20+M40,"")</f>
        <v/>
      </c>
      <c r="N39" s="103" t="str">
        <f>IF(N38="Montar",50+N40,"")</f>
        <v/>
      </c>
      <c r="O39" s="104" t="str">
        <f>IF(O38="Montar",100+O40,"")</f>
        <v/>
      </c>
      <c r="P39" s="104" t="str">
        <f>IF(P38="Montar",200+P40,"")</f>
        <v/>
      </c>
      <c r="Q39" s="104" t="str">
        <f>IF(Q38="Montar",200+Q40,"")</f>
        <v/>
      </c>
      <c r="R39" s="105">
        <f>IF(R38="Montar",500+R40,"")</f>
        <v>500.00290000000001</v>
      </c>
      <c r="S39" s="106" t="str">
        <f>IF(S38="Montar",1000+S40,"")</f>
        <v/>
      </c>
      <c r="T39" s="106">
        <f>IF(T38="Montar",1000+T40,"")</f>
        <v>1000.008</v>
      </c>
      <c r="U39" s="106">
        <f>IF(U38="Montar",1000+U40,"")</f>
        <v>1000.008</v>
      </c>
      <c r="V39" s="106">
        <f>IF(V38="Montar",5000+V40,"")</f>
        <v>5000.0690000000004</v>
      </c>
      <c r="W39" s="106" t="str">
        <f>IF(W38="Montar",5000+W40,"")</f>
        <v/>
      </c>
      <c r="X39" s="107" t="str">
        <f>IF(X38="Montar",10000+X40,"")</f>
        <v/>
      </c>
      <c r="Y39" s="107" t="str">
        <f>IF(Y38="Montar",10000+Y40,"")</f>
        <v/>
      </c>
      <c r="Z39" s="106" t="str">
        <f>IF(Z38="Montar",(20000+Z40),"")</f>
        <v/>
      </c>
      <c r="AA39" s="106" t="str">
        <f>IF(AA38="Montar",(20000+AA40),"")</f>
        <v/>
      </c>
      <c r="AB39" s="107" t="str">
        <f t="shared" ref="AB39:AH39" si="4">IF(AB38="Montar",20000+AB40,"")</f>
        <v/>
      </c>
      <c r="AC39" s="107" t="str">
        <f t="shared" si="4"/>
        <v/>
      </c>
      <c r="AD39" s="107" t="str">
        <f t="shared" si="4"/>
        <v/>
      </c>
      <c r="AE39" s="107" t="str">
        <f t="shared" si="4"/>
        <v/>
      </c>
      <c r="AF39" s="107" t="str">
        <f t="shared" si="4"/>
        <v/>
      </c>
      <c r="AG39" s="106" t="str">
        <f t="shared" si="4"/>
        <v/>
      </c>
      <c r="AH39" s="106" t="str">
        <f t="shared" si="4"/>
        <v/>
      </c>
    </row>
    <row r="40" spans="2:34" x14ac:dyDescent="0.3">
      <c r="B40" s="62"/>
      <c r="C40" s="62"/>
      <c r="D40" s="347">
        <f>SUM(G40:AH40)</f>
        <v>8.7900000000000006E-2</v>
      </c>
      <c r="E40" s="347"/>
      <c r="F40" s="347"/>
      <c r="G40" s="103" t="str">
        <f>IF(G38="Montar",PATRÓN!$J$3,"")</f>
        <v/>
      </c>
      <c r="H40" s="103" t="str">
        <f>IF(H38="Montar",PATRÓN!$J$4,"")</f>
        <v/>
      </c>
      <c r="I40" s="104" t="str">
        <f>IF(I38="Montar",PATRÓN!$J$5,"")</f>
        <v/>
      </c>
      <c r="J40" s="104" t="str">
        <f>IF(J38="Montar",PATRÓN!$J$6,"")</f>
        <v/>
      </c>
      <c r="K40" s="104" t="str">
        <f>IF(K38="Montar",PATRÓN!$J$7,"")</f>
        <v/>
      </c>
      <c r="L40" s="104" t="str">
        <f>IF(L38="Montar",PATRÓN!$J$8,"")</f>
        <v/>
      </c>
      <c r="M40" s="104" t="str">
        <f>IF(M38="Montar",PATRÓN!$J$9,"")</f>
        <v/>
      </c>
      <c r="N40" s="104" t="str">
        <f>IF(N38="Montar",PATRÓN!$J$10,"")</f>
        <v/>
      </c>
      <c r="O40" s="104" t="str">
        <f>IF(O38="Montar",PATRÓN!$J$11,"")</f>
        <v/>
      </c>
      <c r="P40" s="104" t="str">
        <f>IF(P38="Montar",PATRÓN!$J$12,"")</f>
        <v/>
      </c>
      <c r="Q40" s="104" t="str">
        <f>IF(Q38="Montar",PATRÓN!$J$13,"")</f>
        <v/>
      </c>
      <c r="R40" s="104">
        <f>IF(R38="Montar",PATRÓN!$J$14,"")</f>
        <v>2.8999999999999998E-3</v>
      </c>
      <c r="S40" s="104" t="str">
        <f>IF(S38="Montar",PATRÓN!$J$15,"")</f>
        <v/>
      </c>
      <c r="T40" s="104">
        <f>IF(T38="Montar",PATRÓN!$J$16,"")</f>
        <v>8.0000000000000002E-3</v>
      </c>
      <c r="U40" s="104">
        <f>IF(U38="Montar",PATRÓN!$J$16,"")</f>
        <v>8.0000000000000002E-3</v>
      </c>
      <c r="V40" s="104">
        <f>IF(V38="Montar",PATRÓN!$J$19,"")</f>
        <v>6.9000000000000006E-2</v>
      </c>
      <c r="W40" s="104" t="str">
        <f>IF(W38="Montar",PATRÓN!$J$20,"")</f>
        <v/>
      </c>
      <c r="X40" s="104" t="str">
        <f>IF(X38="Montar",PATRÓN!$J$21,"")</f>
        <v/>
      </c>
      <c r="Y40" s="104" t="str">
        <f>IF(Y38="Montar",PATRÓN!$J$22,"")</f>
        <v/>
      </c>
      <c r="Z40" s="104" t="str">
        <f>IF(Z38="Montar",PATRÓN!$J$23,"")</f>
        <v/>
      </c>
      <c r="AA40" s="104" t="str">
        <f>IF(AA38="Montar",PATRÓN!$J$24,"")</f>
        <v/>
      </c>
      <c r="AB40" s="104" t="str">
        <f>IF(AB38="Montar",PATRÓN!$J$25,"")</f>
        <v/>
      </c>
      <c r="AC40" s="104" t="str">
        <f>IF(AC38="Montar",PATRÓN!$J$26,"")</f>
        <v/>
      </c>
      <c r="AD40" s="104" t="str">
        <f>IF(AD38="Montar",PATRÓN!$J$27,"")</f>
        <v/>
      </c>
      <c r="AE40" s="104" t="str">
        <f>IF(AE38="Montar",PATRÓN!$J$28,"")</f>
        <v/>
      </c>
      <c r="AF40" s="104" t="str">
        <f>IF(AF38="Montar",PATRÓN!$J$29,"")</f>
        <v/>
      </c>
      <c r="AG40" s="104" t="str">
        <f>IF(AG38="Montar",PATRÓN!$J$30,"")</f>
        <v/>
      </c>
      <c r="AH40" s="105" t="str">
        <f>IF(AH38="Montar",PATRÓN!$J$31,"")</f>
        <v/>
      </c>
    </row>
    <row r="41" spans="2:34" x14ac:dyDescent="0.3">
      <c r="B41" s="62"/>
      <c r="C41" s="62"/>
      <c r="D41" s="347">
        <f>SUM(G41:AH41)</f>
        <v>0.1573</v>
      </c>
      <c r="E41" s="347"/>
      <c r="F41" s="347"/>
      <c r="G41" s="103" t="str">
        <f>IF(G38="Montar",PATRÓN!$M$3,"")</f>
        <v/>
      </c>
      <c r="H41" s="103" t="str">
        <f>IF(H38="Montar",PATRÓN!$M$4,"")</f>
        <v/>
      </c>
      <c r="I41" s="103" t="str">
        <f>IF(I38="Montar",PATRÓN!$M$5,"")</f>
        <v/>
      </c>
      <c r="J41" s="103" t="str">
        <f>IF(J38="Montar",PATRÓN!$M$6,"")</f>
        <v/>
      </c>
      <c r="K41" s="103" t="str">
        <f>IF(K38="Montar",PATRÓN!$M$7,"")</f>
        <v/>
      </c>
      <c r="L41" s="103" t="str">
        <f>IF(L38="Montar",PATRÓN!$M$8,"")</f>
        <v/>
      </c>
      <c r="M41" s="103" t="str">
        <f>IF(M38="Montar",PATRÓN!$M$9,"")</f>
        <v/>
      </c>
      <c r="N41" s="103" t="str">
        <f>IF(N38="Montar",PATRÓN!$M$10,"")</f>
        <v/>
      </c>
      <c r="O41" s="103" t="str">
        <f>IF(O38="Montar",PATRÓN!$M$11,"")</f>
        <v/>
      </c>
      <c r="P41" s="103" t="str">
        <f>IF(P38="Montar",PATRÓN!$M$12,"")</f>
        <v/>
      </c>
      <c r="Q41" s="103" t="str">
        <f>IF(Q38="Montar",PATRÓN!$M$13,"")</f>
        <v/>
      </c>
      <c r="R41" s="103">
        <f>IF(R38="Montar",PATRÓN!$M$14,"")</f>
        <v>8.3000000000000001E-3</v>
      </c>
      <c r="S41" s="103" t="str">
        <f>IF(S38="Montar",PATRÓN!$M$15,"")</f>
        <v/>
      </c>
      <c r="T41" s="103">
        <f>IF(T38="Montar",PATRÓN!$M$16,"")</f>
        <v>3.3000000000000002E-2</v>
      </c>
      <c r="U41" s="103">
        <f>IF(U38="Montar",PATRÓN!$M$16,"")</f>
        <v>3.3000000000000002E-2</v>
      </c>
      <c r="V41" s="103">
        <f>IF(V38="Montar",PATRÓN!$M$19,"")</f>
        <v>8.3000000000000004E-2</v>
      </c>
      <c r="W41" s="103" t="str">
        <f>IF(W38="Montar",PATRÓN!$M$20,"")</f>
        <v/>
      </c>
      <c r="X41" s="103" t="str">
        <f>IF(X38="Montar",PATRÓN!$M$21,"")</f>
        <v/>
      </c>
      <c r="Y41" s="103" t="str">
        <f>IF(Y38="Montar",PATRÓN!$M$22,"")</f>
        <v/>
      </c>
      <c r="Z41" s="103" t="str">
        <f>IF(Z38="Montar",PATRÓN!$M$23,"")</f>
        <v/>
      </c>
      <c r="AA41" s="103" t="str">
        <f>IF(AA38="Montar",PATRÓN!$M$24,"")</f>
        <v/>
      </c>
      <c r="AB41" s="103" t="str">
        <f>IF(AB38="Montar",PATRÓN!$M$25,"")</f>
        <v/>
      </c>
      <c r="AC41" s="103" t="str">
        <f>IF(AC38="Montar",PATRÓN!$M$26,"")</f>
        <v/>
      </c>
      <c r="AD41" s="103" t="str">
        <f>IF(AD38="Montar",PATRÓN!$M$27,"")</f>
        <v/>
      </c>
      <c r="AE41" s="103" t="str">
        <f>IF(AE38="Montar",PATRÓN!$M$28,"")</f>
        <v/>
      </c>
      <c r="AF41" s="103" t="str">
        <f>IF(AF38="Montar",PATRÓN!$M$29,"")</f>
        <v/>
      </c>
      <c r="AG41" s="103" t="str">
        <f>IF(AG38="Montar",PATRÓN!$M$30,"")</f>
        <v/>
      </c>
      <c r="AH41" s="103" t="str">
        <f>IF(AH38="Montar",PATRÓN!$M$31,"")</f>
        <v/>
      </c>
    </row>
    <row r="42" spans="2:34" x14ac:dyDescent="0.3">
      <c r="B42" s="62"/>
      <c r="C42" s="62"/>
      <c r="D42" s="351">
        <f>SUM(G42:AH42)</f>
        <v>0.47499999999999998</v>
      </c>
      <c r="E42" s="351"/>
      <c r="F42" s="351"/>
      <c r="G42" s="104" t="str">
        <f>IF(G38="Montar",PATRÓN!$K$3,"")</f>
        <v/>
      </c>
      <c r="H42" s="104" t="str">
        <f>IF(H38="Montar",PATRÓN!$K$4,"")</f>
        <v/>
      </c>
      <c r="I42" s="104" t="str">
        <f>IF(I38="Montar",PATRÓN!$K$5,"")</f>
        <v/>
      </c>
      <c r="J42" s="104" t="str">
        <f>IF(J38="Montar",PATRÓN!$K$6,"")</f>
        <v/>
      </c>
      <c r="K42" s="104" t="str">
        <f>IF(K38="Montar",PATRÓN!$K$7,"")</f>
        <v/>
      </c>
      <c r="L42" s="104" t="str">
        <f>IF(L38="Montar",PATRÓN!$K$8,"")</f>
        <v/>
      </c>
      <c r="M42" s="104" t="str">
        <f>IF(M38="Montar",PATRÓN!$K$9,"")</f>
        <v/>
      </c>
      <c r="N42" s="104" t="str">
        <f>IF(N38="Montar",PATRÓN!$K$10,"")</f>
        <v/>
      </c>
      <c r="O42" s="104" t="str">
        <f>IF(O38="Montar",PATRÓN!$K$11,"")</f>
        <v/>
      </c>
      <c r="P42" s="104" t="str">
        <f>IF(P38="Montar",PATRÓN!$K$12,"")</f>
        <v/>
      </c>
      <c r="Q42" s="104" t="str">
        <f>IF(Q38="Montar",PATRÓN!$K$13,"")</f>
        <v/>
      </c>
      <c r="R42" s="104">
        <f>IF(R38="Montar",PATRÓN!$K$14,"")</f>
        <v>2.5000000000000001E-2</v>
      </c>
      <c r="S42" s="104" t="str">
        <f>IF(S38="Montar",PATRÓN!$K$15,"")</f>
        <v/>
      </c>
      <c r="T42" s="104">
        <f>IF(T38="Montar",PATRÓN!$K$16,"")</f>
        <v>0.1</v>
      </c>
      <c r="U42" s="104">
        <f>IF(U38="Montar",PATRÓN!$K$16,"")</f>
        <v>0.1</v>
      </c>
      <c r="V42" s="104">
        <f>IF(V38="Montar",PATRÓN!$K$19,"")</f>
        <v>0.25</v>
      </c>
      <c r="W42" s="104" t="str">
        <f>IF(W38="Montar",PATRÓN!$K$20,"")</f>
        <v/>
      </c>
      <c r="X42" s="104" t="str">
        <f>IF(X38="Montar",PATRÓN!$K$21,"")</f>
        <v/>
      </c>
      <c r="Y42" s="104" t="str">
        <f>IF(Y38="Montar",PATRÓN!$K$22,"")</f>
        <v/>
      </c>
      <c r="Z42" s="104" t="str">
        <f>IF(Z38="Montar",PATRÓN!$K$23,"")</f>
        <v/>
      </c>
      <c r="AA42" s="104" t="str">
        <f>IF(AA38="Montar",PATRÓN!$K$24,"")</f>
        <v/>
      </c>
      <c r="AB42" s="104" t="str">
        <f>IF(AB38="Montar",PATRÓN!$K$25,"")</f>
        <v/>
      </c>
      <c r="AC42" s="104" t="str">
        <f>IF(AC38="Montar",PATRÓN!$K$26,"")</f>
        <v/>
      </c>
      <c r="AD42" s="104" t="str">
        <f>IF(AD38="Montar",PATRÓN!$K$27,"")</f>
        <v/>
      </c>
      <c r="AE42" s="104" t="str">
        <f>IF(AE38="Montar",PATRÓN!$K$28,"")</f>
        <v/>
      </c>
      <c r="AF42" s="104" t="str">
        <f>IF(AF38="Montar",PATRÓN!$K$29,"")</f>
        <v/>
      </c>
      <c r="AG42" s="104" t="str">
        <f>IF(AG38="Montar",PATRÓN!$K$30,"")</f>
        <v/>
      </c>
      <c r="AH42" s="104" t="str">
        <f>IF(AH38="Montar",PATRÓN!$K$31,"")</f>
        <v/>
      </c>
    </row>
    <row r="43" spans="2:34" x14ac:dyDescent="0.3">
      <c r="B43" s="62"/>
      <c r="C43" s="62"/>
      <c r="D43" s="108"/>
      <c r="E43" s="108"/>
      <c r="F43" s="108"/>
      <c r="G43" s="102" t="s">
        <v>49</v>
      </c>
      <c r="H43" s="102" t="s">
        <v>49</v>
      </c>
      <c r="I43" s="102" t="s">
        <v>49</v>
      </c>
      <c r="J43" s="102" t="s">
        <v>49</v>
      </c>
      <c r="K43" s="102" t="s">
        <v>49</v>
      </c>
      <c r="L43" s="102" t="s">
        <v>49</v>
      </c>
      <c r="M43" s="102" t="s">
        <v>49</v>
      </c>
      <c r="N43" s="102" t="s">
        <v>49</v>
      </c>
      <c r="O43" s="102" t="s">
        <v>49</v>
      </c>
      <c r="P43" s="102" t="s">
        <v>49</v>
      </c>
      <c r="Q43" s="102" t="s">
        <v>49</v>
      </c>
      <c r="R43" s="102" t="s">
        <v>49</v>
      </c>
      <c r="S43" s="102" t="s">
        <v>49</v>
      </c>
      <c r="T43" s="102" t="s">
        <v>49</v>
      </c>
      <c r="U43" s="102" t="s">
        <v>49</v>
      </c>
      <c r="V43" s="102" t="s">
        <v>48</v>
      </c>
      <c r="W43" s="102" t="s">
        <v>48</v>
      </c>
      <c r="X43" s="102"/>
      <c r="Y43" s="102" t="s">
        <v>49</v>
      </c>
      <c r="Z43" s="102" t="s">
        <v>49</v>
      </c>
      <c r="AA43" s="102" t="s">
        <v>49</v>
      </c>
      <c r="AB43" s="102" t="s">
        <v>49</v>
      </c>
      <c r="AC43" s="102" t="s">
        <v>49</v>
      </c>
      <c r="AD43" s="102" t="s">
        <v>49</v>
      </c>
      <c r="AE43" s="102" t="s">
        <v>49</v>
      </c>
      <c r="AF43" s="102" t="s">
        <v>49</v>
      </c>
      <c r="AG43" s="102" t="s">
        <v>49</v>
      </c>
      <c r="AH43" s="102" t="s">
        <v>49</v>
      </c>
    </row>
    <row r="44" spans="2:34" x14ac:dyDescent="0.3">
      <c r="B44" s="349">
        <f>S13</f>
        <v>10000</v>
      </c>
      <c r="C44" s="349"/>
      <c r="D44" s="347">
        <f>SUM(G44:AH44)</f>
        <v>10000.165000000001</v>
      </c>
      <c r="E44" s="347"/>
      <c r="F44" s="347"/>
      <c r="G44" s="103" t="str">
        <f>IF(G43="Montar",1+G45,"")</f>
        <v/>
      </c>
      <c r="H44" s="104" t="str">
        <f>IF(H43="Montar",2+H45,"")</f>
        <v/>
      </c>
      <c r="I44" s="103" t="str">
        <f>IF(I43="Montar",2+I45,"")</f>
        <v/>
      </c>
      <c r="J44" s="103" t="str">
        <f>IF(J43="Montar",5+J45,"")</f>
        <v/>
      </c>
      <c r="K44" s="105" t="str">
        <f>IF(K43="Montar",10+K45,"")</f>
        <v/>
      </c>
      <c r="L44" s="103" t="str">
        <f>IF(L43="Montar",20+L45,"")</f>
        <v/>
      </c>
      <c r="M44" s="103" t="str">
        <f>IF(M43="Montar",20+M45,"")</f>
        <v/>
      </c>
      <c r="N44" s="103" t="str">
        <f>IF(N43="Montar",50+N45,"")</f>
        <v/>
      </c>
      <c r="O44" s="104" t="str">
        <f>IF(O43="Montar",100+O45,"")</f>
        <v/>
      </c>
      <c r="P44" s="104" t="str">
        <f>IF(P43="Montar",200+P45,"")</f>
        <v/>
      </c>
      <c r="Q44" s="104" t="str">
        <f>IF(Q43="Montar",200+Q45,"")</f>
        <v/>
      </c>
      <c r="R44" s="105" t="str">
        <f>IF(R43="Montar",500+R45,"")</f>
        <v/>
      </c>
      <c r="S44" s="106" t="str">
        <f>IF(S43="Montar",1000+S45,"")</f>
        <v/>
      </c>
      <c r="T44" s="106" t="str">
        <f>IF(T43="Montar",1000+T45,"")</f>
        <v/>
      </c>
      <c r="U44" s="106" t="str">
        <f>IF(U43="Montar",2000+U45,"")</f>
        <v/>
      </c>
      <c r="V44" s="106">
        <f>IF(V43="Montar",5000+V45,"")</f>
        <v>5000.0690000000004</v>
      </c>
      <c r="W44" s="106">
        <f>IF(W43="Montar",5000+W45,"")</f>
        <v>5000.0959999999995</v>
      </c>
      <c r="X44" s="107" t="str">
        <f>IF(X43="Montar",10000+X45,"")</f>
        <v/>
      </c>
      <c r="Y44" s="107" t="str">
        <f>IF(Y43="Montar",10000+Y45,"")</f>
        <v/>
      </c>
      <c r="Z44" s="106" t="str">
        <f>IF(Z43="Montar",(20000+Z45),"")</f>
        <v/>
      </c>
      <c r="AA44" s="106" t="str">
        <f>IF(AA43="Montar",(20000+AA45),"")</f>
        <v/>
      </c>
      <c r="AB44" s="107" t="str">
        <f t="shared" ref="AB44:AH44" si="5">IF(AB43="Montar",20000+AB45,"")</f>
        <v/>
      </c>
      <c r="AC44" s="107" t="str">
        <f t="shared" si="5"/>
        <v/>
      </c>
      <c r="AD44" s="107" t="str">
        <f t="shared" si="5"/>
        <v/>
      </c>
      <c r="AE44" s="107" t="str">
        <f t="shared" si="5"/>
        <v/>
      </c>
      <c r="AF44" s="107" t="str">
        <f t="shared" si="5"/>
        <v/>
      </c>
      <c r="AG44" s="106" t="str">
        <f t="shared" si="5"/>
        <v/>
      </c>
      <c r="AH44" s="106" t="str">
        <f t="shared" si="5"/>
        <v/>
      </c>
    </row>
    <row r="45" spans="2:34" x14ac:dyDescent="0.3">
      <c r="B45" s="62"/>
      <c r="C45" s="62"/>
      <c r="D45" s="347">
        <f>SUM(G45:AH45)</f>
        <v>0.16500000000000001</v>
      </c>
      <c r="E45" s="347"/>
      <c r="F45" s="347"/>
      <c r="G45" s="103" t="str">
        <f>IF(G43="Montar",PATRÓN!$J$3,"")</f>
        <v/>
      </c>
      <c r="H45" s="103" t="str">
        <f>IF(H43="Montar",PATRÓN!$J$4,"")</f>
        <v/>
      </c>
      <c r="I45" s="104" t="str">
        <f>IF(I43="Montar",PATRÓN!$J$5,"")</f>
        <v/>
      </c>
      <c r="J45" s="104" t="str">
        <f>IF(J43="Montar",PATRÓN!$J$6,"")</f>
        <v/>
      </c>
      <c r="K45" s="104" t="str">
        <f>IF(K43="Montar",PATRÓN!$J$7,"")</f>
        <v/>
      </c>
      <c r="L45" s="104" t="str">
        <f>IF(L43="Montar",PATRÓN!$J$8,"")</f>
        <v/>
      </c>
      <c r="M45" s="104" t="str">
        <f>IF(M43="Montar",PATRÓN!$J$9,"")</f>
        <v/>
      </c>
      <c r="N45" s="104" t="str">
        <f>IF(N43="Montar",PATRÓN!$J$10,"")</f>
        <v/>
      </c>
      <c r="O45" s="104" t="str">
        <f>IF(O43="Montar",PATRÓN!$J$11,"")</f>
        <v/>
      </c>
      <c r="P45" s="104" t="str">
        <f>IF(P43="Montar",PATRÓN!$J$12,"")</f>
        <v/>
      </c>
      <c r="Q45" s="104" t="str">
        <f>IF(Q43="Montar",PATRÓN!$J$13,"")</f>
        <v/>
      </c>
      <c r="R45" s="104" t="str">
        <f>IF(R43="Montar",PATRÓN!$J$14,"")</f>
        <v/>
      </c>
      <c r="S45" s="104" t="str">
        <f>IF(S43="Montar",PATRÓN!$J$15,"")</f>
        <v/>
      </c>
      <c r="T45" s="104" t="str">
        <f>IF(T43="Montar",PATRÓN!$J$16,"")</f>
        <v/>
      </c>
      <c r="U45" s="104" t="str">
        <f>IF(U43="Montar",PATRÓN!$J$17,"")</f>
        <v/>
      </c>
      <c r="V45" s="104">
        <f>IF(V43="Montar",PATRÓN!$J$19,"")</f>
        <v>6.9000000000000006E-2</v>
      </c>
      <c r="W45" s="104">
        <f>IF(W43="Montar",PATRÓN!$J$20,"")</f>
        <v>9.6000000000000002E-2</v>
      </c>
      <c r="X45" s="104" t="str">
        <f>IF(X43="Montar",PATRÓN!$J$21,"")</f>
        <v/>
      </c>
      <c r="Y45" s="104" t="str">
        <f>IF(Y43="Montar",PATRÓN!$J$22,"")</f>
        <v/>
      </c>
      <c r="Z45" s="104" t="str">
        <f>IF(Z43="Montar",PATRÓN!$J$23,"")</f>
        <v/>
      </c>
      <c r="AA45" s="104" t="str">
        <f>IF(AA43="Montar",PATRÓN!$J$24,"")</f>
        <v/>
      </c>
      <c r="AB45" s="104" t="str">
        <f>IF(AB43="Montar",PATRÓN!$J$25,"")</f>
        <v/>
      </c>
      <c r="AC45" s="104" t="str">
        <f>IF(AC43="Montar",PATRÓN!$J$26,"")</f>
        <v/>
      </c>
      <c r="AD45" s="104" t="str">
        <f>IF(AD43="Montar",PATRÓN!$J$27,"")</f>
        <v/>
      </c>
      <c r="AE45" s="104" t="str">
        <f>IF(AE43="Montar",PATRÓN!$J$28,"")</f>
        <v/>
      </c>
      <c r="AF45" s="104" t="str">
        <f>IF(AF43="Montar",PATRÓN!$J$29,"")</f>
        <v/>
      </c>
      <c r="AG45" s="104" t="str">
        <f>IF(AG43="Montar",PATRÓN!$J$30,"")</f>
        <v/>
      </c>
      <c r="AH45" s="105" t="str">
        <f>IF(AH43="Montar",PATRÓN!$J$31,"")</f>
        <v/>
      </c>
    </row>
    <row r="46" spans="2:34" x14ac:dyDescent="0.3">
      <c r="B46" s="62"/>
      <c r="C46" s="62"/>
      <c r="D46" s="347">
        <f>SUM(G46:AH46)</f>
        <v>0.16600000000000001</v>
      </c>
      <c r="E46" s="347"/>
      <c r="F46" s="347"/>
      <c r="G46" s="103" t="str">
        <f>IF(G43="Montar",PATRÓN!$M$3,"")</f>
        <v/>
      </c>
      <c r="H46" s="103" t="str">
        <f>IF(H43="Montar",PATRÓN!$M$4,"")</f>
        <v/>
      </c>
      <c r="I46" s="103" t="str">
        <f>IF(I43="Montar",PATRÓN!$M$5,"")</f>
        <v/>
      </c>
      <c r="J46" s="103" t="str">
        <f>IF(J43="Montar",PATRÓN!$M$6,"")</f>
        <v/>
      </c>
      <c r="K46" s="103" t="str">
        <f>IF(K43="Montar",PATRÓN!$M$7,"")</f>
        <v/>
      </c>
      <c r="L46" s="103" t="str">
        <f>IF(L43="Montar",PATRÓN!$M$8,"")</f>
        <v/>
      </c>
      <c r="M46" s="103" t="str">
        <f>IF(M43="Montar",PATRÓN!$M$9,"")</f>
        <v/>
      </c>
      <c r="N46" s="103" t="str">
        <f>IF(N43="Montar",PATRÓN!$M$10,"")</f>
        <v/>
      </c>
      <c r="O46" s="103" t="str">
        <f>IF(O43="Montar",PATRÓN!$M$11,"")</f>
        <v/>
      </c>
      <c r="P46" s="103" t="str">
        <f>IF(P43="Montar",PATRÓN!$M$12,"")</f>
        <v/>
      </c>
      <c r="Q46" s="103" t="str">
        <f>IF(Q43="Montar",PATRÓN!$M$13,"")</f>
        <v/>
      </c>
      <c r="R46" s="103" t="str">
        <f>IF(R43="Montar",PATRÓN!$M$14,"")</f>
        <v/>
      </c>
      <c r="S46" s="103" t="str">
        <f>IF(S43="Montar",PATRÓN!$M$15,"")</f>
        <v/>
      </c>
      <c r="T46" s="103" t="str">
        <f>IF(T43="Montar",PATRÓN!$M$16,"")</f>
        <v/>
      </c>
      <c r="U46" s="103" t="str">
        <f>IF(U43="Montar",PATRÓN!$M$17,"")</f>
        <v/>
      </c>
      <c r="V46" s="103">
        <f>IF(V43="Montar",PATRÓN!$M$19,"")</f>
        <v>8.3000000000000004E-2</v>
      </c>
      <c r="W46" s="103">
        <f>IF(W43="Montar",PATRÓN!$M$20,"")</f>
        <v>8.3000000000000004E-2</v>
      </c>
      <c r="X46" s="103" t="str">
        <f>IF(X43="Montar",PATRÓN!$M$21,"")</f>
        <v/>
      </c>
      <c r="Y46" s="103" t="str">
        <f>IF(Y43="Montar",PATRÓN!$M$22,"")</f>
        <v/>
      </c>
      <c r="Z46" s="103" t="str">
        <f>IF(Z43="Montar",PATRÓN!$M$23,"")</f>
        <v/>
      </c>
      <c r="AA46" s="103" t="str">
        <f>IF(AA43="Montar",PATRÓN!$M$24,"")</f>
        <v/>
      </c>
      <c r="AB46" s="103" t="str">
        <f>IF(AB43="Montar",PATRÓN!$M$25,"")</f>
        <v/>
      </c>
      <c r="AC46" s="103" t="str">
        <f>IF(AC43="Montar",PATRÓN!$M$26,"")</f>
        <v/>
      </c>
      <c r="AD46" s="103" t="str">
        <f>IF(AD43="Montar",PATRÓN!$M$27,"")</f>
        <v/>
      </c>
      <c r="AE46" s="103" t="str">
        <f>IF(AE43="Montar",PATRÓN!$M$28,"")</f>
        <v/>
      </c>
      <c r="AF46" s="103" t="str">
        <f>IF(AF43="Montar",PATRÓN!$M$29,"")</f>
        <v/>
      </c>
      <c r="AG46" s="103" t="str">
        <f>IF(AG43="Montar",PATRÓN!$M$30,"")</f>
        <v/>
      </c>
      <c r="AH46" s="103" t="str">
        <f>IF(AH43="Montar",PATRÓN!$M$31,"")</f>
        <v/>
      </c>
    </row>
    <row r="47" spans="2:34" x14ac:dyDescent="0.3">
      <c r="B47" s="62"/>
      <c r="C47" s="62"/>
      <c r="D47" s="351">
        <f>SUM(G47:AH47)</f>
        <v>0.5</v>
      </c>
      <c r="E47" s="351"/>
      <c r="F47" s="351"/>
      <c r="G47" s="104" t="str">
        <f>IF(G43="Montar",PATRÓN!$K$3,"")</f>
        <v/>
      </c>
      <c r="H47" s="104" t="str">
        <f>IF(H43="Montar",PATRÓN!$K$4,"")</f>
        <v/>
      </c>
      <c r="I47" s="104" t="str">
        <f>IF(I43="Montar",PATRÓN!$K$5,"")</f>
        <v/>
      </c>
      <c r="J47" s="104" t="str">
        <f>IF(J43="Montar",PATRÓN!$K$6,"")</f>
        <v/>
      </c>
      <c r="K47" s="104" t="str">
        <f>IF(K43="Montar",PATRÓN!$K$7,"")</f>
        <v/>
      </c>
      <c r="L47" s="104" t="str">
        <f>IF(L43="Montar",PATRÓN!$K$8,"")</f>
        <v/>
      </c>
      <c r="M47" s="104" t="str">
        <f>IF(M43="Montar",PATRÓN!$K$9,"")</f>
        <v/>
      </c>
      <c r="N47" s="104" t="str">
        <f>IF(N43="Montar",PATRÓN!$K$10,"")</f>
        <v/>
      </c>
      <c r="O47" s="104" t="str">
        <f>IF(O43="Montar",PATRÓN!$K$11,"")</f>
        <v/>
      </c>
      <c r="P47" s="104" t="str">
        <f>IF(P43="Montar",PATRÓN!$K$12,"")</f>
        <v/>
      </c>
      <c r="Q47" s="104" t="str">
        <f>IF(Q43="Montar",PATRÓN!$K$13,"")</f>
        <v/>
      </c>
      <c r="R47" s="104" t="str">
        <f>IF(R43="Montar",PATRÓN!$K$14,"")</f>
        <v/>
      </c>
      <c r="S47" s="104" t="str">
        <f>IF(S43="Montar",PATRÓN!$K$15,"")</f>
        <v/>
      </c>
      <c r="T47" s="104" t="str">
        <f>IF(T43="Montar",PATRÓN!$K$16,"")</f>
        <v/>
      </c>
      <c r="U47" s="104" t="str">
        <f>IF(U43="Montar",PATRÓN!$K$17,"")</f>
        <v/>
      </c>
      <c r="V47" s="104">
        <f>IF(V43="Montar",PATRÓN!$K$19,"")</f>
        <v>0.25</v>
      </c>
      <c r="W47" s="104">
        <f>IF(W43="Montar",PATRÓN!$K$20,"")</f>
        <v>0.25</v>
      </c>
      <c r="X47" s="104" t="str">
        <f>IF(X43="Montar",PATRÓN!$K$21,"")</f>
        <v/>
      </c>
      <c r="Y47" s="104" t="str">
        <f>IF(Y43="Montar",PATRÓN!$K$22,"")</f>
        <v/>
      </c>
      <c r="Z47" s="104" t="str">
        <f>IF(Z43="Montar",PATRÓN!$K$23,"")</f>
        <v/>
      </c>
      <c r="AA47" s="104" t="str">
        <f>IF(AA43="Montar",PATRÓN!$K$24,"")</f>
        <v/>
      </c>
      <c r="AB47" s="104" t="str">
        <f>IF(AB43="Montar",PATRÓN!$K$25,"")</f>
        <v/>
      </c>
      <c r="AC47" s="104" t="str">
        <f>IF(AC43="Montar",PATRÓN!$K$26,"")</f>
        <v/>
      </c>
      <c r="AD47" s="104" t="str">
        <f>IF(AD43="Montar",PATRÓN!$K$27,"")</f>
        <v/>
      </c>
      <c r="AE47" s="104" t="str">
        <f>IF(AE43="Montar",PATRÓN!$K$28,"")</f>
        <v/>
      </c>
      <c r="AF47" s="104" t="str">
        <f>IF(AF43="Montar",PATRÓN!$K$29,"")</f>
        <v/>
      </c>
      <c r="AG47" s="104" t="str">
        <f>IF(AG43="Montar",PATRÓN!$K$30,"")</f>
        <v/>
      </c>
      <c r="AH47" s="104" t="str">
        <f>IF(AH43="Montar",PATRÓN!$K$31,"")</f>
        <v/>
      </c>
    </row>
    <row r="48" spans="2:34" x14ac:dyDescent="0.3">
      <c r="B48" s="62"/>
      <c r="C48" s="62"/>
      <c r="D48" s="108"/>
      <c r="E48" s="108"/>
      <c r="F48" s="108"/>
      <c r="G48" s="102" t="s">
        <v>49</v>
      </c>
      <c r="H48" s="102" t="s">
        <v>49</v>
      </c>
      <c r="I48" s="102" t="s">
        <v>49</v>
      </c>
      <c r="J48" s="102" t="s">
        <v>49</v>
      </c>
      <c r="K48" s="102" t="s">
        <v>49</v>
      </c>
      <c r="L48" s="102" t="s">
        <v>49</v>
      </c>
      <c r="M48" s="102" t="s">
        <v>49</v>
      </c>
      <c r="N48" s="102" t="s">
        <v>49</v>
      </c>
      <c r="O48" s="102" t="s">
        <v>48</v>
      </c>
      <c r="P48" s="102" t="s">
        <v>48</v>
      </c>
      <c r="Q48" s="102" t="s">
        <v>48</v>
      </c>
      <c r="R48" s="102" t="s">
        <v>49</v>
      </c>
      <c r="S48" s="102" t="s">
        <v>48</v>
      </c>
      <c r="T48" s="102" t="s">
        <v>48</v>
      </c>
      <c r="U48" s="102"/>
      <c r="V48" s="102" t="s">
        <v>48</v>
      </c>
      <c r="W48" s="102" t="s">
        <v>48</v>
      </c>
      <c r="X48" s="102"/>
      <c r="Y48" s="102" t="s">
        <v>49</v>
      </c>
      <c r="Z48" s="102" t="s">
        <v>49</v>
      </c>
      <c r="AA48" s="102" t="s">
        <v>49</v>
      </c>
      <c r="AB48" s="102" t="s">
        <v>49</v>
      </c>
      <c r="AC48" s="102" t="s">
        <v>49</v>
      </c>
      <c r="AD48" s="102" t="s">
        <v>49</v>
      </c>
      <c r="AE48" s="102" t="s">
        <v>49</v>
      </c>
      <c r="AF48" s="102" t="s">
        <v>49</v>
      </c>
      <c r="AG48" s="102" t="s">
        <v>49</v>
      </c>
      <c r="AH48" s="102" t="s">
        <v>49</v>
      </c>
    </row>
    <row r="49" spans="2:34" x14ac:dyDescent="0.3">
      <c r="B49" s="349">
        <f>S14</f>
        <v>12500</v>
      </c>
      <c r="C49" s="349"/>
      <c r="D49" s="351">
        <f>SUM(G49:AH49)</f>
        <v>12500.1841</v>
      </c>
      <c r="E49" s="351"/>
      <c r="F49" s="351"/>
      <c r="G49" s="103" t="str">
        <f>IF(G48="Montar",1+G50,"")</f>
        <v/>
      </c>
      <c r="H49" s="104" t="str">
        <f>IF(H48="Montar",2+H50,"")</f>
        <v/>
      </c>
      <c r="I49" s="103" t="str">
        <f>IF(I48="Montar",2+I50,"")</f>
        <v/>
      </c>
      <c r="J49" s="103" t="str">
        <f>IF(J48="Montar",5+J50,"")</f>
        <v/>
      </c>
      <c r="K49" s="105" t="str">
        <f>IF(K48="Montar",10+K50,"")</f>
        <v/>
      </c>
      <c r="L49" s="103" t="str">
        <f>IF(L48="Montar",20+L50,"")</f>
        <v/>
      </c>
      <c r="M49" s="103" t="str">
        <f>IF(M48="Montar",20+M50,"")</f>
        <v/>
      </c>
      <c r="N49" s="103" t="str">
        <f>IF(N48="Montar",50+N50,"")</f>
        <v/>
      </c>
      <c r="O49" s="104">
        <f>IF(O48="Montar",100+O50,"")</f>
        <v>100.00069999999999</v>
      </c>
      <c r="P49" s="104">
        <f>IF(P48="Montar",200+P50,"")</f>
        <v>200.0008</v>
      </c>
      <c r="Q49" s="104">
        <f>IF(Q48="Montar",200+Q50,"")</f>
        <v>200.0016</v>
      </c>
      <c r="R49" s="105" t="str">
        <f>IF(R48="Montar",500+R50,"")</f>
        <v/>
      </c>
      <c r="S49" s="106">
        <f>IF(S48="Montar",1000+S50,"")</f>
        <v>1000.008</v>
      </c>
      <c r="T49" s="106">
        <f>IF(T48="Montar",1000+T50,"")</f>
        <v>1000.008</v>
      </c>
      <c r="U49" s="106" t="str">
        <f>IF(U48="Montar",2000+U50,"")</f>
        <v/>
      </c>
      <c r="V49" s="106">
        <f>IF(V48="Montar",5000+V50,"")</f>
        <v>5000.0690000000004</v>
      </c>
      <c r="W49" s="106">
        <f>IF(W48="Montar",5000+W50,"")</f>
        <v>5000.0959999999995</v>
      </c>
      <c r="X49" s="107" t="str">
        <f>IF(X48="Montar",10000+X50,"")</f>
        <v/>
      </c>
      <c r="Y49" s="107" t="str">
        <f>IF(Y48="Montar",10000+Y50,"")</f>
        <v/>
      </c>
      <c r="Z49" s="106" t="str">
        <f>IF(Z48="Montar",(20000+Z50),"")</f>
        <v/>
      </c>
      <c r="AA49" s="106" t="str">
        <f>IF(AA48="Montar",(20000+AA50),"")</f>
        <v/>
      </c>
      <c r="AB49" s="107" t="str">
        <f t="shared" ref="AB49:AH49" si="6">IF(AB48="Montar",20000+AB50,"")</f>
        <v/>
      </c>
      <c r="AC49" s="107" t="str">
        <f t="shared" si="6"/>
        <v/>
      </c>
      <c r="AD49" s="107" t="str">
        <f t="shared" si="6"/>
        <v/>
      </c>
      <c r="AE49" s="107" t="str">
        <f t="shared" si="6"/>
        <v/>
      </c>
      <c r="AF49" s="107" t="str">
        <f t="shared" si="6"/>
        <v/>
      </c>
      <c r="AG49" s="106" t="str">
        <f t="shared" si="6"/>
        <v/>
      </c>
      <c r="AH49" s="106" t="str">
        <f t="shared" si="6"/>
        <v/>
      </c>
    </row>
    <row r="50" spans="2:34" x14ac:dyDescent="0.3">
      <c r="B50" s="62"/>
      <c r="C50" s="62"/>
      <c r="D50" s="347">
        <f>SUM(G50:AH50)</f>
        <v>0.18410000000000001</v>
      </c>
      <c r="E50" s="347"/>
      <c r="F50" s="347"/>
      <c r="G50" s="103" t="str">
        <f>IF(G48="Montar",PATRÓN!$J$3,"")</f>
        <v/>
      </c>
      <c r="H50" s="103" t="str">
        <f>IF(H48="Montar",PATRÓN!$J$4,"")</f>
        <v/>
      </c>
      <c r="I50" s="104" t="str">
        <f>IF(I48="Montar",PATRÓN!$J$5,"")</f>
        <v/>
      </c>
      <c r="J50" s="104" t="str">
        <f>IF(J48="Montar",PATRÓN!$J$6,"")</f>
        <v/>
      </c>
      <c r="K50" s="104" t="str">
        <f>IF(K48="Montar",PATRÓN!$J$7,"")</f>
        <v/>
      </c>
      <c r="L50" s="104" t="str">
        <f>IF(L48="Montar",PATRÓN!$J$8,"")</f>
        <v/>
      </c>
      <c r="M50" s="104" t="str">
        <f>IF(M48="Montar",PATRÓN!$J$9,"")</f>
        <v/>
      </c>
      <c r="N50" s="104" t="str">
        <f>IF(N48="Montar",PATRÓN!$J$10,"")</f>
        <v/>
      </c>
      <c r="O50" s="104">
        <f>IF(O48="Montar",PATRÓN!$J$11,"")</f>
        <v>6.9999999999999999E-4</v>
      </c>
      <c r="P50" s="104">
        <f>IF(P48="Montar",PATRÓN!$J$12,"")</f>
        <v>8.0000000000000004E-4</v>
      </c>
      <c r="Q50" s="104">
        <f>IF(Q48="Montar",PATRÓN!$J$13,"")</f>
        <v>1.6000000000000001E-3</v>
      </c>
      <c r="R50" s="104" t="str">
        <f>IF(R48="Montar",PATRÓN!$J$14,"")</f>
        <v/>
      </c>
      <c r="S50" s="104">
        <f>IF(S48="Montar",PATRÓN!$J$15,"")</f>
        <v>8.0000000000000002E-3</v>
      </c>
      <c r="T50" s="104">
        <f>IF(T48="Montar",PATRÓN!$J$16,"")</f>
        <v>8.0000000000000002E-3</v>
      </c>
      <c r="U50" s="104" t="str">
        <f>IF(U48="Montar",PATRÓN!$J$17,"")</f>
        <v/>
      </c>
      <c r="V50" s="104">
        <f>IF(V48="Montar",PATRÓN!$J$19,"")</f>
        <v>6.9000000000000006E-2</v>
      </c>
      <c r="W50" s="104">
        <f>IF(W48="Montar",PATRÓN!$J$20,"")</f>
        <v>9.6000000000000002E-2</v>
      </c>
      <c r="X50" s="104" t="str">
        <f>IF(X48="Montar",PATRÓN!$J$21,"")</f>
        <v/>
      </c>
      <c r="Y50" s="104" t="str">
        <f>IF(Y48="Montar",PATRÓN!$J$22,"")</f>
        <v/>
      </c>
      <c r="Z50" s="104" t="str">
        <f>IF(Z48="Montar",PATRÓN!$J$23,"")</f>
        <v/>
      </c>
      <c r="AA50" s="104" t="str">
        <f>IF(AA48="Montar",PATRÓN!$J$24,"")</f>
        <v/>
      </c>
      <c r="AB50" s="104" t="str">
        <f>IF(AB48="Montar",PATRÓN!$J$25,"")</f>
        <v/>
      </c>
      <c r="AC50" s="104" t="str">
        <f>IF(AC48="Montar",PATRÓN!$J$26,"")</f>
        <v/>
      </c>
      <c r="AD50" s="104" t="str">
        <f>IF(AD48="Montar",PATRÓN!$J$27,"")</f>
        <v/>
      </c>
      <c r="AE50" s="104" t="str">
        <f>IF(AE48="Montar",PATRÓN!$J$28,"")</f>
        <v/>
      </c>
      <c r="AF50" s="104" t="str">
        <f>IF(AF48="Montar",PATRÓN!$J$29,"")</f>
        <v/>
      </c>
      <c r="AG50" s="104" t="str">
        <f>IF(AG48="Montar",PATRÓN!$J$30,"")</f>
        <v/>
      </c>
      <c r="AH50" s="105" t="str">
        <f>IF(AH48="Montar",PATRÓN!$J$31,"")</f>
        <v/>
      </c>
    </row>
    <row r="51" spans="2:34" x14ac:dyDescent="0.3">
      <c r="B51" s="62"/>
      <c r="C51" s="62"/>
      <c r="D51" s="347">
        <f>SUM(G51:AH51)</f>
        <v>0.2243</v>
      </c>
      <c r="E51" s="347"/>
      <c r="F51" s="347"/>
      <c r="G51" s="103" t="str">
        <f>IF(G48="Montar",PATRÓN!$M$3,"")</f>
        <v/>
      </c>
      <c r="H51" s="103" t="str">
        <f>IF(H48="Montar",PATRÓN!$M$4,"")</f>
        <v/>
      </c>
      <c r="I51" s="103" t="str">
        <f>IF(I48="Montar",PATRÓN!$M$5,"")</f>
        <v/>
      </c>
      <c r="J51" s="103" t="str">
        <f>IF(J48="Montar",PATRÓN!$M$6,"")</f>
        <v/>
      </c>
      <c r="K51" s="103" t="str">
        <f>IF(K48="Montar",PATRÓN!$M$7,"")</f>
        <v/>
      </c>
      <c r="L51" s="103" t="str">
        <f>IF(L48="Montar",PATRÓN!$M$8,"")</f>
        <v/>
      </c>
      <c r="M51" s="103" t="str">
        <f>IF(M48="Montar",PATRÓN!$M$9,"")</f>
        <v/>
      </c>
      <c r="N51" s="103" t="str">
        <f>IF(N48="Montar",PATRÓN!$M$10,"")</f>
        <v/>
      </c>
      <c r="O51" s="103">
        <f>IF(O48="Montar",PATRÓN!$M$11,"")</f>
        <v>1.6999999999999999E-3</v>
      </c>
      <c r="P51" s="103">
        <f>IF(P48="Montar",PATRÓN!$M$12,"")</f>
        <v>3.3E-3</v>
      </c>
      <c r="Q51" s="103">
        <f>IF(Q48="Montar",PATRÓN!$M$13,"")</f>
        <v>3.3E-3</v>
      </c>
      <c r="R51" s="103" t="str">
        <f>IF(R48="Montar",PATRÓN!$M$14,"")</f>
        <v/>
      </c>
      <c r="S51" s="103">
        <f>IF(S48="Montar",PATRÓN!$M$15,"")</f>
        <v>1.7000000000000001E-2</v>
      </c>
      <c r="T51" s="103">
        <f>IF(T48="Montar",PATRÓN!$M$16,"")</f>
        <v>3.3000000000000002E-2</v>
      </c>
      <c r="U51" s="103" t="str">
        <f>IF(U48="Montar",PATRÓN!$M$17,"")</f>
        <v/>
      </c>
      <c r="V51" s="103">
        <f>IF(V48="Montar",PATRÓN!$M$19,"")</f>
        <v>8.3000000000000004E-2</v>
      </c>
      <c r="W51" s="103">
        <f>IF(W48="Montar",PATRÓN!$M$20,"")</f>
        <v>8.3000000000000004E-2</v>
      </c>
      <c r="X51" s="103" t="str">
        <f>IF(X48="Montar",PATRÓN!$M$21,"")</f>
        <v/>
      </c>
      <c r="Y51" s="103" t="str">
        <f>IF(Y48="Montar",PATRÓN!$M$22,"")</f>
        <v/>
      </c>
      <c r="Z51" s="103" t="str">
        <f>IF(Z48="Montar",PATRÓN!$M$23,"")</f>
        <v/>
      </c>
      <c r="AA51" s="103" t="str">
        <f>IF(AA48="Montar",PATRÓN!$M$24,"")</f>
        <v/>
      </c>
      <c r="AB51" s="103" t="str">
        <f>IF(AB48="Montar",PATRÓN!$M$25,"")</f>
        <v/>
      </c>
      <c r="AC51" s="103" t="str">
        <f>IF(AC48="Montar",PATRÓN!$M$26,"")</f>
        <v/>
      </c>
      <c r="AD51" s="103" t="str">
        <f>IF(AD48="Montar",PATRÓN!$M$27,"")</f>
        <v/>
      </c>
      <c r="AE51" s="103" t="str">
        <f>IF(AE48="Montar",PATRÓN!$M$28,"")</f>
        <v/>
      </c>
      <c r="AF51" s="103" t="str">
        <f>IF(AF48="Montar",PATRÓN!$M$29,"")</f>
        <v/>
      </c>
      <c r="AG51" s="103" t="str">
        <f>IF(AG48="Montar",PATRÓN!$M$30,"")</f>
        <v/>
      </c>
      <c r="AH51" s="103" t="str">
        <f>IF(AH48="Montar",PATRÓN!$M$31,"")</f>
        <v/>
      </c>
    </row>
    <row r="52" spans="2:34" x14ac:dyDescent="0.3">
      <c r="B52" s="62"/>
      <c r="C52" s="62"/>
      <c r="D52" s="351">
        <f>SUM(G52:AH52)</f>
        <v>0.67500000000000004</v>
      </c>
      <c r="E52" s="351"/>
      <c r="F52" s="351"/>
      <c r="G52" s="104" t="str">
        <f>IF(G48="Montar",PATRÓN!$K$3,"")</f>
        <v/>
      </c>
      <c r="H52" s="104" t="str">
        <f>IF(H48="Montar",PATRÓN!$K$4,"")</f>
        <v/>
      </c>
      <c r="I52" s="104" t="str">
        <f>IF(I48="Montar",PATRÓN!$K$5,"")</f>
        <v/>
      </c>
      <c r="J52" s="104" t="str">
        <f>IF(J48="Montar",PATRÓN!$K$6,"")</f>
        <v/>
      </c>
      <c r="K52" s="104" t="str">
        <f>IF(K48="Montar",PATRÓN!$K$7,"")</f>
        <v/>
      </c>
      <c r="L52" s="104" t="str">
        <f>IF(L48="Montar",PATRÓN!$K$8,"")</f>
        <v/>
      </c>
      <c r="M52" s="104" t="str">
        <f>IF(M48="Montar",PATRÓN!$K$9,"")</f>
        <v/>
      </c>
      <c r="N52" s="104" t="str">
        <f>IF(N48="Montar",PATRÓN!$K$10,"")</f>
        <v/>
      </c>
      <c r="O52" s="104">
        <f>IF(O48="Montar",PATRÓN!$K$11,"")</f>
        <v>5.0000000000000001E-3</v>
      </c>
      <c r="P52" s="104">
        <f>IF(P48="Montar",PATRÓN!$K$12,"")</f>
        <v>0.01</v>
      </c>
      <c r="Q52" s="104">
        <f>IF(Q48="Montar",PATRÓN!$K$13,"")</f>
        <v>0.01</v>
      </c>
      <c r="R52" s="104" t="str">
        <f>IF(R48="Montar",PATRÓN!$K$14,"")</f>
        <v/>
      </c>
      <c r="S52" s="104">
        <f>IF(S48="Montar",PATRÓN!$K$15,"")</f>
        <v>0.05</v>
      </c>
      <c r="T52" s="104">
        <f>IF(T48="Montar",PATRÓN!$K$16,"")</f>
        <v>0.1</v>
      </c>
      <c r="U52" s="104" t="str">
        <f>IF(U48="Montar",PATRÓN!$K$17,"")</f>
        <v/>
      </c>
      <c r="V52" s="104">
        <f>IF(V48="Montar",PATRÓN!$K$19,"")</f>
        <v>0.25</v>
      </c>
      <c r="W52" s="104">
        <f>IF(W48="Montar",PATRÓN!$K$20,"")</f>
        <v>0.25</v>
      </c>
      <c r="X52" s="104" t="str">
        <f>IF(X48="Montar",PATRÓN!$K$21,"")</f>
        <v/>
      </c>
      <c r="Y52" s="104" t="str">
        <f>IF(Y48="Montar",PATRÓN!$K$22,"")</f>
        <v/>
      </c>
      <c r="Z52" s="104" t="str">
        <f>IF(Z48="Montar",PATRÓN!$K$23,"")</f>
        <v/>
      </c>
      <c r="AA52" s="104" t="str">
        <f>IF(AA48="Montar",PATRÓN!$K$24,"")</f>
        <v/>
      </c>
      <c r="AB52" s="104" t="str">
        <f>IF(AB48="Montar",PATRÓN!$K$25,"")</f>
        <v/>
      </c>
      <c r="AC52" s="104" t="str">
        <f>IF(AC48="Montar",PATRÓN!$K$26,"")</f>
        <v/>
      </c>
      <c r="AD52" s="104" t="str">
        <f>IF(AD48="Montar",PATRÓN!$K$27,"")</f>
        <v/>
      </c>
      <c r="AE52" s="104" t="str">
        <f>IF(AE48="Montar",PATRÓN!$K$28,"")</f>
        <v/>
      </c>
      <c r="AF52" s="104" t="str">
        <f>IF(AF48="Montar",PATRÓN!$K$29,"")</f>
        <v/>
      </c>
      <c r="AG52" s="104" t="str">
        <f>IF(AG48="Montar",PATRÓN!$K$30,"")</f>
        <v/>
      </c>
      <c r="AH52" s="104" t="str">
        <f>IF(AH48="Montar",PATRÓN!$K$31,"")</f>
        <v/>
      </c>
    </row>
    <row r="53" spans="2:34" x14ac:dyDescent="0.3">
      <c r="B53" s="62"/>
      <c r="C53" s="62"/>
      <c r="D53" s="108"/>
      <c r="E53" s="108"/>
      <c r="F53" s="108"/>
      <c r="G53" s="102" t="s">
        <v>49</v>
      </c>
      <c r="H53" s="102" t="s">
        <v>49</v>
      </c>
      <c r="I53" s="102" t="s">
        <v>49</v>
      </c>
      <c r="J53" s="102" t="s">
        <v>49</v>
      </c>
      <c r="K53" s="102" t="s">
        <v>49</v>
      </c>
      <c r="L53" s="102" t="s">
        <v>49</v>
      </c>
      <c r="M53" s="102" t="s">
        <v>49</v>
      </c>
      <c r="N53" s="102" t="s">
        <v>49</v>
      </c>
      <c r="O53" s="102" t="s">
        <v>49</v>
      </c>
      <c r="P53" s="102"/>
      <c r="Q53" s="102" t="s">
        <v>49</v>
      </c>
      <c r="R53" s="102" t="s">
        <v>49</v>
      </c>
      <c r="S53" s="102" t="s">
        <v>49</v>
      </c>
      <c r="T53" s="102" t="s">
        <v>49</v>
      </c>
      <c r="U53" s="102" t="s">
        <v>49</v>
      </c>
      <c r="V53" s="102" t="s">
        <v>48</v>
      </c>
      <c r="W53" s="102"/>
      <c r="X53" s="102" t="s">
        <v>48</v>
      </c>
      <c r="Y53" s="102" t="s">
        <v>49</v>
      </c>
      <c r="Z53" s="102" t="s">
        <v>49</v>
      </c>
      <c r="AA53" s="102" t="s">
        <v>49</v>
      </c>
      <c r="AB53" s="102" t="s">
        <v>49</v>
      </c>
      <c r="AC53" s="102" t="s">
        <v>49</v>
      </c>
      <c r="AD53" s="102" t="s">
        <v>49</v>
      </c>
      <c r="AE53" s="102" t="s">
        <v>49</v>
      </c>
      <c r="AF53" s="102" t="s">
        <v>49</v>
      </c>
      <c r="AG53" s="102" t="s">
        <v>49</v>
      </c>
      <c r="AH53" s="102" t="s">
        <v>49</v>
      </c>
    </row>
    <row r="54" spans="2:34" x14ac:dyDescent="0.3">
      <c r="B54" s="349">
        <f>S15</f>
        <v>15000</v>
      </c>
      <c r="C54" s="349"/>
      <c r="D54" s="347">
        <f>SUM(G54:AH54)</f>
        <v>15000.118999999999</v>
      </c>
      <c r="E54" s="347"/>
      <c r="F54" s="347"/>
      <c r="G54" s="103" t="str">
        <f>IF(G53="Montar",1+G55,"")</f>
        <v/>
      </c>
      <c r="H54" s="104" t="str">
        <f>IF(H53="Montar",2+H55,"")</f>
        <v/>
      </c>
      <c r="I54" s="103" t="str">
        <f>IF(I53="Montar",2+I55,"")</f>
        <v/>
      </c>
      <c r="J54" s="103" t="str">
        <f>IF(J53="Montar",5+J55,"")</f>
        <v/>
      </c>
      <c r="K54" s="105" t="str">
        <f>IF(K53="Montar",10+K55,"")</f>
        <v/>
      </c>
      <c r="L54" s="103" t="str">
        <f>IF(L53="Montar",20+L55,"")</f>
        <v/>
      </c>
      <c r="M54" s="103" t="str">
        <f>IF(M53="Montar",20+M55,"")</f>
        <v/>
      </c>
      <c r="N54" s="103" t="str">
        <f>IF(N53="Montar",50+N55,"")</f>
        <v/>
      </c>
      <c r="O54" s="104" t="str">
        <f>IF(O53="Montar",100+O55,"")</f>
        <v/>
      </c>
      <c r="P54" s="104" t="str">
        <f>IF(P53="Montar",200+P55,"")</f>
        <v/>
      </c>
      <c r="Q54" s="104" t="str">
        <f>IF(Q53="Montar",200+Q55,"")</f>
        <v/>
      </c>
      <c r="R54" s="105" t="str">
        <f>IF(R53="Montar",500+R55,"")</f>
        <v/>
      </c>
      <c r="S54" s="106" t="str">
        <f>IF(S53="Montar",1000+S55,"")</f>
        <v/>
      </c>
      <c r="T54" s="106" t="str">
        <f>IF(T53="Montar",1000+T55,"")</f>
        <v/>
      </c>
      <c r="U54" s="106" t="str">
        <f>IF(U53="Montar",2000+U55,"")</f>
        <v/>
      </c>
      <c r="V54" s="106">
        <f>IF(V53="Montar",5000+V55,"")</f>
        <v>5000.0690000000004</v>
      </c>
      <c r="W54" s="106" t="str">
        <f>IF(W53="Montar",5000+W55,"")</f>
        <v/>
      </c>
      <c r="X54" s="107">
        <f>IF(X53="Montar",10000+X55,"")</f>
        <v>10000.049999999999</v>
      </c>
      <c r="Y54" s="107" t="str">
        <f>IF(Y53="Montar",10000+Y55,"")</f>
        <v/>
      </c>
      <c r="Z54" s="106" t="str">
        <f>IF(Z53="Montar",(20000+Z55),"")</f>
        <v/>
      </c>
      <c r="AA54" s="106" t="str">
        <f>IF(AA53="Montar",(20000+AA55),"")</f>
        <v/>
      </c>
      <c r="AB54" s="107" t="str">
        <f t="shared" ref="AB54:AH54" si="7">IF(AB53="Montar",20000+AB55,"")</f>
        <v/>
      </c>
      <c r="AC54" s="107" t="str">
        <f t="shared" si="7"/>
        <v/>
      </c>
      <c r="AD54" s="107" t="str">
        <f t="shared" si="7"/>
        <v/>
      </c>
      <c r="AE54" s="107" t="str">
        <f t="shared" si="7"/>
        <v/>
      </c>
      <c r="AF54" s="107" t="str">
        <f t="shared" si="7"/>
        <v/>
      </c>
      <c r="AG54" s="106" t="str">
        <f t="shared" si="7"/>
        <v/>
      </c>
      <c r="AH54" s="106" t="str">
        <f t="shared" si="7"/>
        <v/>
      </c>
    </row>
    <row r="55" spans="2:34" x14ac:dyDescent="0.3">
      <c r="B55" s="62"/>
      <c r="C55" s="62"/>
      <c r="D55" s="347">
        <f>SUM(G55:AH55)</f>
        <v>0.11900000000000001</v>
      </c>
      <c r="E55" s="347"/>
      <c r="F55" s="347"/>
      <c r="G55" s="103" t="str">
        <f>IF(G53="Montar",PATRÓN!$J$3,"")</f>
        <v/>
      </c>
      <c r="H55" s="103" t="str">
        <f>IF(H53="Montar",PATRÓN!$J$4,"")</f>
        <v/>
      </c>
      <c r="I55" s="104" t="str">
        <f>IF(I53="Montar",PATRÓN!$J$5,"")</f>
        <v/>
      </c>
      <c r="J55" s="104" t="str">
        <f>IF(J53="Montar",PATRÓN!$J$6,"")</f>
        <v/>
      </c>
      <c r="K55" s="104" t="str">
        <f>IF(K53="Montar",PATRÓN!$J$7,"")</f>
        <v/>
      </c>
      <c r="L55" s="104" t="str">
        <f>IF(L53="Montar",PATRÓN!$J$8,"")</f>
        <v/>
      </c>
      <c r="M55" s="104" t="str">
        <f>IF(M53="Montar",PATRÓN!$J$9,"")</f>
        <v/>
      </c>
      <c r="N55" s="104" t="str">
        <f>IF(N53="Montar",PATRÓN!$J$10,"")</f>
        <v/>
      </c>
      <c r="O55" s="104" t="str">
        <f>IF(O53="Montar",PATRÓN!$J$11,"")</f>
        <v/>
      </c>
      <c r="P55" s="104" t="str">
        <f>IF(P53="Montar",PATRÓN!$J$12,"")</f>
        <v/>
      </c>
      <c r="Q55" s="104" t="str">
        <f>IF(Q53="Montar",PATRÓN!$J$13,"")</f>
        <v/>
      </c>
      <c r="R55" s="104" t="str">
        <f>IF(R53="Montar",PATRÓN!$J$14,"")</f>
        <v/>
      </c>
      <c r="S55" s="104" t="str">
        <f>IF(S53="Montar",PATRÓN!$J$15,"")</f>
        <v/>
      </c>
      <c r="T55" s="104" t="str">
        <f>IF(T53="Montar",PATRÓN!$J$16,"")</f>
        <v/>
      </c>
      <c r="U55" s="104" t="str">
        <f>IF(U53="Montar",PATRÓN!$J$17,"")</f>
        <v/>
      </c>
      <c r="V55" s="104">
        <f>IF(V53="Montar",PATRÓN!$J$19,"")</f>
        <v>6.9000000000000006E-2</v>
      </c>
      <c r="W55" s="104" t="str">
        <f>IF(W53="Montar",PATRÓN!$J$20,"")</f>
        <v/>
      </c>
      <c r="X55" s="104">
        <f>IF(X53="Montar",PATRÓN!$J$21,"")</f>
        <v>0.05</v>
      </c>
      <c r="Y55" s="104" t="str">
        <f>IF(Y53="Montar",PATRÓN!$J$22,"")</f>
        <v/>
      </c>
      <c r="Z55" s="104" t="str">
        <f>IF(Z53="Montar",PATRÓN!$J$23,"")</f>
        <v/>
      </c>
      <c r="AA55" s="104" t="str">
        <f>IF(AA53="Montar",PATRÓN!$J$24,"")</f>
        <v/>
      </c>
      <c r="AB55" s="104" t="str">
        <f>IF(AB53="Montar",PATRÓN!$J$25,"")</f>
        <v/>
      </c>
      <c r="AC55" s="104" t="str">
        <f>IF(AC53="Montar",PATRÓN!$J$26,"")</f>
        <v/>
      </c>
      <c r="AD55" s="104" t="str">
        <f>IF(AD53="Montar",PATRÓN!$J$27,"")</f>
        <v/>
      </c>
      <c r="AE55" s="104" t="str">
        <f>IF(AE53="Montar",PATRÓN!$J$28,"")</f>
        <v/>
      </c>
      <c r="AF55" s="104" t="str">
        <f>IF(AF53="Montar",PATRÓN!$J$29,"")</f>
        <v/>
      </c>
      <c r="AG55" s="104" t="str">
        <f>IF(AG53="Montar",PATRÓN!$J$30,"")</f>
        <v/>
      </c>
      <c r="AH55" s="105" t="str">
        <f>IF(AH53="Montar",PATRÓN!$J$31,"")</f>
        <v/>
      </c>
    </row>
    <row r="56" spans="2:34" x14ac:dyDescent="0.3">
      <c r="B56" s="62"/>
      <c r="C56" s="62"/>
      <c r="D56" s="347">
        <f>SUM(G56:AH56)</f>
        <v>0.253</v>
      </c>
      <c r="E56" s="347"/>
      <c r="F56" s="347"/>
      <c r="G56" s="103" t="str">
        <f>IF(G53="Montar",PATRÓN!$M$3,"")</f>
        <v/>
      </c>
      <c r="H56" s="103" t="str">
        <f>IF(H53="Montar",PATRÓN!$M$4,"")</f>
        <v/>
      </c>
      <c r="I56" s="103" t="str">
        <f>IF(I53="Montar",PATRÓN!$M$5,"")</f>
        <v/>
      </c>
      <c r="J56" s="103" t="str">
        <f>IF(J53="Montar",PATRÓN!$M$6,"")</f>
        <v/>
      </c>
      <c r="K56" s="103" t="str">
        <f>IF(K53="Montar",PATRÓN!$M$7,"")</f>
        <v/>
      </c>
      <c r="L56" s="103" t="str">
        <f>IF(L53="Montar",PATRÓN!$M$8,"")</f>
        <v/>
      </c>
      <c r="M56" s="103" t="str">
        <f>IF(M53="Montar",PATRÓN!$M$9,"")</f>
        <v/>
      </c>
      <c r="N56" s="103" t="str">
        <f>IF(N53="Montar",PATRÓN!$M$10,"")</f>
        <v/>
      </c>
      <c r="O56" s="103" t="str">
        <f>IF(O53="Montar",PATRÓN!$M$11,"")</f>
        <v/>
      </c>
      <c r="P56" s="103" t="str">
        <f>IF(P53="Montar",PATRÓN!$M$12,"")</f>
        <v/>
      </c>
      <c r="Q56" s="103" t="str">
        <f>IF(Q53="Montar",PATRÓN!$M$13,"")</f>
        <v/>
      </c>
      <c r="R56" s="103" t="str">
        <f>IF(R53="Montar",PATRÓN!$M$14,"")</f>
        <v/>
      </c>
      <c r="S56" s="103" t="str">
        <f>IF(S53="Montar",PATRÓN!$M$15,"")</f>
        <v/>
      </c>
      <c r="T56" s="103" t="str">
        <f>IF(T53="Montar",PATRÓN!$M$16,"")</f>
        <v/>
      </c>
      <c r="U56" s="103" t="str">
        <f>IF(U53="Montar",PATRÓN!$M$17,"")</f>
        <v/>
      </c>
      <c r="V56" s="103">
        <f>IF(V53="Montar",PATRÓN!$M$19,"")</f>
        <v>8.3000000000000004E-2</v>
      </c>
      <c r="W56" s="103" t="str">
        <f>IF(W53="Montar",PATRÓN!$M$20,"")</f>
        <v/>
      </c>
      <c r="X56" s="103">
        <f>IF(X53="Montar",PATRÓN!$M$21,"")</f>
        <v>0.17</v>
      </c>
      <c r="Y56" s="103" t="str">
        <f>IF(Y53="Montar",PATRÓN!$M$22,"")</f>
        <v/>
      </c>
      <c r="Z56" s="103" t="str">
        <f>IF(Z53="Montar",PATRÓN!$M$23,"")</f>
        <v/>
      </c>
      <c r="AA56" s="103" t="str">
        <f>IF(AA53="Montar",PATRÓN!$M$24,"")</f>
        <v/>
      </c>
      <c r="AB56" s="103" t="str">
        <f>IF(AB53="Montar",PATRÓN!$M$25,"")</f>
        <v/>
      </c>
      <c r="AC56" s="103" t="str">
        <f>IF(AC53="Montar",PATRÓN!$M$26,"")</f>
        <v/>
      </c>
      <c r="AD56" s="103" t="str">
        <f>IF(AD53="Montar",PATRÓN!$M$27,"")</f>
        <v/>
      </c>
      <c r="AE56" s="103" t="str">
        <f>IF(AE53="Montar",PATRÓN!$M$28,"")</f>
        <v/>
      </c>
      <c r="AF56" s="103" t="str">
        <f>IF(AF53="Montar",PATRÓN!$M$29,"")</f>
        <v/>
      </c>
      <c r="AG56" s="103" t="str">
        <f>IF(AG53="Montar",PATRÓN!$M$30,"")</f>
        <v/>
      </c>
      <c r="AH56" s="103" t="str">
        <f>IF(AH53="Montar",PATRÓN!$M$31,"")</f>
        <v/>
      </c>
    </row>
    <row r="57" spans="2:34" x14ac:dyDescent="0.3">
      <c r="B57" s="62"/>
      <c r="C57" s="62"/>
      <c r="D57" s="351">
        <f>SUM(G57:AH57)</f>
        <v>0.75</v>
      </c>
      <c r="E57" s="351"/>
      <c r="F57" s="351"/>
      <c r="G57" s="104" t="str">
        <f>IF(G53="Montar",PATRÓN!$K$3,"")</f>
        <v/>
      </c>
      <c r="H57" s="104" t="str">
        <f>IF(H53="Montar",PATRÓN!$K$4,"")</f>
        <v/>
      </c>
      <c r="I57" s="104" t="str">
        <f>IF(I53="Montar",PATRÓN!$K$5,"")</f>
        <v/>
      </c>
      <c r="J57" s="104" t="str">
        <f>IF(J53="Montar",PATRÓN!$K$6,"")</f>
        <v/>
      </c>
      <c r="K57" s="104" t="str">
        <f>IF(K53="Montar",PATRÓN!$K$7,"")</f>
        <v/>
      </c>
      <c r="L57" s="104" t="str">
        <f>IF(L53="Montar",PATRÓN!$K$8,"")</f>
        <v/>
      </c>
      <c r="M57" s="104" t="str">
        <f>IF(M53="Montar",PATRÓN!$K$9,"")</f>
        <v/>
      </c>
      <c r="N57" s="104" t="str">
        <f>IF(N53="Montar",PATRÓN!$K$10,"")</f>
        <v/>
      </c>
      <c r="O57" s="104" t="str">
        <f>IF(O53="Montar",PATRÓN!$K$11,"")</f>
        <v/>
      </c>
      <c r="P57" s="104" t="str">
        <f>IF(P53="Montar",PATRÓN!$K$12,"")</f>
        <v/>
      </c>
      <c r="Q57" s="104" t="str">
        <f>IF(Q53="Montar",PATRÓN!$K$13,"")</f>
        <v/>
      </c>
      <c r="R57" s="104" t="str">
        <f>IF(R53="Montar",PATRÓN!$K$14,"")</f>
        <v/>
      </c>
      <c r="S57" s="104" t="str">
        <f>IF(S53="Montar",PATRÓN!$K$15,"")</f>
        <v/>
      </c>
      <c r="T57" s="104" t="str">
        <f>IF(T53="Montar",PATRÓN!$K$16,"")</f>
        <v/>
      </c>
      <c r="U57" s="104" t="str">
        <f>IF(U53="Montar",PATRÓN!$K$17,"")</f>
        <v/>
      </c>
      <c r="V57" s="104">
        <f>IF(V53="Montar",PATRÓN!$K$19,"")</f>
        <v>0.25</v>
      </c>
      <c r="W57" s="104" t="str">
        <f>IF(W53="Montar",PATRÓN!$K$20,"")</f>
        <v/>
      </c>
      <c r="X57" s="104">
        <f>IF(X53="Montar",PATRÓN!$K$21,"")</f>
        <v>0.5</v>
      </c>
      <c r="Y57" s="104" t="str">
        <f>IF(Y53="Montar",PATRÓN!$K$22,"")</f>
        <v/>
      </c>
      <c r="Z57" s="104" t="str">
        <f>IF(Z53="Montar",PATRÓN!$K$23,"")</f>
        <v/>
      </c>
      <c r="AA57" s="104" t="str">
        <f>IF(AA53="Montar",PATRÓN!$K$24,"")</f>
        <v/>
      </c>
      <c r="AB57" s="104" t="str">
        <f>IF(AB53="Montar",PATRÓN!$K$25,"")</f>
        <v/>
      </c>
      <c r="AC57" s="104" t="str">
        <f>IF(AC53="Montar",PATRÓN!$K$26,"")</f>
        <v/>
      </c>
      <c r="AD57" s="104" t="str">
        <f>IF(AD53="Montar",PATRÓN!$K$27,"")</f>
        <v/>
      </c>
      <c r="AE57" s="104" t="str">
        <f>IF(AE53="Montar",PATRÓN!$K$28,"")</f>
        <v/>
      </c>
      <c r="AF57" s="104" t="str">
        <f>IF(AF53="Montar",PATRÓN!$K$29,"")</f>
        <v/>
      </c>
      <c r="AG57" s="104" t="str">
        <f>IF(AG53="Montar",PATRÓN!$K$30,"")</f>
        <v/>
      </c>
      <c r="AH57" s="104" t="str">
        <f>IF(AH53="Montar",PATRÓN!$K$31,"")</f>
        <v/>
      </c>
    </row>
    <row r="58" spans="2:34" x14ac:dyDescent="0.3">
      <c r="B58" s="62"/>
      <c r="C58" s="62"/>
      <c r="D58" s="108"/>
      <c r="E58" s="108"/>
      <c r="F58" s="108"/>
      <c r="G58" s="102" t="s">
        <v>49</v>
      </c>
      <c r="H58" s="102" t="s">
        <v>49</v>
      </c>
      <c r="I58" s="102" t="s">
        <v>49</v>
      </c>
      <c r="J58" s="102" t="s">
        <v>49</v>
      </c>
      <c r="K58" s="102" t="s">
        <v>49</v>
      </c>
      <c r="L58" s="102" t="s">
        <v>49</v>
      </c>
      <c r="M58" s="102" t="s">
        <v>49</v>
      </c>
      <c r="N58" s="102" t="s">
        <v>49</v>
      </c>
      <c r="O58" s="102" t="s">
        <v>49</v>
      </c>
      <c r="P58" s="102"/>
      <c r="Q58" s="102"/>
      <c r="R58" s="102" t="s">
        <v>48</v>
      </c>
      <c r="S58" s="102" t="s">
        <v>49</v>
      </c>
      <c r="T58" s="102" t="s">
        <v>49</v>
      </c>
      <c r="U58" s="102" t="s">
        <v>48</v>
      </c>
      <c r="V58" s="102" t="s">
        <v>48</v>
      </c>
      <c r="W58" s="102"/>
      <c r="X58" s="102" t="s">
        <v>49</v>
      </c>
      <c r="Y58" s="102" t="s">
        <v>48</v>
      </c>
      <c r="Z58" s="102" t="s">
        <v>49</v>
      </c>
      <c r="AA58" s="102" t="s">
        <v>49</v>
      </c>
      <c r="AB58" s="102" t="s">
        <v>49</v>
      </c>
      <c r="AC58" s="102" t="s">
        <v>49</v>
      </c>
      <c r="AD58" s="102" t="s">
        <v>49</v>
      </c>
      <c r="AE58" s="102" t="s">
        <v>49</v>
      </c>
      <c r="AF58" s="102" t="s">
        <v>49</v>
      </c>
      <c r="AG58" s="102" t="s">
        <v>49</v>
      </c>
      <c r="AH58" s="102" t="s">
        <v>49</v>
      </c>
    </row>
    <row r="59" spans="2:34" x14ac:dyDescent="0.3">
      <c r="B59" s="349">
        <f>S16</f>
        <v>17500</v>
      </c>
      <c r="C59" s="349"/>
      <c r="D59" s="347">
        <f>SUM(G59:AH59)</f>
        <v>17500.132900000001</v>
      </c>
      <c r="E59" s="347"/>
      <c r="F59" s="347"/>
      <c r="G59" s="103" t="str">
        <f>IF(G58="Montar",1+G60,"")</f>
        <v/>
      </c>
      <c r="H59" s="104" t="str">
        <f>IF(H58="Montar",2+H60,"")</f>
        <v/>
      </c>
      <c r="I59" s="103" t="str">
        <f>IF(I58="Montar",2+I60,"")</f>
        <v/>
      </c>
      <c r="J59" s="103" t="str">
        <f>IF(J58="Montar",5+J60,"")</f>
        <v/>
      </c>
      <c r="K59" s="105" t="str">
        <f>IF(K58="Montar",10+K60,"")</f>
        <v/>
      </c>
      <c r="L59" s="103" t="str">
        <f>IF(L58="Montar",20+L60,"")</f>
        <v/>
      </c>
      <c r="M59" s="103" t="str">
        <f>IF(M58="Montar",20+M60,"")</f>
        <v/>
      </c>
      <c r="N59" s="103" t="str">
        <f>IF(N58="Montar",50+N60,"")</f>
        <v/>
      </c>
      <c r="O59" s="104" t="str">
        <f>IF(O58="Montar",100+O60,"")</f>
        <v/>
      </c>
      <c r="P59" s="104" t="str">
        <f>IF(P58="Montar",200+P60,"")</f>
        <v/>
      </c>
      <c r="Q59" s="104" t="str">
        <f>IF(Q58="Montar",200+Q60,"")</f>
        <v/>
      </c>
      <c r="R59" s="105">
        <f>IF(R58="Montar",500+R60,"")</f>
        <v>500.00290000000001</v>
      </c>
      <c r="S59" s="106" t="str">
        <f>IF(S58="Montar",1000+S60,"")</f>
        <v/>
      </c>
      <c r="T59" s="106" t="str">
        <f>IF(T58="Montar",1000+T60,"")</f>
        <v/>
      </c>
      <c r="U59" s="106">
        <f>IF(U58="Montar",2000+U60,"")</f>
        <v>2000.011</v>
      </c>
      <c r="V59" s="106">
        <f>IF(V58="Montar",5000+V60,"")</f>
        <v>5000.0690000000004</v>
      </c>
      <c r="W59" s="106" t="str">
        <f>IF(W58="Montar",5000+W60,"")</f>
        <v/>
      </c>
      <c r="X59" s="107" t="str">
        <f>IF(X58="Montar",10000+X60,"")</f>
        <v/>
      </c>
      <c r="Y59" s="107">
        <f>IF(Y58="Montar",10000+Y60,"")</f>
        <v>10000.049999999999</v>
      </c>
      <c r="Z59" s="106" t="str">
        <f>IF(Z58="Montar",(20000+Z60),"")</f>
        <v/>
      </c>
      <c r="AA59" s="106" t="str">
        <f>IF(AA58="Montar",(20000+AA60),"")</f>
        <v/>
      </c>
      <c r="AB59" s="107" t="str">
        <f t="shared" ref="AB59:AH59" si="8">IF(AB58="Montar",20000+AB60,"")</f>
        <v/>
      </c>
      <c r="AC59" s="107" t="str">
        <f t="shared" si="8"/>
        <v/>
      </c>
      <c r="AD59" s="107" t="str">
        <f t="shared" si="8"/>
        <v/>
      </c>
      <c r="AE59" s="107" t="str">
        <f t="shared" si="8"/>
        <v/>
      </c>
      <c r="AF59" s="107" t="str">
        <f t="shared" si="8"/>
        <v/>
      </c>
      <c r="AG59" s="106" t="str">
        <f t="shared" si="8"/>
        <v/>
      </c>
      <c r="AH59" s="106" t="str">
        <f t="shared" si="8"/>
        <v/>
      </c>
    </row>
    <row r="60" spans="2:34" x14ac:dyDescent="0.3">
      <c r="B60" s="62"/>
      <c r="C60" s="62"/>
      <c r="D60" s="347">
        <f>SUM(G60:AH60)</f>
        <v>0.13290000000000002</v>
      </c>
      <c r="E60" s="347"/>
      <c r="F60" s="347"/>
      <c r="G60" s="103" t="str">
        <f>IF(G58="Montar",PATRÓN!$J$3,"")</f>
        <v/>
      </c>
      <c r="H60" s="103" t="str">
        <f>IF(H58="Montar",PATRÓN!$J$4,"")</f>
        <v/>
      </c>
      <c r="I60" s="104" t="str">
        <f>IF(I58="Montar",PATRÓN!$J$5,"")</f>
        <v/>
      </c>
      <c r="J60" s="104" t="str">
        <f>IF(J58="Montar",PATRÓN!$J$6,"")</f>
        <v/>
      </c>
      <c r="K60" s="104" t="str">
        <f>IF(K58="Montar",PATRÓN!$J$7,"")</f>
        <v/>
      </c>
      <c r="L60" s="104" t="str">
        <f>IF(L58="Montar",PATRÓN!$J$8,"")</f>
        <v/>
      </c>
      <c r="M60" s="104" t="str">
        <f>IF(M58="Montar",PATRÓN!$J$9,"")</f>
        <v/>
      </c>
      <c r="N60" s="104" t="str">
        <f>IF(N58="Montar",PATRÓN!$J$10,"")</f>
        <v/>
      </c>
      <c r="O60" s="104" t="str">
        <f>IF(O58="Montar",PATRÓN!$J$11,"")</f>
        <v/>
      </c>
      <c r="P60" s="104" t="str">
        <f>IF(P58="Montar",PATRÓN!$J$12,"")</f>
        <v/>
      </c>
      <c r="Q60" s="104" t="str">
        <f>IF(Q58="Montar",PATRÓN!$J$13,"")</f>
        <v/>
      </c>
      <c r="R60" s="104">
        <f>IF(R58="Montar",PATRÓN!$J$14,"")</f>
        <v>2.8999999999999998E-3</v>
      </c>
      <c r="S60" s="104" t="str">
        <f>IF(S58="Montar",PATRÓN!$J$15,"")</f>
        <v/>
      </c>
      <c r="T60" s="104" t="str">
        <f>IF(T58="Montar",PATRÓN!$J$16,"")</f>
        <v/>
      </c>
      <c r="U60" s="104">
        <f>IF(U58="Montar",PATRÓN!$J$17,"")</f>
        <v>1.0999999999999999E-2</v>
      </c>
      <c r="V60" s="104">
        <f>IF(V58="Montar",PATRÓN!$J$19,"")</f>
        <v>6.9000000000000006E-2</v>
      </c>
      <c r="W60" s="104" t="str">
        <f>IF(W58="Montar",PATRÓN!$J$20,"")</f>
        <v/>
      </c>
      <c r="X60" s="104" t="str">
        <f>IF(X58="Montar",PATRÓN!$J$21,"")</f>
        <v/>
      </c>
      <c r="Y60" s="104">
        <f>IF(Y58="Montar",PATRÓN!$J$22,"")</f>
        <v>0.05</v>
      </c>
      <c r="Z60" s="104" t="str">
        <f>IF(Z58="Montar",PATRÓN!$J$23,"")</f>
        <v/>
      </c>
      <c r="AA60" s="104" t="str">
        <f>IF(AA58="Montar",PATRÓN!$J$24,"")</f>
        <v/>
      </c>
      <c r="AB60" s="104" t="str">
        <f>IF(AB58="Montar",PATRÓN!$J$25,"")</f>
        <v/>
      </c>
      <c r="AC60" s="104" t="str">
        <f>IF(AC58="Montar",PATRÓN!$J$26,"")</f>
        <v/>
      </c>
      <c r="AD60" s="104" t="str">
        <f>IF(AD58="Montar",PATRÓN!$J$27,"")</f>
        <v/>
      </c>
      <c r="AE60" s="104" t="str">
        <f>IF(AE58="Montar",PATRÓN!$J$28,"")</f>
        <v/>
      </c>
      <c r="AF60" s="104" t="str">
        <f>IF(AF58="Montar",PATRÓN!$J$29,"")</f>
        <v/>
      </c>
      <c r="AG60" s="104" t="str">
        <f>IF(AG58="Montar",PATRÓN!$J$30,"")</f>
        <v/>
      </c>
      <c r="AH60" s="105" t="str">
        <f>IF(AH58="Montar",PATRÓN!$J$31,"")</f>
        <v/>
      </c>
    </row>
    <row r="61" spans="2:34" x14ac:dyDescent="0.3">
      <c r="B61" s="62"/>
      <c r="C61" s="62"/>
      <c r="D61" s="347">
        <f>SUM(G61:AH61)</f>
        <v>0.29430000000000001</v>
      </c>
      <c r="E61" s="347"/>
      <c r="F61" s="347"/>
      <c r="G61" s="103" t="str">
        <f>IF(G58="Montar",PATRÓN!$M$3,"")</f>
        <v/>
      </c>
      <c r="H61" s="103" t="str">
        <f>IF(H58="Montar",PATRÓN!$M$4,"")</f>
        <v/>
      </c>
      <c r="I61" s="103" t="str">
        <f>IF(I58="Montar",PATRÓN!$M$5,"")</f>
        <v/>
      </c>
      <c r="J61" s="103" t="str">
        <f>IF(J58="Montar",PATRÓN!$M$6,"")</f>
        <v/>
      </c>
      <c r="K61" s="103" t="str">
        <f>IF(K58="Montar",PATRÓN!$M$7,"")</f>
        <v/>
      </c>
      <c r="L61" s="103" t="str">
        <f>IF(L58="Montar",PATRÓN!$M$8,"")</f>
        <v/>
      </c>
      <c r="M61" s="103" t="str">
        <f>IF(M58="Montar",PATRÓN!$M$9,"")</f>
        <v/>
      </c>
      <c r="N61" s="103" t="str">
        <f>IF(N58="Montar",PATRÓN!$M$10,"")</f>
        <v/>
      </c>
      <c r="O61" s="103" t="str">
        <f>IF(O58="Montar",PATRÓN!$M$11,"")</f>
        <v/>
      </c>
      <c r="P61" s="103" t="str">
        <f>IF(P58="Montar",PATRÓN!$M$12,"")</f>
        <v/>
      </c>
      <c r="Q61" s="103" t="str">
        <f>IF(Q58="Montar",PATRÓN!$M$13,"")</f>
        <v/>
      </c>
      <c r="R61" s="103">
        <f>IF(R58="Montar",PATRÓN!$M$14,"")</f>
        <v>8.3000000000000001E-3</v>
      </c>
      <c r="S61" s="103" t="str">
        <f>IF(S58="Montar",PATRÓN!$M$15,"")</f>
        <v/>
      </c>
      <c r="T61" s="103" t="str">
        <f>IF(T58="Montar",PATRÓN!$M$16,"")</f>
        <v/>
      </c>
      <c r="U61" s="103">
        <f>IF(U58="Montar",PATRÓN!$M$17,"")</f>
        <v>3.3000000000000002E-2</v>
      </c>
      <c r="V61" s="103">
        <f>IF(V58="Montar",PATRÓN!$M$19,"")</f>
        <v>8.3000000000000004E-2</v>
      </c>
      <c r="W61" s="103" t="str">
        <f>IF(W58="Montar",PATRÓN!$M$20,"")</f>
        <v/>
      </c>
      <c r="X61" s="103" t="str">
        <f>IF(X58="Montar",PATRÓN!$M$21,"")</f>
        <v/>
      </c>
      <c r="Y61" s="103">
        <f>IF(Y58="Montar",PATRÓN!$M$22,"")</f>
        <v>0.17</v>
      </c>
      <c r="Z61" s="103" t="str">
        <f>IF(Z58="Montar",PATRÓN!$M$23,"")</f>
        <v/>
      </c>
      <c r="AA61" s="103" t="str">
        <f>IF(AA58="Montar",PATRÓN!$M$24,"")</f>
        <v/>
      </c>
      <c r="AB61" s="103" t="str">
        <f>IF(AB58="Montar",PATRÓN!$M$25,"")</f>
        <v/>
      </c>
      <c r="AC61" s="103" t="str">
        <f>IF(AC58="Montar",PATRÓN!$M$26,"")</f>
        <v/>
      </c>
      <c r="AD61" s="103" t="str">
        <f>IF(AD58="Montar",PATRÓN!$M$27,"")</f>
        <v/>
      </c>
      <c r="AE61" s="103" t="str">
        <f>IF(AE58="Montar",PATRÓN!$M$28,"")</f>
        <v/>
      </c>
      <c r="AF61" s="103" t="str">
        <f>IF(AF58="Montar",PATRÓN!$M$29,"")</f>
        <v/>
      </c>
      <c r="AG61" s="103" t="str">
        <f>IF(AG58="Montar",PATRÓN!$M$30,"")</f>
        <v/>
      </c>
      <c r="AH61" s="103" t="str">
        <f>IF(AH58="Montar",PATRÓN!$M$31,"")</f>
        <v/>
      </c>
    </row>
    <row r="62" spans="2:34" x14ac:dyDescent="0.3">
      <c r="B62" s="62"/>
      <c r="C62" s="62"/>
      <c r="D62" s="351">
        <f>SUM(G62:AH62)</f>
        <v>0.875</v>
      </c>
      <c r="E62" s="351"/>
      <c r="F62" s="351"/>
      <c r="G62" s="104" t="str">
        <f>IF(G58="Montar",PATRÓN!$K$3,"")</f>
        <v/>
      </c>
      <c r="H62" s="104" t="str">
        <f>IF(H58="Montar",PATRÓN!$K$4,"")</f>
        <v/>
      </c>
      <c r="I62" s="104" t="str">
        <f>IF(I58="Montar",PATRÓN!$K$5,"")</f>
        <v/>
      </c>
      <c r="J62" s="104" t="str">
        <f>IF(J58="Montar",PATRÓN!$K$6,"")</f>
        <v/>
      </c>
      <c r="K62" s="104" t="str">
        <f>IF(K58="Montar",PATRÓN!$K$7,"")</f>
        <v/>
      </c>
      <c r="L62" s="104" t="str">
        <f>IF(L58="Montar",PATRÓN!$K$8,"")</f>
        <v/>
      </c>
      <c r="M62" s="104" t="str">
        <f>IF(M58="Montar",PATRÓN!$K$9,"")</f>
        <v/>
      </c>
      <c r="N62" s="104" t="str">
        <f>IF(N58="Montar",PATRÓN!$K$10,"")</f>
        <v/>
      </c>
      <c r="O62" s="104" t="str">
        <f>IF(O58="Montar",PATRÓN!$K$11,"")</f>
        <v/>
      </c>
      <c r="P62" s="104" t="str">
        <f>IF(P58="Montar",PATRÓN!$K$12,"")</f>
        <v/>
      </c>
      <c r="Q62" s="104" t="str">
        <f>IF(Q58="Montar",PATRÓN!$K$13,"")</f>
        <v/>
      </c>
      <c r="R62" s="104">
        <f>IF(R58="Montar",PATRÓN!$K$14,"")</f>
        <v>2.5000000000000001E-2</v>
      </c>
      <c r="S62" s="104" t="str">
        <f>IF(S58="Montar",PATRÓN!$K$15,"")</f>
        <v/>
      </c>
      <c r="T62" s="104" t="str">
        <f>IF(T58="Montar",PATRÓN!$K$16,"")</f>
        <v/>
      </c>
      <c r="U62" s="104">
        <f>IF(U58="Montar",PATRÓN!$K$17,"")</f>
        <v>0.1</v>
      </c>
      <c r="V62" s="104">
        <f>IF(V58="Montar",PATRÓN!$K$19,"")</f>
        <v>0.25</v>
      </c>
      <c r="W62" s="104" t="str">
        <f>IF(W58="Montar",PATRÓN!$K$20,"")</f>
        <v/>
      </c>
      <c r="X62" s="104" t="str">
        <f>IF(X58="Montar",PATRÓN!$K$21,"")</f>
        <v/>
      </c>
      <c r="Y62" s="104">
        <f>IF(Y58="Montar",PATRÓN!$K$22,"")</f>
        <v>0.5</v>
      </c>
      <c r="Z62" s="104" t="str">
        <f>IF(Z58="Montar",PATRÓN!$K$23,"")</f>
        <v/>
      </c>
      <c r="AA62" s="104" t="str">
        <f>IF(AA58="Montar",PATRÓN!$K$24,"")</f>
        <v/>
      </c>
      <c r="AB62" s="104" t="str">
        <f>IF(AB58="Montar",PATRÓN!$K$25,"")</f>
        <v/>
      </c>
      <c r="AC62" s="104" t="str">
        <f>IF(AC58="Montar",PATRÓN!$K$26,"")</f>
        <v/>
      </c>
      <c r="AD62" s="104" t="str">
        <f>IF(AD58="Montar",PATRÓN!$K$27,"")</f>
        <v/>
      </c>
      <c r="AE62" s="104" t="str">
        <f>IF(AE58="Montar",PATRÓN!$K$28,"")</f>
        <v/>
      </c>
      <c r="AF62" s="104" t="str">
        <f>IF(AF58="Montar",PATRÓN!$K$29,"")</f>
        <v/>
      </c>
      <c r="AG62" s="104" t="str">
        <f>IF(AG58="Montar",PATRÓN!$K$30,"")</f>
        <v/>
      </c>
      <c r="AH62" s="104" t="str">
        <f>IF(AH58="Montar",PATRÓN!$K$31,"")</f>
        <v/>
      </c>
    </row>
    <row r="63" spans="2:34" x14ac:dyDescent="0.3">
      <c r="B63" s="62"/>
      <c r="C63" s="62"/>
      <c r="D63" s="108"/>
      <c r="E63" s="108"/>
      <c r="F63" s="108"/>
      <c r="G63" s="102" t="s">
        <v>49</v>
      </c>
      <c r="H63" s="102" t="s">
        <v>49</v>
      </c>
      <c r="I63" s="102" t="s">
        <v>49</v>
      </c>
      <c r="J63" s="102" t="s">
        <v>49</v>
      </c>
      <c r="K63" s="102" t="s">
        <v>49</v>
      </c>
      <c r="L63" s="102" t="s">
        <v>49</v>
      </c>
      <c r="M63" s="102" t="s">
        <v>49</v>
      </c>
      <c r="N63" s="102" t="s">
        <v>49</v>
      </c>
      <c r="O63" s="102" t="s">
        <v>49</v>
      </c>
      <c r="P63" s="102" t="s">
        <v>49</v>
      </c>
      <c r="Q63" s="102" t="s">
        <v>49</v>
      </c>
      <c r="R63" s="102" t="s">
        <v>49</v>
      </c>
      <c r="S63" s="102" t="s">
        <v>49</v>
      </c>
      <c r="T63" s="102" t="s">
        <v>49</v>
      </c>
      <c r="U63" s="102" t="s">
        <v>49</v>
      </c>
      <c r="V63" s="102" t="s">
        <v>49</v>
      </c>
      <c r="W63" s="102" t="s">
        <v>49</v>
      </c>
      <c r="X63" s="102" t="s">
        <v>49</v>
      </c>
      <c r="Y63" s="102" t="s">
        <v>49</v>
      </c>
      <c r="Z63" s="102" t="s">
        <v>48</v>
      </c>
      <c r="AA63" s="102" t="s">
        <v>49</v>
      </c>
      <c r="AB63" s="102" t="s">
        <v>49</v>
      </c>
      <c r="AC63" s="102" t="s">
        <v>49</v>
      </c>
      <c r="AD63" s="102" t="s">
        <v>49</v>
      </c>
      <c r="AE63" s="102" t="s">
        <v>49</v>
      </c>
      <c r="AF63" s="102" t="s">
        <v>49</v>
      </c>
      <c r="AG63" s="102" t="s">
        <v>49</v>
      </c>
      <c r="AH63" s="102" t="s">
        <v>49</v>
      </c>
    </row>
    <row r="64" spans="2:34" x14ac:dyDescent="0.3">
      <c r="B64" s="349">
        <f>S17</f>
        <v>20000</v>
      </c>
      <c r="C64" s="349"/>
      <c r="D64" s="347">
        <f>SUM(G64:AH64)</f>
        <v>20000.21</v>
      </c>
      <c r="E64" s="347"/>
      <c r="F64" s="347"/>
      <c r="G64" s="103" t="str">
        <f>IF(G63="Montar",1+G65,"")</f>
        <v/>
      </c>
      <c r="H64" s="104" t="str">
        <f>IF(H63="Montar",2+H65,"")</f>
        <v/>
      </c>
      <c r="I64" s="103" t="str">
        <f>IF(I63="Montar",2+I65,"")</f>
        <v/>
      </c>
      <c r="J64" s="103" t="str">
        <f>IF(J63="Montar",5+J65,"")</f>
        <v/>
      </c>
      <c r="K64" s="105" t="str">
        <f>IF(K63="Montar",10+K65,"")</f>
        <v/>
      </c>
      <c r="L64" s="103" t="str">
        <f>IF(L63="Montar",20+L65,"")</f>
        <v/>
      </c>
      <c r="M64" s="103" t="str">
        <f>IF(M63="Montar",20+M65,"")</f>
        <v/>
      </c>
      <c r="N64" s="103" t="str">
        <f>IF(N63="Montar",50+N65,"")</f>
        <v/>
      </c>
      <c r="O64" s="104" t="str">
        <f>IF(O63="Montar",100+O65,"")</f>
        <v/>
      </c>
      <c r="P64" s="104" t="str">
        <f>IF(P63="Montar",200+P65,"")</f>
        <v/>
      </c>
      <c r="Q64" s="104" t="str">
        <f>IF(Q63="Montar",200+Q65,"")</f>
        <v/>
      </c>
      <c r="R64" s="105" t="str">
        <f>IF(R63="Montar",500+R65,"")</f>
        <v/>
      </c>
      <c r="S64" s="106" t="str">
        <f>IF(S63="Montar",1000+S65,"")</f>
        <v/>
      </c>
      <c r="T64" s="106" t="str">
        <f>IF(T63="Montar",1000+T65,"")</f>
        <v/>
      </c>
      <c r="U64" s="106" t="str">
        <f>IF(U63="Montar",2000+U65,"")</f>
        <v/>
      </c>
      <c r="V64" s="106" t="str">
        <f>IF(V63="Montar",5000+V65,"")</f>
        <v/>
      </c>
      <c r="W64" s="106" t="str">
        <f>IF(W63="Montar",5000+W65,"")</f>
        <v/>
      </c>
      <c r="X64" s="107" t="str">
        <f>IF(X63="Montar",10000+X65,"")</f>
        <v/>
      </c>
      <c r="Y64" s="107" t="str">
        <f>IF(Y63="Montar",10000+Y65,"")</f>
        <v/>
      </c>
      <c r="Z64" s="106">
        <f>IF(Z63="Montar",(20000+Z65),"")</f>
        <v>20000.21</v>
      </c>
      <c r="AA64" s="106" t="str">
        <f>IF(AA63="Montar",(20000+AA65),"")</f>
        <v/>
      </c>
      <c r="AB64" s="107" t="str">
        <f t="shared" ref="AB64:AH64" si="9">IF(AB63="Montar",20000+AB65,"")</f>
        <v/>
      </c>
      <c r="AC64" s="107" t="str">
        <f t="shared" si="9"/>
        <v/>
      </c>
      <c r="AD64" s="107" t="str">
        <f t="shared" si="9"/>
        <v/>
      </c>
      <c r="AE64" s="107" t="str">
        <f t="shared" si="9"/>
        <v/>
      </c>
      <c r="AF64" s="107" t="str">
        <f t="shared" si="9"/>
        <v/>
      </c>
      <c r="AG64" s="106" t="str">
        <f t="shared" si="9"/>
        <v/>
      </c>
      <c r="AH64" s="106" t="str">
        <f t="shared" si="9"/>
        <v/>
      </c>
    </row>
    <row r="65" spans="2:34" x14ac:dyDescent="0.3">
      <c r="B65" s="62"/>
      <c r="C65" s="62"/>
      <c r="D65" s="347">
        <f>SUM(G65:AH65)</f>
        <v>0.21</v>
      </c>
      <c r="E65" s="347"/>
      <c r="F65" s="347"/>
      <c r="G65" s="103" t="str">
        <f>IF(G63="Montar",PATRÓN!$J$3,"")</f>
        <v/>
      </c>
      <c r="H65" s="103" t="str">
        <f>IF(H63="Montar",PATRÓN!$J$4,"")</f>
        <v/>
      </c>
      <c r="I65" s="104" t="str">
        <f>IF(I63="Montar",PATRÓN!$J$5,"")</f>
        <v/>
      </c>
      <c r="J65" s="104" t="str">
        <f>IF(J63="Montar",PATRÓN!$J$6,"")</f>
        <v/>
      </c>
      <c r="K65" s="104" t="str">
        <f>IF(K63="Montar",PATRÓN!$J$7,"")</f>
        <v/>
      </c>
      <c r="L65" s="104" t="str">
        <f>IF(L63="Montar",PATRÓN!$J$8,"")</f>
        <v/>
      </c>
      <c r="M65" s="104" t="str">
        <f>IF(M63="Montar",PATRÓN!$J$9,"")</f>
        <v/>
      </c>
      <c r="N65" s="104" t="str">
        <f>IF(N63="Montar",PATRÓN!$J$10,"")</f>
        <v/>
      </c>
      <c r="O65" s="104" t="str">
        <f>IF(O63="Montar",PATRÓN!$J$11,"")</f>
        <v/>
      </c>
      <c r="P65" s="104" t="str">
        <f>IF(P63="Montar",PATRÓN!$J$12,"")</f>
        <v/>
      </c>
      <c r="Q65" s="104" t="str">
        <f>IF(Q63="Montar",PATRÓN!$J$13,"")</f>
        <v/>
      </c>
      <c r="R65" s="104" t="str">
        <f>IF(R63="Montar",PATRÓN!$J$14,"")</f>
        <v/>
      </c>
      <c r="S65" s="104" t="str">
        <f>IF(S63="Montar",PATRÓN!$J$15,"")</f>
        <v/>
      </c>
      <c r="T65" s="104" t="str">
        <f>IF(T63="Montar",PATRÓN!$J$16,"")</f>
        <v/>
      </c>
      <c r="U65" s="104" t="str">
        <f>IF(U63="Montar",PATRÓN!$J$17,"")</f>
        <v/>
      </c>
      <c r="V65" s="104" t="str">
        <f>IF(V63="Montar",PATRÓN!$J$19,"")</f>
        <v/>
      </c>
      <c r="W65" s="104" t="str">
        <f>IF(W63="Montar",PATRÓN!$J$20,"")</f>
        <v/>
      </c>
      <c r="X65" s="104" t="str">
        <f>IF(X63="Montar",PATRÓN!$J$21,"")</f>
        <v/>
      </c>
      <c r="Y65" s="104" t="str">
        <f>IF(Y63="Montar",PATRÓN!$J$22,"")</f>
        <v/>
      </c>
      <c r="Z65" s="104">
        <f>IF(Z63="Montar",PATRÓN!$J$23,"")</f>
        <v>0.21</v>
      </c>
      <c r="AA65" s="104" t="str">
        <f>IF(AA63="Montar",PATRÓN!$J$24,"")</f>
        <v/>
      </c>
      <c r="AB65" s="104" t="str">
        <f>IF(AB63="Montar",PATRÓN!$J$25,"")</f>
        <v/>
      </c>
      <c r="AC65" s="104" t="str">
        <f>IF(AC63="Montar",PATRÓN!$J$26,"")</f>
        <v/>
      </c>
      <c r="AD65" s="104" t="str">
        <f>IF(AD63="Montar",PATRÓN!$J$27,"")</f>
        <v/>
      </c>
      <c r="AE65" s="104" t="str">
        <f>IF(AE63="Montar",PATRÓN!$J$28,"")</f>
        <v/>
      </c>
      <c r="AF65" s="104" t="str">
        <f>IF(AF63="Montar",PATRÓN!$J$29,"")</f>
        <v/>
      </c>
      <c r="AG65" s="104" t="str">
        <f>IF(AG63="Montar",PATRÓN!$J$30,"")</f>
        <v/>
      </c>
      <c r="AH65" s="105" t="str">
        <f>IF(AH63="Montar",PATRÓN!$J$31,"")</f>
        <v/>
      </c>
    </row>
    <row r="66" spans="2:34" x14ac:dyDescent="0.3">
      <c r="B66" s="62"/>
      <c r="C66" s="62"/>
      <c r="D66" s="347">
        <f>SUM(G66:AH66)</f>
        <v>0.33</v>
      </c>
      <c r="E66" s="347"/>
      <c r="F66" s="347"/>
      <c r="G66" s="103" t="str">
        <f>IF(G63="Montar",PATRÓN!$M$3,"")</f>
        <v/>
      </c>
      <c r="H66" s="103" t="str">
        <f>IF(H63="Montar",PATRÓN!$M$4,"")</f>
        <v/>
      </c>
      <c r="I66" s="103" t="str">
        <f>IF(I63="Montar",PATRÓN!$M$5,"")</f>
        <v/>
      </c>
      <c r="J66" s="103" t="str">
        <f>IF(J63="Montar",PATRÓN!$M$6,"")</f>
        <v/>
      </c>
      <c r="K66" s="103" t="str">
        <f>IF(K63="Montar",PATRÓN!$M$7,"")</f>
        <v/>
      </c>
      <c r="L66" s="103" t="str">
        <f>IF(L63="Montar",PATRÓN!$M$8,"")</f>
        <v/>
      </c>
      <c r="M66" s="103" t="str">
        <f>IF(M63="Montar",PATRÓN!$M$9,"")</f>
        <v/>
      </c>
      <c r="N66" s="103" t="str">
        <f>IF(N63="Montar",PATRÓN!$M$10,"")</f>
        <v/>
      </c>
      <c r="O66" s="103" t="str">
        <f>IF(O63="Montar",PATRÓN!$M$11,"")</f>
        <v/>
      </c>
      <c r="P66" s="103" t="str">
        <f>IF(P63="Montar",PATRÓN!$M$12,"")</f>
        <v/>
      </c>
      <c r="Q66" s="103" t="str">
        <f>IF(Q63="Montar",PATRÓN!$M$13,"")</f>
        <v/>
      </c>
      <c r="R66" s="103" t="str">
        <f>IF(R63="Montar",PATRÓN!$M$14,"")</f>
        <v/>
      </c>
      <c r="S66" s="103" t="str">
        <f>IF(S63="Montar",PATRÓN!$M$15,"")</f>
        <v/>
      </c>
      <c r="T66" s="103" t="str">
        <f>IF(T63="Montar",PATRÓN!$M$16,"")</f>
        <v/>
      </c>
      <c r="U66" s="103" t="str">
        <f>IF(U63="Montar",PATRÓN!$M$17,"")</f>
        <v/>
      </c>
      <c r="V66" s="103" t="str">
        <f>IF(V63="Montar",PATRÓN!$M$19,"")</f>
        <v/>
      </c>
      <c r="W66" s="103" t="str">
        <f>IF(W63="Montar",PATRÓN!$M$20,"")</f>
        <v/>
      </c>
      <c r="X66" s="103" t="str">
        <f>IF(X63="Montar",PATRÓN!$M$21,"")</f>
        <v/>
      </c>
      <c r="Y66" s="103" t="str">
        <f>IF(Y63="Montar",PATRÓN!$M$22,"")</f>
        <v/>
      </c>
      <c r="Z66" s="103">
        <f>IF(Z63="Montar",PATRÓN!$M$23,"")</f>
        <v>0.33</v>
      </c>
      <c r="AA66" s="103" t="str">
        <f>IF(AA63="Montar",PATRÓN!$M$24,"")</f>
        <v/>
      </c>
      <c r="AB66" s="103" t="str">
        <f>IF(AB63="Montar",PATRÓN!$M$25,"")</f>
        <v/>
      </c>
      <c r="AC66" s="103" t="str">
        <f>IF(AC63="Montar",PATRÓN!$M$26,"")</f>
        <v/>
      </c>
      <c r="AD66" s="103" t="str">
        <f>IF(AD63="Montar",PATRÓN!$M$27,"")</f>
        <v/>
      </c>
      <c r="AE66" s="103" t="str">
        <f>IF(AE63="Montar",PATRÓN!$M$28,"")</f>
        <v/>
      </c>
      <c r="AF66" s="103" t="str">
        <f>IF(AF63="Montar",PATRÓN!$M$29,"")</f>
        <v/>
      </c>
      <c r="AG66" s="103" t="str">
        <f>IF(AG63="Montar",PATRÓN!$M$30,"")</f>
        <v/>
      </c>
      <c r="AH66" s="103" t="str">
        <f>IF(AH63="Montar",PATRÓN!$M$31,"")</f>
        <v/>
      </c>
    </row>
    <row r="67" spans="2:34" x14ac:dyDescent="0.3">
      <c r="B67" s="62"/>
      <c r="C67" s="62"/>
      <c r="D67" s="351">
        <f>SUM(G67:AH67)</f>
        <v>1</v>
      </c>
      <c r="E67" s="351"/>
      <c r="F67" s="351"/>
      <c r="G67" s="104" t="str">
        <f>IF(G63="Montar",PATRÓN!$K$3,"")</f>
        <v/>
      </c>
      <c r="H67" s="104" t="str">
        <f>IF(H63="Montar",PATRÓN!$K$4,"")</f>
        <v/>
      </c>
      <c r="I67" s="104" t="str">
        <f>IF(I63="Montar",PATRÓN!$K$5,"")</f>
        <v/>
      </c>
      <c r="J67" s="104" t="str">
        <f>IF(J63="Montar",PATRÓN!$K$6,"")</f>
        <v/>
      </c>
      <c r="K67" s="104" t="str">
        <f>IF(K63="Montar",PATRÓN!$K$7,"")</f>
        <v/>
      </c>
      <c r="L67" s="104" t="str">
        <f>IF(L63="Montar",PATRÓN!$K$8,"")</f>
        <v/>
      </c>
      <c r="M67" s="104" t="str">
        <f>IF(M63="Montar",PATRÓN!$K$9,"")</f>
        <v/>
      </c>
      <c r="N67" s="104" t="str">
        <f>IF(N63="Montar",PATRÓN!$K$10,"")</f>
        <v/>
      </c>
      <c r="O67" s="104" t="str">
        <f>IF(O63="Montar",PATRÓN!$K$11,"")</f>
        <v/>
      </c>
      <c r="P67" s="104" t="str">
        <f>IF(P63="Montar",PATRÓN!$K$12,"")</f>
        <v/>
      </c>
      <c r="Q67" s="104" t="str">
        <f>IF(Q63="Montar",PATRÓN!$K$13,"")</f>
        <v/>
      </c>
      <c r="R67" s="104" t="str">
        <f>IF(R63="Montar",PATRÓN!$K$14,"")</f>
        <v/>
      </c>
      <c r="S67" s="104" t="str">
        <f>IF(S63="Montar",PATRÓN!$K$15,"")</f>
        <v/>
      </c>
      <c r="T67" s="104" t="str">
        <f>IF(T63="Montar",PATRÓN!$K$16,"")</f>
        <v/>
      </c>
      <c r="U67" s="104" t="str">
        <f>IF(U63="Montar",PATRÓN!$K$17,"")</f>
        <v/>
      </c>
      <c r="V67" s="104" t="str">
        <f>IF(V63="Montar",PATRÓN!$K$19,"")</f>
        <v/>
      </c>
      <c r="W67" s="104" t="str">
        <f>IF(W63="Montar",PATRÓN!$K$20,"")</f>
        <v/>
      </c>
      <c r="X67" s="104" t="str">
        <f>IF(X63="Montar",PATRÓN!$K$21,"")</f>
        <v/>
      </c>
      <c r="Y67" s="104" t="str">
        <f>IF(Y63="Montar",PATRÓN!$K$22,"")</f>
        <v/>
      </c>
      <c r="Z67" s="104">
        <f>IF(Z63="Montar",PATRÓN!$K$23,"")</f>
        <v>1</v>
      </c>
      <c r="AA67" s="104" t="str">
        <f>IF(AA63="Montar",PATRÓN!$K$24,"")</f>
        <v/>
      </c>
      <c r="AB67" s="104" t="str">
        <f>IF(AB63="Montar",PATRÓN!$K$25,"")</f>
        <v/>
      </c>
      <c r="AC67" s="104" t="str">
        <f>IF(AC63="Montar",PATRÓN!$K$26,"")</f>
        <v/>
      </c>
      <c r="AD67" s="104" t="str">
        <f>IF(AD63="Montar",PATRÓN!$K$27,"")</f>
        <v/>
      </c>
      <c r="AE67" s="104" t="str">
        <f>IF(AE63="Montar",PATRÓN!$K$28,"")</f>
        <v/>
      </c>
      <c r="AF67" s="104" t="str">
        <f>IF(AF63="Montar",PATRÓN!$K$29,"")</f>
        <v/>
      </c>
      <c r="AG67" s="104" t="str">
        <f>IF(AG63="Montar",PATRÓN!$K$30,"")</f>
        <v/>
      </c>
      <c r="AH67" s="104" t="str">
        <f>IF(AH63="Montar",PATRÓN!$K$31,"")</f>
        <v/>
      </c>
    </row>
    <row r="68" spans="2:34" x14ac:dyDescent="0.3">
      <c r="B68" s="62"/>
      <c r="C68" s="62"/>
      <c r="D68" s="108"/>
      <c r="E68" s="108"/>
      <c r="F68" s="108"/>
      <c r="G68" s="102" t="s">
        <v>49</v>
      </c>
      <c r="H68" s="102" t="s">
        <v>49</v>
      </c>
      <c r="I68" s="102" t="s">
        <v>49</v>
      </c>
      <c r="J68" s="102" t="s">
        <v>49</v>
      </c>
      <c r="K68" s="102" t="s">
        <v>49</v>
      </c>
      <c r="L68" s="102" t="s">
        <v>49</v>
      </c>
      <c r="M68" s="102" t="s">
        <v>49</v>
      </c>
      <c r="N68" s="102" t="s">
        <v>49</v>
      </c>
      <c r="O68" s="102" t="s">
        <v>49</v>
      </c>
      <c r="P68" s="102" t="s">
        <v>49</v>
      </c>
      <c r="Q68" s="102" t="s">
        <v>49</v>
      </c>
      <c r="R68" s="102" t="s">
        <v>48</v>
      </c>
      <c r="S68" s="102"/>
      <c r="T68" s="102" t="s">
        <v>49</v>
      </c>
      <c r="U68" s="102" t="s">
        <v>48</v>
      </c>
      <c r="V68" s="102" t="s">
        <v>49</v>
      </c>
      <c r="W68" s="102"/>
      <c r="X68" s="102"/>
      <c r="Y68" s="102"/>
      <c r="Z68" s="102" t="s">
        <v>48</v>
      </c>
      <c r="AA68" s="102" t="s">
        <v>49</v>
      </c>
      <c r="AB68" s="102" t="s">
        <v>49</v>
      </c>
      <c r="AC68" s="102" t="s">
        <v>49</v>
      </c>
      <c r="AD68" s="102" t="s">
        <v>49</v>
      </c>
      <c r="AE68" s="102" t="s">
        <v>49</v>
      </c>
      <c r="AF68" s="102" t="s">
        <v>49</v>
      </c>
      <c r="AG68" s="102" t="s">
        <v>49</v>
      </c>
      <c r="AH68" s="102" t="s">
        <v>49</v>
      </c>
    </row>
    <row r="69" spans="2:34" x14ac:dyDescent="0.3">
      <c r="B69" s="349">
        <f>S18</f>
        <v>22500</v>
      </c>
      <c r="C69" s="349"/>
      <c r="D69" s="347">
        <f>SUM(G69:AH69)</f>
        <v>22500.223899999997</v>
      </c>
      <c r="E69" s="347"/>
      <c r="F69" s="347"/>
      <c r="G69" s="103" t="str">
        <f>IF(G68="Montar",1+G70,"")</f>
        <v/>
      </c>
      <c r="H69" s="104" t="str">
        <f>IF(H68="Montar",2+H70,"")</f>
        <v/>
      </c>
      <c r="I69" s="103" t="str">
        <f>IF(I68="Montar",2+I70,"")</f>
        <v/>
      </c>
      <c r="J69" s="103" t="str">
        <f>IF(J68="Montar",5+J70,"")</f>
        <v/>
      </c>
      <c r="K69" s="105" t="str">
        <f>IF(K68="Montar",10+K70,"")</f>
        <v/>
      </c>
      <c r="L69" s="103" t="str">
        <f>IF(L68="Montar",20+L70,"")</f>
        <v/>
      </c>
      <c r="M69" s="103" t="str">
        <f>IF(M68="Montar",20+M70,"")</f>
        <v/>
      </c>
      <c r="N69" s="103" t="str">
        <f>IF(N68="Montar",50+N70,"")</f>
        <v/>
      </c>
      <c r="O69" s="104" t="str">
        <f>IF(O68="Montar",100+O70,"")</f>
        <v/>
      </c>
      <c r="P69" s="104" t="str">
        <f>IF(P68="Montar",200+P70,"")</f>
        <v/>
      </c>
      <c r="Q69" s="104" t="str">
        <f>IF(Q68="Montar",200+Q70,"")</f>
        <v/>
      </c>
      <c r="R69" s="105">
        <f>IF(R68="Montar",500+R70,"")</f>
        <v>500.00290000000001</v>
      </c>
      <c r="S69" s="106" t="str">
        <f>IF(S68="Montar",1000+S70,"")</f>
        <v/>
      </c>
      <c r="T69" s="106" t="str">
        <f>IF(T68="Montar",1000+T70,"")</f>
        <v/>
      </c>
      <c r="U69" s="106">
        <f>IF(U68="Montar",2000+U70,"")</f>
        <v>2000.011</v>
      </c>
      <c r="V69" s="106" t="str">
        <f>IF(V68="Montar",5000+V70,"")</f>
        <v/>
      </c>
      <c r="W69" s="106" t="str">
        <f>IF(W68="Montar",5000+W70,"")</f>
        <v/>
      </c>
      <c r="X69" s="107" t="str">
        <f>IF(X68="Montar",10000+X70,"")</f>
        <v/>
      </c>
      <c r="Y69" s="107" t="str">
        <f>IF(Y68="Montar",10000+Y70,"")</f>
        <v/>
      </c>
      <c r="Z69" s="106">
        <f>IF(Z68="Montar",(20000+Z70),"")</f>
        <v>20000.21</v>
      </c>
      <c r="AA69" s="106" t="str">
        <f>IF(AA68="Montar",(20000+AA70),"")</f>
        <v/>
      </c>
      <c r="AB69" s="107" t="str">
        <f t="shared" ref="AB69:AH69" si="10">IF(AB68="Montar",20000+AB70,"")</f>
        <v/>
      </c>
      <c r="AC69" s="107" t="str">
        <f t="shared" si="10"/>
        <v/>
      </c>
      <c r="AD69" s="107" t="str">
        <f t="shared" si="10"/>
        <v/>
      </c>
      <c r="AE69" s="107" t="str">
        <f t="shared" si="10"/>
        <v/>
      </c>
      <c r="AF69" s="107" t="str">
        <f t="shared" si="10"/>
        <v/>
      </c>
      <c r="AG69" s="106" t="str">
        <f t="shared" si="10"/>
        <v/>
      </c>
      <c r="AH69" s="106" t="str">
        <f t="shared" si="10"/>
        <v/>
      </c>
    </row>
    <row r="70" spans="2:34" x14ac:dyDescent="0.3">
      <c r="B70" s="62"/>
      <c r="C70" s="62"/>
      <c r="D70" s="347">
        <f>SUM(G70:AH70)</f>
        <v>0.22389999999999999</v>
      </c>
      <c r="E70" s="347"/>
      <c r="F70" s="347"/>
      <c r="G70" s="103" t="str">
        <f>IF(G68="Montar",PATRÓN!$J$3,"")</f>
        <v/>
      </c>
      <c r="H70" s="103" t="str">
        <f>IF(H68="Montar",PATRÓN!$J$4,"")</f>
        <v/>
      </c>
      <c r="I70" s="104" t="str">
        <f>IF(I68="Montar",PATRÓN!$J$5,"")</f>
        <v/>
      </c>
      <c r="J70" s="104" t="str">
        <f>IF(J68="Montar",PATRÓN!$J$6,"")</f>
        <v/>
      </c>
      <c r="K70" s="104" t="str">
        <f>IF(K68="Montar",PATRÓN!$J$7,"")</f>
        <v/>
      </c>
      <c r="L70" s="104" t="str">
        <f>IF(L68="Montar",PATRÓN!$J$8,"")</f>
        <v/>
      </c>
      <c r="M70" s="104" t="str">
        <f>IF(M68="Montar",PATRÓN!$J$9,"")</f>
        <v/>
      </c>
      <c r="N70" s="104" t="str">
        <f>IF(N68="Montar",PATRÓN!$J$10,"")</f>
        <v/>
      </c>
      <c r="O70" s="104" t="str">
        <f>IF(O68="Montar",PATRÓN!$J$11,"")</f>
        <v/>
      </c>
      <c r="P70" s="104" t="str">
        <f>IF(P68="Montar",PATRÓN!$J$12,"")</f>
        <v/>
      </c>
      <c r="Q70" s="104" t="str">
        <f>IF(Q68="Montar",PATRÓN!$J$13,"")</f>
        <v/>
      </c>
      <c r="R70" s="104">
        <f>IF(R68="Montar",PATRÓN!$J$14,"")</f>
        <v>2.8999999999999998E-3</v>
      </c>
      <c r="S70" s="104" t="str">
        <f>IF(S68="Montar",PATRÓN!$J$15,"")</f>
        <v/>
      </c>
      <c r="T70" s="104" t="str">
        <f>IF(T68="Montar",PATRÓN!$J$16,"")</f>
        <v/>
      </c>
      <c r="U70" s="104">
        <f>IF(U68="Montar",PATRÓN!$J$17,"")</f>
        <v>1.0999999999999999E-2</v>
      </c>
      <c r="V70" s="104" t="str">
        <f>IF(V68="Montar",PATRÓN!$J$19,"")</f>
        <v/>
      </c>
      <c r="W70" s="104" t="str">
        <f>IF(W68="Montar",PATRÓN!$J$20,"")</f>
        <v/>
      </c>
      <c r="X70" s="104" t="str">
        <f>IF(X68="Montar",PATRÓN!$J$21,"")</f>
        <v/>
      </c>
      <c r="Y70" s="104" t="str">
        <f>IF(Y68="Montar",PATRÓN!$J$22,"")</f>
        <v/>
      </c>
      <c r="Z70" s="104">
        <f>IF(Z68="Montar",PATRÓN!$J$23,"")</f>
        <v>0.21</v>
      </c>
      <c r="AA70" s="104" t="str">
        <f>IF(AA68="Montar",PATRÓN!$J$24,"")</f>
        <v/>
      </c>
      <c r="AB70" s="104" t="str">
        <f>IF(AB68="Montar",PATRÓN!$J$25,"")</f>
        <v/>
      </c>
      <c r="AC70" s="104" t="str">
        <f>IF(AC68="Montar",PATRÓN!$J$26,"")</f>
        <v/>
      </c>
      <c r="AD70" s="104" t="str">
        <f>IF(AD68="Montar",PATRÓN!$J$27,"")</f>
        <v/>
      </c>
      <c r="AE70" s="104" t="str">
        <f>IF(AE68="Montar",PATRÓN!$J$28,"")</f>
        <v/>
      </c>
      <c r="AF70" s="104" t="str">
        <f>IF(AF68="Montar",PATRÓN!$J$29,"")</f>
        <v/>
      </c>
      <c r="AG70" s="104" t="str">
        <f>IF(AG68="Montar",PATRÓN!$J$30,"")</f>
        <v/>
      </c>
      <c r="AH70" s="105" t="str">
        <f>IF(AH68="Montar",PATRÓN!$J$31,"")</f>
        <v/>
      </c>
    </row>
    <row r="71" spans="2:34" x14ac:dyDescent="0.3">
      <c r="B71" s="62"/>
      <c r="C71" s="62"/>
      <c r="D71" s="347">
        <f>SUM(G71:AH71)</f>
        <v>0.37130000000000002</v>
      </c>
      <c r="E71" s="347"/>
      <c r="F71" s="347"/>
      <c r="G71" s="103" t="str">
        <f>IF(G68="Montar",PATRÓN!$M$3,"")</f>
        <v/>
      </c>
      <c r="H71" s="103" t="str">
        <f>IF(H68="Montar",PATRÓN!$M$4,"")</f>
        <v/>
      </c>
      <c r="I71" s="103" t="str">
        <f>IF(I68="Montar",PATRÓN!$M$5,"")</f>
        <v/>
      </c>
      <c r="J71" s="103" t="str">
        <f>IF(J68="Montar",PATRÓN!$M$6,"")</f>
        <v/>
      </c>
      <c r="K71" s="103" t="str">
        <f>IF(K68="Montar",PATRÓN!$M$7,"")</f>
        <v/>
      </c>
      <c r="L71" s="103" t="str">
        <f>IF(L68="Montar",PATRÓN!$M$8,"")</f>
        <v/>
      </c>
      <c r="M71" s="103" t="str">
        <f>IF(M68="Montar",PATRÓN!$M$9,"")</f>
        <v/>
      </c>
      <c r="N71" s="103" t="str">
        <f>IF(N68="Montar",PATRÓN!$M$10,"")</f>
        <v/>
      </c>
      <c r="O71" s="103" t="str">
        <f>IF(O68="Montar",PATRÓN!$M$11,"")</f>
        <v/>
      </c>
      <c r="P71" s="103" t="str">
        <f>IF(P68="Montar",PATRÓN!$M$12,"")</f>
        <v/>
      </c>
      <c r="Q71" s="103" t="str">
        <f>IF(Q68="Montar",PATRÓN!$M$13,"")</f>
        <v/>
      </c>
      <c r="R71" s="103">
        <f>IF(R68="Montar",PATRÓN!$M$14,"")</f>
        <v>8.3000000000000001E-3</v>
      </c>
      <c r="S71" s="103" t="str">
        <f>IF(S68="Montar",PATRÓN!$M$15,"")</f>
        <v/>
      </c>
      <c r="T71" s="103" t="str">
        <f>IF(T68="Montar",PATRÓN!$M$16,"")</f>
        <v/>
      </c>
      <c r="U71" s="103">
        <f>IF(U68="Montar",PATRÓN!$M$17,"")</f>
        <v>3.3000000000000002E-2</v>
      </c>
      <c r="V71" s="103" t="str">
        <f>IF(V68="Montar",PATRÓN!$M$19,"")</f>
        <v/>
      </c>
      <c r="W71" s="103" t="str">
        <f>IF(W68="Montar",PATRÓN!$M$20,"")</f>
        <v/>
      </c>
      <c r="X71" s="103" t="str">
        <f>IF(X68="Montar",PATRÓN!$M$21,"")</f>
        <v/>
      </c>
      <c r="Y71" s="103" t="str">
        <f>IF(Y68="Montar",PATRÓN!$M$22,"")</f>
        <v/>
      </c>
      <c r="Z71" s="103">
        <f>IF(Z68="Montar",PATRÓN!$M$23,"")</f>
        <v>0.33</v>
      </c>
      <c r="AA71" s="103" t="str">
        <f>IF(AA68="Montar",PATRÓN!$M$24,"")</f>
        <v/>
      </c>
      <c r="AB71" s="103" t="str">
        <f>IF(AB68="Montar",PATRÓN!$M$25,"")</f>
        <v/>
      </c>
      <c r="AC71" s="103" t="str">
        <f>IF(AC68="Montar",PATRÓN!$M$26,"")</f>
        <v/>
      </c>
      <c r="AD71" s="103" t="str">
        <f>IF(AD68="Montar",PATRÓN!$M$27,"")</f>
        <v/>
      </c>
      <c r="AE71" s="103" t="str">
        <f>IF(AE68="Montar",PATRÓN!$M$28,"")</f>
        <v/>
      </c>
      <c r="AF71" s="103" t="str">
        <f>IF(AF68="Montar",PATRÓN!$M$29,"")</f>
        <v/>
      </c>
      <c r="AG71" s="103" t="str">
        <f>IF(AG68="Montar",PATRÓN!$M$30,"")</f>
        <v/>
      </c>
      <c r="AH71" s="103" t="str">
        <f>IF(AH68="Montar",PATRÓN!$M$31,"")</f>
        <v/>
      </c>
    </row>
    <row r="72" spans="2:34" x14ac:dyDescent="0.3">
      <c r="B72" s="62"/>
      <c r="C72" s="62"/>
      <c r="D72" s="351">
        <f>SUM(G72:AH72)</f>
        <v>1.125</v>
      </c>
      <c r="E72" s="351"/>
      <c r="F72" s="351"/>
      <c r="G72" s="104" t="str">
        <f>IF(G68="Montar",PATRÓN!$K$3,"")</f>
        <v/>
      </c>
      <c r="H72" s="104" t="str">
        <f>IF(H68="Montar",PATRÓN!$K$4,"")</f>
        <v/>
      </c>
      <c r="I72" s="104" t="str">
        <f>IF(I68="Montar",PATRÓN!$K$5,"")</f>
        <v/>
      </c>
      <c r="J72" s="104" t="str">
        <f>IF(J68="Montar",PATRÓN!$K$6,"")</f>
        <v/>
      </c>
      <c r="K72" s="104" t="str">
        <f>IF(K68="Montar",PATRÓN!$K$7,"")</f>
        <v/>
      </c>
      <c r="L72" s="104" t="str">
        <f>IF(L68="Montar",PATRÓN!$K$8,"")</f>
        <v/>
      </c>
      <c r="M72" s="104" t="str">
        <f>IF(M68="Montar",PATRÓN!$K$9,"")</f>
        <v/>
      </c>
      <c r="N72" s="104" t="str">
        <f>IF(N68="Montar",PATRÓN!$K$10,"")</f>
        <v/>
      </c>
      <c r="O72" s="104" t="str">
        <f>IF(O68="Montar",PATRÓN!$K$11,"")</f>
        <v/>
      </c>
      <c r="P72" s="104" t="str">
        <f>IF(P68="Montar",PATRÓN!$K$12,"")</f>
        <v/>
      </c>
      <c r="Q72" s="104" t="str">
        <f>IF(Q68="Montar",PATRÓN!$K$13,"")</f>
        <v/>
      </c>
      <c r="R72" s="104">
        <f>IF(R68="Montar",PATRÓN!$K$14,"")</f>
        <v>2.5000000000000001E-2</v>
      </c>
      <c r="S72" s="104" t="str">
        <f>IF(S68="Montar",PATRÓN!$K$15,"")</f>
        <v/>
      </c>
      <c r="T72" s="104" t="str">
        <f>IF(T68="Montar",PATRÓN!$K$16,"")</f>
        <v/>
      </c>
      <c r="U72" s="104">
        <f>IF(U68="Montar",PATRÓN!$K$17,"")</f>
        <v>0.1</v>
      </c>
      <c r="V72" s="104" t="str">
        <f>IF(V68="Montar",PATRÓN!$K$19,"")</f>
        <v/>
      </c>
      <c r="W72" s="104" t="str">
        <f>IF(W68="Montar",PATRÓN!$K$20,"")</f>
        <v/>
      </c>
      <c r="X72" s="104" t="str">
        <f>IF(X68="Montar",PATRÓN!$K$21,"")</f>
        <v/>
      </c>
      <c r="Y72" s="104" t="str">
        <f>IF(Y68="Montar",PATRÓN!$K$22,"")</f>
        <v/>
      </c>
      <c r="Z72" s="104">
        <f>IF(Z68="Montar",PATRÓN!$K$23,"")</f>
        <v>1</v>
      </c>
      <c r="AA72" s="104" t="str">
        <f>IF(AA68="Montar",PATRÓN!$K$24,"")</f>
        <v/>
      </c>
      <c r="AB72" s="104" t="str">
        <f>IF(AB68="Montar",PATRÓN!$K$25,"")</f>
        <v/>
      </c>
      <c r="AC72" s="104" t="str">
        <f>IF(AC68="Montar",PATRÓN!$K$26,"")</f>
        <v/>
      </c>
      <c r="AD72" s="104" t="str">
        <f>IF(AD68="Montar",PATRÓN!$K$27,"")</f>
        <v/>
      </c>
      <c r="AE72" s="104" t="str">
        <f>IF(AE68="Montar",PATRÓN!$K$28,"")</f>
        <v/>
      </c>
      <c r="AF72" s="104" t="str">
        <f>IF(AF68="Montar",PATRÓN!$K$29,"")</f>
        <v/>
      </c>
      <c r="AG72" s="104" t="str">
        <f>IF(AG68="Montar",PATRÓN!$K$30,"")</f>
        <v/>
      </c>
      <c r="AH72" s="104" t="str">
        <f>IF(AH68="Montar",PATRÓN!$K$31,"")</f>
        <v/>
      </c>
    </row>
    <row r="73" spans="2:34" x14ac:dyDescent="0.3">
      <c r="B73" s="62"/>
      <c r="C73" s="62"/>
      <c r="D73" s="108"/>
      <c r="E73" s="108"/>
      <c r="F73" s="108"/>
      <c r="G73" s="102" t="s">
        <v>49</v>
      </c>
      <c r="H73" s="102" t="s">
        <v>49</v>
      </c>
      <c r="I73" s="102" t="s">
        <v>49</v>
      </c>
      <c r="J73" s="102" t="s">
        <v>49</v>
      </c>
      <c r="K73" s="102" t="s">
        <v>49</v>
      </c>
      <c r="L73" s="102" t="s">
        <v>49</v>
      </c>
      <c r="M73" s="102" t="s">
        <v>49</v>
      </c>
      <c r="N73" s="102" t="s">
        <v>49</v>
      </c>
      <c r="O73" s="102" t="s">
        <v>49</v>
      </c>
      <c r="P73" s="102" t="s">
        <v>49</v>
      </c>
      <c r="Q73" s="102" t="s">
        <v>49</v>
      </c>
      <c r="R73" s="102" t="s">
        <v>49</v>
      </c>
      <c r="S73" s="102" t="s">
        <v>49</v>
      </c>
      <c r="T73" s="102" t="s">
        <v>49</v>
      </c>
      <c r="U73" s="102" t="s">
        <v>49</v>
      </c>
      <c r="V73" s="102" t="s">
        <v>48</v>
      </c>
      <c r="W73" s="102"/>
      <c r="X73" s="102"/>
      <c r="Y73" s="102"/>
      <c r="Z73" s="102" t="s">
        <v>48</v>
      </c>
      <c r="AA73" s="102" t="s">
        <v>49</v>
      </c>
      <c r="AB73" s="102" t="s">
        <v>49</v>
      </c>
      <c r="AC73" s="102" t="s">
        <v>49</v>
      </c>
      <c r="AD73" s="102" t="s">
        <v>49</v>
      </c>
      <c r="AE73" s="102" t="s">
        <v>49</v>
      </c>
      <c r="AF73" s="102" t="s">
        <v>49</v>
      </c>
      <c r="AG73" s="102" t="s">
        <v>49</v>
      </c>
      <c r="AH73" s="102" t="s">
        <v>49</v>
      </c>
    </row>
    <row r="74" spans="2:34" x14ac:dyDescent="0.3">
      <c r="B74" s="349">
        <f>S19</f>
        <v>25000</v>
      </c>
      <c r="C74" s="349"/>
      <c r="D74" s="347">
        <f>SUM(G74:AH74)</f>
        <v>25000.278999999999</v>
      </c>
      <c r="E74" s="347"/>
      <c r="F74" s="347"/>
      <c r="G74" s="103" t="str">
        <f>IF(G73="Montar",1+G75,"")</f>
        <v/>
      </c>
      <c r="H74" s="104" t="str">
        <f>IF(H73="Montar",2+H75,"")</f>
        <v/>
      </c>
      <c r="I74" s="103" t="str">
        <f>IF(I73="Montar",2+I75,"")</f>
        <v/>
      </c>
      <c r="J74" s="103" t="str">
        <f>IF(J73="Montar",5+J75,"")</f>
        <v/>
      </c>
      <c r="K74" s="105" t="str">
        <f>IF(K73="Montar",10+K75,"")</f>
        <v/>
      </c>
      <c r="L74" s="103" t="str">
        <f>IF(L73="Montar",20+L75,"")</f>
        <v/>
      </c>
      <c r="M74" s="103" t="str">
        <f>IF(M73="Montar",20+M75,"")</f>
        <v/>
      </c>
      <c r="N74" s="103" t="str">
        <f>IF(N73="Montar",50+N75,"")</f>
        <v/>
      </c>
      <c r="O74" s="104" t="str">
        <f>IF(O73="Montar",100+O75,"")</f>
        <v/>
      </c>
      <c r="P74" s="104" t="str">
        <f>IF(P73="Montar",200+P75,"")</f>
        <v/>
      </c>
      <c r="Q74" s="104" t="str">
        <f>IF(Q73="Montar",200+Q75,"")</f>
        <v/>
      </c>
      <c r="R74" s="105" t="str">
        <f>IF(R73="Montar",500+R75,"")</f>
        <v/>
      </c>
      <c r="S74" s="106" t="str">
        <f>IF(S73="Montar",1000+S75,"")</f>
        <v/>
      </c>
      <c r="T74" s="106" t="str">
        <f>IF(T73="Montar",1000+T75,"")</f>
        <v/>
      </c>
      <c r="U74" s="106" t="str">
        <f>IF(U73="Montar",2000+U75,"")</f>
        <v/>
      </c>
      <c r="V74" s="106">
        <f>IF(V73="Montar",5000+V75,"")</f>
        <v>5000.0690000000004</v>
      </c>
      <c r="W74" s="106" t="str">
        <f>IF(W73="Montar",5000+W75,"")</f>
        <v/>
      </c>
      <c r="X74" s="107" t="str">
        <f>IF(X73="Montar",10000+X75,"")</f>
        <v/>
      </c>
      <c r="Y74" s="107" t="str">
        <f>IF(Y73="Montar",10000+Y75,"")</f>
        <v/>
      </c>
      <c r="Z74" s="106">
        <f>IF(Z73="Montar",(20000+Z75),"")</f>
        <v>20000.21</v>
      </c>
      <c r="AA74" s="106" t="str">
        <f>IF(AA73="Montar",(20000+AA75),"")</f>
        <v/>
      </c>
      <c r="AB74" s="107" t="str">
        <f t="shared" ref="AB74:AH74" si="11">IF(AB73="Montar",20000+AB75,"")</f>
        <v/>
      </c>
      <c r="AC74" s="107" t="str">
        <f t="shared" si="11"/>
        <v/>
      </c>
      <c r="AD74" s="107" t="str">
        <f t="shared" si="11"/>
        <v/>
      </c>
      <c r="AE74" s="107" t="str">
        <f t="shared" si="11"/>
        <v/>
      </c>
      <c r="AF74" s="107" t="str">
        <f t="shared" si="11"/>
        <v/>
      </c>
      <c r="AG74" s="106" t="str">
        <f t="shared" si="11"/>
        <v/>
      </c>
      <c r="AH74" s="106" t="str">
        <f t="shared" si="11"/>
        <v/>
      </c>
    </row>
    <row r="75" spans="2:34" x14ac:dyDescent="0.3">
      <c r="B75" s="62"/>
      <c r="C75" s="62"/>
      <c r="D75" s="347">
        <f>SUM(G75:AH75)</f>
        <v>0.27900000000000003</v>
      </c>
      <c r="E75" s="347"/>
      <c r="F75" s="347"/>
      <c r="G75" s="103" t="str">
        <f>IF(G73="Montar",PATRÓN!$J$3,"")</f>
        <v/>
      </c>
      <c r="H75" s="103" t="str">
        <f>IF(H73="Montar",PATRÓN!$J$4,"")</f>
        <v/>
      </c>
      <c r="I75" s="104" t="str">
        <f>IF(I73="Montar",PATRÓN!$J$5,"")</f>
        <v/>
      </c>
      <c r="J75" s="104" t="str">
        <f>IF(J73="Montar",PATRÓN!$J$6,"")</f>
        <v/>
      </c>
      <c r="K75" s="104" t="str">
        <f>IF(K73="Montar",PATRÓN!$J$7,"")</f>
        <v/>
      </c>
      <c r="L75" s="104" t="str">
        <f>IF(L73="Montar",PATRÓN!$J$8,"")</f>
        <v/>
      </c>
      <c r="M75" s="104" t="str">
        <f>IF(M73="Montar",PATRÓN!$J$9,"")</f>
        <v/>
      </c>
      <c r="N75" s="104" t="str">
        <f>IF(N73="Montar",PATRÓN!$J$10,"")</f>
        <v/>
      </c>
      <c r="O75" s="104" t="str">
        <f>IF(O73="Montar",PATRÓN!$J$11,"")</f>
        <v/>
      </c>
      <c r="P75" s="104" t="str">
        <f>IF(P73="Montar",PATRÓN!$J$12,"")</f>
        <v/>
      </c>
      <c r="Q75" s="104" t="str">
        <f>IF(Q73="Montar",PATRÓN!$J$13,"")</f>
        <v/>
      </c>
      <c r="R75" s="104" t="str">
        <f>IF(R73="Montar",PATRÓN!$J$14,"")</f>
        <v/>
      </c>
      <c r="S75" s="104" t="str">
        <f>IF(S73="Montar",PATRÓN!$J$15,"")</f>
        <v/>
      </c>
      <c r="T75" s="104" t="str">
        <f>IF(T73="Montar",PATRÓN!$J$16,"")</f>
        <v/>
      </c>
      <c r="U75" s="104" t="str">
        <f>IF(U73="Montar",PATRÓN!$J$17,"")</f>
        <v/>
      </c>
      <c r="V75" s="104">
        <f>IF(V73="Montar",PATRÓN!$J$19,"")</f>
        <v>6.9000000000000006E-2</v>
      </c>
      <c r="W75" s="104" t="str">
        <f>IF(W73="Montar",PATRÓN!$J$20,"")</f>
        <v/>
      </c>
      <c r="X75" s="104" t="str">
        <f>IF(X73="Montar",PATRÓN!$J$21,"")</f>
        <v/>
      </c>
      <c r="Y75" s="104" t="str">
        <f>IF(Y73="Montar",PATRÓN!$J$22,"")</f>
        <v/>
      </c>
      <c r="Z75" s="104">
        <f>IF(Z73="Montar",PATRÓN!$J$23,"")</f>
        <v>0.21</v>
      </c>
      <c r="AA75" s="104" t="str">
        <f>IF(AA73="Montar",PATRÓN!$J$24,"")</f>
        <v/>
      </c>
      <c r="AB75" s="104" t="str">
        <f>IF(AB73="Montar",PATRÓN!$J$25,"")</f>
        <v/>
      </c>
      <c r="AC75" s="104" t="str">
        <f>IF(AC73="Montar",PATRÓN!$J$26,"")</f>
        <v/>
      </c>
      <c r="AD75" s="104" t="str">
        <f>IF(AD73="Montar",PATRÓN!$J$27,"")</f>
        <v/>
      </c>
      <c r="AE75" s="104" t="str">
        <f>IF(AE73="Montar",PATRÓN!$J$28,"")</f>
        <v/>
      </c>
      <c r="AF75" s="104" t="str">
        <f>IF(AF73="Montar",PATRÓN!$J$29,"")</f>
        <v/>
      </c>
      <c r="AG75" s="104" t="str">
        <f>IF(AG73="Montar",PATRÓN!$J$30,"")</f>
        <v/>
      </c>
      <c r="AH75" s="105" t="str">
        <f>IF(AH73="Montar",PATRÓN!$J$31,"")</f>
        <v/>
      </c>
    </row>
    <row r="76" spans="2:34" x14ac:dyDescent="0.3">
      <c r="B76" s="62"/>
      <c r="C76" s="62"/>
      <c r="D76" s="347">
        <f>SUM(G76:AH76)</f>
        <v>0.41300000000000003</v>
      </c>
      <c r="E76" s="347"/>
      <c r="F76" s="347"/>
      <c r="G76" s="103" t="str">
        <f>IF(G73="Montar",PATRÓN!$M$3,"")</f>
        <v/>
      </c>
      <c r="H76" s="103" t="str">
        <f>IF(H73="Montar",PATRÓN!$M$4,"")</f>
        <v/>
      </c>
      <c r="I76" s="103" t="str">
        <f>IF(I73="Montar",PATRÓN!$M$5,"")</f>
        <v/>
      </c>
      <c r="J76" s="103" t="str">
        <f>IF(J73="Montar",PATRÓN!$M$6,"")</f>
        <v/>
      </c>
      <c r="K76" s="103" t="str">
        <f>IF(K73="Montar",PATRÓN!$M$7,"")</f>
        <v/>
      </c>
      <c r="L76" s="103" t="str">
        <f>IF(L73="Montar",PATRÓN!$M$8,"")</f>
        <v/>
      </c>
      <c r="M76" s="103" t="str">
        <f>IF(M73="Montar",PATRÓN!$M$9,"")</f>
        <v/>
      </c>
      <c r="N76" s="103" t="str">
        <f>IF(N73="Montar",PATRÓN!$M$10,"")</f>
        <v/>
      </c>
      <c r="O76" s="103" t="str">
        <f>IF(O73="Montar",PATRÓN!$M$11,"")</f>
        <v/>
      </c>
      <c r="P76" s="103" t="str">
        <f>IF(P73="Montar",PATRÓN!$M$12,"")</f>
        <v/>
      </c>
      <c r="Q76" s="103" t="str">
        <f>IF(Q73="Montar",PATRÓN!$M$13,"")</f>
        <v/>
      </c>
      <c r="R76" s="103" t="str">
        <f>IF(R73="Montar",PATRÓN!$M$14,"")</f>
        <v/>
      </c>
      <c r="S76" s="103" t="str">
        <f>IF(S73="Montar",PATRÓN!$M$15,"")</f>
        <v/>
      </c>
      <c r="T76" s="103" t="str">
        <f>IF(T73="Montar",PATRÓN!$M$16,"")</f>
        <v/>
      </c>
      <c r="U76" s="103" t="str">
        <f>IF(U73="Montar",PATRÓN!$M$17,"")</f>
        <v/>
      </c>
      <c r="V76" s="103">
        <f>IF(V73="Montar",PATRÓN!$M$19,"")</f>
        <v>8.3000000000000004E-2</v>
      </c>
      <c r="W76" s="103" t="str">
        <f>IF(W73="Montar",PATRÓN!$M$20,"")</f>
        <v/>
      </c>
      <c r="X76" s="103" t="str">
        <f>IF(X73="Montar",PATRÓN!$M$21,"")</f>
        <v/>
      </c>
      <c r="Y76" s="103" t="str">
        <f>IF(Y73="Montar",PATRÓN!$M$22,"")</f>
        <v/>
      </c>
      <c r="Z76" s="103">
        <f>IF(Z73="Montar",PATRÓN!$M$23,"")</f>
        <v>0.33</v>
      </c>
      <c r="AA76" s="103" t="str">
        <f>IF(AA73="Montar",PATRÓN!$M$24,"")</f>
        <v/>
      </c>
      <c r="AB76" s="103" t="str">
        <f>IF(AB73="Montar",PATRÓN!$M$25,"")</f>
        <v/>
      </c>
      <c r="AC76" s="103" t="str">
        <f>IF(AC73="Montar",PATRÓN!$M$26,"")</f>
        <v/>
      </c>
      <c r="AD76" s="103" t="str">
        <f>IF(AD73="Montar",PATRÓN!$M$27,"")</f>
        <v/>
      </c>
      <c r="AE76" s="103" t="str">
        <f>IF(AE73="Montar",PATRÓN!$M$28,"")</f>
        <v/>
      </c>
      <c r="AF76" s="103" t="str">
        <f>IF(AF73="Montar",PATRÓN!$M$29,"")</f>
        <v/>
      </c>
      <c r="AG76" s="103" t="str">
        <f>IF(AG73="Montar",PATRÓN!$M$30,"")</f>
        <v/>
      </c>
      <c r="AH76" s="103" t="str">
        <f>IF(AH73="Montar",PATRÓN!$M$31,"")</f>
        <v/>
      </c>
    </row>
    <row r="77" spans="2:34" x14ac:dyDescent="0.3">
      <c r="B77" s="62"/>
      <c r="C77" s="62"/>
      <c r="D77" s="351">
        <f>SUM(G77:AH77)</f>
        <v>1.25</v>
      </c>
      <c r="E77" s="351"/>
      <c r="F77" s="351"/>
      <c r="G77" s="104" t="str">
        <f>IF(G73="Montar",PATRÓN!$K$3,"")</f>
        <v/>
      </c>
      <c r="H77" s="104" t="str">
        <f>IF(H73="Montar",PATRÓN!$K$4,"")</f>
        <v/>
      </c>
      <c r="I77" s="104" t="str">
        <f>IF(I73="Montar",PATRÓN!$K$5,"")</f>
        <v/>
      </c>
      <c r="J77" s="104" t="str">
        <f>IF(J73="Montar",PATRÓN!$K$6,"")</f>
        <v/>
      </c>
      <c r="K77" s="104" t="str">
        <f>IF(K73="Montar",PATRÓN!$K$7,"")</f>
        <v/>
      </c>
      <c r="L77" s="104" t="str">
        <f>IF(L73="Montar",PATRÓN!$K$8,"")</f>
        <v/>
      </c>
      <c r="M77" s="104" t="str">
        <f>IF(M73="Montar",PATRÓN!$K$9,"")</f>
        <v/>
      </c>
      <c r="N77" s="104" t="str">
        <f>IF(N73="Montar",PATRÓN!$K$10,"")</f>
        <v/>
      </c>
      <c r="O77" s="104" t="str">
        <f>IF(O73="Montar",PATRÓN!$K$11,"")</f>
        <v/>
      </c>
      <c r="P77" s="104" t="str">
        <f>IF(P73="Montar",PATRÓN!$K$12,"")</f>
        <v/>
      </c>
      <c r="Q77" s="104" t="str">
        <f>IF(Q73="Montar",PATRÓN!$K$13,"")</f>
        <v/>
      </c>
      <c r="R77" s="104" t="str">
        <f>IF(R73="Montar",PATRÓN!$K$14,"")</f>
        <v/>
      </c>
      <c r="S77" s="104" t="str">
        <f>IF(S73="Montar",PATRÓN!$K$15,"")</f>
        <v/>
      </c>
      <c r="T77" s="104" t="str">
        <f>IF(T73="Montar",PATRÓN!$K$16,"")</f>
        <v/>
      </c>
      <c r="U77" s="104" t="str">
        <f>IF(U73="Montar",PATRÓN!$K$17,"")</f>
        <v/>
      </c>
      <c r="V77" s="104">
        <f>IF(V73="Montar",PATRÓN!$K$19,"")</f>
        <v>0.25</v>
      </c>
      <c r="W77" s="104" t="str">
        <f>IF(W73="Montar",PATRÓN!$K$20,"")</f>
        <v/>
      </c>
      <c r="X77" s="104" t="str">
        <f>IF(X73="Montar",PATRÓN!$K$21,"")</f>
        <v/>
      </c>
      <c r="Y77" s="104" t="str">
        <f>IF(Y73="Montar",PATRÓN!$K$22,"")</f>
        <v/>
      </c>
      <c r="Z77" s="104">
        <f>IF(Z73="Montar",PATRÓN!$K$23,"")</f>
        <v>1</v>
      </c>
      <c r="AA77" s="104" t="str">
        <f>IF(AA73="Montar",PATRÓN!$K$24,"")</f>
        <v/>
      </c>
      <c r="AB77" s="104" t="str">
        <f>IF(AB73="Montar",PATRÓN!$K$25,"")</f>
        <v/>
      </c>
      <c r="AC77" s="104" t="str">
        <f>IF(AC73="Montar",PATRÓN!$K$26,"")</f>
        <v/>
      </c>
      <c r="AD77" s="104" t="str">
        <f>IF(AD73="Montar",PATRÓN!$K$27,"")</f>
        <v/>
      </c>
      <c r="AE77" s="104" t="str">
        <f>IF(AE73="Montar",PATRÓN!$K$28,"")</f>
        <v/>
      </c>
      <c r="AF77" s="104" t="str">
        <f>IF(AF73="Montar",PATRÓN!$K$29,"")</f>
        <v/>
      </c>
      <c r="AG77" s="104" t="str">
        <f>IF(AG73="Montar",PATRÓN!$K$30,"")</f>
        <v/>
      </c>
      <c r="AH77" s="104" t="str">
        <f>IF(AH73="Montar",PATRÓN!$K$31,"")</f>
        <v/>
      </c>
    </row>
  </sheetData>
  <mergeCells count="115">
    <mergeCell ref="D44:F44"/>
    <mergeCell ref="D52:F52"/>
    <mergeCell ref="B54:C54"/>
    <mergeCell ref="D56:F56"/>
    <mergeCell ref="D76:F76"/>
    <mergeCell ref="D77:F77"/>
    <mergeCell ref="B64:C64"/>
    <mergeCell ref="D64:F64"/>
    <mergeCell ref="B69:C69"/>
    <mergeCell ref="D69:F69"/>
    <mergeCell ref="D70:F70"/>
    <mergeCell ref="D71:F71"/>
    <mergeCell ref="B59:C59"/>
    <mergeCell ref="D60:F60"/>
    <mergeCell ref="D65:F65"/>
    <mergeCell ref="D66:F66"/>
    <mergeCell ref="D67:F67"/>
    <mergeCell ref="D72:F72"/>
    <mergeCell ref="B74:C74"/>
    <mergeCell ref="D74:F74"/>
    <mergeCell ref="D75:F75"/>
    <mergeCell ref="S19:T19"/>
    <mergeCell ref="U19:W19"/>
    <mergeCell ref="B25:C25"/>
    <mergeCell ref="D25:F25"/>
    <mergeCell ref="B38:C38"/>
    <mergeCell ref="D59:F59"/>
    <mergeCell ref="D61:F61"/>
    <mergeCell ref="D62:F62"/>
    <mergeCell ref="D54:F54"/>
    <mergeCell ref="D55:F55"/>
    <mergeCell ref="D57:F57"/>
    <mergeCell ref="D46:F46"/>
    <mergeCell ref="D47:F47"/>
    <mergeCell ref="B49:C49"/>
    <mergeCell ref="D49:F49"/>
    <mergeCell ref="D50:F50"/>
    <mergeCell ref="D51:F51"/>
    <mergeCell ref="D39:F39"/>
    <mergeCell ref="D41:F41"/>
    <mergeCell ref="D42:F42"/>
    <mergeCell ref="D45:F45"/>
    <mergeCell ref="B39:C39"/>
    <mergeCell ref="D40:F40"/>
    <mergeCell ref="B44:C44"/>
    <mergeCell ref="D34:F34"/>
    <mergeCell ref="D35:F35"/>
    <mergeCell ref="D37:F37"/>
    <mergeCell ref="B29:C29"/>
    <mergeCell ref="D29:F29"/>
    <mergeCell ref="D30:F30"/>
    <mergeCell ref="D31:F31"/>
    <mergeCell ref="B33:C33"/>
    <mergeCell ref="G23:AH23"/>
    <mergeCell ref="D32:F32"/>
    <mergeCell ref="B34:C34"/>
    <mergeCell ref="D36:F36"/>
    <mergeCell ref="J17:L17"/>
    <mergeCell ref="M17:O17"/>
    <mergeCell ref="S17:T17"/>
    <mergeCell ref="U17:W17"/>
    <mergeCell ref="J18:L18"/>
    <mergeCell ref="M18:O18"/>
    <mergeCell ref="S18:T18"/>
    <mergeCell ref="U18:W18"/>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S14:T14"/>
    <mergeCell ref="U14:W14"/>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s>
  <dataValidations count="1">
    <dataValidation type="list" allowBlank="1" showInputMessage="1" showErrorMessage="1" sqref="G28:AH28 G33:AH33 G73:AH73 G43:AH43 G48:AH48 G53:AH53 G58:AH58 G63:AH63 G68:AH68 G38:AH38" xr:uid="{2F83BFD8-FE47-4F08-BA42-5428AAA5F462}">
      <formula1>$B$18:$B$19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37"/>
  <sheetViews>
    <sheetView topLeftCell="B1" workbookViewId="0">
      <selection activeCell="L10" sqref="L10:M10"/>
    </sheetView>
  </sheetViews>
  <sheetFormatPr baseColWidth="10" defaultRowHeight="14.4" x14ac:dyDescent="0.3"/>
  <cols>
    <col min="4" max="4" width="18.5546875" bestFit="1" customWidth="1"/>
    <col min="6" max="6" width="12.5546875" bestFit="1" customWidth="1"/>
  </cols>
  <sheetData>
    <row r="2" spans="3:13" x14ac:dyDescent="0.3">
      <c r="C2" s="6" t="s">
        <v>66</v>
      </c>
      <c r="D2" s="6" t="s">
        <v>67</v>
      </c>
      <c r="E2" s="6" t="s">
        <v>68</v>
      </c>
      <c r="F2" s="6" t="s">
        <v>69</v>
      </c>
      <c r="G2" s="6" t="s">
        <v>70</v>
      </c>
      <c r="H2" s="6" t="s">
        <v>71</v>
      </c>
      <c r="I2" s="6" t="s">
        <v>72</v>
      </c>
      <c r="J2" s="6" t="s">
        <v>73</v>
      </c>
      <c r="K2" s="6" t="s">
        <v>74</v>
      </c>
      <c r="L2" s="6" t="s">
        <v>75</v>
      </c>
      <c r="M2" s="6" t="s">
        <v>76</v>
      </c>
    </row>
    <row r="3" spans="3:13" x14ac:dyDescent="0.3">
      <c r="C3" s="6"/>
      <c r="D3" s="9" t="s">
        <v>193</v>
      </c>
      <c r="E3" s="9" t="s">
        <v>214</v>
      </c>
      <c r="F3" s="9" t="s">
        <v>194</v>
      </c>
      <c r="G3" s="9">
        <v>1</v>
      </c>
      <c r="H3" s="69">
        <v>44257</v>
      </c>
      <c r="I3" s="9" t="s">
        <v>219</v>
      </c>
      <c r="J3" s="9">
        <f>0.07/1000</f>
        <v>7.0000000000000007E-5</v>
      </c>
      <c r="K3" s="9">
        <f>1/1000</f>
        <v>1E-3</v>
      </c>
      <c r="L3" s="9" t="s">
        <v>83</v>
      </c>
      <c r="M3" s="9">
        <f>0.33/1000</f>
        <v>3.3E-4</v>
      </c>
    </row>
    <row r="4" spans="3:13" x14ac:dyDescent="0.3">
      <c r="C4" s="6"/>
      <c r="D4" s="9" t="s">
        <v>195</v>
      </c>
      <c r="E4" s="9" t="s">
        <v>214</v>
      </c>
      <c r="F4" s="9" t="s">
        <v>194</v>
      </c>
      <c r="G4" s="9">
        <v>2</v>
      </c>
      <c r="H4" s="69">
        <v>44257</v>
      </c>
      <c r="I4" s="9" t="s">
        <v>219</v>
      </c>
      <c r="J4" s="9">
        <f>0.05/1000</f>
        <v>5.0000000000000002E-5</v>
      </c>
      <c r="K4" s="9">
        <f>1.2/1000</f>
        <v>1.1999999999999999E-3</v>
      </c>
      <c r="L4" s="9" t="s">
        <v>83</v>
      </c>
      <c r="M4" s="9">
        <f>0.4/1000</f>
        <v>4.0000000000000002E-4</v>
      </c>
    </row>
    <row r="5" spans="3:13" x14ac:dyDescent="0.3">
      <c r="C5" s="6"/>
      <c r="D5" s="9" t="s">
        <v>196</v>
      </c>
      <c r="E5" s="9" t="s">
        <v>214</v>
      </c>
      <c r="F5" s="9" t="s">
        <v>194</v>
      </c>
      <c r="G5" s="9" t="s">
        <v>197</v>
      </c>
      <c r="H5" s="69">
        <v>44257</v>
      </c>
      <c r="I5" s="9" t="s">
        <v>219</v>
      </c>
      <c r="J5" s="9">
        <f>0.06/1000</f>
        <v>5.9999999999999995E-5</v>
      </c>
      <c r="K5" s="9">
        <f>1.2/1000</f>
        <v>1.1999999999999999E-3</v>
      </c>
      <c r="L5" s="9" t="s">
        <v>83</v>
      </c>
      <c r="M5" s="9">
        <f>0.4/1000</f>
        <v>4.0000000000000002E-4</v>
      </c>
    </row>
    <row r="6" spans="3:13" x14ac:dyDescent="0.3">
      <c r="C6" s="6"/>
      <c r="D6" s="9" t="s">
        <v>198</v>
      </c>
      <c r="E6" s="9" t="s">
        <v>214</v>
      </c>
      <c r="F6" s="9" t="s">
        <v>194</v>
      </c>
      <c r="G6" s="9">
        <v>5</v>
      </c>
      <c r="H6" s="69">
        <v>44257</v>
      </c>
      <c r="I6" s="9" t="s">
        <v>219</v>
      </c>
      <c r="J6" s="9">
        <f>0.08/1000</f>
        <v>8.0000000000000007E-5</v>
      </c>
      <c r="K6" s="9">
        <f>1.6/1000</f>
        <v>1.6000000000000001E-3</v>
      </c>
      <c r="L6" s="9" t="s">
        <v>83</v>
      </c>
      <c r="M6" s="9">
        <f>0.53/1000</f>
        <v>5.2999999999999998E-4</v>
      </c>
    </row>
    <row r="7" spans="3:13" x14ac:dyDescent="0.3">
      <c r="C7" s="6"/>
      <c r="D7" s="9" t="s">
        <v>199</v>
      </c>
      <c r="E7" s="9" t="s">
        <v>214</v>
      </c>
      <c r="F7" s="9" t="s">
        <v>194</v>
      </c>
      <c r="G7" s="9">
        <v>10</v>
      </c>
      <c r="H7" s="69">
        <v>44257</v>
      </c>
      <c r="I7" s="9" t="s">
        <v>219</v>
      </c>
      <c r="J7" s="9">
        <f>0.12/1000</f>
        <v>1.1999999999999999E-4</v>
      </c>
      <c r="K7" s="9">
        <f>2/1000</f>
        <v>2E-3</v>
      </c>
      <c r="L7" s="9" t="s">
        <v>83</v>
      </c>
      <c r="M7" s="9">
        <f>0.67/1000</f>
        <v>6.7000000000000002E-4</v>
      </c>
    </row>
    <row r="8" spans="3:13" x14ac:dyDescent="0.3">
      <c r="C8" s="6"/>
      <c r="D8" s="9" t="s">
        <v>200</v>
      </c>
      <c r="E8" s="9" t="s">
        <v>214</v>
      </c>
      <c r="F8" s="9" t="s">
        <v>194</v>
      </c>
      <c r="G8" s="9">
        <v>20</v>
      </c>
      <c r="H8" s="69">
        <v>44257</v>
      </c>
      <c r="I8" s="9" t="s">
        <v>219</v>
      </c>
      <c r="J8" s="9">
        <f>0.13/1000</f>
        <v>1.3000000000000002E-4</v>
      </c>
      <c r="K8" s="9">
        <f>2.5/1000</f>
        <v>2.5000000000000001E-3</v>
      </c>
      <c r="L8" s="9" t="s">
        <v>83</v>
      </c>
      <c r="M8" s="9">
        <f>0.83/1000</f>
        <v>8.3000000000000001E-4</v>
      </c>
    </row>
    <row r="9" spans="3:13" x14ac:dyDescent="0.3">
      <c r="C9" s="6"/>
      <c r="D9" s="9" t="s">
        <v>201</v>
      </c>
      <c r="E9" s="9" t="s">
        <v>214</v>
      </c>
      <c r="F9" s="9" t="s">
        <v>194</v>
      </c>
      <c r="G9" s="9" t="s">
        <v>202</v>
      </c>
      <c r="H9" s="69">
        <v>44257</v>
      </c>
      <c r="I9" s="9" t="s">
        <v>219</v>
      </c>
      <c r="J9" s="9">
        <f>0.13/1000</f>
        <v>1.3000000000000002E-4</v>
      </c>
      <c r="K9" s="9">
        <f>2.5/1000</f>
        <v>2.5000000000000001E-3</v>
      </c>
      <c r="L9" s="9" t="s">
        <v>83</v>
      </c>
      <c r="M9" s="9">
        <f>0.83/1000</f>
        <v>8.3000000000000001E-4</v>
      </c>
    </row>
    <row r="10" spans="3:13" x14ac:dyDescent="0.3">
      <c r="C10" s="6"/>
      <c r="D10" s="9" t="s">
        <v>203</v>
      </c>
      <c r="E10" s="9" t="s">
        <v>214</v>
      </c>
      <c r="F10" s="9" t="s">
        <v>194</v>
      </c>
      <c r="G10" s="9">
        <v>50</v>
      </c>
      <c r="H10" s="69">
        <v>44257</v>
      </c>
      <c r="I10" s="9" t="s">
        <v>219</v>
      </c>
      <c r="J10" s="9">
        <f>0.7/1000</f>
        <v>6.9999999999999999E-4</v>
      </c>
      <c r="K10" s="9">
        <f>3/1000</f>
        <v>3.0000000000000001E-3</v>
      </c>
      <c r="L10" s="9" t="s">
        <v>83</v>
      </c>
      <c r="M10" s="9">
        <f>1/1000</f>
        <v>1E-3</v>
      </c>
    </row>
    <row r="11" spans="3:13" x14ac:dyDescent="0.3">
      <c r="C11" s="6"/>
      <c r="D11" s="9" t="s">
        <v>204</v>
      </c>
      <c r="E11" s="9" t="s">
        <v>214</v>
      </c>
      <c r="F11" s="9" t="s">
        <v>194</v>
      </c>
      <c r="G11" s="9">
        <v>100</v>
      </c>
      <c r="H11" s="69">
        <v>44257</v>
      </c>
      <c r="I11" s="9" t="s">
        <v>219</v>
      </c>
      <c r="J11" s="9">
        <f>0.7/1000</f>
        <v>6.9999999999999999E-4</v>
      </c>
      <c r="K11" s="9">
        <f>5/1000</f>
        <v>5.0000000000000001E-3</v>
      </c>
      <c r="L11" s="9" t="s">
        <v>83</v>
      </c>
      <c r="M11" s="9">
        <f>1.7/1000</f>
        <v>1.6999999999999999E-3</v>
      </c>
    </row>
    <row r="12" spans="3:13" x14ac:dyDescent="0.3">
      <c r="C12" s="6"/>
      <c r="D12" s="9" t="s">
        <v>205</v>
      </c>
      <c r="E12" s="9" t="s">
        <v>214</v>
      </c>
      <c r="F12" s="9" t="s">
        <v>194</v>
      </c>
      <c r="G12" s="9">
        <v>200</v>
      </c>
      <c r="H12" s="69">
        <v>44257</v>
      </c>
      <c r="I12" s="9" t="s">
        <v>219</v>
      </c>
      <c r="J12" s="9">
        <f>0.8/1000</f>
        <v>8.0000000000000004E-4</v>
      </c>
      <c r="K12" s="9">
        <f>10/1000</f>
        <v>0.01</v>
      </c>
      <c r="L12" s="9" t="s">
        <v>83</v>
      </c>
      <c r="M12" s="9">
        <f>3.3/1000</f>
        <v>3.3E-3</v>
      </c>
    </row>
    <row r="13" spans="3:13" x14ac:dyDescent="0.3">
      <c r="C13" s="6"/>
      <c r="D13" s="9" t="s">
        <v>206</v>
      </c>
      <c r="E13" s="9" t="s">
        <v>214</v>
      </c>
      <c r="F13" s="9" t="s">
        <v>194</v>
      </c>
      <c r="G13" s="9" t="s">
        <v>207</v>
      </c>
      <c r="H13" s="69">
        <v>44257</v>
      </c>
      <c r="I13" s="9" t="s">
        <v>219</v>
      </c>
      <c r="J13" s="9">
        <f>1.6/1000</f>
        <v>1.6000000000000001E-3</v>
      </c>
      <c r="K13" s="9">
        <f>10/1000</f>
        <v>0.01</v>
      </c>
      <c r="L13" s="9" t="s">
        <v>83</v>
      </c>
      <c r="M13" s="9">
        <f>3.3/1000</f>
        <v>3.3E-3</v>
      </c>
    </row>
    <row r="14" spans="3:13" x14ac:dyDescent="0.3">
      <c r="C14" s="6"/>
      <c r="D14" s="9" t="s">
        <v>208</v>
      </c>
      <c r="E14" s="9" t="s">
        <v>214</v>
      </c>
      <c r="F14" s="9" t="s">
        <v>194</v>
      </c>
      <c r="G14" s="9">
        <v>500</v>
      </c>
      <c r="H14" s="69">
        <v>44257</v>
      </c>
      <c r="I14" s="9" t="s">
        <v>219</v>
      </c>
      <c r="J14" s="9">
        <f>2.9/1000</f>
        <v>2.8999999999999998E-3</v>
      </c>
      <c r="K14" s="9">
        <f>25/1000</f>
        <v>2.5000000000000001E-2</v>
      </c>
      <c r="L14" s="9" t="s">
        <v>83</v>
      </c>
      <c r="M14" s="9">
        <f>8.3/1000</f>
        <v>8.3000000000000001E-3</v>
      </c>
    </row>
    <row r="15" spans="3:13" x14ac:dyDescent="0.3">
      <c r="C15" s="6"/>
      <c r="D15" s="9" t="s">
        <v>209</v>
      </c>
      <c r="E15" s="9" t="s">
        <v>214</v>
      </c>
      <c r="F15" s="9" t="s">
        <v>194</v>
      </c>
      <c r="G15" s="9">
        <v>1</v>
      </c>
      <c r="H15" s="69">
        <v>44257</v>
      </c>
      <c r="I15" s="9" t="s">
        <v>219</v>
      </c>
      <c r="J15" s="109">
        <f>8/1000</f>
        <v>8.0000000000000002E-3</v>
      </c>
      <c r="K15" s="9">
        <f>50/1000</f>
        <v>0.05</v>
      </c>
      <c r="L15" s="9" t="s">
        <v>83</v>
      </c>
      <c r="M15" s="9">
        <f>17/1000</f>
        <v>1.7000000000000001E-2</v>
      </c>
    </row>
    <row r="16" spans="3:13" x14ac:dyDescent="0.3">
      <c r="C16" s="6"/>
      <c r="D16" s="9" t="s">
        <v>215</v>
      </c>
      <c r="E16" s="9" t="s">
        <v>214</v>
      </c>
      <c r="F16" s="9" t="s">
        <v>194</v>
      </c>
      <c r="G16" s="9">
        <v>2</v>
      </c>
      <c r="H16" s="69">
        <v>44257</v>
      </c>
      <c r="I16" s="9" t="s">
        <v>219</v>
      </c>
      <c r="J16" s="109">
        <v>8.0000000000000002E-3</v>
      </c>
      <c r="K16" s="9">
        <f>100/1000</f>
        <v>0.1</v>
      </c>
      <c r="L16" s="9" t="s">
        <v>83</v>
      </c>
      <c r="M16" s="9">
        <f>33/1000</f>
        <v>3.3000000000000002E-2</v>
      </c>
    </row>
    <row r="17" spans="1:18" x14ac:dyDescent="0.3">
      <c r="C17" s="6"/>
      <c r="D17" s="9" t="s">
        <v>216</v>
      </c>
      <c r="E17" s="9" t="s">
        <v>214</v>
      </c>
      <c r="F17" s="9" t="s">
        <v>194</v>
      </c>
      <c r="G17" s="9" t="s">
        <v>218</v>
      </c>
      <c r="H17" s="69">
        <v>44257</v>
      </c>
      <c r="I17" s="9" t="s">
        <v>219</v>
      </c>
      <c r="J17" s="9">
        <f>11/1000</f>
        <v>1.0999999999999999E-2</v>
      </c>
      <c r="K17" s="9">
        <f>100/1000</f>
        <v>0.1</v>
      </c>
      <c r="L17" s="9" t="s">
        <v>83</v>
      </c>
      <c r="M17" s="9">
        <f>33/1000</f>
        <v>3.3000000000000002E-2</v>
      </c>
    </row>
    <row r="18" spans="1:18" x14ac:dyDescent="0.3">
      <c r="C18" s="6"/>
      <c r="D18" s="9" t="s">
        <v>217</v>
      </c>
      <c r="E18" s="9" t="s">
        <v>214</v>
      </c>
      <c r="F18" s="9" t="s">
        <v>194</v>
      </c>
      <c r="G18" s="9">
        <v>5</v>
      </c>
      <c r="H18" s="69">
        <v>44257</v>
      </c>
      <c r="I18" s="9" t="s">
        <v>219</v>
      </c>
      <c r="J18" s="9">
        <f>8/1000</f>
        <v>8.0000000000000002E-3</v>
      </c>
      <c r="K18" s="9">
        <f>250/1000</f>
        <v>0.25</v>
      </c>
      <c r="L18" s="9" t="s">
        <v>83</v>
      </c>
      <c r="M18" s="9">
        <f>83/1000</f>
        <v>8.3000000000000004E-2</v>
      </c>
    </row>
    <row r="19" spans="1:18" x14ac:dyDescent="0.3">
      <c r="A19" s="21" t="s">
        <v>48</v>
      </c>
      <c r="C19" s="68" t="s">
        <v>77</v>
      </c>
      <c r="D19" s="9" t="s">
        <v>78</v>
      </c>
      <c r="E19" s="9" t="s">
        <v>79</v>
      </c>
      <c r="F19" s="9" t="s">
        <v>80</v>
      </c>
      <c r="G19" s="68" t="s">
        <v>81</v>
      </c>
      <c r="H19" s="69">
        <v>43987</v>
      </c>
      <c r="I19" s="9" t="s">
        <v>82</v>
      </c>
      <c r="J19" s="9">
        <v>6.9000000000000006E-2</v>
      </c>
      <c r="K19" s="9">
        <v>0.25</v>
      </c>
      <c r="L19" s="9" t="s">
        <v>83</v>
      </c>
      <c r="M19" s="9">
        <v>8.3000000000000004E-2</v>
      </c>
      <c r="P19" s="70" t="s">
        <v>84</v>
      </c>
      <c r="Q19" s="71" t="s">
        <v>85</v>
      </c>
      <c r="R19" t="s">
        <v>86</v>
      </c>
    </row>
    <row r="20" spans="1:18" x14ac:dyDescent="0.3">
      <c r="A20" s="57" t="s">
        <v>49</v>
      </c>
      <c r="C20" s="68" t="s">
        <v>87</v>
      </c>
      <c r="D20" s="9" t="s">
        <v>88</v>
      </c>
      <c r="E20" s="9" t="s">
        <v>79</v>
      </c>
      <c r="F20" s="9" t="s">
        <v>80</v>
      </c>
      <c r="G20" s="68" t="s">
        <v>89</v>
      </c>
      <c r="H20" s="69">
        <v>43987</v>
      </c>
      <c r="I20" s="9" t="s">
        <v>90</v>
      </c>
      <c r="J20" s="9">
        <v>9.6000000000000002E-2</v>
      </c>
      <c r="K20" s="9">
        <v>0.25</v>
      </c>
      <c r="L20" s="9" t="s">
        <v>83</v>
      </c>
      <c r="M20" s="9">
        <v>8.3000000000000004E-2</v>
      </c>
      <c r="P20" s="72"/>
      <c r="Q20" s="71" t="s">
        <v>91</v>
      </c>
      <c r="R20" t="s">
        <v>92</v>
      </c>
    </row>
    <row r="21" spans="1:18" x14ac:dyDescent="0.3">
      <c r="C21" s="68" t="s">
        <v>93</v>
      </c>
      <c r="D21" s="9" t="s">
        <v>94</v>
      </c>
      <c r="E21" s="9" t="s">
        <v>95</v>
      </c>
      <c r="F21" s="9" t="s">
        <v>80</v>
      </c>
      <c r="G21" s="68" t="s">
        <v>96</v>
      </c>
      <c r="H21" s="69">
        <v>43987</v>
      </c>
      <c r="I21" s="9" t="s">
        <v>97</v>
      </c>
      <c r="J21" s="9">
        <v>0.05</v>
      </c>
      <c r="K21" s="9">
        <v>0.5</v>
      </c>
      <c r="L21" s="9" t="s">
        <v>83</v>
      </c>
      <c r="M21" s="9">
        <v>0.17</v>
      </c>
    </row>
    <row r="22" spans="1:18" x14ac:dyDescent="0.3">
      <c r="C22" s="68" t="s">
        <v>98</v>
      </c>
      <c r="D22" s="9" t="s">
        <v>99</v>
      </c>
      <c r="E22" s="9" t="s">
        <v>79</v>
      </c>
      <c r="F22" s="9" t="s">
        <v>80</v>
      </c>
      <c r="G22" s="68" t="s">
        <v>100</v>
      </c>
      <c r="H22" s="69">
        <v>43987</v>
      </c>
      <c r="I22" s="9" t="s">
        <v>101</v>
      </c>
      <c r="J22" s="9">
        <v>0.05</v>
      </c>
      <c r="K22" s="9">
        <v>0.5</v>
      </c>
      <c r="L22" s="9" t="s">
        <v>83</v>
      </c>
      <c r="M22" s="9">
        <v>0.17</v>
      </c>
    </row>
    <row r="23" spans="1:18" x14ac:dyDescent="0.3">
      <c r="C23" s="68" t="s">
        <v>102</v>
      </c>
      <c r="D23" s="9" t="s">
        <v>103</v>
      </c>
      <c r="E23" s="9" t="s">
        <v>95</v>
      </c>
      <c r="F23" s="9" t="s">
        <v>80</v>
      </c>
      <c r="G23" s="9" t="s">
        <v>96</v>
      </c>
      <c r="H23" s="69">
        <v>43987</v>
      </c>
      <c r="I23" s="9" t="s">
        <v>104</v>
      </c>
      <c r="J23" s="9">
        <v>0.21</v>
      </c>
      <c r="K23" s="6">
        <v>1</v>
      </c>
      <c r="L23" s="9" t="s">
        <v>83</v>
      </c>
      <c r="M23" s="9">
        <v>0.33</v>
      </c>
    </row>
    <row r="24" spans="1:18" x14ac:dyDescent="0.3">
      <c r="C24" s="68" t="s">
        <v>105</v>
      </c>
      <c r="D24" s="9" t="s">
        <v>106</v>
      </c>
      <c r="E24" s="9" t="s">
        <v>95</v>
      </c>
      <c r="F24" s="9" t="s">
        <v>80</v>
      </c>
      <c r="G24" s="9" t="s">
        <v>107</v>
      </c>
      <c r="H24" s="69">
        <v>43987</v>
      </c>
      <c r="I24" s="9" t="s">
        <v>108</v>
      </c>
      <c r="J24" s="9">
        <v>0.09</v>
      </c>
      <c r="K24" s="6">
        <v>1</v>
      </c>
      <c r="L24" s="9" t="s">
        <v>83</v>
      </c>
      <c r="M24" s="9">
        <v>0.33</v>
      </c>
    </row>
    <row r="25" spans="1:18" x14ac:dyDescent="0.3">
      <c r="C25" s="68" t="s">
        <v>109</v>
      </c>
      <c r="D25" s="9" t="s">
        <v>110</v>
      </c>
      <c r="E25" s="9" t="s">
        <v>95</v>
      </c>
      <c r="F25" s="9" t="s">
        <v>80</v>
      </c>
      <c r="G25" s="9" t="s">
        <v>111</v>
      </c>
      <c r="H25" s="69">
        <v>43987</v>
      </c>
      <c r="I25" s="9" t="s">
        <v>112</v>
      </c>
      <c r="J25" s="9">
        <v>0.09</v>
      </c>
      <c r="K25" s="6">
        <v>1</v>
      </c>
      <c r="L25" s="9" t="s">
        <v>83</v>
      </c>
      <c r="M25" s="9">
        <v>0.33</v>
      </c>
    </row>
    <row r="26" spans="1:18" x14ac:dyDescent="0.3">
      <c r="C26" s="68" t="s">
        <v>113</v>
      </c>
      <c r="D26" s="9" t="s">
        <v>114</v>
      </c>
      <c r="E26" s="9" t="s">
        <v>79</v>
      </c>
      <c r="F26" s="9" t="s">
        <v>80</v>
      </c>
      <c r="G26" s="68" t="s">
        <v>115</v>
      </c>
      <c r="H26" s="69">
        <v>43987</v>
      </c>
      <c r="I26" s="9" t="s">
        <v>116</v>
      </c>
      <c r="J26" s="9">
        <v>0.27</v>
      </c>
      <c r="K26" s="9">
        <v>1</v>
      </c>
      <c r="L26" s="9" t="s">
        <v>83</v>
      </c>
      <c r="M26" s="9">
        <v>0.33</v>
      </c>
    </row>
    <row r="27" spans="1:18" x14ac:dyDescent="0.3">
      <c r="C27" s="68" t="s">
        <v>117</v>
      </c>
      <c r="D27" s="9" t="s">
        <v>118</v>
      </c>
      <c r="E27" s="9" t="s">
        <v>79</v>
      </c>
      <c r="F27" s="9" t="s">
        <v>80</v>
      </c>
      <c r="G27" s="68" t="s">
        <v>119</v>
      </c>
      <c r="H27" s="69">
        <v>43987</v>
      </c>
      <c r="I27" s="9" t="s">
        <v>120</v>
      </c>
      <c r="J27" s="9">
        <v>0.03</v>
      </c>
      <c r="K27" s="9">
        <v>1</v>
      </c>
      <c r="L27" s="9" t="s">
        <v>83</v>
      </c>
      <c r="M27" s="9">
        <v>0.33</v>
      </c>
    </row>
    <row r="28" spans="1:18" x14ac:dyDescent="0.3">
      <c r="C28" s="68" t="s">
        <v>121</v>
      </c>
      <c r="D28" s="9" t="s">
        <v>122</v>
      </c>
      <c r="E28" s="9" t="s">
        <v>79</v>
      </c>
      <c r="F28" s="9" t="s">
        <v>80</v>
      </c>
      <c r="G28" s="68" t="s">
        <v>123</v>
      </c>
      <c r="H28" s="69">
        <v>43987</v>
      </c>
      <c r="I28" s="9" t="s">
        <v>124</v>
      </c>
      <c r="J28" s="9">
        <v>0.08</v>
      </c>
      <c r="K28" s="9">
        <v>1</v>
      </c>
      <c r="L28" s="9" t="s">
        <v>83</v>
      </c>
      <c r="M28" s="9">
        <v>0.33</v>
      </c>
    </row>
    <row r="29" spans="1:18" x14ac:dyDescent="0.3">
      <c r="C29" s="68" t="s">
        <v>125</v>
      </c>
      <c r="D29" s="9" t="s">
        <v>126</v>
      </c>
      <c r="E29" s="9" t="s">
        <v>79</v>
      </c>
      <c r="F29" s="9" t="s">
        <v>80</v>
      </c>
      <c r="G29" s="68" t="s">
        <v>127</v>
      </c>
      <c r="H29" s="69">
        <v>43987</v>
      </c>
      <c r="I29" s="9" t="s">
        <v>128</v>
      </c>
      <c r="J29" s="9">
        <v>0.15</v>
      </c>
      <c r="K29" s="9">
        <v>1</v>
      </c>
      <c r="L29" s="9" t="s">
        <v>83</v>
      </c>
      <c r="M29" s="9">
        <v>0.33</v>
      </c>
    </row>
    <row r="30" spans="1:18" x14ac:dyDescent="0.3">
      <c r="C30" s="68" t="s">
        <v>129</v>
      </c>
      <c r="D30" s="9" t="s">
        <v>130</v>
      </c>
      <c r="E30" s="9" t="s">
        <v>79</v>
      </c>
      <c r="F30" s="9" t="s">
        <v>80</v>
      </c>
      <c r="G30" s="68" t="s">
        <v>100</v>
      </c>
      <c r="H30" s="69">
        <v>43987</v>
      </c>
      <c r="I30" s="9" t="s">
        <v>131</v>
      </c>
      <c r="J30" s="9">
        <v>0.21</v>
      </c>
      <c r="K30" s="9">
        <v>1</v>
      </c>
      <c r="L30" s="9" t="s">
        <v>83</v>
      </c>
      <c r="M30" s="9">
        <v>0.33</v>
      </c>
    </row>
    <row r="31" spans="1:18" x14ac:dyDescent="0.3">
      <c r="C31" s="68" t="s">
        <v>132</v>
      </c>
      <c r="D31" s="9" t="s">
        <v>133</v>
      </c>
      <c r="E31" s="9" t="s">
        <v>79</v>
      </c>
      <c r="F31" s="9" t="s">
        <v>80</v>
      </c>
      <c r="G31" s="68" t="s">
        <v>134</v>
      </c>
      <c r="H31" s="69">
        <v>43987</v>
      </c>
      <c r="I31" s="9" t="s">
        <v>135</v>
      </c>
      <c r="J31" s="9">
        <v>0.25</v>
      </c>
      <c r="K31" s="9">
        <v>1</v>
      </c>
      <c r="L31" s="9" t="s">
        <v>83</v>
      </c>
      <c r="M31" s="9">
        <v>0.33</v>
      </c>
    </row>
    <row r="32" spans="1:18" x14ac:dyDescent="0.3">
      <c r="C32" s="73"/>
      <c r="D32" s="7"/>
      <c r="E32" s="7"/>
      <c r="F32" s="7"/>
      <c r="G32" s="73"/>
      <c r="H32" s="74"/>
      <c r="I32" s="7"/>
      <c r="J32" s="7"/>
      <c r="K32" s="7"/>
      <c r="L32" s="7"/>
      <c r="M32" s="7"/>
    </row>
    <row r="33" spans="2:13" x14ac:dyDescent="0.3">
      <c r="C33" s="73"/>
      <c r="D33" s="7"/>
      <c r="E33" s="7"/>
      <c r="F33" s="7"/>
      <c r="G33" s="73"/>
      <c r="H33" s="74"/>
      <c r="I33" s="7"/>
      <c r="J33" s="7"/>
      <c r="K33" s="7"/>
      <c r="L33" s="7"/>
      <c r="M33" s="7"/>
    </row>
    <row r="34" spans="2:13" x14ac:dyDescent="0.3">
      <c r="C34" s="73"/>
      <c r="D34" s="7"/>
      <c r="E34" s="7"/>
      <c r="F34" s="7"/>
      <c r="G34" s="73"/>
      <c r="H34" s="74"/>
      <c r="I34" s="7"/>
      <c r="J34" s="7"/>
      <c r="K34" s="7"/>
      <c r="L34" s="7"/>
      <c r="M34" s="7"/>
    </row>
    <row r="38" spans="2:13" x14ac:dyDescent="0.3">
      <c r="B38" s="362" t="s">
        <v>136</v>
      </c>
      <c r="C38" s="362"/>
      <c r="D38" s="362"/>
      <c r="E38" s="362"/>
      <c r="F38" s="362"/>
      <c r="G38" s="362"/>
      <c r="H38" s="362"/>
      <c r="I38" s="362"/>
      <c r="J38" s="362"/>
      <c r="K38" s="362"/>
      <c r="L38" s="362"/>
      <c r="M38" s="362"/>
    </row>
    <row r="39" spans="2:13" x14ac:dyDescent="0.3">
      <c r="B39" s="360" t="s">
        <v>137</v>
      </c>
      <c r="C39" s="360"/>
      <c r="D39" s="360"/>
      <c r="E39" s="360"/>
      <c r="F39" s="360"/>
      <c r="G39" s="361" t="s">
        <v>138</v>
      </c>
      <c r="H39" s="361"/>
      <c r="I39" s="361"/>
      <c r="J39" s="361"/>
      <c r="K39" s="361"/>
      <c r="L39" s="361"/>
      <c r="M39" s="361"/>
    </row>
    <row r="40" spans="2:13" x14ac:dyDescent="0.3">
      <c r="B40" s="360" t="s">
        <v>1</v>
      </c>
      <c r="C40" s="360"/>
      <c r="D40" s="360"/>
      <c r="E40" s="360"/>
      <c r="F40" s="360"/>
      <c r="G40" s="361" t="s">
        <v>139</v>
      </c>
      <c r="H40" s="361"/>
      <c r="I40" s="361"/>
      <c r="J40" s="361"/>
      <c r="K40" s="361"/>
      <c r="L40" s="361"/>
      <c r="M40" s="361"/>
    </row>
    <row r="41" spans="2:13" x14ac:dyDescent="0.3">
      <c r="B41" s="360" t="s">
        <v>2</v>
      </c>
      <c r="C41" s="360"/>
      <c r="D41" s="360"/>
      <c r="E41" s="360"/>
      <c r="F41" s="360"/>
      <c r="G41" s="361" t="s">
        <v>140</v>
      </c>
      <c r="H41" s="361"/>
      <c r="I41" s="361"/>
      <c r="J41" s="361"/>
      <c r="K41" s="361"/>
      <c r="L41" s="361"/>
      <c r="M41" s="361"/>
    </row>
    <row r="42" spans="2:13" x14ac:dyDescent="0.3">
      <c r="B42" s="360" t="s">
        <v>4</v>
      </c>
      <c r="C42" s="360"/>
      <c r="D42" s="360"/>
      <c r="E42" s="360"/>
      <c r="F42" s="360"/>
      <c r="G42" s="363" t="s">
        <v>141</v>
      </c>
      <c r="H42" s="361"/>
      <c r="I42" s="361"/>
      <c r="J42" s="361"/>
      <c r="K42" s="361"/>
      <c r="L42" s="361"/>
      <c r="M42" s="361"/>
    </row>
    <row r="43" spans="2:13" x14ac:dyDescent="0.3">
      <c r="B43" s="75" t="s">
        <v>142</v>
      </c>
      <c r="C43" s="75"/>
      <c r="D43" s="75"/>
      <c r="E43" s="75"/>
      <c r="F43" s="75"/>
      <c r="G43" s="364">
        <v>43990</v>
      </c>
      <c r="H43" s="364"/>
      <c r="I43" s="364"/>
      <c r="J43" s="364"/>
      <c r="K43" s="364"/>
      <c r="L43" s="364"/>
      <c r="M43" s="364"/>
    </row>
    <row r="44" spans="2:13" x14ac:dyDescent="0.3">
      <c r="B44" s="360" t="s">
        <v>143</v>
      </c>
      <c r="C44" s="360"/>
      <c r="D44" s="360"/>
      <c r="E44" s="360"/>
      <c r="F44" s="360"/>
      <c r="G44" s="365" t="s">
        <v>144</v>
      </c>
      <c r="H44" s="365"/>
      <c r="I44" s="365"/>
      <c r="J44" s="365"/>
      <c r="K44" s="365"/>
      <c r="L44" s="365"/>
      <c r="M44" s="365"/>
    </row>
    <row r="45" spans="2:13" x14ac:dyDescent="0.3">
      <c r="B45" s="360" t="s">
        <v>145</v>
      </c>
      <c r="C45" s="360"/>
      <c r="D45" s="360"/>
      <c r="E45" s="360"/>
      <c r="F45" s="360"/>
      <c r="G45" s="361">
        <v>2</v>
      </c>
      <c r="H45" s="361"/>
      <c r="I45" s="361"/>
      <c r="J45" s="361"/>
      <c r="K45" s="361"/>
      <c r="L45" s="361"/>
      <c r="M45" s="361"/>
    </row>
    <row r="46" spans="2:13" x14ac:dyDescent="0.3">
      <c r="B46" s="75"/>
      <c r="C46" s="75"/>
      <c r="D46" s="75"/>
      <c r="E46" s="75"/>
      <c r="F46" s="75"/>
      <c r="G46" s="76"/>
      <c r="H46" s="76"/>
      <c r="I46" s="76"/>
      <c r="J46" s="76"/>
      <c r="K46" s="76"/>
      <c r="L46" s="76"/>
      <c r="M46" s="76"/>
    </row>
    <row r="47" spans="2:13" x14ac:dyDescent="0.3">
      <c r="B47" s="362" t="s">
        <v>146</v>
      </c>
      <c r="C47" s="362"/>
      <c r="D47" s="362"/>
      <c r="E47" s="362"/>
      <c r="F47" s="362"/>
      <c r="G47" s="362"/>
      <c r="H47" s="362"/>
      <c r="I47" s="362"/>
      <c r="J47" s="362"/>
      <c r="K47" s="362"/>
      <c r="L47" s="362"/>
      <c r="M47" s="362"/>
    </row>
    <row r="48" spans="2:13" x14ac:dyDescent="0.3">
      <c r="B48" s="360" t="s">
        <v>137</v>
      </c>
      <c r="C48" s="360"/>
      <c r="D48" s="360"/>
      <c r="E48" s="360"/>
      <c r="F48" s="360"/>
      <c r="G48" s="361" t="s">
        <v>147</v>
      </c>
      <c r="H48" s="361"/>
      <c r="I48" s="361"/>
      <c r="J48" s="361"/>
      <c r="K48" s="361"/>
      <c r="L48" s="361"/>
      <c r="M48" s="361"/>
    </row>
    <row r="49" spans="2:13" x14ac:dyDescent="0.3">
      <c r="B49" s="360" t="s">
        <v>1</v>
      </c>
      <c r="C49" s="360"/>
      <c r="D49" s="360"/>
      <c r="E49" s="360"/>
      <c r="F49" s="360"/>
      <c r="G49" s="361" t="s">
        <v>148</v>
      </c>
      <c r="H49" s="361"/>
      <c r="I49" s="361"/>
      <c r="J49" s="361"/>
      <c r="K49" s="361"/>
      <c r="L49" s="361"/>
      <c r="M49" s="361"/>
    </row>
    <row r="50" spans="2:13" x14ac:dyDescent="0.3">
      <c r="B50" s="360" t="s">
        <v>2</v>
      </c>
      <c r="C50" s="360"/>
      <c r="D50" s="360"/>
      <c r="E50" s="360"/>
      <c r="F50" s="360"/>
      <c r="G50" s="361" t="s">
        <v>149</v>
      </c>
      <c r="H50" s="361"/>
      <c r="I50" s="361"/>
      <c r="J50" s="361"/>
      <c r="K50" s="361"/>
      <c r="L50" s="361"/>
      <c r="M50" s="361"/>
    </row>
    <row r="51" spans="2:13" x14ac:dyDescent="0.3">
      <c r="B51" s="360" t="s">
        <v>4</v>
      </c>
      <c r="C51" s="360"/>
      <c r="D51" s="360"/>
      <c r="E51" s="360"/>
      <c r="F51" s="360"/>
      <c r="G51" s="366" t="s">
        <v>150</v>
      </c>
      <c r="H51" s="366"/>
      <c r="I51" s="366"/>
      <c r="J51" s="366"/>
      <c r="K51" s="366"/>
      <c r="L51" s="366"/>
      <c r="M51" s="366"/>
    </row>
    <row r="52" spans="2:13" x14ac:dyDescent="0.3">
      <c r="B52" s="75" t="s">
        <v>142</v>
      </c>
      <c r="C52" s="75"/>
      <c r="D52" s="75"/>
      <c r="E52" s="75"/>
      <c r="F52" s="75"/>
      <c r="G52" s="364">
        <f>H19</f>
        <v>43987</v>
      </c>
      <c r="H52" s="364"/>
      <c r="I52" s="364"/>
      <c r="J52" s="364"/>
      <c r="K52" s="364"/>
      <c r="L52" s="364"/>
      <c r="M52" s="364"/>
    </row>
    <row r="53" spans="2:13" x14ac:dyDescent="0.3">
      <c r="B53" s="360" t="s">
        <v>143</v>
      </c>
      <c r="C53" s="360"/>
      <c r="D53" s="360"/>
      <c r="E53" s="360"/>
      <c r="F53" s="360"/>
      <c r="G53" s="365" t="s">
        <v>151</v>
      </c>
      <c r="H53" s="365"/>
      <c r="I53" s="365"/>
      <c r="J53" s="365"/>
      <c r="K53" s="365"/>
      <c r="L53" s="365"/>
      <c r="M53" s="365"/>
    </row>
    <row r="54" spans="2:13" x14ac:dyDescent="0.3">
      <c r="B54" s="360" t="s">
        <v>145</v>
      </c>
      <c r="C54" s="360"/>
      <c r="D54" s="360"/>
      <c r="E54" s="360"/>
      <c r="F54" s="360"/>
      <c r="G54" s="361">
        <v>2</v>
      </c>
      <c r="H54" s="361"/>
      <c r="I54" s="361"/>
      <c r="J54" s="361"/>
      <c r="K54" s="361"/>
      <c r="L54" s="361"/>
      <c r="M54" s="361"/>
    </row>
    <row r="55" spans="2:13" x14ac:dyDescent="0.3">
      <c r="B55" s="75"/>
      <c r="C55" s="75"/>
      <c r="D55" s="75"/>
      <c r="E55" s="75"/>
      <c r="F55" s="75"/>
      <c r="G55" s="76"/>
      <c r="H55" s="76"/>
      <c r="I55" s="76"/>
      <c r="J55" s="76"/>
      <c r="K55" s="76"/>
      <c r="L55" s="76"/>
      <c r="M55" s="76"/>
    </row>
    <row r="56" spans="2:13" x14ac:dyDescent="0.3">
      <c r="B56" s="362" t="s">
        <v>152</v>
      </c>
      <c r="C56" s="362"/>
      <c r="D56" s="362"/>
      <c r="E56" s="362"/>
      <c r="F56" s="362"/>
      <c r="G56" s="362"/>
      <c r="H56" s="362"/>
      <c r="I56" s="362"/>
      <c r="J56" s="362"/>
      <c r="K56" s="362"/>
      <c r="L56" s="362"/>
      <c r="M56" s="362"/>
    </row>
    <row r="57" spans="2:13" x14ac:dyDescent="0.3">
      <c r="B57" s="360" t="s">
        <v>137</v>
      </c>
      <c r="C57" s="360"/>
      <c r="D57" s="360"/>
      <c r="E57" s="360"/>
      <c r="F57" s="360"/>
      <c r="G57" s="361" t="s">
        <v>153</v>
      </c>
      <c r="H57" s="361"/>
      <c r="I57" s="361"/>
      <c r="J57" s="361"/>
      <c r="K57" s="361"/>
      <c r="L57" s="361"/>
      <c r="M57" s="361"/>
    </row>
    <row r="58" spans="2:13" x14ac:dyDescent="0.3">
      <c r="B58" s="360" t="s">
        <v>1</v>
      </c>
      <c r="C58" s="360"/>
      <c r="D58" s="360"/>
      <c r="E58" s="360"/>
      <c r="F58" s="360"/>
      <c r="G58" s="361" t="s">
        <v>154</v>
      </c>
      <c r="H58" s="361"/>
      <c r="I58" s="361"/>
      <c r="J58" s="361"/>
      <c r="K58" s="361"/>
      <c r="L58" s="361"/>
      <c r="M58" s="361"/>
    </row>
    <row r="59" spans="2:13" x14ac:dyDescent="0.3">
      <c r="B59" s="360" t="s">
        <v>2</v>
      </c>
      <c r="C59" s="360"/>
      <c r="D59" s="360"/>
      <c r="E59" s="360"/>
      <c r="F59" s="360"/>
      <c r="G59" s="361" t="s">
        <v>149</v>
      </c>
      <c r="H59" s="361"/>
      <c r="I59" s="361"/>
      <c r="J59" s="361"/>
      <c r="K59" s="361"/>
      <c r="L59" s="361"/>
      <c r="M59" s="361"/>
    </row>
    <row r="60" spans="2:13" x14ac:dyDescent="0.3">
      <c r="B60" s="360" t="s">
        <v>4</v>
      </c>
      <c r="C60" s="360"/>
      <c r="D60" s="360"/>
      <c r="E60" s="360"/>
      <c r="F60" s="360"/>
      <c r="G60" s="366" t="s">
        <v>155</v>
      </c>
      <c r="H60" s="366"/>
      <c r="I60" s="366"/>
      <c r="J60" s="366"/>
      <c r="K60" s="366"/>
      <c r="L60" s="366"/>
      <c r="M60" s="366"/>
    </row>
    <row r="61" spans="2:13" x14ac:dyDescent="0.3">
      <c r="B61" s="75" t="s">
        <v>142</v>
      </c>
      <c r="C61" s="75"/>
      <c r="D61" s="75"/>
      <c r="E61" s="75"/>
      <c r="F61" s="75"/>
      <c r="G61" s="364">
        <f>H22</f>
        <v>43987</v>
      </c>
      <c r="H61" s="364"/>
      <c r="I61" s="364"/>
      <c r="J61" s="364"/>
      <c r="K61" s="364"/>
      <c r="L61" s="364"/>
      <c r="M61" s="364"/>
    </row>
    <row r="62" spans="2:13" x14ac:dyDescent="0.3">
      <c r="B62" s="360" t="s">
        <v>143</v>
      </c>
      <c r="C62" s="360"/>
      <c r="D62" s="360"/>
      <c r="E62" s="360"/>
      <c r="F62" s="360"/>
      <c r="G62" s="365" t="s">
        <v>156</v>
      </c>
      <c r="H62" s="365"/>
      <c r="I62" s="365"/>
      <c r="J62" s="365"/>
      <c r="K62" s="365"/>
      <c r="L62" s="365"/>
      <c r="M62" s="365"/>
    </row>
    <row r="63" spans="2:13" x14ac:dyDescent="0.3">
      <c r="B63" s="360" t="s">
        <v>145</v>
      </c>
      <c r="C63" s="360"/>
      <c r="D63" s="360"/>
      <c r="E63" s="360"/>
      <c r="F63" s="360"/>
      <c r="G63" s="361">
        <v>2</v>
      </c>
      <c r="H63" s="361"/>
      <c r="I63" s="361"/>
      <c r="J63" s="361"/>
      <c r="K63" s="361"/>
      <c r="L63" s="361"/>
      <c r="M63" s="361"/>
    </row>
    <row r="64" spans="2:13" x14ac:dyDescent="0.3">
      <c r="B64" s="75"/>
      <c r="C64" s="75"/>
      <c r="D64" s="75"/>
      <c r="E64" s="75"/>
      <c r="F64" s="75"/>
      <c r="G64" s="76"/>
      <c r="H64" s="76"/>
      <c r="I64" s="76"/>
      <c r="J64" s="76"/>
      <c r="K64" s="76"/>
      <c r="L64" s="76"/>
      <c r="M64" s="76"/>
    </row>
    <row r="65" spans="2:13" x14ac:dyDescent="0.3">
      <c r="B65" s="362" t="s">
        <v>157</v>
      </c>
      <c r="C65" s="362"/>
      <c r="D65" s="362"/>
      <c r="E65" s="362"/>
      <c r="F65" s="362"/>
      <c r="G65" s="362"/>
      <c r="H65" s="362"/>
      <c r="I65" s="362"/>
      <c r="J65" s="362"/>
      <c r="K65" s="362"/>
      <c r="L65" s="362"/>
      <c r="M65" s="362"/>
    </row>
    <row r="66" spans="2:13" x14ac:dyDescent="0.3">
      <c r="B66" s="360" t="s">
        <v>137</v>
      </c>
      <c r="C66" s="360"/>
      <c r="D66" s="360"/>
      <c r="E66" s="360"/>
      <c r="F66" s="360"/>
      <c r="G66" s="361" t="s">
        <v>158</v>
      </c>
      <c r="H66" s="361"/>
      <c r="I66" s="361"/>
      <c r="J66" s="361"/>
      <c r="K66" s="361"/>
      <c r="L66" s="361"/>
      <c r="M66" s="361"/>
    </row>
    <row r="67" spans="2:13" x14ac:dyDescent="0.3">
      <c r="B67" s="360" t="s">
        <v>1</v>
      </c>
      <c r="C67" s="360"/>
      <c r="D67" s="360"/>
      <c r="E67" s="360"/>
      <c r="F67" s="360"/>
      <c r="G67" s="361" t="s">
        <v>159</v>
      </c>
      <c r="H67" s="361"/>
      <c r="I67" s="361"/>
      <c r="J67" s="361"/>
      <c r="K67" s="361"/>
      <c r="L67" s="361"/>
      <c r="M67" s="361"/>
    </row>
    <row r="68" spans="2:13" x14ac:dyDescent="0.3">
      <c r="B68" s="360" t="s">
        <v>2</v>
      </c>
      <c r="C68" s="360"/>
      <c r="D68" s="360"/>
      <c r="E68" s="360"/>
      <c r="F68" s="360"/>
      <c r="G68" s="361" t="s">
        <v>149</v>
      </c>
      <c r="H68" s="361"/>
      <c r="I68" s="361"/>
      <c r="J68" s="361"/>
      <c r="K68" s="361"/>
      <c r="L68" s="361"/>
      <c r="M68" s="361"/>
    </row>
    <row r="69" spans="2:13" x14ac:dyDescent="0.3">
      <c r="B69" s="360" t="s">
        <v>4</v>
      </c>
      <c r="C69" s="360"/>
      <c r="D69" s="360"/>
      <c r="E69" s="360"/>
      <c r="F69" s="360"/>
      <c r="G69" s="366" t="s">
        <v>160</v>
      </c>
      <c r="H69" s="366"/>
      <c r="I69" s="366"/>
      <c r="J69" s="366"/>
      <c r="K69" s="366"/>
      <c r="L69" s="366"/>
      <c r="M69" s="366"/>
    </row>
    <row r="70" spans="2:13" x14ac:dyDescent="0.3">
      <c r="B70" s="75" t="s">
        <v>142</v>
      </c>
      <c r="C70" s="75"/>
      <c r="D70" s="75"/>
      <c r="E70" s="75"/>
      <c r="F70" s="75"/>
      <c r="G70" s="364">
        <f>H26</f>
        <v>43987</v>
      </c>
      <c r="H70" s="364"/>
      <c r="I70" s="364"/>
      <c r="J70" s="364"/>
      <c r="K70" s="364"/>
      <c r="L70" s="364"/>
      <c r="M70" s="364"/>
    </row>
    <row r="71" spans="2:13" x14ac:dyDescent="0.3">
      <c r="B71" s="360" t="s">
        <v>143</v>
      </c>
      <c r="C71" s="360"/>
      <c r="D71" s="360"/>
      <c r="E71" s="360"/>
      <c r="F71" s="360"/>
      <c r="G71" s="365" t="s">
        <v>161</v>
      </c>
      <c r="H71" s="365"/>
      <c r="I71" s="365"/>
      <c r="J71" s="365"/>
      <c r="K71" s="365"/>
      <c r="L71" s="365"/>
      <c r="M71" s="365"/>
    </row>
    <row r="72" spans="2:13" x14ac:dyDescent="0.3">
      <c r="B72" s="360" t="s">
        <v>145</v>
      </c>
      <c r="C72" s="360"/>
      <c r="D72" s="360"/>
      <c r="E72" s="360"/>
      <c r="F72" s="360"/>
      <c r="G72" s="361">
        <v>2</v>
      </c>
      <c r="H72" s="361"/>
      <c r="I72" s="361"/>
      <c r="J72" s="361"/>
      <c r="K72" s="361"/>
      <c r="L72" s="361"/>
      <c r="M72" s="361"/>
    </row>
    <row r="97" spans="2:4" x14ac:dyDescent="0.3">
      <c r="B97" s="3" t="s">
        <v>6</v>
      </c>
      <c r="C97" s="3" t="s">
        <v>162</v>
      </c>
      <c r="D97" s="3" t="s">
        <v>163</v>
      </c>
    </row>
    <row r="98" spans="2:4" x14ac:dyDescent="0.3">
      <c r="B98" s="2">
        <v>5</v>
      </c>
      <c r="C98" s="2">
        <v>0.25</v>
      </c>
      <c r="D98" s="2" t="s">
        <v>83</v>
      </c>
    </row>
    <row r="99" spans="2:4" x14ac:dyDescent="0.3">
      <c r="B99" s="2">
        <v>10</v>
      </c>
      <c r="C99" s="2">
        <v>0.5</v>
      </c>
      <c r="D99" s="2" t="s">
        <v>83</v>
      </c>
    </row>
    <row r="100" spans="2:4" x14ac:dyDescent="0.3">
      <c r="B100" s="2">
        <v>15</v>
      </c>
      <c r="C100" s="2">
        <v>0.75</v>
      </c>
      <c r="D100" s="2" t="s">
        <v>83</v>
      </c>
    </row>
    <row r="101" spans="2:4" x14ac:dyDescent="0.3">
      <c r="B101" s="2">
        <v>20</v>
      </c>
      <c r="C101" s="2">
        <v>1</v>
      </c>
      <c r="D101" s="2" t="s">
        <v>83</v>
      </c>
    </row>
    <row r="102" spans="2:4" x14ac:dyDescent="0.3">
      <c r="B102" s="2">
        <v>25</v>
      </c>
      <c r="C102" s="2">
        <v>1.25</v>
      </c>
      <c r="D102" s="2" t="s">
        <v>83</v>
      </c>
    </row>
    <row r="103" spans="2:4" x14ac:dyDescent="0.3">
      <c r="B103" s="2">
        <v>30</v>
      </c>
      <c r="C103" s="2">
        <v>1.5</v>
      </c>
      <c r="D103" s="2" t="s">
        <v>83</v>
      </c>
    </row>
    <row r="104" spans="2:4" x14ac:dyDescent="0.3">
      <c r="B104" s="2">
        <v>35</v>
      </c>
      <c r="C104" s="2">
        <v>1.75</v>
      </c>
      <c r="D104" s="2" t="s">
        <v>83</v>
      </c>
    </row>
    <row r="105" spans="2:4" x14ac:dyDescent="0.3">
      <c r="B105" s="2">
        <v>40</v>
      </c>
      <c r="C105" s="2">
        <v>2</v>
      </c>
      <c r="D105" s="2" t="s">
        <v>83</v>
      </c>
    </row>
    <row r="106" spans="2:4" x14ac:dyDescent="0.3">
      <c r="B106" s="2">
        <v>45</v>
      </c>
      <c r="C106" s="2">
        <v>2.25</v>
      </c>
      <c r="D106" s="2" t="s">
        <v>83</v>
      </c>
    </row>
    <row r="107" spans="2:4" x14ac:dyDescent="0.3">
      <c r="B107" s="2">
        <v>50</v>
      </c>
      <c r="C107" s="2">
        <v>2.5</v>
      </c>
      <c r="D107" s="2" t="s">
        <v>83</v>
      </c>
    </row>
    <row r="108" spans="2:4" x14ac:dyDescent="0.3">
      <c r="B108" s="2">
        <v>55</v>
      </c>
      <c r="C108" s="2">
        <v>2.75</v>
      </c>
      <c r="D108" s="2" t="s">
        <v>83</v>
      </c>
    </row>
    <row r="109" spans="2:4" x14ac:dyDescent="0.3">
      <c r="B109" s="2">
        <v>60</v>
      </c>
      <c r="C109" s="2">
        <v>3</v>
      </c>
      <c r="D109" s="2" t="s">
        <v>83</v>
      </c>
    </row>
    <row r="110" spans="2:4" x14ac:dyDescent="0.3">
      <c r="B110" s="2">
        <v>65</v>
      </c>
      <c r="C110" s="2">
        <v>3.25</v>
      </c>
      <c r="D110" s="2" t="s">
        <v>83</v>
      </c>
    </row>
    <row r="111" spans="2:4" x14ac:dyDescent="0.3">
      <c r="B111" s="2">
        <v>70</v>
      </c>
      <c r="C111" s="2">
        <v>3.5</v>
      </c>
      <c r="D111" s="2" t="s">
        <v>83</v>
      </c>
    </row>
    <row r="112" spans="2:4" x14ac:dyDescent="0.3">
      <c r="B112" s="2">
        <v>75</v>
      </c>
      <c r="C112" s="2">
        <v>3.75</v>
      </c>
      <c r="D112" s="2" t="s">
        <v>83</v>
      </c>
    </row>
    <row r="113" spans="2:4" x14ac:dyDescent="0.3">
      <c r="B113" s="2">
        <v>80</v>
      </c>
      <c r="C113" s="2">
        <v>4</v>
      </c>
      <c r="D113" s="2" t="s">
        <v>83</v>
      </c>
    </row>
    <row r="114" spans="2:4" x14ac:dyDescent="0.3">
      <c r="B114" s="2">
        <v>85</v>
      </c>
      <c r="C114" s="2">
        <v>4.25</v>
      </c>
      <c r="D114" s="2" t="s">
        <v>83</v>
      </c>
    </row>
    <row r="115" spans="2:4" x14ac:dyDescent="0.3">
      <c r="B115" s="2">
        <v>90</v>
      </c>
      <c r="C115" s="2">
        <v>4.5</v>
      </c>
      <c r="D115" s="2" t="s">
        <v>83</v>
      </c>
    </row>
    <row r="116" spans="2:4" x14ac:dyDescent="0.3">
      <c r="B116" s="2">
        <v>95</v>
      </c>
      <c r="C116" s="2">
        <v>4.75</v>
      </c>
      <c r="D116" s="2" t="s">
        <v>83</v>
      </c>
    </row>
    <row r="117" spans="2:4" x14ac:dyDescent="0.3">
      <c r="B117" s="2">
        <v>100</v>
      </c>
      <c r="C117" s="2">
        <v>5</v>
      </c>
      <c r="D117" s="2" t="s">
        <v>83</v>
      </c>
    </row>
    <row r="118" spans="2:4" x14ac:dyDescent="0.3">
      <c r="B118" s="2">
        <v>105</v>
      </c>
      <c r="C118" s="2">
        <v>5.25</v>
      </c>
      <c r="D118" s="2" t="s">
        <v>83</v>
      </c>
    </row>
    <row r="119" spans="2:4" x14ac:dyDescent="0.3">
      <c r="B119" s="2">
        <v>110</v>
      </c>
      <c r="C119" s="2">
        <v>5.5</v>
      </c>
      <c r="D119" s="2" t="s">
        <v>83</v>
      </c>
    </row>
    <row r="120" spans="2:4" x14ac:dyDescent="0.3">
      <c r="B120" s="2">
        <v>115</v>
      </c>
      <c r="C120" s="2">
        <v>5.75</v>
      </c>
      <c r="D120" s="2" t="s">
        <v>83</v>
      </c>
    </row>
    <row r="121" spans="2:4" x14ac:dyDescent="0.3">
      <c r="B121" s="2">
        <v>120</v>
      </c>
      <c r="C121" s="2">
        <v>6</v>
      </c>
      <c r="D121" s="2" t="s">
        <v>83</v>
      </c>
    </row>
    <row r="122" spans="2:4" x14ac:dyDescent="0.3">
      <c r="B122" s="2">
        <v>125</v>
      </c>
      <c r="C122" s="2">
        <v>6.25</v>
      </c>
      <c r="D122" s="2" t="s">
        <v>83</v>
      </c>
    </row>
    <row r="123" spans="2:4" x14ac:dyDescent="0.3">
      <c r="B123" s="2">
        <v>130</v>
      </c>
      <c r="C123" s="2">
        <v>6.5</v>
      </c>
      <c r="D123" s="2" t="s">
        <v>83</v>
      </c>
    </row>
    <row r="124" spans="2:4" x14ac:dyDescent="0.3">
      <c r="B124" s="2">
        <v>135</v>
      </c>
      <c r="C124" s="2">
        <v>6.75</v>
      </c>
      <c r="D124" s="2" t="s">
        <v>83</v>
      </c>
    </row>
    <row r="125" spans="2:4" x14ac:dyDescent="0.3">
      <c r="B125" s="2">
        <v>140</v>
      </c>
      <c r="C125" s="2">
        <v>7</v>
      </c>
      <c r="D125" s="2" t="s">
        <v>83</v>
      </c>
    </row>
    <row r="126" spans="2:4" x14ac:dyDescent="0.3">
      <c r="B126" s="2">
        <v>145</v>
      </c>
      <c r="C126" s="2">
        <v>7.25</v>
      </c>
      <c r="D126" s="2" t="s">
        <v>83</v>
      </c>
    </row>
    <row r="127" spans="2:4" x14ac:dyDescent="0.3">
      <c r="B127" s="2">
        <v>150</v>
      </c>
      <c r="C127" s="2">
        <v>7.5</v>
      </c>
      <c r="D127" s="2" t="s">
        <v>83</v>
      </c>
    </row>
    <row r="128" spans="2:4" x14ac:dyDescent="0.3">
      <c r="B128" s="2">
        <v>155</v>
      </c>
      <c r="C128" s="2">
        <v>7.75</v>
      </c>
      <c r="D128" s="2" t="s">
        <v>83</v>
      </c>
    </row>
    <row r="129" spans="2:4" x14ac:dyDescent="0.3">
      <c r="B129" s="2">
        <v>160</v>
      </c>
      <c r="C129" s="2">
        <v>8</v>
      </c>
      <c r="D129" s="2" t="s">
        <v>83</v>
      </c>
    </row>
    <row r="130" spans="2:4" x14ac:dyDescent="0.3">
      <c r="B130" s="2">
        <v>165</v>
      </c>
      <c r="C130" s="2">
        <v>8.25</v>
      </c>
      <c r="D130" s="2" t="s">
        <v>83</v>
      </c>
    </row>
    <row r="131" spans="2:4" x14ac:dyDescent="0.3">
      <c r="B131" s="2">
        <v>170</v>
      </c>
      <c r="C131" s="2">
        <v>8.5</v>
      </c>
      <c r="D131" s="2" t="s">
        <v>83</v>
      </c>
    </row>
    <row r="132" spans="2:4" x14ac:dyDescent="0.3">
      <c r="B132" s="2">
        <v>175</v>
      </c>
      <c r="C132" s="2">
        <v>8.75</v>
      </c>
      <c r="D132" s="2" t="s">
        <v>83</v>
      </c>
    </row>
    <row r="133" spans="2:4" x14ac:dyDescent="0.3">
      <c r="B133" s="2">
        <v>180</v>
      </c>
      <c r="C133" s="2">
        <v>9</v>
      </c>
      <c r="D133" s="2" t="s">
        <v>83</v>
      </c>
    </row>
    <row r="134" spans="2:4" x14ac:dyDescent="0.3">
      <c r="B134" s="2">
        <v>185</v>
      </c>
      <c r="C134" s="2">
        <v>9.25</v>
      </c>
      <c r="D134" s="2" t="s">
        <v>83</v>
      </c>
    </row>
    <row r="135" spans="2:4" x14ac:dyDescent="0.3">
      <c r="B135" s="2">
        <v>190</v>
      </c>
      <c r="C135" s="2">
        <v>9.5</v>
      </c>
      <c r="D135" s="2" t="s">
        <v>83</v>
      </c>
    </row>
    <row r="136" spans="2:4" x14ac:dyDescent="0.3">
      <c r="B136" s="2">
        <v>195</v>
      </c>
      <c r="C136" s="2">
        <v>9.75</v>
      </c>
      <c r="D136" s="2" t="s">
        <v>83</v>
      </c>
    </row>
    <row r="137" spans="2:4" x14ac:dyDescent="0.3">
      <c r="B137" s="2">
        <v>200</v>
      </c>
      <c r="C137" s="2">
        <v>10</v>
      </c>
      <c r="D137" s="2" t="s">
        <v>83</v>
      </c>
    </row>
  </sheetData>
  <mergeCells count="56">
    <mergeCell ref="B72:F72"/>
    <mergeCell ref="G72:M72"/>
    <mergeCell ref="B65:M65"/>
    <mergeCell ref="B66:F66"/>
    <mergeCell ref="G66:M66"/>
    <mergeCell ref="B67:F67"/>
    <mergeCell ref="G67:M67"/>
    <mergeCell ref="B68:F68"/>
    <mergeCell ref="G68:M68"/>
    <mergeCell ref="B69:F69"/>
    <mergeCell ref="G69:M69"/>
    <mergeCell ref="G70:M70"/>
    <mergeCell ref="B71:F71"/>
    <mergeCell ref="G71:M71"/>
    <mergeCell ref="B63:F63"/>
    <mergeCell ref="G63:M63"/>
    <mergeCell ref="B56:M56"/>
    <mergeCell ref="B57:F57"/>
    <mergeCell ref="G57:M57"/>
    <mergeCell ref="B58:F58"/>
    <mergeCell ref="G58:M58"/>
    <mergeCell ref="B59:F59"/>
    <mergeCell ref="G59:M59"/>
    <mergeCell ref="B60:F60"/>
    <mergeCell ref="G60:M60"/>
    <mergeCell ref="G61:M61"/>
    <mergeCell ref="B62:F62"/>
    <mergeCell ref="G62:M62"/>
    <mergeCell ref="B54:F54"/>
    <mergeCell ref="G54:M54"/>
    <mergeCell ref="B47:M47"/>
    <mergeCell ref="B48:F48"/>
    <mergeCell ref="G48:M48"/>
    <mergeCell ref="B49:F49"/>
    <mergeCell ref="G49:M49"/>
    <mergeCell ref="B50:F50"/>
    <mergeCell ref="G50:M50"/>
    <mergeCell ref="B51:F51"/>
    <mergeCell ref="G51:M51"/>
    <mergeCell ref="G52:M52"/>
    <mergeCell ref="B53:F53"/>
    <mergeCell ref="G53:M53"/>
    <mergeCell ref="B45:F45"/>
    <mergeCell ref="G45:M45"/>
    <mergeCell ref="B38:M38"/>
    <mergeCell ref="B39:F39"/>
    <mergeCell ref="G39:M39"/>
    <mergeCell ref="B40:F40"/>
    <mergeCell ref="G40:M40"/>
    <mergeCell ref="B41:F41"/>
    <mergeCell ref="G41:M41"/>
    <mergeCell ref="B42:F42"/>
    <mergeCell ref="G42:M42"/>
    <mergeCell ref="G43:M43"/>
    <mergeCell ref="B44:F44"/>
    <mergeCell ref="G44:M4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9" workbookViewId="0">
      <selection activeCell="E27" sqref="E27"/>
    </sheetView>
  </sheetViews>
  <sheetFormatPr baseColWidth="10" defaultRowHeight="14.4" x14ac:dyDescent="0.3"/>
  <cols>
    <col min="2" max="2" width="13.44140625" bestFit="1" customWidth="1"/>
    <col min="6" max="6" width="19" customWidth="1"/>
    <col min="7" max="7" width="17.109375" customWidth="1"/>
    <col min="14" max="14" width="14.33203125" customWidth="1"/>
  </cols>
  <sheetData>
    <row r="3" spans="2:14" ht="15" thickBot="1" x14ac:dyDescent="0.35">
      <c r="B3" s="373" t="s">
        <v>164</v>
      </c>
      <c r="C3" s="373"/>
      <c r="D3" s="373"/>
      <c r="E3" s="373"/>
      <c r="F3" s="373"/>
      <c r="G3" s="373"/>
      <c r="H3" s="373"/>
      <c r="I3" s="373"/>
      <c r="J3" s="373"/>
      <c r="K3" s="373"/>
      <c r="L3" s="373"/>
      <c r="M3" s="373"/>
      <c r="N3" s="373"/>
    </row>
    <row r="4" spans="2:14" ht="42" thickTop="1" x14ac:dyDescent="0.3">
      <c r="B4" s="77" t="s">
        <v>165</v>
      </c>
      <c r="C4" s="77" t="s">
        <v>166</v>
      </c>
      <c r="D4" s="77" t="s">
        <v>34</v>
      </c>
      <c r="E4" s="77" t="s">
        <v>167</v>
      </c>
      <c r="F4" s="78" t="s">
        <v>45</v>
      </c>
      <c r="G4" s="78" t="s">
        <v>168</v>
      </c>
      <c r="H4" s="77" t="s">
        <v>169</v>
      </c>
      <c r="I4" s="78" t="s">
        <v>170</v>
      </c>
      <c r="J4" s="78" t="s">
        <v>171</v>
      </c>
      <c r="K4" s="78" t="s">
        <v>172</v>
      </c>
      <c r="L4" s="78" t="s">
        <v>173</v>
      </c>
      <c r="M4" s="78" t="s">
        <v>174</v>
      </c>
      <c r="N4" s="78" t="s">
        <v>35</v>
      </c>
    </row>
    <row r="5" spans="2:14" x14ac:dyDescent="0.3">
      <c r="B5" s="82">
        <f>G24</f>
        <v>0</v>
      </c>
      <c r="C5" s="79">
        <f>I24</f>
        <v>0</v>
      </c>
      <c r="D5" s="80">
        <f>K24</f>
        <v>0</v>
      </c>
      <c r="E5" s="81">
        <f>STDEVA(MEDIDA!E$10:G$14)/SQRT(COUNT(MEDIDA!E$10:G$14))</f>
        <v>0</v>
      </c>
      <c r="F5" s="81">
        <f>5/SQRT(12)</f>
        <v>1.4433756729740645</v>
      </c>
      <c r="G5" s="81">
        <f>5/SQRT(12)</f>
        <v>1.4433756729740645</v>
      </c>
      <c r="H5" s="81">
        <f>(C$30*B5)/(2*MEDIDA!K$13)*SQRT(3)</f>
        <v>0</v>
      </c>
      <c r="I5" s="82">
        <v>0</v>
      </c>
      <c r="J5" s="83">
        <v>0</v>
      </c>
      <c r="K5" s="84">
        <f>M5^4/(E5^4/4+F5^4/200+G5^4/200+H5^4/200+I5^4/200+J5^4/200)</f>
        <v>399.99999999999983</v>
      </c>
      <c r="L5" s="85">
        <f>TINV(0.0455,K5)</f>
        <v>2.0062874098374839</v>
      </c>
      <c r="M5" s="87">
        <f>SQRT(SUMSQ(E5,F5,G5,H5,I5,J5))</f>
        <v>2.0412414523193152</v>
      </c>
      <c r="N5" s="88">
        <f>M5*L5</f>
        <v>4.0953170262266223</v>
      </c>
    </row>
    <row r="6" spans="2:14" x14ac:dyDescent="0.3">
      <c r="B6" s="82">
        <f t="shared" ref="B6:B15" si="0">G25</f>
        <v>2500.0140999999999</v>
      </c>
      <c r="C6" s="79">
        <f t="shared" ref="C6:C15" si="1">I25</f>
        <v>2300</v>
      </c>
      <c r="D6" s="80">
        <f t="shared" ref="D6:D15" si="2">K25</f>
        <v>-200.01409999999987</v>
      </c>
      <c r="E6" s="81">
        <f>STDEVA(MEDIDA!E$10:G$14)/SQRT(COUNT(MEDIDA!E$10:G$14))</f>
        <v>0</v>
      </c>
      <c r="F6" s="81">
        <f t="shared" ref="F6:G9" si="3">5/SQRT(12)</f>
        <v>1.4433756729740645</v>
      </c>
      <c r="G6" s="81">
        <f t="shared" si="3"/>
        <v>1.4433756729740645</v>
      </c>
      <c r="H6" s="81">
        <f>(C$30*B6)/(2*MEDIDA!K$13)*SQRT(3)</f>
        <v>0</v>
      </c>
      <c r="I6" s="82">
        <f>MEDIDA!D31/2</f>
        <v>2.0650000000000002E-2</v>
      </c>
      <c r="J6" s="83">
        <f>MEDIDA!D32/SQRT(3)</f>
        <v>7.216878364870323E-2</v>
      </c>
      <c r="K6" s="84">
        <f t="shared" ref="K6:K15" si="4">M6^4/(E6^4/4+F6^4/200+G6^4/200+H6^4/200+I6^4/200+J6^4/200)</f>
        <v>401.08134287004714</v>
      </c>
      <c r="L6" s="85">
        <f>TINV(0.0455,K6)</f>
        <v>2.0062559674616853</v>
      </c>
      <c r="M6" s="87">
        <f t="shared" ref="M6:M15" si="5">SQRT(SUMSQ(E6,F6,G6,H6,I6,J6))</f>
        <v>2.0426212136615054</v>
      </c>
      <c r="N6" s="88">
        <f t="shared" ref="N6:N15" si="6">M6*L6</f>
        <v>4.098020999172225</v>
      </c>
    </row>
    <row r="7" spans="2:14" x14ac:dyDescent="0.3">
      <c r="B7" s="82">
        <f t="shared" si="0"/>
        <v>5000.0329999999994</v>
      </c>
      <c r="C7" s="79">
        <f t="shared" si="1"/>
        <v>4600</v>
      </c>
      <c r="D7" s="80">
        <f t="shared" si="2"/>
        <v>-400.03299999999945</v>
      </c>
      <c r="E7" s="81">
        <f>STDEVA(MEDIDA!E$10:G$14)/SQRT(COUNT(MEDIDA!E$10:G$14))</f>
        <v>0</v>
      </c>
      <c r="F7" s="81">
        <f t="shared" si="3"/>
        <v>1.4433756729740645</v>
      </c>
      <c r="G7" s="81">
        <f t="shared" si="3"/>
        <v>1.4433756729740645</v>
      </c>
      <c r="H7" s="81">
        <f>(C$30*B7)/(2*MEDIDA!K$13)*SQRT(3)</f>
        <v>0</v>
      </c>
      <c r="I7" s="82">
        <f>MEDIDA!D36/2</f>
        <v>4.9800000000000004E-2</v>
      </c>
      <c r="J7" s="83">
        <f>MEDIDA!D37/SQRT(3)</f>
        <v>0.17320508075688776</v>
      </c>
      <c r="K7" s="84">
        <f t="shared" si="4"/>
        <v>406.21806928227937</v>
      </c>
      <c r="L7" s="85">
        <f t="shared" ref="L7:L15" si="7">TINV(0.0455,K7)</f>
        <v>2.0061787208895829</v>
      </c>
      <c r="M7" s="87">
        <f t="shared" si="5"/>
        <v>2.0491819603604431</v>
      </c>
      <c r="N7" s="88">
        <f t="shared" si="6"/>
        <v>4.1110252441059218</v>
      </c>
    </row>
    <row r="8" spans="2:14" x14ac:dyDescent="0.3">
      <c r="B8" s="82">
        <f t="shared" si="0"/>
        <v>7500.0879000000004</v>
      </c>
      <c r="C8" s="79">
        <f t="shared" si="1"/>
        <v>6900</v>
      </c>
      <c r="D8" s="80">
        <f t="shared" si="2"/>
        <v>-600.08790000000045</v>
      </c>
      <c r="E8" s="81">
        <f>STDEVA(MEDIDA!E$10:G$14)/SQRT(COUNT(MEDIDA!E$10:G$14))</f>
        <v>0</v>
      </c>
      <c r="F8" s="81">
        <f t="shared" si="3"/>
        <v>1.4433756729740645</v>
      </c>
      <c r="G8" s="81">
        <f t="shared" si="3"/>
        <v>1.4433756729740645</v>
      </c>
      <c r="H8" s="81">
        <f>(C$30*B8)/(2*MEDIDA!K$13)*SQRT(3)</f>
        <v>0</v>
      </c>
      <c r="I8" s="82">
        <f>MEDIDA!D41/2</f>
        <v>7.8649999999999998E-2</v>
      </c>
      <c r="J8" s="83">
        <f>MEDIDA!D42/SQRT(3)</f>
        <v>0.27424137786507224</v>
      </c>
      <c r="K8" s="84">
        <f t="shared" si="4"/>
        <v>415.50773961497896</v>
      </c>
      <c r="L8" s="85">
        <f t="shared" si="7"/>
        <v>2.006044381552015</v>
      </c>
      <c r="M8" s="87">
        <f t="shared" si="5"/>
        <v>2.0610824395205549</v>
      </c>
      <c r="N8" s="88">
        <f t="shared" si="6"/>
        <v>4.1346228477157299</v>
      </c>
    </row>
    <row r="9" spans="2:14" x14ac:dyDescent="0.3">
      <c r="B9" s="82">
        <f t="shared" si="0"/>
        <v>10000.165000000001</v>
      </c>
      <c r="C9" s="79">
        <f t="shared" si="1"/>
        <v>9200</v>
      </c>
      <c r="D9" s="80">
        <f t="shared" si="2"/>
        <v>-800.16500000000087</v>
      </c>
      <c r="E9" s="81">
        <f>STDEVA(MEDIDA!E$10:G$14)/SQRT(COUNT(MEDIDA!E$10:G$14))</f>
        <v>0</v>
      </c>
      <c r="F9" s="81">
        <f t="shared" si="3"/>
        <v>1.4433756729740645</v>
      </c>
      <c r="G9" s="81">
        <f t="shared" si="3"/>
        <v>1.4433756729740645</v>
      </c>
      <c r="H9" s="81">
        <f>(C$30*B9)/(2*MEDIDA!K$13)*SQRT(3)</f>
        <v>0</v>
      </c>
      <c r="I9" s="82">
        <f>MEDIDA!D46/2</f>
        <v>8.3000000000000004E-2</v>
      </c>
      <c r="J9" s="83">
        <f>MEDIDA!D47/SQRT(3)</f>
        <v>0.28867513459481292</v>
      </c>
      <c r="K9" s="84">
        <f t="shared" si="4"/>
        <v>417.17421505339712</v>
      </c>
      <c r="L9" s="85">
        <f t="shared" si="7"/>
        <v>2.0060153181752876</v>
      </c>
      <c r="M9" s="87">
        <f t="shared" si="5"/>
        <v>2.0632229641994586</v>
      </c>
      <c r="N9" s="88">
        <f t="shared" si="6"/>
        <v>4.138856870995137</v>
      </c>
    </row>
    <row r="10" spans="2:14" x14ac:dyDescent="0.3">
      <c r="B10" s="82">
        <f t="shared" si="0"/>
        <v>12500.1841</v>
      </c>
      <c r="C10" s="79">
        <f t="shared" si="1"/>
        <v>11500</v>
      </c>
      <c r="D10" s="80">
        <f t="shared" si="2"/>
        <v>-1000.1841000000004</v>
      </c>
      <c r="E10" s="81">
        <f>STDEVA(MEDIDA!E$10:G$14)/SQRT(COUNT(MEDIDA!E$10:G$14))</f>
        <v>0</v>
      </c>
      <c r="F10" s="81">
        <f>10/SQRT(12)</f>
        <v>2.8867513459481291</v>
      </c>
      <c r="G10" s="81">
        <f>10/SQRT(12)</f>
        <v>2.8867513459481291</v>
      </c>
      <c r="H10" s="81">
        <f>(C$30*B10)/(2*MEDIDA!K$13)*SQRT(3)</f>
        <v>0</v>
      </c>
      <c r="I10" s="82">
        <f>MEDIDA!D51/2</f>
        <v>0.11215</v>
      </c>
      <c r="J10" s="83">
        <f>MEDIDA!D52/SQRT(3)</f>
        <v>0.38971143170299744</v>
      </c>
      <c r="K10" s="84">
        <f t="shared" si="4"/>
        <v>407.86446941452721</v>
      </c>
      <c r="L10" s="85">
        <f t="shared" si="7"/>
        <v>2.0061635000152629</v>
      </c>
      <c r="M10" s="87">
        <f t="shared" si="5"/>
        <v>4.102574714635514</v>
      </c>
      <c r="N10" s="88">
        <f t="shared" si="6"/>
        <v>8.2304356485873011</v>
      </c>
    </row>
    <row r="11" spans="2:14" x14ac:dyDescent="0.3">
      <c r="B11" s="82">
        <f t="shared" si="0"/>
        <v>15000.118999999999</v>
      </c>
      <c r="C11" s="79">
        <f t="shared" si="1"/>
        <v>13800</v>
      </c>
      <c r="D11" s="80">
        <f t="shared" si="2"/>
        <v>-1200.1189999999988</v>
      </c>
      <c r="E11" s="81">
        <f>STDEVA(MEDIDA!E$10:G$14)/SQRT(COUNT(MEDIDA!E$10:G$14))</f>
        <v>0</v>
      </c>
      <c r="F11" s="81">
        <f t="shared" ref="F11:G15" si="8">10/SQRT(12)</f>
        <v>2.8867513459481291</v>
      </c>
      <c r="G11" s="81">
        <f t="shared" si="8"/>
        <v>2.8867513459481291</v>
      </c>
      <c r="H11" s="81">
        <f>(C$30*B11)/(2*MEDIDA!K$13)*SQRT(3)</f>
        <v>0</v>
      </c>
      <c r="I11" s="82">
        <f>MEDIDA!D56/2</f>
        <v>0.1265</v>
      </c>
      <c r="J11" s="83">
        <f>MEDIDA!D57/SQRT(3)</f>
        <v>0.43301270189221935</v>
      </c>
      <c r="K11" s="84">
        <f t="shared" si="4"/>
        <v>409.72327634000544</v>
      </c>
      <c r="L11" s="85">
        <f t="shared" si="7"/>
        <v>2.0061332822250795</v>
      </c>
      <c r="M11" s="87">
        <f t="shared" si="5"/>
        <v>4.1073311184596104</v>
      </c>
      <c r="N11" s="88">
        <f t="shared" si="6"/>
        <v>8.2398536578605857</v>
      </c>
    </row>
    <row r="12" spans="2:14" x14ac:dyDescent="0.3">
      <c r="B12" s="82">
        <f t="shared" si="0"/>
        <v>17500.132900000001</v>
      </c>
      <c r="C12" s="79">
        <f t="shared" si="1"/>
        <v>16100</v>
      </c>
      <c r="D12" s="80">
        <f t="shared" si="2"/>
        <v>-1400.1329000000005</v>
      </c>
      <c r="E12" s="81">
        <f>STDEVA(MEDIDA!E$10:G$14)/SQRT(COUNT(MEDIDA!E$10:G$14))</f>
        <v>0</v>
      </c>
      <c r="F12" s="81">
        <f t="shared" si="8"/>
        <v>2.8867513459481291</v>
      </c>
      <c r="G12" s="81">
        <f t="shared" si="8"/>
        <v>2.8867513459481291</v>
      </c>
      <c r="H12" s="81">
        <f>(C$30*B12)/(2*MEDIDA!K$13)*SQRT(3)</f>
        <v>0</v>
      </c>
      <c r="I12" s="82">
        <f>MEDIDA!D61/2</f>
        <v>0.14715</v>
      </c>
      <c r="J12" s="83">
        <f>MEDIDA!D62/SQRT(3)</f>
        <v>0.50518148554092257</v>
      </c>
      <c r="K12" s="84">
        <f t="shared" si="4"/>
        <v>413.20456391343464</v>
      </c>
      <c r="L12" s="85">
        <f t="shared" si="7"/>
        <v>2.0060737272498681</v>
      </c>
      <c r="M12" s="87">
        <f t="shared" si="5"/>
        <v>4.1162517078648149</v>
      </c>
      <c r="N12" s="88">
        <f t="shared" si="6"/>
        <v>8.2575044058950038</v>
      </c>
    </row>
    <row r="13" spans="2:14" x14ac:dyDescent="0.3">
      <c r="B13" s="82">
        <f t="shared" si="0"/>
        <v>20000.21</v>
      </c>
      <c r="C13" s="79">
        <f t="shared" si="1"/>
        <v>18400</v>
      </c>
      <c r="D13" s="80">
        <f t="shared" si="2"/>
        <v>-1600.2099999999991</v>
      </c>
      <c r="E13" s="81">
        <f>STDEVA(MEDIDA!E$10:G$14)/SQRT(COUNT(MEDIDA!E$10:G$14))</f>
        <v>0</v>
      </c>
      <c r="F13" s="81">
        <f t="shared" si="8"/>
        <v>2.8867513459481291</v>
      </c>
      <c r="G13" s="81">
        <f t="shared" si="8"/>
        <v>2.8867513459481291</v>
      </c>
      <c r="H13" s="81">
        <f>(C$30*B13)/(2*MEDIDA!K$13)*SQRT(3)</f>
        <v>0</v>
      </c>
      <c r="I13" s="82">
        <f>MEDIDA!D66/2</f>
        <v>0.16500000000000001</v>
      </c>
      <c r="J13" s="83">
        <f>MEDIDA!D67/SQRT(3)</f>
        <v>0.57735026918962584</v>
      </c>
      <c r="K13" s="84">
        <f t="shared" si="4"/>
        <v>417.15805066415197</v>
      </c>
      <c r="L13" s="85">
        <f t="shared" si="7"/>
        <v>2.0060153181752876</v>
      </c>
      <c r="M13" s="87">
        <f t="shared" si="5"/>
        <v>4.1264058210505672</v>
      </c>
      <c r="N13" s="88">
        <f t="shared" si="6"/>
        <v>8.2776332860351118</v>
      </c>
    </row>
    <row r="14" spans="2:14" x14ac:dyDescent="0.3">
      <c r="B14" s="82">
        <f t="shared" si="0"/>
        <v>22500.223899999997</v>
      </c>
      <c r="C14" s="79">
        <f t="shared" si="1"/>
        <v>20700</v>
      </c>
      <c r="D14" s="80">
        <f t="shared" si="2"/>
        <v>-1800.2238999999972</v>
      </c>
      <c r="E14" s="81">
        <f>STDEVA(MEDIDA!E$10:G$14)/SQRT(COUNT(MEDIDA!E$10:G$14))</f>
        <v>0</v>
      </c>
      <c r="F14" s="81">
        <f t="shared" si="8"/>
        <v>2.8867513459481291</v>
      </c>
      <c r="G14" s="81">
        <f t="shared" si="8"/>
        <v>2.8867513459481291</v>
      </c>
      <c r="H14" s="81">
        <f>(C$30*B14)/(2*MEDIDA!K$13)*SQRT(3)</f>
        <v>0</v>
      </c>
      <c r="I14" s="82">
        <f>MEDIDA!D71/2</f>
        <v>0.18565000000000001</v>
      </c>
      <c r="J14" s="83">
        <f>MEDIDA!D72/SQRT(3)</f>
        <v>0.649519052838329</v>
      </c>
      <c r="K14" s="84">
        <f t="shared" si="4"/>
        <v>421.66029899108719</v>
      </c>
      <c r="L14" s="85">
        <f t="shared" si="7"/>
        <v>2.0059580222440148</v>
      </c>
      <c r="M14" s="87">
        <f t="shared" si="5"/>
        <v>4.1379956004286269</v>
      </c>
      <c r="N14" s="88">
        <f t="shared" si="6"/>
        <v>8.3006454706902435</v>
      </c>
    </row>
    <row r="15" spans="2:14" x14ac:dyDescent="0.3">
      <c r="B15" s="82">
        <f t="shared" si="0"/>
        <v>25000.278999999999</v>
      </c>
      <c r="C15" s="79">
        <f t="shared" si="1"/>
        <v>23000</v>
      </c>
      <c r="D15" s="80">
        <f t="shared" si="2"/>
        <v>-2000.2789999999986</v>
      </c>
      <c r="E15" s="81">
        <f>STDEVA(MEDIDA!E$10:G$14)/SQRT(COUNT(MEDIDA!E$10:G$14))</f>
        <v>0</v>
      </c>
      <c r="F15" s="81">
        <f t="shared" si="8"/>
        <v>2.8867513459481291</v>
      </c>
      <c r="G15" s="81">
        <f t="shared" si="8"/>
        <v>2.8867513459481291</v>
      </c>
      <c r="H15" s="81">
        <f>(C$30*B15)/(2*MEDIDA!K$13)*SQRT(3)</f>
        <v>0</v>
      </c>
      <c r="I15" s="80">
        <f>MEDIDA!D76/2</f>
        <v>0.20650000000000002</v>
      </c>
      <c r="J15" s="83">
        <f>MEDIDA!D77/SQRT(3)</f>
        <v>0.72168783648703227</v>
      </c>
      <c r="K15" s="84">
        <f t="shared" si="4"/>
        <v>426.66511851971626</v>
      </c>
      <c r="L15" s="85">
        <f t="shared" si="7"/>
        <v>2.0058879197812489</v>
      </c>
      <c r="M15" s="87">
        <f t="shared" si="5"/>
        <v>4.1509206508918002</v>
      </c>
      <c r="N15" s="88">
        <f t="shared" si="6"/>
        <v>8.3262815895943803</v>
      </c>
    </row>
    <row r="22" spans="3:12" ht="15" thickBot="1" x14ac:dyDescent="0.35"/>
    <row r="23" spans="3:12" ht="15" thickTop="1" x14ac:dyDescent="0.3">
      <c r="C23" s="86" t="s">
        <v>169</v>
      </c>
      <c r="G23" s="374" t="s">
        <v>175</v>
      </c>
      <c r="H23" s="375"/>
      <c r="I23" s="376" t="s">
        <v>176</v>
      </c>
      <c r="J23" s="375"/>
      <c r="K23" s="376" t="s">
        <v>34</v>
      </c>
      <c r="L23" s="375"/>
    </row>
    <row r="24" spans="3:12" x14ac:dyDescent="0.3">
      <c r="C24" s="21">
        <f>ABS(MEDIDA!M14-MEDIDA!M14)</f>
        <v>0</v>
      </c>
      <c r="G24" s="367">
        <f>MEDIDA!S9</f>
        <v>0</v>
      </c>
      <c r="H24" s="368"/>
      <c r="I24" s="369">
        <f>MEDIDA!U9</f>
        <v>0</v>
      </c>
      <c r="J24" s="370"/>
      <c r="K24" s="371">
        <f>I24-G24</f>
        <v>0</v>
      </c>
      <c r="L24" s="372"/>
    </row>
    <row r="25" spans="3:12" x14ac:dyDescent="0.3">
      <c r="C25" s="21">
        <f>ABS(MEDIDA!M$14-MEDIDA!M15)</f>
        <v>0</v>
      </c>
      <c r="G25" s="377">
        <f>MEDIDA!D29</f>
        <v>2500.0140999999999</v>
      </c>
      <c r="H25" s="378"/>
      <c r="I25" s="369">
        <f>MEDIDA!U10</f>
        <v>2300</v>
      </c>
      <c r="J25" s="370"/>
      <c r="K25" s="377">
        <f t="shared" ref="K25:K34" si="9">I25-G25</f>
        <v>-200.01409999999987</v>
      </c>
      <c r="L25" s="378"/>
    </row>
    <row r="26" spans="3:12" x14ac:dyDescent="0.3">
      <c r="C26" s="21">
        <f>ABS(MEDIDA!M$14-MEDIDA!M16)</f>
        <v>0</v>
      </c>
      <c r="G26" s="377">
        <f>MEDIDA!D34</f>
        <v>5000.0329999999994</v>
      </c>
      <c r="H26" s="378"/>
      <c r="I26" s="369">
        <f>MEDIDA!U11</f>
        <v>4600</v>
      </c>
      <c r="J26" s="370"/>
      <c r="K26" s="377">
        <f t="shared" si="9"/>
        <v>-400.03299999999945</v>
      </c>
      <c r="L26" s="378"/>
    </row>
    <row r="27" spans="3:12" x14ac:dyDescent="0.3">
      <c r="C27" s="21">
        <f>ABS(MEDIDA!M$14-MEDIDA!M17)</f>
        <v>0</v>
      </c>
      <c r="G27" s="377">
        <f>MEDIDA!D39</f>
        <v>7500.0879000000004</v>
      </c>
      <c r="H27" s="378"/>
      <c r="I27" s="369">
        <f>MEDIDA!U12</f>
        <v>6900</v>
      </c>
      <c r="J27" s="370"/>
      <c r="K27" s="377">
        <f t="shared" si="9"/>
        <v>-600.08790000000045</v>
      </c>
      <c r="L27" s="378"/>
    </row>
    <row r="28" spans="3:12" x14ac:dyDescent="0.3">
      <c r="C28" s="21">
        <f>ABS(MEDIDA!M$14-MEDIDA!M18)</f>
        <v>0</v>
      </c>
      <c r="G28" s="377">
        <f>MEDIDA!D44</f>
        <v>10000.165000000001</v>
      </c>
      <c r="H28" s="378"/>
      <c r="I28" s="369">
        <f>MEDIDA!U13</f>
        <v>9200</v>
      </c>
      <c r="J28" s="370"/>
      <c r="K28" s="377">
        <f t="shared" si="9"/>
        <v>-800.16500000000087</v>
      </c>
      <c r="L28" s="378"/>
    </row>
    <row r="29" spans="3:12" x14ac:dyDescent="0.3">
      <c r="C29" s="21"/>
      <c r="G29" s="377">
        <f>MEDIDA!D49</f>
        <v>12500.1841</v>
      </c>
      <c r="H29" s="378"/>
      <c r="I29" s="369">
        <f>MEDIDA!U14</f>
        <v>11500</v>
      </c>
      <c r="J29" s="370"/>
      <c r="K29" s="377">
        <f t="shared" si="9"/>
        <v>-1000.1841000000004</v>
      </c>
      <c r="L29" s="378"/>
    </row>
    <row r="30" spans="3:12" x14ac:dyDescent="0.3">
      <c r="C30" s="1">
        <f>MAX(C24:C28)</f>
        <v>0</v>
      </c>
      <c r="G30" s="377">
        <f>MEDIDA!D54</f>
        <v>15000.118999999999</v>
      </c>
      <c r="H30" s="378"/>
      <c r="I30" s="369">
        <f>MEDIDA!U15</f>
        <v>13800</v>
      </c>
      <c r="J30" s="370"/>
      <c r="K30" s="377">
        <f t="shared" si="9"/>
        <v>-1200.1189999999988</v>
      </c>
      <c r="L30" s="378"/>
    </row>
    <row r="31" spans="3:12" x14ac:dyDescent="0.3">
      <c r="G31" s="377">
        <f>MEDIDA!D59</f>
        <v>17500.132900000001</v>
      </c>
      <c r="H31" s="378"/>
      <c r="I31" s="369">
        <f>MEDIDA!U16</f>
        <v>16100</v>
      </c>
      <c r="J31" s="370"/>
      <c r="K31" s="377">
        <f t="shared" si="9"/>
        <v>-1400.1329000000005</v>
      </c>
      <c r="L31" s="378"/>
    </row>
    <row r="32" spans="3:12" x14ac:dyDescent="0.3">
      <c r="G32" s="377">
        <f>MEDIDA!D64</f>
        <v>20000.21</v>
      </c>
      <c r="H32" s="378"/>
      <c r="I32" s="369">
        <f>MEDIDA!U17</f>
        <v>18400</v>
      </c>
      <c r="J32" s="370"/>
      <c r="K32" s="377">
        <f t="shared" si="9"/>
        <v>-1600.2099999999991</v>
      </c>
      <c r="L32" s="378"/>
    </row>
    <row r="33" spans="7:12" x14ac:dyDescent="0.3">
      <c r="G33" s="377">
        <f>MEDIDA!D69</f>
        <v>22500.223899999997</v>
      </c>
      <c r="H33" s="378"/>
      <c r="I33" s="369">
        <f>MEDIDA!U18</f>
        <v>20700</v>
      </c>
      <c r="J33" s="370"/>
      <c r="K33" s="377">
        <f t="shared" si="9"/>
        <v>-1800.2238999999972</v>
      </c>
      <c r="L33" s="378"/>
    </row>
    <row r="34" spans="7:12" x14ac:dyDescent="0.3">
      <c r="G34" s="377">
        <f>MEDIDA!D74</f>
        <v>25000.278999999999</v>
      </c>
      <c r="H34" s="378"/>
      <c r="I34" s="369">
        <f>MEDIDA!U19</f>
        <v>23000</v>
      </c>
      <c r="J34" s="370"/>
      <c r="K34" s="377">
        <f t="shared" si="9"/>
        <v>-2000.2789999999986</v>
      </c>
      <c r="L34" s="378"/>
    </row>
  </sheetData>
  <mergeCells count="37">
    <mergeCell ref="G34:H34"/>
    <mergeCell ref="I34:J34"/>
    <mergeCell ref="K34:L34"/>
    <mergeCell ref="G33:H33"/>
    <mergeCell ref="I33:J33"/>
    <mergeCell ref="K33:L33"/>
    <mergeCell ref="G32:H32"/>
    <mergeCell ref="I32:J32"/>
    <mergeCell ref="K32:L32"/>
    <mergeCell ref="G31:H31"/>
    <mergeCell ref="I31:J31"/>
    <mergeCell ref="K31:L31"/>
    <mergeCell ref="G30:H30"/>
    <mergeCell ref="I30:J30"/>
    <mergeCell ref="K30:L30"/>
    <mergeCell ref="G29:H29"/>
    <mergeCell ref="I29:J29"/>
    <mergeCell ref="K29:L29"/>
    <mergeCell ref="G28:H28"/>
    <mergeCell ref="I28:J28"/>
    <mergeCell ref="K28:L28"/>
    <mergeCell ref="G27:H27"/>
    <mergeCell ref="I27:J27"/>
    <mergeCell ref="K27:L27"/>
    <mergeCell ref="G26:H26"/>
    <mergeCell ref="I26:J26"/>
    <mergeCell ref="K26:L26"/>
    <mergeCell ref="G25:H25"/>
    <mergeCell ref="I25:J25"/>
    <mergeCell ref="K25:L25"/>
    <mergeCell ref="G24:H24"/>
    <mergeCell ref="I24:J24"/>
    <mergeCell ref="K24:L24"/>
    <mergeCell ref="B3:N3"/>
    <mergeCell ref="G23:H23"/>
    <mergeCell ref="I23:J23"/>
    <mergeCell ref="K23:L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E7BA-AAB9-467D-AFAB-8646A46AF80A}">
  <dimension ref="A1:AA170"/>
  <sheetViews>
    <sheetView tabSelected="1" view="pageLayout" zoomScaleNormal="100" workbookViewId="0">
      <selection activeCell="T124" sqref="T124"/>
    </sheetView>
  </sheetViews>
  <sheetFormatPr baseColWidth="10" defaultColWidth="11.5546875" defaultRowHeight="14.4" x14ac:dyDescent="0.3"/>
  <cols>
    <col min="1" max="9" width="4.6640625" customWidth="1"/>
    <col min="10" max="10" width="5.5546875" customWidth="1"/>
    <col min="11" max="18" width="4.6640625" customWidth="1"/>
    <col min="19" max="19" width="4.44140625" customWidth="1"/>
    <col min="20" max="25" width="5" customWidth="1"/>
  </cols>
  <sheetData>
    <row r="1" spans="1:27" ht="16.95" customHeight="1" x14ac:dyDescent="0.6">
      <c r="D1" s="142"/>
      <c r="E1" s="142"/>
      <c r="F1" s="141"/>
      <c r="G1" s="140"/>
      <c r="H1" s="139"/>
      <c r="I1" s="223"/>
      <c r="J1" s="223"/>
      <c r="K1" s="223"/>
      <c r="M1" s="90"/>
      <c r="O1" s="230" t="s">
        <v>254</v>
      </c>
      <c r="P1" s="230"/>
      <c r="Q1" s="230"/>
      <c r="R1" s="231" t="str">
        <f>INFORMACIÓN!G2</f>
        <v>JD1741-24</v>
      </c>
      <c r="S1" s="231"/>
    </row>
    <row r="2" spans="1:27" ht="16.95" customHeight="1" x14ac:dyDescent="0.3">
      <c r="G2" s="225"/>
      <c r="H2" s="225"/>
      <c r="I2" s="225"/>
      <c r="J2" s="224"/>
      <c r="K2" s="224"/>
    </row>
    <row r="3" spans="1:27" ht="16.95" customHeight="1" x14ac:dyDescent="0.3">
      <c r="B3" s="138"/>
      <c r="C3" s="226" t="s">
        <v>253</v>
      </c>
      <c r="D3" s="226"/>
      <c r="E3" s="226"/>
      <c r="F3" s="226"/>
      <c r="G3" s="226"/>
      <c r="H3" s="226"/>
      <c r="I3" s="226"/>
      <c r="J3" s="226"/>
      <c r="K3" s="226"/>
      <c r="L3" s="226"/>
      <c r="M3" s="226"/>
      <c r="N3" s="226"/>
      <c r="O3" s="226"/>
      <c r="P3" s="226"/>
      <c r="Q3" s="226"/>
      <c r="R3" s="226"/>
    </row>
    <row r="4" spans="1:27" ht="16.95" customHeight="1" x14ac:dyDescent="0.3">
      <c r="A4" s="137"/>
      <c r="B4" s="137"/>
      <c r="C4" s="137"/>
      <c r="D4" s="137"/>
      <c r="E4" s="137"/>
      <c r="F4" s="137"/>
      <c r="G4" s="137"/>
      <c r="H4" s="137"/>
      <c r="I4" s="137"/>
      <c r="J4" s="137"/>
      <c r="K4" s="137"/>
      <c r="L4" s="137"/>
      <c r="M4" s="137"/>
      <c r="N4" s="137"/>
      <c r="O4" s="137"/>
      <c r="P4" s="137"/>
      <c r="Q4" s="137"/>
      <c r="R4" s="137"/>
    </row>
    <row r="5" spans="1:27" s="135" customFormat="1" ht="16.95" customHeight="1" x14ac:dyDescent="0.3">
      <c r="B5" s="110"/>
      <c r="C5" s="230" t="s">
        <v>252</v>
      </c>
      <c r="D5" s="230"/>
      <c r="E5" s="230"/>
      <c r="F5" s="230"/>
      <c r="G5" s="230"/>
      <c r="H5" s="89"/>
      <c r="I5" s="228" t="str">
        <f>INFORMACIÓN!A2</f>
        <v xml:space="preserve">BASCULA DE PISO </v>
      </c>
      <c r="J5" s="228"/>
      <c r="K5" s="228"/>
      <c r="L5" s="228"/>
      <c r="M5" s="228"/>
      <c r="N5" s="228"/>
      <c r="O5" s="228"/>
      <c r="P5" s="228"/>
      <c r="Q5" s="228"/>
      <c r="R5" s="228"/>
      <c r="S5"/>
      <c r="T5"/>
      <c r="U5"/>
      <c r="V5"/>
      <c r="W5"/>
      <c r="X5"/>
      <c r="Y5"/>
      <c r="Z5"/>
      <c r="AA5"/>
    </row>
    <row r="6" spans="1:27" s="135" customFormat="1" ht="16.95" customHeight="1" x14ac:dyDescent="0.3">
      <c r="B6" s="110"/>
      <c r="C6" s="230" t="s">
        <v>251</v>
      </c>
      <c r="D6" s="230"/>
      <c r="E6" s="230"/>
      <c r="F6" s="230"/>
      <c r="G6" s="230"/>
      <c r="H6" s="89"/>
      <c r="I6" s="228" t="str">
        <f>INFORMACIÓN!B2</f>
        <v xml:space="preserve">HEALTH O METER </v>
      </c>
      <c r="J6" s="228"/>
      <c r="K6" s="228"/>
      <c r="L6" s="228"/>
      <c r="M6" s="228"/>
      <c r="N6" s="228"/>
      <c r="O6" s="228"/>
      <c r="P6" s="228"/>
      <c r="Q6" s="228"/>
      <c r="R6" s="228"/>
      <c r="S6"/>
      <c r="T6"/>
      <c r="U6"/>
      <c r="V6"/>
      <c r="W6"/>
      <c r="X6"/>
      <c r="Y6"/>
      <c r="Z6"/>
      <c r="AA6"/>
    </row>
    <row r="7" spans="1:27" s="135" customFormat="1" ht="16.95" customHeight="1" x14ac:dyDescent="0.3">
      <c r="B7" s="110"/>
      <c r="C7" s="230" t="s">
        <v>250</v>
      </c>
      <c r="D7" s="230"/>
      <c r="E7" s="230"/>
      <c r="F7" s="230"/>
      <c r="G7" s="230"/>
      <c r="H7" s="89"/>
      <c r="I7" s="228" t="str">
        <f>INFORMACIÓN!C2</f>
        <v>844KL</v>
      </c>
      <c r="J7" s="228"/>
      <c r="K7" s="228"/>
      <c r="L7" s="228"/>
      <c r="M7" s="228"/>
      <c r="N7" s="228"/>
      <c r="O7" s="228"/>
      <c r="P7" s="228"/>
      <c r="Q7" s="228"/>
      <c r="R7" s="228"/>
      <c r="S7"/>
      <c r="T7"/>
      <c r="U7"/>
      <c r="V7"/>
      <c r="W7"/>
      <c r="X7"/>
      <c r="Y7"/>
      <c r="Z7"/>
      <c r="AA7"/>
    </row>
    <row r="8" spans="1:27" s="135" customFormat="1" ht="16.95" customHeight="1" x14ac:dyDescent="0.3">
      <c r="B8" s="110"/>
      <c r="C8" s="230" t="s">
        <v>249</v>
      </c>
      <c r="D8" s="230"/>
      <c r="E8" s="230"/>
      <c r="F8" s="230"/>
      <c r="G8" s="230"/>
      <c r="H8" s="89"/>
      <c r="I8" s="229">
        <f>INFORMACIÓN!D2</f>
        <v>8440131906</v>
      </c>
      <c r="J8" s="229"/>
      <c r="K8" s="229"/>
      <c r="L8" s="229"/>
      <c r="M8" s="229"/>
      <c r="N8" s="229"/>
      <c r="O8" s="229"/>
      <c r="P8" s="229"/>
      <c r="Q8" s="229"/>
      <c r="R8" s="229"/>
      <c r="S8"/>
      <c r="T8"/>
      <c r="U8"/>
      <c r="V8"/>
      <c r="W8"/>
      <c r="X8"/>
      <c r="Y8"/>
      <c r="Z8"/>
      <c r="AA8"/>
    </row>
    <row r="9" spans="1:27" s="135" customFormat="1" ht="16.95" customHeight="1" x14ac:dyDescent="0.3">
      <c r="B9" s="110"/>
      <c r="C9" s="230" t="s">
        <v>248</v>
      </c>
      <c r="D9" s="230"/>
      <c r="E9" s="230"/>
      <c r="F9" s="230"/>
      <c r="G9" s="230"/>
      <c r="H9" s="89"/>
      <c r="I9" s="227" t="str">
        <f>INFORMACIÓN!F2</f>
        <v>1204002438</v>
      </c>
      <c r="J9" s="228"/>
      <c r="K9" s="228"/>
      <c r="L9" s="228"/>
      <c r="M9" s="228"/>
      <c r="N9" s="228"/>
      <c r="O9" s="228"/>
      <c r="P9" s="228"/>
      <c r="Q9" s="228"/>
      <c r="R9" s="228"/>
      <c r="S9"/>
      <c r="T9"/>
      <c r="U9"/>
      <c r="V9"/>
      <c r="W9"/>
      <c r="X9"/>
      <c r="Y9"/>
      <c r="Z9"/>
      <c r="AA9"/>
    </row>
    <row r="10" spans="1:27" s="135" customFormat="1" ht="16.95" customHeight="1" x14ac:dyDescent="0.3">
      <c r="B10" s="110"/>
      <c r="C10" s="230" t="s">
        <v>247</v>
      </c>
      <c r="D10" s="230"/>
      <c r="E10" s="230"/>
      <c r="F10" s="230"/>
      <c r="G10" s="230"/>
      <c r="H10" s="89"/>
      <c r="I10" s="229" t="str">
        <f>INFORMACIÓN!E2</f>
        <v>UNIDAD MATERNA</v>
      </c>
      <c r="J10" s="228"/>
      <c r="K10" s="228"/>
      <c r="L10" s="228"/>
      <c r="M10" s="228"/>
      <c r="N10" s="228"/>
      <c r="O10" s="228"/>
      <c r="P10" s="228"/>
      <c r="Q10" s="228"/>
      <c r="R10" s="228"/>
      <c r="S10"/>
      <c r="T10"/>
      <c r="U10"/>
      <c r="V10"/>
      <c r="W10"/>
      <c r="X10"/>
      <c r="Y10"/>
      <c r="Z10"/>
      <c r="AA10"/>
    </row>
    <row r="11" spans="1:27" s="135" customFormat="1" ht="16.95" customHeight="1" x14ac:dyDescent="0.3">
      <c r="B11" s="110"/>
      <c r="C11" s="230" t="s">
        <v>246</v>
      </c>
      <c r="D11" s="230"/>
      <c r="E11" s="230"/>
      <c r="F11" s="230"/>
      <c r="G11" s="230"/>
      <c r="H11" s="89"/>
      <c r="I11" s="228" t="str">
        <f>INFORMACIÓN!B7</f>
        <v>BUEN ESTADO</v>
      </c>
      <c r="J11" s="228"/>
      <c r="K11" s="228"/>
      <c r="L11" s="228"/>
      <c r="M11" s="228"/>
      <c r="N11" s="228"/>
      <c r="O11" s="228"/>
      <c r="P11" s="228"/>
      <c r="Q11" s="228"/>
      <c r="R11" s="228"/>
      <c r="S11"/>
      <c r="T11"/>
      <c r="U11"/>
      <c r="V11"/>
      <c r="W11"/>
      <c r="X11"/>
      <c r="Y11"/>
      <c r="Z11"/>
      <c r="AA11"/>
    </row>
    <row r="12" spans="1:27" s="135" customFormat="1" ht="16.95" customHeight="1" x14ac:dyDescent="0.3">
      <c r="B12" s="110"/>
      <c r="C12" s="230" t="s">
        <v>245</v>
      </c>
      <c r="D12" s="230"/>
      <c r="E12" s="230"/>
      <c r="F12" s="230"/>
      <c r="G12" s="230"/>
      <c r="H12" s="136"/>
      <c r="I12" s="241">
        <f>INFORMACIÓN!H2</f>
        <v>45465</v>
      </c>
      <c r="J12" s="241"/>
      <c r="K12" s="241"/>
      <c r="L12" s="241"/>
      <c r="M12" s="241"/>
      <c r="N12" s="241"/>
      <c r="O12" s="241"/>
      <c r="P12" s="241"/>
      <c r="Q12" s="241"/>
      <c r="R12" s="241"/>
      <c r="S12"/>
      <c r="T12"/>
      <c r="U12"/>
      <c r="V12"/>
      <c r="W12"/>
      <c r="X12"/>
      <c r="Y12"/>
      <c r="Z12"/>
      <c r="AA12"/>
    </row>
    <row r="13" spans="1:27" s="135" customFormat="1" ht="16.95" customHeight="1" x14ac:dyDescent="0.3">
      <c r="B13" s="110"/>
      <c r="C13" s="230" t="s">
        <v>244</v>
      </c>
      <c r="D13" s="230"/>
      <c r="E13" s="230"/>
      <c r="F13" s="230"/>
      <c r="G13" s="230"/>
      <c r="H13" s="136"/>
      <c r="I13" s="241">
        <f>INFORMACIÓN!B8</f>
        <v>45465</v>
      </c>
      <c r="J13" s="241"/>
      <c r="K13" s="241"/>
      <c r="L13" s="241"/>
      <c r="M13" s="241"/>
      <c r="N13" s="241"/>
      <c r="O13" s="241"/>
      <c r="P13" s="241"/>
      <c r="Q13" s="241"/>
      <c r="R13" s="241"/>
      <c r="S13"/>
      <c r="T13"/>
      <c r="U13"/>
      <c r="V13"/>
      <c r="W13"/>
      <c r="X13"/>
      <c r="Y13"/>
      <c r="Z13"/>
      <c r="AA13"/>
    </row>
    <row r="14" spans="1:27" ht="16.95" customHeight="1" x14ac:dyDescent="0.3"/>
    <row r="15" spans="1:27" ht="16.95" customHeight="1" x14ac:dyDescent="0.3">
      <c r="B15" s="90"/>
      <c r="C15" s="240" t="s">
        <v>243</v>
      </c>
      <c r="D15" s="240"/>
      <c r="E15" s="240"/>
      <c r="F15" s="240"/>
      <c r="G15" s="240"/>
      <c r="H15" s="240"/>
      <c r="I15" s="240"/>
      <c r="J15" s="240"/>
      <c r="K15" s="240"/>
      <c r="L15" s="240"/>
      <c r="M15" s="240"/>
      <c r="N15" s="240"/>
      <c r="O15" s="240"/>
      <c r="P15" s="240"/>
      <c r="Q15" s="240"/>
      <c r="R15" s="240"/>
    </row>
    <row r="16" spans="1:27" ht="16.95" customHeight="1" x14ac:dyDescent="0.3"/>
    <row r="17" spans="1:18" ht="16.95" customHeight="1" x14ac:dyDescent="0.3">
      <c r="B17" s="4"/>
      <c r="C17" s="188" t="s">
        <v>242</v>
      </c>
      <c r="D17" s="188"/>
      <c r="E17" s="188"/>
      <c r="F17" s="188"/>
      <c r="G17" s="188"/>
      <c r="H17" s="5"/>
      <c r="I17" s="191" t="str">
        <f>INFORMACIÓN!E6</f>
        <v xml:space="preserve">HOSPITAL DE ALTA COMPLEJIDAD DEL MAGDALENA CENTRO </v>
      </c>
      <c r="J17" s="191"/>
      <c r="K17" s="191"/>
      <c r="L17" s="191"/>
      <c r="M17" s="191"/>
      <c r="N17" s="191"/>
      <c r="O17" s="191"/>
      <c r="P17" s="191"/>
      <c r="Q17" s="191"/>
      <c r="R17" s="191"/>
    </row>
    <row r="18" spans="1:18" ht="16.95" customHeight="1" x14ac:dyDescent="0.3">
      <c r="B18" s="4"/>
      <c r="C18" s="188" t="s">
        <v>241</v>
      </c>
      <c r="D18" s="188"/>
      <c r="E18" s="188"/>
      <c r="F18" s="188"/>
      <c r="G18" s="188"/>
      <c r="H18" s="5"/>
      <c r="I18" s="191" t="str">
        <f>INFORMACIÓN!E7</f>
        <v>901.532.463-8</v>
      </c>
      <c r="J18" s="191"/>
      <c r="K18" s="191"/>
      <c r="L18" s="191"/>
      <c r="M18" s="191"/>
      <c r="N18" s="191"/>
      <c r="O18" s="191"/>
      <c r="P18" s="191"/>
      <c r="Q18" s="191"/>
      <c r="R18" s="191"/>
    </row>
    <row r="19" spans="1:18" ht="16.95" customHeight="1" x14ac:dyDescent="0.3">
      <c r="B19" s="4"/>
      <c r="C19" s="188" t="s">
        <v>240</v>
      </c>
      <c r="D19" s="188"/>
      <c r="E19" s="188"/>
      <c r="F19" s="188"/>
      <c r="G19" s="188"/>
      <c r="H19" s="5"/>
      <c r="I19" s="191">
        <f>INFORMACIÓN!E8</f>
        <v>3007835072</v>
      </c>
      <c r="J19" s="191"/>
      <c r="K19" s="191"/>
      <c r="L19" s="191"/>
      <c r="M19" s="191"/>
      <c r="N19" s="191"/>
      <c r="O19" s="191"/>
      <c r="P19" s="191"/>
      <c r="Q19" s="191"/>
      <c r="R19" s="191"/>
    </row>
    <row r="20" spans="1:18" ht="16.95" customHeight="1" x14ac:dyDescent="0.3">
      <c r="B20" s="4"/>
      <c r="C20" s="188" t="s">
        <v>239</v>
      </c>
      <c r="D20" s="188"/>
      <c r="E20" s="188"/>
      <c r="F20" s="188"/>
      <c r="G20" s="188"/>
      <c r="H20" s="5"/>
      <c r="I20" s="191" t="str">
        <f>INFORMACIÓN!E9</f>
        <v>CARRERA 15 ENTRE CALLE 18 y 19</v>
      </c>
      <c r="J20" s="191"/>
      <c r="K20" s="191"/>
      <c r="L20" s="191"/>
      <c r="M20" s="191"/>
      <c r="N20" s="191"/>
      <c r="O20" s="191"/>
      <c r="P20" s="191"/>
      <c r="Q20" s="191"/>
      <c r="R20" s="191"/>
    </row>
    <row r="21" spans="1:18" ht="16.95" customHeight="1" x14ac:dyDescent="0.3">
      <c r="B21" s="4"/>
      <c r="C21" s="188" t="s">
        <v>238</v>
      </c>
      <c r="D21" s="188"/>
      <c r="E21" s="188"/>
      <c r="F21" s="188"/>
      <c r="G21" s="188"/>
      <c r="H21" s="5"/>
      <c r="I21" s="191" t="str">
        <f>INFORMACIÓN!E10</f>
        <v>LA DORADA - CALDAS</v>
      </c>
      <c r="J21" s="191"/>
      <c r="K21" s="191"/>
      <c r="L21" s="191"/>
      <c r="M21" s="191"/>
      <c r="N21" s="191"/>
      <c r="O21" s="191"/>
      <c r="P21" s="191"/>
      <c r="Q21" s="191"/>
      <c r="R21" s="191"/>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111"/>
      <c r="C23" s="236" t="s">
        <v>300</v>
      </c>
      <c r="D23" s="236"/>
      <c r="E23" s="236"/>
      <c r="F23" s="236"/>
      <c r="G23" s="236"/>
      <c r="H23" s="236"/>
      <c r="I23" s="236"/>
      <c r="J23" s="236"/>
      <c r="K23" s="236"/>
      <c r="L23" s="236"/>
      <c r="M23" s="236"/>
      <c r="N23" s="236"/>
      <c r="O23" s="236"/>
      <c r="P23" s="236"/>
      <c r="Q23" s="236"/>
      <c r="R23" s="236"/>
    </row>
    <row r="24" spans="1:18" ht="16.95" customHeight="1" x14ac:dyDescent="0.3">
      <c r="A24" s="111"/>
      <c r="B24" s="111"/>
      <c r="C24" s="237"/>
      <c r="D24" s="237"/>
      <c r="E24" s="237"/>
      <c r="F24" s="237"/>
      <c r="G24" s="237"/>
      <c r="H24" s="237"/>
      <c r="I24" s="237"/>
      <c r="J24" s="237"/>
      <c r="K24" s="237"/>
      <c r="L24" s="237"/>
      <c r="M24" s="237"/>
      <c r="N24" s="237"/>
      <c r="O24" s="237"/>
      <c r="P24" s="237"/>
      <c r="Q24" s="237"/>
      <c r="R24" s="237"/>
    </row>
    <row r="25" spans="1:18" ht="16.95" customHeight="1" x14ac:dyDescent="0.3">
      <c r="A25" s="111"/>
      <c r="B25" s="111"/>
      <c r="C25" s="237"/>
      <c r="D25" s="237"/>
      <c r="E25" s="237"/>
      <c r="F25" s="237"/>
      <c r="G25" s="237"/>
      <c r="H25" s="237"/>
      <c r="I25" s="237"/>
      <c r="J25" s="237"/>
      <c r="K25" s="237"/>
      <c r="L25" s="237"/>
      <c r="M25" s="237"/>
      <c r="N25" s="237"/>
      <c r="O25" s="237"/>
      <c r="P25" s="237"/>
      <c r="Q25" s="237"/>
      <c r="R25" s="237"/>
    </row>
    <row r="26" spans="1:18" ht="16.95" customHeight="1" x14ac:dyDescent="0.3">
      <c r="A26" s="111"/>
      <c r="B26" s="111"/>
      <c r="C26" s="237"/>
      <c r="D26" s="237"/>
      <c r="E26" s="237"/>
      <c r="F26" s="237"/>
      <c r="G26" s="237"/>
      <c r="H26" s="237"/>
      <c r="I26" s="237"/>
      <c r="J26" s="237"/>
      <c r="K26" s="237"/>
      <c r="L26" s="237"/>
      <c r="M26" s="237"/>
      <c r="N26" s="237"/>
      <c r="O26" s="237"/>
      <c r="P26" s="237"/>
      <c r="Q26" s="237"/>
      <c r="R26" s="237"/>
    </row>
    <row r="27" spans="1:18" ht="16.95" customHeight="1" x14ac:dyDescent="0.3">
      <c r="A27" s="111"/>
      <c r="B27" s="111"/>
      <c r="C27" s="237"/>
      <c r="D27" s="237"/>
      <c r="E27" s="237"/>
      <c r="F27" s="237"/>
      <c r="G27" s="237"/>
      <c r="H27" s="237"/>
      <c r="I27" s="237"/>
      <c r="J27" s="237"/>
      <c r="K27" s="237"/>
      <c r="L27" s="237"/>
      <c r="M27" s="237"/>
      <c r="N27" s="237"/>
      <c r="O27" s="237"/>
      <c r="P27" s="237"/>
      <c r="Q27" s="237"/>
      <c r="R27" s="237"/>
    </row>
    <row r="28" spans="1:18" ht="16.95" customHeight="1" x14ac:dyDescent="0.3">
      <c r="A28" s="111"/>
      <c r="B28" s="111"/>
      <c r="C28" s="238"/>
      <c r="D28" s="238"/>
      <c r="E28" s="238"/>
      <c r="F28" s="238"/>
      <c r="G28" s="238"/>
      <c r="H28" s="238"/>
      <c r="I28" s="238"/>
      <c r="J28" s="238"/>
      <c r="K28" s="238"/>
      <c r="L28" s="238"/>
      <c r="M28" s="238"/>
      <c r="N28" s="238"/>
      <c r="O28" s="238"/>
      <c r="P28" s="238"/>
      <c r="Q28" s="238"/>
      <c r="R28" s="238"/>
    </row>
    <row r="29" spans="1:18" ht="16.95" customHeight="1" x14ac:dyDescent="0.3">
      <c r="A29" s="111"/>
      <c r="B29" s="111"/>
      <c r="C29" s="134"/>
      <c r="D29" s="134"/>
      <c r="E29" s="134"/>
      <c r="F29" s="134"/>
      <c r="G29" s="134"/>
      <c r="H29" s="134"/>
      <c r="I29" s="134"/>
      <c r="J29" s="134"/>
      <c r="K29" s="134"/>
      <c r="L29" s="134"/>
      <c r="M29" s="134"/>
      <c r="N29" s="134"/>
      <c r="O29" s="134"/>
      <c r="P29" s="134"/>
      <c r="Q29" s="134"/>
      <c r="R29" s="134"/>
    </row>
    <row r="30" spans="1:18" ht="16.95" customHeight="1" x14ac:dyDescent="0.3">
      <c r="A30" s="111"/>
      <c r="B30" s="111"/>
      <c r="C30" s="112"/>
      <c r="D30" s="112"/>
      <c r="E30" s="112"/>
      <c r="F30" s="112"/>
      <c r="G30" s="112"/>
      <c r="H30" s="112"/>
      <c r="I30" s="112"/>
      <c r="J30" s="112"/>
      <c r="K30" s="112"/>
      <c r="L30" s="112"/>
      <c r="M30" s="112"/>
      <c r="N30" s="112"/>
      <c r="O30" s="112"/>
      <c r="P30" s="112"/>
      <c r="Q30" s="112"/>
      <c r="R30" s="112"/>
    </row>
    <row r="31" spans="1:18" ht="16.95" customHeight="1" x14ac:dyDescent="0.3">
      <c r="B31" s="5"/>
      <c r="C31" s="4" t="s">
        <v>19</v>
      </c>
      <c r="D31" s="5"/>
      <c r="H31" s="4"/>
      <c r="I31" s="188" t="s">
        <v>237</v>
      </c>
      <c r="J31" s="188"/>
      <c r="K31" s="188"/>
      <c r="L31" s="188"/>
      <c r="M31" s="191" t="str">
        <f>INFORMACIÓN!B14</f>
        <v>ING. GABRIEL DURÁN</v>
      </c>
      <c r="N31" s="191"/>
      <c r="O31" s="191"/>
      <c r="P31" s="191"/>
      <c r="Q31" s="191"/>
      <c r="R31" s="191"/>
    </row>
    <row r="32" spans="1:18" ht="16.95" customHeight="1" x14ac:dyDescent="0.3">
      <c r="F32" s="4"/>
      <c r="G32" s="4"/>
      <c r="H32" s="4"/>
      <c r="I32" s="188" t="s">
        <v>236</v>
      </c>
      <c r="J32" s="188"/>
      <c r="K32" s="188"/>
      <c r="L32" s="188"/>
      <c r="M32" s="239">
        <f>INFORMACIÓN!B9</f>
        <v>45465</v>
      </c>
      <c r="N32" s="239"/>
      <c r="O32" s="239"/>
      <c r="P32" s="131"/>
      <c r="Q32" s="131"/>
      <c r="R32" s="4"/>
    </row>
    <row r="33" spans="1:19" ht="16.95" customHeight="1" x14ac:dyDescent="0.3">
      <c r="I33" s="188" t="s">
        <v>235</v>
      </c>
      <c r="J33" s="188"/>
      <c r="K33" s="188"/>
      <c r="L33" s="188"/>
      <c r="M33" s="114">
        <v>4</v>
      </c>
      <c r="N33" s="5"/>
      <c r="O33" s="5"/>
      <c r="P33" s="5"/>
      <c r="Q33" s="5"/>
      <c r="R33" s="131"/>
    </row>
    <row r="34" spans="1:19" ht="16.95" customHeight="1" x14ac:dyDescent="0.3"/>
    <row r="35" spans="1:19" ht="16.95" customHeight="1" x14ac:dyDescent="0.3">
      <c r="C35" s="133"/>
      <c r="D35" s="133"/>
      <c r="E35" s="133"/>
      <c r="F35" s="133"/>
      <c r="G35" s="133"/>
    </row>
    <row r="36" spans="1:19" x14ac:dyDescent="0.3">
      <c r="B36" s="89"/>
      <c r="C36" s="132" t="s">
        <v>234</v>
      </c>
      <c r="D36" s="89"/>
      <c r="E36" s="89"/>
      <c r="F36" s="89"/>
      <c r="H36" s="4"/>
      <c r="J36" s="4"/>
      <c r="K36" s="4"/>
      <c r="L36" s="4"/>
      <c r="N36" s="131"/>
      <c r="O36" s="131"/>
    </row>
    <row r="37" spans="1:19" ht="13.2" customHeight="1" x14ac:dyDescent="0.3">
      <c r="B37" s="89"/>
      <c r="C37" s="111" t="s">
        <v>233</v>
      </c>
      <c r="D37" s="111"/>
      <c r="E37" s="111"/>
      <c r="F37" s="111"/>
      <c r="G37" s="111"/>
      <c r="J37" s="4"/>
      <c r="K37" s="4"/>
      <c r="L37" s="4"/>
      <c r="N37" s="130"/>
      <c r="O37" s="129"/>
      <c r="P37" s="129"/>
      <c r="Q37" s="129"/>
    </row>
    <row r="38" spans="1:19" ht="16.95" customHeight="1" x14ac:dyDescent="0.3">
      <c r="B38" s="8"/>
      <c r="C38" s="8"/>
      <c r="D38" s="8"/>
      <c r="E38" s="8"/>
      <c r="G38" s="5"/>
      <c r="H38" s="5"/>
      <c r="I38" s="5"/>
      <c r="J38" s="4"/>
      <c r="K38" s="4"/>
      <c r="L38" s="4"/>
      <c r="M38" s="4"/>
      <c r="N38" s="5"/>
      <c r="O38" s="188" t="str">
        <f>O1</f>
        <v>CERTIFICADO N°:</v>
      </c>
      <c r="P38" s="188"/>
      <c r="Q38" s="188"/>
      <c r="R38" s="187" t="str">
        <f>R1</f>
        <v>JD1741-24</v>
      </c>
      <c r="S38" s="187"/>
    </row>
    <row r="39" spans="1:19" ht="10.199999999999999" customHeight="1" x14ac:dyDescent="0.3"/>
    <row r="40" spans="1:19" ht="16.95" customHeight="1" x14ac:dyDescent="0.3">
      <c r="B40" s="197" t="s">
        <v>232</v>
      </c>
      <c r="C40" s="197"/>
      <c r="D40" s="197"/>
      <c r="E40" s="197"/>
      <c r="F40" s="197"/>
      <c r="G40" s="197"/>
      <c r="H40" s="197"/>
      <c r="I40" s="197"/>
      <c r="J40" s="197"/>
      <c r="K40" s="197"/>
      <c r="L40" s="197"/>
      <c r="M40" s="197"/>
      <c r="N40" s="197"/>
      <c r="O40" s="197"/>
      <c r="P40" s="197"/>
      <c r="Q40" s="197"/>
      <c r="R40" s="197"/>
      <c r="S40" s="197"/>
    </row>
    <row r="41" spans="1:19" ht="16.95" customHeight="1" x14ac:dyDescent="0.3">
      <c r="B41" s="210" t="s">
        <v>301</v>
      </c>
      <c r="C41" s="210"/>
      <c r="D41" s="210"/>
      <c r="E41" s="210"/>
      <c r="F41" s="210"/>
      <c r="G41" s="210"/>
      <c r="H41" s="210"/>
      <c r="I41" s="210"/>
      <c r="J41" s="210"/>
      <c r="K41" s="210"/>
      <c r="L41" s="210"/>
      <c r="M41" s="210"/>
      <c r="N41" s="210"/>
      <c r="O41" s="210"/>
      <c r="P41" s="210"/>
      <c r="Q41" s="210"/>
      <c r="R41" s="210"/>
      <c r="S41" s="210"/>
    </row>
    <row r="42" spans="1:19" ht="16.95" customHeight="1" x14ac:dyDescent="0.3">
      <c r="A42" s="116"/>
      <c r="B42" s="211"/>
      <c r="C42" s="211"/>
      <c r="D42" s="211"/>
      <c r="E42" s="211"/>
      <c r="F42" s="211"/>
      <c r="G42" s="211"/>
      <c r="H42" s="211"/>
      <c r="I42" s="211"/>
      <c r="J42" s="211"/>
      <c r="K42" s="211"/>
      <c r="L42" s="211"/>
      <c r="M42" s="211"/>
      <c r="N42" s="211"/>
      <c r="O42" s="211"/>
      <c r="P42" s="211"/>
      <c r="Q42" s="211"/>
      <c r="R42" s="211"/>
      <c r="S42" s="211"/>
    </row>
    <row r="43" spans="1:19" ht="16.95" customHeight="1" x14ac:dyDescent="0.3">
      <c r="A43" s="116"/>
      <c r="B43" s="211"/>
      <c r="C43" s="211"/>
      <c r="D43" s="211"/>
      <c r="E43" s="211"/>
      <c r="F43" s="211"/>
      <c r="G43" s="211"/>
      <c r="H43" s="211"/>
      <c r="I43" s="211"/>
      <c r="J43" s="211"/>
      <c r="K43" s="211"/>
      <c r="L43" s="211"/>
      <c r="M43" s="211"/>
      <c r="N43" s="211"/>
      <c r="O43" s="211"/>
      <c r="P43" s="211"/>
      <c r="Q43" s="211"/>
      <c r="R43" s="211"/>
      <c r="S43" s="211"/>
    </row>
    <row r="44" spans="1:19" ht="4.95" customHeight="1" x14ac:dyDescent="0.3">
      <c r="C44" s="116"/>
      <c r="D44" s="116"/>
      <c r="E44" s="116"/>
      <c r="F44" s="116"/>
      <c r="G44" s="116"/>
      <c r="H44" s="116"/>
      <c r="I44" s="116"/>
      <c r="J44" s="116"/>
      <c r="K44" s="116"/>
      <c r="L44" s="116"/>
      <c r="M44" s="116"/>
      <c r="N44" s="116"/>
      <c r="O44" s="116"/>
      <c r="P44" s="116"/>
      <c r="Q44" s="116"/>
      <c r="R44" s="116"/>
    </row>
    <row r="45" spans="1:19" ht="16.95" customHeight="1" x14ac:dyDescent="0.3">
      <c r="E45" s="128"/>
      <c r="F45" s="198" t="s">
        <v>231</v>
      </c>
      <c r="G45" s="199"/>
      <c r="H45" s="199"/>
      <c r="I45" s="199"/>
      <c r="J45" s="200"/>
      <c r="K45" s="207" t="s">
        <v>230</v>
      </c>
      <c r="L45" s="208"/>
      <c r="M45" s="208"/>
      <c r="N45" s="208"/>
      <c r="O45" s="209"/>
    </row>
    <row r="46" spans="1:19" ht="16.95" customHeight="1" x14ac:dyDescent="0.3">
      <c r="E46" s="128"/>
      <c r="F46" s="202">
        <f>AVERAGE(INFORMACIÓN!B10:B11)</f>
        <v>24.3</v>
      </c>
      <c r="G46" s="203"/>
      <c r="H46" s="125" t="s">
        <v>37</v>
      </c>
      <c r="I46" s="127">
        <f>ABS(INFORMACIÓN!B10-INFORMACIÓN!B11)</f>
        <v>0.39999999999999858</v>
      </c>
      <c r="J46" s="126"/>
      <c r="K46" s="204">
        <f>AVERAGE(INFORMACIÓN!B12:B13)</f>
        <v>61.5</v>
      </c>
      <c r="L46" s="205"/>
      <c r="M46" s="125" t="s">
        <v>37</v>
      </c>
      <c r="N46" s="124">
        <f>ABS(INFORMACIÓN!B12-INFORMACIÓN!B13)</f>
        <v>3</v>
      </c>
      <c r="O46" s="123"/>
    </row>
    <row r="47" spans="1:19" ht="7.05" customHeight="1" x14ac:dyDescent="0.3">
      <c r="E47" s="5"/>
      <c r="F47" s="122"/>
      <c r="G47" s="119"/>
      <c r="H47" s="117"/>
      <c r="I47" s="121"/>
      <c r="K47" s="120"/>
      <c r="L47" s="119"/>
      <c r="M47" s="118"/>
    </row>
    <row r="48" spans="1:19" ht="16.95" customHeight="1" x14ac:dyDescent="0.3">
      <c r="B48" s="89"/>
      <c r="D48" s="89"/>
      <c r="F48" s="201" t="s">
        <v>302</v>
      </c>
      <c r="G48" s="201"/>
      <c r="H48" s="201"/>
      <c r="I48" s="201"/>
      <c r="J48" s="201"/>
      <c r="K48" s="206" t="s">
        <v>256</v>
      </c>
      <c r="L48" s="206"/>
      <c r="M48" s="206"/>
      <c r="N48" s="206"/>
      <c r="O48" s="206"/>
      <c r="P48" s="206"/>
    </row>
    <row r="49" spans="1:19" ht="4.95" customHeight="1" x14ac:dyDescent="0.3"/>
    <row r="50" spans="1:19" ht="13.5" customHeight="1" x14ac:dyDescent="0.3">
      <c r="B50" s="232" t="s">
        <v>229</v>
      </c>
      <c r="C50" s="232"/>
      <c r="D50" s="232"/>
      <c r="E50" s="232"/>
      <c r="F50" s="232"/>
      <c r="G50" s="232"/>
      <c r="H50" s="232"/>
      <c r="I50" s="232"/>
      <c r="J50" s="232"/>
      <c r="K50" s="232"/>
      <c r="L50" s="232"/>
      <c r="M50" s="232"/>
      <c r="N50" s="232"/>
      <c r="O50" s="232"/>
      <c r="P50" s="232"/>
      <c r="Q50" s="232"/>
      <c r="R50" s="232"/>
      <c r="S50" s="232"/>
    </row>
    <row r="51" spans="1:19" ht="16.95" customHeight="1" x14ac:dyDescent="0.3">
      <c r="B51" s="210" t="s">
        <v>303</v>
      </c>
      <c r="C51" s="210"/>
      <c r="D51" s="210"/>
      <c r="E51" s="210"/>
      <c r="F51" s="210"/>
      <c r="G51" s="210"/>
      <c r="H51" s="210"/>
      <c r="I51" s="210"/>
      <c r="J51" s="210"/>
      <c r="K51" s="210"/>
      <c r="L51" s="210"/>
      <c r="M51" s="210"/>
      <c r="N51" s="210"/>
      <c r="O51" s="210"/>
      <c r="P51" s="210"/>
      <c r="Q51" s="210"/>
      <c r="R51" s="210"/>
      <c r="S51" s="210"/>
    </row>
    <row r="52" spans="1:19" ht="16.95" customHeight="1" x14ac:dyDescent="0.3">
      <c r="A52" s="116"/>
      <c r="B52" s="211"/>
      <c r="C52" s="211"/>
      <c r="D52" s="211"/>
      <c r="E52" s="211"/>
      <c r="F52" s="211"/>
      <c r="G52" s="211"/>
      <c r="H52" s="211"/>
      <c r="I52" s="211"/>
      <c r="J52" s="211"/>
      <c r="K52" s="211"/>
      <c r="L52" s="211"/>
      <c r="M52" s="211"/>
      <c r="N52" s="211"/>
      <c r="O52" s="211"/>
      <c r="P52" s="211"/>
      <c r="Q52" s="211"/>
      <c r="R52" s="211"/>
      <c r="S52" s="211"/>
    </row>
    <row r="53" spans="1:19" ht="16.95" customHeight="1" x14ac:dyDescent="0.3">
      <c r="A53" s="116"/>
      <c r="B53" s="211"/>
      <c r="C53" s="211"/>
      <c r="D53" s="211"/>
      <c r="E53" s="211"/>
      <c r="F53" s="211"/>
      <c r="G53" s="211"/>
      <c r="H53" s="211"/>
      <c r="I53" s="211"/>
      <c r="J53" s="211"/>
      <c r="K53" s="211"/>
      <c r="L53" s="211"/>
      <c r="M53" s="211"/>
      <c r="N53" s="211"/>
      <c r="O53" s="211"/>
      <c r="P53" s="211"/>
      <c r="Q53" s="211"/>
      <c r="R53" s="211"/>
      <c r="S53" s="211"/>
    </row>
    <row r="54" spans="1:19" ht="16.95" customHeight="1" x14ac:dyDescent="0.3">
      <c r="A54" s="116"/>
      <c r="B54" s="211"/>
      <c r="C54" s="211"/>
      <c r="D54" s="211"/>
      <c r="E54" s="211"/>
      <c r="F54" s="211"/>
      <c r="G54" s="211"/>
      <c r="H54" s="211"/>
      <c r="I54" s="211"/>
      <c r="J54" s="211"/>
      <c r="K54" s="211"/>
      <c r="L54" s="211"/>
      <c r="M54" s="211"/>
      <c r="N54" s="211"/>
      <c r="O54" s="211"/>
      <c r="P54" s="211"/>
      <c r="Q54" s="211"/>
      <c r="R54" s="211"/>
      <c r="S54" s="211"/>
    </row>
    <row r="55" spans="1:19" ht="16.95" customHeight="1" x14ac:dyDescent="0.3">
      <c r="A55" s="116"/>
      <c r="B55" s="211"/>
      <c r="C55" s="211"/>
      <c r="D55" s="211"/>
      <c r="E55" s="211"/>
      <c r="F55" s="211"/>
      <c r="G55" s="211"/>
      <c r="H55" s="211"/>
      <c r="I55" s="211"/>
      <c r="J55" s="211"/>
      <c r="K55" s="211"/>
      <c r="L55" s="211"/>
      <c r="M55" s="211"/>
      <c r="N55" s="211"/>
      <c r="O55" s="211"/>
      <c r="P55" s="211"/>
      <c r="Q55" s="211"/>
      <c r="R55" s="211"/>
      <c r="S55" s="211"/>
    </row>
    <row r="56" spans="1:19" ht="16.95" customHeight="1" x14ac:dyDescent="0.3">
      <c r="A56" s="116"/>
      <c r="B56" s="211"/>
      <c r="C56" s="211"/>
      <c r="D56" s="211"/>
      <c r="E56" s="211"/>
      <c r="F56" s="211"/>
      <c r="G56" s="211"/>
      <c r="H56" s="211"/>
      <c r="I56" s="211"/>
      <c r="J56" s="211"/>
      <c r="K56" s="211"/>
      <c r="L56" s="211"/>
      <c r="M56" s="211"/>
      <c r="N56" s="211"/>
      <c r="O56" s="211"/>
      <c r="P56" s="211"/>
      <c r="Q56" s="211"/>
      <c r="R56" s="211"/>
      <c r="S56" s="211"/>
    </row>
    <row r="57" spans="1:19" ht="16.95" customHeight="1" x14ac:dyDescent="0.3">
      <c r="A57" s="116"/>
      <c r="B57" s="211"/>
      <c r="C57" s="211"/>
      <c r="D57" s="211"/>
      <c r="E57" s="211"/>
      <c r="F57" s="211"/>
      <c r="G57" s="211"/>
      <c r="H57" s="211"/>
      <c r="I57" s="211"/>
      <c r="J57" s="211"/>
      <c r="K57" s="211"/>
      <c r="L57" s="211"/>
      <c r="M57" s="211"/>
      <c r="N57" s="211"/>
      <c r="O57" s="211"/>
      <c r="P57" s="211"/>
      <c r="Q57" s="211"/>
      <c r="R57" s="211"/>
      <c r="S57" s="211"/>
    </row>
    <row r="58" spans="1:19" ht="16.95" customHeight="1" x14ac:dyDescent="0.3">
      <c r="A58" s="116"/>
      <c r="B58" s="211"/>
      <c r="C58" s="211"/>
      <c r="D58" s="211"/>
      <c r="E58" s="211"/>
      <c r="F58" s="211"/>
      <c r="G58" s="211"/>
      <c r="H58" s="211"/>
      <c r="I58" s="211"/>
      <c r="J58" s="211"/>
      <c r="K58" s="211"/>
      <c r="L58" s="211"/>
      <c r="M58" s="211"/>
      <c r="N58" s="211"/>
      <c r="O58" s="211"/>
      <c r="P58" s="211"/>
      <c r="Q58" s="211"/>
      <c r="R58" s="211"/>
      <c r="S58" s="211"/>
    </row>
    <row r="59" spans="1:19" ht="7.5" customHeight="1" x14ac:dyDescent="0.3">
      <c r="B59" s="116"/>
      <c r="C59" s="116"/>
      <c r="D59" s="116"/>
      <c r="E59" s="116"/>
      <c r="F59" s="116"/>
      <c r="G59" s="116"/>
      <c r="H59" s="116"/>
      <c r="I59" s="116"/>
      <c r="J59" s="116"/>
      <c r="K59" s="116"/>
      <c r="L59" s="116"/>
      <c r="M59" s="116"/>
      <c r="N59" s="116"/>
      <c r="O59" s="116"/>
      <c r="P59" s="116"/>
      <c r="Q59" s="116"/>
      <c r="R59" s="116"/>
      <c r="S59" s="116"/>
    </row>
    <row r="60" spans="1:19" ht="13.95" customHeight="1" x14ac:dyDescent="0.3">
      <c r="B60" s="197" t="s">
        <v>228</v>
      </c>
      <c r="C60" s="197"/>
      <c r="D60" s="197"/>
      <c r="E60" s="197"/>
      <c r="F60" s="197"/>
      <c r="G60" s="197"/>
      <c r="H60" s="197"/>
      <c r="I60" s="197"/>
      <c r="J60" s="197"/>
      <c r="K60" s="197"/>
      <c r="L60" s="197"/>
      <c r="M60" s="197"/>
      <c r="N60" s="197"/>
      <c r="O60" s="197"/>
      <c r="P60" s="197"/>
      <c r="Q60" s="197"/>
      <c r="R60" s="197"/>
      <c r="S60" s="197"/>
    </row>
    <row r="61" spans="1:19" ht="16.95" customHeight="1" x14ac:dyDescent="0.3">
      <c r="B61" s="210" t="s">
        <v>304</v>
      </c>
      <c r="C61" s="210"/>
      <c r="D61" s="210"/>
      <c r="E61" s="210"/>
      <c r="F61" s="210"/>
      <c r="G61" s="210"/>
      <c r="H61" s="210"/>
      <c r="I61" s="210"/>
      <c r="J61" s="210"/>
      <c r="K61" s="210"/>
      <c r="L61" s="210"/>
      <c r="M61" s="210"/>
      <c r="N61" s="210"/>
      <c r="O61" s="210"/>
      <c r="P61" s="210"/>
      <c r="Q61" s="210"/>
      <c r="R61" s="210"/>
      <c r="S61" s="210"/>
    </row>
    <row r="62" spans="1:19" ht="16.95" customHeight="1" x14ac:dyDescent="0.3">
      <c r="A62" s="116"/>
      <c r="B62" s="211"/>
      <c r="C62" s="211"/>
      <c r="D62" s="211"/>
      <c r="E62" s="211"/>
      <c r="F62" s="211"/>
      <c r="G62" s="211"/>
      <c r="H62" s="211"/>
      <c r="I62" s="211"/>
      <c r="J62" s="211"/>
      <c r="K62" s="211"/>
      <c r="L62" s="211"/>
      <c r="M62" s="211"/>
      <c r="N62" s="211"/>
      <c r="O62" s="211"/>
      <c r="P62" s="211"/>
      <c r="Q62" s="211"/>
      <c r="R62" s="211"/>
      <c r="S62" s="211"/>
    </row>
    <row r="63" spans="1:19" ht="7.05" customHeight="1" x14ac:dyDescent="0.3"/>
    <row r="64" spans="1:19" ht="11.55" customHeight="1" x14ac:dyDescent="0.3">
      <c r="B64" s="197" t="s">
        <v>227</v>
      </c>
      <c r="C64" s="197"/>
      <c r="D64" s="197"/>
      <c r="E64" s="197"/>
      <c r="F64" s="197"/>
      <c r="G64" s="197"/>
      <c r="H64" s="197"/>
      <c r="I64" s="197"/>
      <c r="J64" s="197"/>
      <c r="K64" s="197"/>
      <c r="L64" s="197"/>
      <c r="M64" s="197"/>
      <c r="N64" s="197"/>
      <c r="O64" s="197"/>
      <c r="P64" s="197"/>
      <c r="Q64" s="197"/>
      <c r="R64" s="197"/>
      <c r="S64" s="197"/>
    </row>
    <row r="65" spans="1:19" ht="19.2" customHeight="1" x14ac:dyDescent="0.3">
      <c r="B65" s="210" t="s">
        <v>305</v>
      </c>
      <c r="C65" s="210"/>
      <c r="D65" s="210"/>
      <c r="E65" s="210"/>
      <c r="F65" s="210"/>
      <c r="G65" s="210"/>
      <c r="H65" s="210"/>
      <c r="I65" s="210"/>
      <c r="J65" s="210"/>
      <c r="K65" s="210"/>
      <c r="L65" s="210"/>
      <c r="M65" s="210"/>
      <c r="N65" s="210"/>
      <c r="O65" s="210"/>
      <c r="P65" s="210"/>
      <c r="Q65" s="210"/>
      <c r="R65" s="210"/>
      <c r="S65" s="210"/>
    </row>
    <row r="66" spans="1:19" ht="16.95" customHeight="1" x14ac:dyDescent="0.3">
      <c r="A66" s="116"/>
      <c r="B66" s="211"/>
      <c r="C66" s="211"/>
      <c r="D66" s="211"/>
      <c r="E66" s="211"/>
      <c r="F66" s="211"/>
      <c r="G66" s="211"/>
      <c r="H66" s="211"/>
      <c r="I66" s="211"/>
      <c r="J66" s="211"/>
      <c r="K66" s="211"/>
      <c r="L66" s="211"/>
      <c r="M66" s="211"/>
      <c r="N66" s="211"/>
      <c r="O66" s="211"/>
      <c r="P66" s="211"/>
      <c r="Q66" s="211"/>
      <c r="R66" s="211"/>
      <c r="S66" s="211"/>
    </row>
    <row r="67" spans="1:19" ht="16.95" customHeight="1" x14ac:dyDescent="0.3">
      <c r="A67" s="116"/>
      <c r="B67" s="211"/>
      <c r="C67" s="211"/>
      <c r="D67" s="211"/>
      <c r="E67" s="211"/>
      <c r="F67" s="211"/>
      <c r="G67" s="211"/>
      <c r="H67" s="211"/>
      <c r="I67" s="211"/>
      <c r="J67" s="211"/>
      <c r="K67" s="211"/>
      <c r="L67" s="211"/>
      <c r="M67" s="211"/>
      <c r="N67" s="211"/>
      <c r="O67" s="211"/>
      <c r="P67" s="211"/>
      <c r="Q67" s="211"/>
      <c r="R67" s="211"/>
      <c r="S67" s="211"/>
    </row>
    <row r="68" spans="1:19" ht="16.95" customHeight="1" x14ac:dyDescent="0.3">
      <c r="A68" s="116"/>
      <c r="B68" s="211"/>
      <c r="C68" s="211"/>
      <c r="D68" s="211"/>
      <c r="E68" s="211"/>
      <c r="F68" s="211"/>
      <c r="G68" s="211"/>
      <c r="H68" s="211"/>
      <c r="I68" s="211"/>
      <c r="J68" s="211"/>
      <c r="K68" s="211"/>
      <c r="L68" s="211"/>
      <c r="M68" s="211"/>
      <c r="N68" s="211"/>
      <c r="O68" s="211"/>
      <c r="P68" s="211"/>
      <c r="Q68" s="211"/>
      <c r="R68" s="211"/>
      <c r="S68" s="211"/>
    </row>
    <row r="69" spans="1:19" ht="4.5" customHeight="1" x14ac:dyDescent="0.3"/>
    <row r="70" spans="1:19" ht="16.95" customHeight="1" x14ac:dyDescent="0.3">
      <c r="B70" s="218" t="s">
        <v>226</v>
      </c>
      <c r="C70" s="218"/>
      <c r="D70" s="218"/>
      <c r="E70" s="218"/>
      <c r="F70" s="218"/>
      <c r="G70" s="218"/>
      <c r="H70" s="218" t="s">
        <v>70</v>
      </c>
      <c r="I70" s="218"/>
      <c r="J70" s="218"/>
      <c r="K70" s="218"/>
      <c r="L70" s="218"/>
      <c r="M70" s="218" t="s">
        <v>225</v>
      </c>
      <c r="N70" s="218"/>
      <c r="O70" s="218"/>
      <c r="P70" s="218" t="s">
        <v>72</v>
      </c>
      <c r="Q70" s="218"/>
      <c r="R70" s="218"/>
      <c r="S70" s="218"/>
    </row>
    <row r="71" spans="1:19" ht="14.55" customHeight="1" x14ac:dyDescent="0.3">
      <c r="B71" s="158" t="s">
        <v>289</v>
      </c>
      <c r="C71" s="159"/>
      <c r="D71" s="159"/>
      <c r="E71" s="159"/>
      <c r="F71" s="159"/>
      <c r="G71" s="160"/>
      <c r="H71" s="233" t="s">
        <v>285</v>
      </c>
      <c r="I71" s="234"/>
      <c r="J71" s="234"/>
      <c r="K71" s="234"/>
      <c r="L71" s="235"/>
      <c r="M71" s="220">
        <v>46041</v>
      </c>
      <c r="N71" s="221"/>
      <c r="O71" s="222"/>
      <c r="P71" s="212" t="s">
        <v>297</v>
      </c>
      <c r="Q71" s="213"/>
      <c r="R71" s="213"/>
      <c r="S71" s="214"/>
    </row>
    <row r="72" spans="1:19" ht="34.950000000000003" customHeight="1" x14ac:dyDescent="0.3">
      <c r="B72" s="158" t="s">
        <v>290</v>
      </c>
      <c r="C72" s="159"/>
      <c r="D72" s="159"/>
      <c r="E72" s="159"/>
      <c r="F72" s="159"/>
      <c r="G72" s="160"/>
      <c r="H72" s="219" t="s">
        <v>298</v>
      </c>
      <c r="I72" s="213"/>
      <c r="J72" s="213"/>
      <c r="K72" s="213"/>
      <c r="L72" s="214"/>
      <c r="M72" s="215" t="s">
        <v>306</v>
      </c>
      <c r="N72" s="216"/>
      <c r="O72" s="217"/>
      <c r="P72" s="212" t="s">
        <v>291</v>
      </c>
      <c r="Q72" s="213"/>
      <c r="R72" s="213"/>
      <c r="S72" s="214"/>
    </row>
    <row r="73" spans="1:19" ht="67.5" customHeight="1" x14ac:dyDescent="0.3">
      <c r="B73" s="158" t="s">
        <v>292</v>
      </c>
      <c r="C73" s="159"/>
      <c r="D73" s="159"/>
      <c r="E73" s="159"/>
      <c r="F73" s="159"/>
      <c r="G73" s="160"/>
      <c r="H73" s="212" t="s">
        <v>286</v>
      </c>
      <c r="I73" s="213"/>
      <c r="J73" s="213"/>
      <c r="K73" s="213"/>
      <c r="L73" s="214"/>
      <c r="M73" s="215" t="s">
        <v>293</v>
      </c>
      <c r="N73" s="216"/>
      <c r="O73" s="217"/>
      <c r="P73" s="212" t="s">
        <v>294</v>
      </c>
      <c r="Q73" s="213"/>
      <c r="R73" s="213"/>
      <c r="S73" s="214"/>
    </row>
    <row r="74" spans="1:19" ht="14.4" customHeight="1" x14ac:dyDescent="0.3">
      <c r="B74" s="158" t="s">
        <v>307</v>
      </c>
      <c r="C74" s="159"/>
      <c r="D74" s="159"/>
      <c r="E74" s="159"/>
      <c r="F74" s="159"/>
      <c r="G74" s="160"/>
      <c r="H74" s="161" t="s">
        <v>287</v>
      </c>
      <c r="I74" s="162"/>
      <c r="J74" s="162"/>
      <c r="K74" s="162"/>
      <c r="L74" s="163"/>
      <c r="M74" s="164">
        <v>46038</v>
      </c>
      <c r="N74" s="165"/>
      <c r="O74" s="166"/>
      <c r="P74" s="161" t="s">
        <v>295</v>
      </c>
      <c r="Q74" s="162"/>
      <c r="R74" s="162"/>
      <c r="S74" s="163"/>
    </row>
    <row r="75" spans="1:19" ht="14.4" customHeight="1" x14ac:dyDescent="0.3">
      <c r="B75" s="158" t="s">
        <v>308</v>
      </c>
      <c r="C75" s="159"/>
      <c r="D75" s="159"/>
      <c r="E75" s="159"/>
      <c r="F75" s="159"/>
      <c r="G75" s="160"/>
      <c r="H75" s="161" t="s">
        <v>287</v>
      </c>
      <c r="I75" s="162"/>
      <c r="J75" s="162"/>
      <c r="K75" s="162"/>
      <c r="L75" s="163"/>
      <c r="M75" s="164">
        <v>46038</v>
      </c>
      <c r="N75" s="165"/>
      <c r="O75" s="166"/>
      <c r="P75" s="161" t="s">
        <v>296</v>
      </c>
      <c r="Q75" s="162"/>
      <c r="R75" s="162"/>
      <c r="S75" s="163"/>
    </row>
    <row r="76" spans="1:19" ht="16.95" customHeight="1" x14ac:dyDescent="0.3">
      <c r="O76" s="188" t="str">
        <f>O1</f>
        <v>CERTIFICADO N°:</v>
      </c>
      <c r="P76" s="188"/>
      <c r="Q76" s="188"/>
      <c r="R76" s="187" t="str">
        <f>R1</f>
        <v>JD1741-24</v>
      </c>
      <c r="S76" s="187"/>
    </row>
    <row r="77" spans="1:19" ht="16.95" customHeight="1" x14ac:dyDescent="0.3"/>
    <row r="78" spans="1:19" ht="16.95" customHeight="1" x14ac:dyDescent="0.3">
      <c r="B78" s="189" t="s">
        <v>224</v>
      </c>
      <c r="C78" s="189"/>
      <c r="D78" s="189"/>
      <c r="E78" s="189"/>
      <c r="F78" s="189"/>
      <c r="G78" s="189"/>
      <c r="H78" s="189"/>
      <c r="I78" s="189"/>
      <c r="J78" s="189"/>
      <c r="K78" s="189"/>
      <c r="L78" s="189"/>
      <c r="M78" s="189"/>
      <c r="N78" s="189"/>
      <c r="O78" s="189"/>
      <c r="P78" s="189"/>
      <c r="Q78" s="189"/>
      <c r="R78" s="189"/>
      <c r="S78" s="189"/>
    </row>
    <row r="79" spans="1:19" ht="16.95" customHeight="1" x14ac:dyDescent="0.3">
      <c r="B79" s="3"/>
      <c r="C79" s="3"/>
      <c r="D79" s="3"/>
      <c r="E79" s="3"/>
      <c r="F79" s="3"/>
      <c r="G79" s="3"/>
      <c r="H79" s="3"/>
      <c r="I79" s="3"/>
      <c r="J79" s="3"/>
      <c r="K79" s="3"/>
      <c r="L79" s="3"/>
      <c r="M79" s="3"/>
      <c r="N79" s="3"/>
      <c r="O79" s="3"/>
      <c r="P79" s="3"/>
      <c r="Q79" s="3"/>
      <c r="R79" s="3"/>
      <c r="S79" s="3"/>
    </row>
    <row r="80" spans="1:19" ht="16.649999999999999" customHeight="1" x14ac:dyDescent="0.3"/>
    <row r="81" spans="2:15" ht="16.2" customHeight="1" x14ac:dyDescent="0.3">
      <c r="B81" s="1" t="s">
        <v>223</v>
      </c>
      <c r="H81" s="181" t="s">
        <v>26</v>
      </c>
      <c r="I81" s="181"/>
      <c r="J81" s="9">
        <f>MEDIDA!C10</f>
        <v>12500</v>
      </c>
      <c r="K81" t="s">
        <v>210</v>
      </c>
    </row>
    <row r="82" spans="2:15" ht="16.95" customHeight="1" x14ac:dyDescent="0.3"/>
    <row r="83" spans="2:15" ht="16.95" customHeight="1" x14ac:dyDescent="0.3"/>
    <row r="84" spans="2:15" ht="16.2" customHeight="1" x14ac:dyDescent="0.3"/>
    <row r="85" spans="2:15" ht="30" customHeight="1" x14ac:dyDescent="0.3">
      <c r="F85" s="185" t="s">
        <v>27</v>
      </c>
      <c r="G85" s="185"/>
      <c r="H85" s="182" t="s">
        <v>211</v>
      </c>
      <c r="I85" s="183"/>
      <c r="J85" s="183"/>
      <c r="K85" s="7"/>
      <c r="L85" s="184" t="s">
        <v>212</v>
      </c>
      <c r="M85" s="185"/>
      <c r="N85" s="185"/>
      <c r="O85" s="185"/>
    </row>
    <row r="86" spans="2:15" ht="16.2" customHeight="1" x14ac:dyDescent="0.3">
      <c r="F86" s="193">
        <v>1</v>
      </c>
      <c r="G86" s="193"/>
      <c r="H86" s="186">
        <f>MEDIDA!E10</f>
        <v>11500</v>
      </c>
      <c r="I86" s="186"/>
      <c r="J86" s="186"/>
      <c r="K86" s="7"/>
      <c r="L86" s="186">
        <f>STDEVA(H86:J90)</f>
        <v>0</v>
      </c>
      <c r="M86" s="186"/>
      <c r="N86" s="186"/>
      <c r="O86" s="186"/>
    </row>
    <row r="87" spans="2:15" ht="16.2" customHeight="1" x14ac:dyDescent="0.3">
      <c r="F87" s="193">
        <v>2</v>
      </c>
      <c r="G87" s="193"/>
      <c r="H87" s="186">
        <f>MEDIDA!E11</f>
        <v>11500</v>
      </c>
      <c r="I87" s="186"/>
      <c r="J87" s="186"/>
      <c r="K87" s="7"/>
      <c r="L87" s="196" t="s">
        <v>261</v>
      </c>
      <c r="M87" s="196"/>
      <c r="N87" s="196"/>
      <c r="O87" s="196"/>
    </row>
    <row r="88" spans="2:15" ht="16.2" customHeight="1" x14ac:dyDescent="0.3">
      <c r="F88" s="193">
        <v>3</v>
      </c>
      <c r="G88" s="193"/>
      <c r="H88" s="186">
        <f>MEDIDA!E12</f>
        <v>11500</v>
      </c>
      <c r="I88" s="186"/>
      <c r="J88" s="186"/>
      <c r="K88" s="7"/>
      <c r="L88" s="196"/>
      <c r="M88" s="196"/>
      <c r="N88" s="196"/>
      <c r="O88" s="196"/>
    </row>
    <row r="89" spans="2:15" ht="16.95" customHeight="1" x14ac:dyDescent="0.3">
      <c r="F89" s="193">
        <v>4</v>
      </c>
      <c r="G89" s="193"/>
      <c r="H89" s="186">
        <f>MEDIDA!E13</f>
        <v>11500</v>
      </c>
      <c r="I89" s="186"/>
      <c r="J89" s="186"/>
      <c r="K89" s="7"/>
      <c r="L89" s="249"/>
      <c r="M89" s="249"/>
      <c r="N89" s="249"/>
      <c r="O89" s="249"/>
    </row>
    <row r="90" spans="2:15" ht="16.95" customHeight="1" x14ac:dyDescent="0.3">
      <c r="F90" s="193">
        <v>5</v>
      </c>
      <c r="G90" s="193"/>
      <c r="H90" s="186">
        <f>MEDIDA!E14</f>
        <v>11500</v>
      </c>
      <c r="I90" s="186"/>
      <c r="J90" s="186"/>
      <c r="K90" s="7"/>
      <c r="L90" s="7"/>
      <c r="M90" s="7"/>
      <c r="N90" s="7"/>
      <c r="O90" s="7"/>
    </row>
    <row r="91" spans="2:15" ht="16.95" customHeight="1" x14ac:dyDescent="0.3"/>
    <row r="92" spans="2:15" ht="16.95" customHeight="1" x14ac:dyDescent="0.3"/>
    <row r="94" spans="2:15" x14ac:dyDescent="0.3">
      <c r="B94" s="1" t="s">
        <v>222</v>
      </c>
      <c r="H94" s="181" t="s">
        <v>26</v>
      </c>
      <c r="I94" s="181"/>
      <c r="J94" s="9">
        <f>MEDIDA!K13</f>
        <v>8300</v>
      </c>
      <c r="K94" t="s">
        <v>210</v>
      </c>
    </row>
    <row r="95" spans="2:15" ht="16.2" customHeight="1" x14ac:dyDescent="0.3"/>
    <row r="96" spans="2:15" ht="16.2" customHeight="1" x14ac:dyDescent="0.3"/>
    <row r="97" spans="6:19" ht="31.2" customHeight="1" x14ac:dyDescent="0.3">
      <c r="F97" s="170" t="s">
        <v>28</v>
      </c>
      <c r="G97" s="171"/>
      <c r="H97" s="167" t="s">
        <v>211</v>
      </c>
      <c r="I97" s="169"/>
      <c r="J97" s="167" t="s">
        <v>213</v>
      </c>
      <c r="K97" s="169"/>
      <c r="L97" s="167" t="s">
        <v>309</v>
      </c>
      <c r="M97" s="168"/>
      <c r="N97" s="169"/>
    </row>
    <row r="98" spans="6:19" ht="16.2" customHeight="1" x14ac:dyDescent="0.3">
      <c r="F98" s="179" t="s">
        <v>29</v>
      </c>
      <c r="G98" s="180"/>
      <c r="H98" s="176">
        <f>MEDIDA!M14</f>
        <v>7700</v>
      </c>
      <c r="I98" s="177"/>
      <c r="J98" s="176">
        <f>INCERTIDUMBRE!C24</f>
        <v>0</v>
      </c>
      <c r="K98" s="177"/>
      <c r="L98" s="176">
        <f>MAX(J98:K102)</f>
        <v>0</v>
      </c>
      <c r="M98" s="178"/>
      <c r="N98" s="177"/>
    </row>
    <row r="99" spans="6:19" ht="16.2" customHeight="1" x14ac:dyDescent="0.3">
      <c r="F99" s="179" t="s">
        <v>30</v>
      </c>
      <c r="G99" s="180"/>
      <c r="H99" s="176">
        <f>MEDIDA!M15</f>
        <v>7700</v>
      </c>
      <c r="I99" s="177"/>
      <c r="J99" s="176">
        <f>INCERTIDUMBRE!C25</f>
        <v>0</v>
      </c>
      <c r="K99" s="177"/>
      <c r="L99" s="246"/>
      <c r="M99" s="247"/>
      <c r="N99" s="247"/>
    </row>
    <row r="100" spans="6:19" x14ac:dyDescent="0.3">
      <c r="F100" s="179" t="s">
        <v>31</v>
      </c>
      <c r="G100" s="180"/>
      <c r="H100" s="176">
        <f>MEDIDA!M16</f>
        <v>7700</v>
      </c>
      <c r="I100" s="177"/>
      <c r="J100" s="176">
        <f>INCERTIDUMBRE!C26</f>
        <v>0</v>
      </c>
      <c r="K100" s="177"/>
      <c r="L100" s="248"/>
      <c r="M100" s="249"/>
      <c r="N100" s="249"/>
    </row>
    <row r="101" spans="6:19" ht="16.2" customHeight="1" x14ac:dyDescent="0.3">
      <c r="F101" s="179" t="s">
        <v>32</v>
      </c>
      <c r="G101" s="180"/>
      <c r="H101" s="176">
        <f>MEDIDA!M17</f>
        <v>7700</v>
      </c>
      <c r="I101" s="177"/>
      <c r="J101" s="176">
        <f>INCERTIDUMBRE!C27</f>
        <v>0</v>
      </c>
      <c r="K101" s="177"/>
      <c r="L101" s="248"/>
      <c r="M101" s="249"/>
      <c r="N101" s="249"/>
    </row>
    <row r="102" spans="6:19" ht="16.95" customHeight="1" x14ac:dyDescent="0.3">
      <c r="F102" s="179" t="s">
        <v>33</v>
      </c>
      <c r="G102" s="180"/>
      <c r="H102" s="176">
        <f>MEDIDA!M18</f>
        <v>7700</v>
      </c>
      <c r="I102" s="177"/>
      <c r="J102" s="176">
        <f>INCERTIDUMBRE!C28</f>
        <v>0</v>
      </c>
      <c r="K102" s="177"/>
      <c r="L102" s="248"/>
      <c r="M102" s="249"/>
      <c r="N102" s="249"/>
    </row>
    <row r="103" spans="6:19" ht="16.95" customHeight="1" x14ac:dyDescent="0.3">
      <c r="F103" s="9"/>
      <c r="G103" s="9"/>
      <c r="H103" s="115"/>
      <c r="I103" s="115"/>
      <c r="J103" s="113"/>
      <c r="K103" s="113"/>
      <c r="L103" s="9"/>
      <c r="M103" s="9"/>
      <c r="N103" s="9"/>
    </row>
    <row r="104" spans="6:19" ht="16.95" customHeight="1" thickBot="1" x14ac:dyDescent="0.35">
      <c r="F104" s="9"/>
      <c r="G104" s="9"/>
      <c r="H104" s="9"/>
      <c r="I104" s="9"/>
      <c r="J104" s="9"/>
      <c r="K104" s="9"/>
      <c r="L104" s="9"/>
      <c r="M104" s="9"/>
      <c r="N104" s="9"/>
    </row>
    <row r="105" spans="6:19" ht="15" thickBot="1" x14ac:dyDescent="0.35">
      <c r="F105" s="9"/>
      <c r="G105" s="9"/>
      <c r="H105" s="9"/>
      <c r="I105" s="18"/>
      <c r="J105" s="19"/>
      <c r="K105" s="20"/>
      <c r="L105" s="9"/>
      <c r="M105" s="9"/>
      <c r="N105" s="9"/>
    </row>
    <row r="106" spans="6:19" ht="16.2" customHeight="1" x14ac:dyDescent="0.3">
      <c r="H106" s="10" t="s">
        <v>31</v>
      </c>
      <c r="I106" s="11"/>
      <c r="J106" s="11"/>
      <c r="K106" s="11"/>
      <c r="L106" s="12" t="s">
        <v>30</v>
      </c>
    </row>
    <row r="107" spans="6:19" ht="16.2" customHeight="1" x14ac:dyDescent="0.3">
      <c r="H107" s="13"/>
      <c r="I107" s="3"/>
      <c r="J107" s="3"/>
      <c r="K107" s="3"/>
      <c r="L107" s="14"/>
    </row>
    <row r="108" spans="6:19" ht="16.2" customHeight="1" x14ac:dyDescent="0.3">
      <c r="H108" s="13"/>
      <c r="I108" s="3"/>
      <c r="J108" s="3" t="s">
        <v>29</v>
      </c>
      <c r="K108" s="3"/>
      <c r="L108" s="14"/>
    </row>
    <row r="109" spans="6:19" ht="16.2" customHeight="1" x14ac:dyDescent="0.3">
      <c r="H109" s="13"/>
      <c r="I109" s="3"/>
      <c r="J109" s="3"/>
      <c r="K109" s="3"/>
      <c r="L109" s="14"/>
    </row>
    <row r="110" spans="6:19" ht="16.2" customHeight="1" thickBot="1" x14ac:dyDescent="0.35">
      <c r="H110" s="15" t="s">
        <v>32</v>
      </c>
      <c r="I110" s="16"/>
      <c r="J110" s="16"/>
      <c r="K110" s="16"/>
      <c r="L110" s="17" t="s">
        <v>33</v>
      </c>
    </row>
    <row r="111" spans="6:19" ht="16.2" customHeight="1" x14ac:dyDescent="0.3"/>
    <row r="112" spans="6:19" x14ac:dyDescent="0.3">
      <c r="O112" s="232" t="str">
        <f>O76</f>
        <v>CERTIFICADO N°:</v>
      </c>
      <c r="P112" s="232"/>
      <c r="Q112" s="232"/>
      <c r="R112" s="232" t="str">
        <f>R76</f>
        <v>JD1741-24</v>
      </c>
      <c r="S112" s="232"/>
    </row>
    <row r="113" spans="2:19" x14ac:dyDescent="0.3">
      <c r="O113" s="3"/>
      <c r="P113" s="3"/>
      <c r="Q113" s="3"/>
      <c r="R113" s="3"/>
      <c r="S113" s="3"/>
    </row>
    <row r="114" spans="2:19" x14ac:dyDescent="0.3">
      <c r="O114" s="3"/>
      <c r="P114" s="3"/>
      <c r="Q114" s="3"/>
      <c r="R114" s="3"/>
      <c r="S114" s="3"/>
    </row>
    <row r="115" spans="2:19" x14ac:dyDescent="0.3">
      <c r="B115" s="1" t="s">
        <v>221</v>
      </c>
      <c r="R115" s="3"/>
      <c r="S115" s="3"/>
    </row>
    <row r="116" spans="2:19" x14ac:dyDescent="0.3">
      <c r="R116" s="3"/>
      <c r="S116" s="3"/>
    </row>
    <row r="117" spans="2:19" x14ac:dyDescent="0.3">
      <c r="R117" s="3"/>
      <c r="S117" s="3"/>
    </row>
    <row r="118" spans="2:19" ht="21.6" customHeight="1" x14ac:dyDescent="0.3">
      <c r="E118" s="172" t="s">
        <v>263</v>
      </c>
      <c r="F118" s="173"/>
      <c r="G118" s="172" t="s">
        <v>262</v>
      </c>
      <c r="H118" s="194"/>
      <c r="I118" s="173"/>
      <c r="J118" s="172" t="s">
        <v>299</v>
      </c>
      <c r="K118" s="173"/>
      <c r="L118" s="172" t="s">
        <v>264</v>
      </c>
      <c r="M118" s="194"/>
      <c r="N118" s="173"/>
      <c r="O118" s="242" t="s">
        <v>36</v>
      </c>
      <c r="P118" s="243"/>
      <c r="Q118" s="3"/>
      <c r="R118" s="3"/>
    </row>
    <row r="119" spans="2:19" ht="18" customHeight="1" x14ac:dyDescent="0.3">
      <c r="E119" s="174"/>
      <c r="F119" s="175"/>
      <c r="G119" s="174"/>
      <c r="H119" s="195"/>
      <c r="I119" s="175"/>
      <c r="J119" s="174"/>
      <c r="K119" s="175"/>
      <c r="L119" s="174"/>
      <c r="M119" s="195"/>
      <c r="N119" s="175"/>
      <c r="O119" s="244"/>
      <c r="P119" s="245"/>
      <c r="Q119" s="3"/>
      <c r="R119" s="3"/>
    </row>
    <row r="120" spans="2:19" x14ac:dyDescent="0.3">
      <c r="E120" s="186">
        <v>0</v>
      </c>
      <c r="F120" s="186"/>
      <c r="G120" s="157">
        <v>0</v>
      </c>
      <c r="H120" s="157">
        <v>0</v>
      </c>
      <c r="I120" s="157"/>
      <c r="J120" s="157">
        <v>0</v>
      </c>
      <c r="K120" s="157"/>
      <c r="L120" s="156">
        <f>INCERTIDUMBRE!N5</f>
        <v>4.0953170262266223</v>
      </c>
      <c r="M120" s="156"/>
      <c r="N120" s="156"/>
      <c r="O120" s="156">
        <f>INCERTIDUMBRE!L5</f>
        <v>2.0062874098374839</v>
      </c>
      <c r="P120" s="156"/>
      <c r="Q120" s="3"/>
      <c r="R120" s="3"/>
    </row>
    <row r="121" spans="2:19" x14ac:dyDescent="0.3">
      <c r="E121" s="176">
        <f>MEDIDA!S10</f>
        <v>2500</v>
      </c>
      <c r="F121" s="177"/>
      <c r="G121" s="157">
        <f>MEDIDA!U10</f>
        <v>2300</v>
      </c>
      <c r="H121" s="157">
        <v>1</v>
      </c>
      <c r="I121" s="157"/>
      <c r="J121" s="157">
        <f>INCERTIDUMBRE!D6</f>
        <v>-200.01409999999987</v>
      </c>
      <c r="K121" s="157"/>
      <c r="L121" s="156">
        <f>INCERTIDUMBRE!N6</f>
        <v>4.098020999172225</v>
      </c>
      <c r="M121" s="156"/>
      <c r="N121" s="156"/>
      <c r="O121" s="156">
        <f>INCERTIDUMBRE!L6</f>
        <v>2.0062559674616853</v>
      </c>
      <c r="P121" s="156"/>
      <c r="Q121" s="3"/>
      <c r="R121" s="3"/>
    </row>
    <row r="122" spans="2:19" x14ac:dyDescent="0.3">
      <c r="E122" s="176">
        <f>MEDIDA!S11</f>
        <v>5000</v>
      </c>
      <c r="F122" s="177"/>
      <c r="G122" s="157">
        <f>MEDIDA!U11</f>
        <v>4600</v>
      </c>
      <c r="H122" s="157">
        <v>2</v>
      </c>
      <c r="I122" s="157"/>
      <c r="J122" s="157">
        <f>INCERTIDUMBRE!D7</f>
        <v>-400.03299999999945</v>
      </c>
      <c r="K122" s="157"/>
      <c r="L122" s="156">
        <f>INCERTIDUMBRE!N7</f>
        <v>4.1110252441059218</v>
      </c>
      <c r="M122" s="156"/>
      <c r="N122" s="156"/>
      <c r="O122" s="156">
        <f>INCERTIDUMBRE!L7</f>
        <v>2.0061787208895829</v>
      </c>
      <c r="P122" s="156"/>
      <c r="Q122" s="3"/>
      <c r="R122" s="3"/>
    </row>
    <row r="123" spans="2:19" x14ac:dyDescent="0.3">
      <c r="E123" s="176">
        <f>MEDIDA!S12</f>
        <v>7500</v>
      </c>
      <c r="F123" s="177"/>
      <c r="G123" s="157">
        <f>MEDIDA!U12</f>
        <v>6900</v>
      </c>
      <c r="H123" s="157">
        <v>3</v>
      </c>
      <c r="I123" s="157"/>
      <c r="J123" s="157">
        <f>INCERTIDUMBRE!D8</f>
        <v>-600.08790000000045</v>
      </c>
      <c r="K123" s="157"/>
      <c r="L123" s="156">
        <f>INCERTIDUMBRE!N8</f>
        <v>4.1346228477157299</v>
      </c>
      <c r="M123" s="156"/>
      <c r="N123" s="156"/>
      <c r="O123" s="156">
        <f>INCERTIDUMBRE!L8</f>
        <v>2.006044381552015</v>
      </c>
      <c r="P123" s="156"/>
      <c r="Q123" s="3"/>
      <c r="R123" s="3"/>
    </row>
    <row r="124" spans="2:19" x14ac:dyDescent="0.3">
      <c r="E124" s="176">
        <f>MEDIDA!S13</f>
        <v>10000</v>
      </c>
      <c r="F124" s="177"/>
      <c r="G124" s="157">
        <f>MEDIDA!U13</f>
        <v>9200</v>
      </c>
      <c r="H124" s="157">
        <v>4</v>
      </c>
      <c r="I124" s="157"/>
      <c r="J124" s="157">
        <f>INCERTIDUMBRE!D9</f>
        <v>-800.16500000000087</v>
      </c>
      <c r="K124" s="157"/>
      <c r="L124" s="156">
        <f>INCERTIDUMBRE!N9</f>
        <v>4.138856870995137</v>
      </c>
      <c r="M124" s="156"/>
      <c r="N124" s="156"/>
      <c r="O124" s="156">
        <f>INCERTIDUMBRE!L9</f>
        <v>2.0060153181752876</v>
      </c>
      <c r="P124" s="156"/>
      <c r="Q124" s="3"/>
      <c r="R124" s="3"/>
    </row>
    <row r="125" spans="2:19" x14ac:dyDescent="0.3">
      <c r="E125" s="176">
        <f>MEDIDA!S14</f>
        <v>12500</v>
      </c>
      <c r="F125" s="177"/>
      <c r="G125" s="157">
        <f>MEDIDA!U14</f>
        <v>11500</v>
      </c>
      <c r="H125" s="157">
        <v>5</v>
      </c>
      <c r="I125" s="157"/>
      <c r="J125" s="157">
        <f>INCERTIDUMBRE!D10</f>
        <v>-1000.1841000000004</v>
      </c>
      <c r="K125" s="157"/>
      <c r="L125" s="156">
        <f>INCERTIDUMBRE!N10</f>
        <v>8.2304356485873011</v>
      </c>
      <c r="M125" s="156"/>
      <c r="N125" s="156"/>
      <c r="O125" s="156">
        <f>INCERTIDUMBRE!L10</f>
        <v>2.0061635000152629</v>
      </c>
      <c r="P125" s="156"/>
      <c r="Q125" s="3"/>
      <c r="R125" s="3"/>
    </row>
    <row r="126" spans="2:19" x14ac:dyDescent="0.3">
      <c r="E126" s="176">
        <f>MEDIDA!S15</f>
        <v>15000</v>
      </c>
      <c r="F126" s="177"/>
      <c r="G126" s="157">
        <f>MEDIDA!U15</f>
        <v>13800</v>
      </c>
      <c r="H126" s="157">
        <v>6</v>
      </c>
      <c r="I126" s="157"/>
      <c r="J126" s="157">
        <f>INCERTIDUMBRE!D11</f>
        <v>-1200.1189999999988</v>
      </c>
      <c r="K126" s="157"/>
      <c r="L126" s="156">
        <f>INCERTIDUMBRE!N11</f>
        <v>8.2398536578605857</v>
      </c>
      <c r="M126" s="156"/>
      <c r="N126" s="156"/>
      <c r="O126" s="156">
        <f>INCERTIDUMBRE!L11</f>
        <v>2.0061332822250795</v>
      </c>
      <c r="P126" s="156"/>
      <c r="Q126" s="3"/>
      <c r="R126" s="3"/>
    </row>
    <row r="127" spans="2:19" x14ac:dyDescent="0.3">
      <c r="E127" s="176">
        <f>MEDIDA!S16</f>
        <v>17500</v>
      </c>
      <c r="F127" s="177"/>
      <c r="G127" s="157">
        <f>MEDIDA!U16</f>
        <v>16100</v>
      </c>
      <c r="H127" s="157">
        <v>7</v>
      </c>
      <c r="I127" s="157"/>
      <c r="J127" s="157">
        <f>INCERTIDUMBRE!D12</f>
        <v>-1400.1329000000005</v>
      </c>
      <c r="K127" s="157"/>
      <c r="L127" s="156">
        <f>INCERTIDUMBRE!N12</f>
        <v>8.2575044058950038</v>
      </c>
      <c r="M127" s="156"/>
      <c r="N127" s="156"/>
      <c r="O127" s="156">
        <f>INCERTIDUMBRE!L12</f>
        <v>2.0060737272498681</v>
      </c>
      <c r="P127" s="156"/>
      <c r="Q127" s="3"/>
      <c r="R127" s="3"/>
    </row>
    <row r="128" spans="2:19" x14ac:dyDescent="0.3">
      <c r="E128" s="176">
        <f>MEDIDA!S17</f>
        <v>20000</v>
      </c>
      <c r="F128" s="177"/>
      <c r="G128" s="157">
        <f>MEDIDA!U17</f>
        <v>18400</v>
      </c>
      <c r="H128" s="157">
        <v>8</v>
      </c>
      <c r="I128" s="157"/>
      <c r="J128" s="157">
        <f>INCERTIDUMBRE!D13</f>
        <v>-1600.2099999999991</v>
      </c>
      <c r="K128" s="157"/>
      <c r="L128" s="156">
        <f>INCERTIDUMBRE!N13</f>
        <v>8.2776332860351118</v>
      </c>
      <c r="M128" s="156"/>
      <c r="N128" s="156"/>
      <c r="O128" s="156">
        <f>INCERTIDUMBRE!L13</f>
        <v>2.0060153181752876</v>
      </c>
      <c r="P128" s="156"/>
      <c r="Q128" s="3"/>
      <c r="R128" s="3"/>
    </row>
    <row r="129" spans="2:19" x14ac:dyDescent="0.3">
      <c r="E129" s="176">
        <f>MEDIDA!S18</f>
        <v>22500</v>
      </c>
      <c r="F129" s="177"/>
      <c r="G129" s="157">
        <f>MEDIDA!U18</f>
        <v>20700</v>
      </c>
      <c r="H129" s="157">
        <v>9</v>
      </c>
      <c r="I129" s="157"/>
      <c r="J129" s="157">
        <f>INCERTIDUMBRE!D14</f>
        <v>-1800.2238999999972</v>
      </c>
      <c r="K129" s="157"/>
      <c r="L129" s="156">
        <f>INCERTIDUMBRE!N14</f>
        <v>8.3006454706902435</v>
      </c>
      <c r="M129" s="156"/>
      <c r="N129" s="156"/>
      <c r="O129" s="156">
        <f>INCERTIDUMBRE!L14</f>
        <v>2.0059580222440148</v>
      </c>
      <c r="P129" s="156"/>
      <c r="Q129" s="3"/>
      <c r="R129" s="3"/>
    </row>
    <row r="130" spans="2:19" x14ac:dyDescent="0.3">
      <c r="E130" s="176">
        <f>MEDIDA!S19</f>
        <v>25000</v>
      </c>
      <c r="F130" s="177"/>
      <c r="G130" s="157">
        <f>MEDIDA!U19</f>
        <v>23000</v>
      </c>
      <c r="H130" s="157">
        <v>10</v>
      </c>
      <c r="I130" s="157"/>
      <c r="J130" s="157">
        <f>INCERTIDUMBRE!D15</f>
        <v>-2000.2789999999986</v>
      </c>
      <c r="K130" s="157"/>
      <c r="L130" s="156">
        <f>INCERTIDUMBRE!N15</f>
        <v>8.3262815895943803</v>
      </c>
      <c r="M130" s="156"/>
      <c r="N130" s="156"/>
      <c r="O130" s="156">
        <f>INCERTIDUMBRE!L15</f>
        <v>2.0058879197812489</v>
      </c>
      <c r="P130" s="156"/>
      <c r="Q130" s="3"/>
      <c r="R130" s="3"/>
    </row>
    <row r="134" spans="2:19" ht="16.95" customHeight="1" x14ac:dyDescent="0.3">
      <c r="B134" s="189" t="s">
        <v>220</v>
      </c>
      <c r="C134" s="189"/>
      <c r="D134" s="189"/>
      <c r="E134" s="189"/>
      <c r="F134" s="189"/>
      <c r="G134" s="189"/>
      <c r="H134" s="189"/>
      <c r="I134" s="189"/>
      <c r="J134" s="189"/>
      <c r="K134" s="189"/>
      <c r="L134" s="189"/>
      <c r="M134" s="189"/>
      <c r="N134" s="189"/>
      <c r="O134" s="189"/>
      <c r="P134" s="189"/>
      <c r="Q134" s="189"/>
      <c r="R134" s="189"/>
      <c r="S134" s="189"/>
    </row>
    <row r="135" spans="2:19" ht="16.95" customHeight="1" x14ac:dyDescent="0.3"/>
    <row r="136" spans="2:19" ht="16.95" customHeight="1" x14ac:dyDescent="0.3">
      <c r="B136" s="187" t="s">
        <v>20</v>
      </c>
      <c r="C136" s="187"/>
      <c r="D136" s="187"/>
      <c r="E136" s="187"/>
      <c r="F136" s="187"/>
      <c r="G136" s="187"/>
      <c r="H136" s="190" t="s">
        <v>177</v>
      </c>
      <c r="I136" s="190"/>
      <c r="J136" s="190"/>
      <c r="K136" s="190"/>
      <c r="L136" s="190"/>
      <c r="M136" s="190"/>
      <c r="N136" s="190"/>
      <c r="O136" s="190"/>
      <c r="P136" s="190"/>
      <c r="Q136" s="190"/>
      <c r="R136" s="190"/>
      <c r="S136" s="190"/>
    </row>
    <row r="137" spans="2:19" ht="16.95" customHeight="1" x14ac:dyDescent="0.3">
      <c r="B137" s="187" t="s">
        <v>21</v>
      </c>
      <c r="C137" s="187"/>
      <c r="D137" s="187"/>
      <c r="E137" s="187"/>
      <c r="F137" s="187"/>
      <c r="G137" s="187"/>
      <c r="H137" s="190" t="s">
        <v>177</v>
      </c>
      <c r="I137" s="190"/>
      <c r="J137" s="190"/>
      <c r="K137" s="190"/>
      <c r="L137" s="190"/>
      <c r="M137" s="190"/>
      <c r="N137" s="190"/>
      <c r="O137" s="190"/>
      <c r="P137" s="190"/>
      <c r="Q137" s="190"/>
      <c r="R137" s="190"/>
      <c r="S137" s="190"/>
    </row>
    <row r="138" spans="2:19" ht="16.95" customHeight="1" x14ac:dyDescent="0.3">
      <c r="B138" s="187" t="s">
        <v>22</v>
      </c>
      <c r="C138" s="187"/>
      <c r="D138" s="187"/>
      <c r="E138" s="187"/>
      <c r="F138" s="4"/>
      <c r="G138" s="4"/>
      <c r="H138" s="4"/>
    </row>
    <row r="139" spans="2:19" x14ac:dyDescent="0.3">
      <c r="B139" s="191" t="s">
        <v>23</v>
      </c>
      <c r="C139" s="191"/>
      <c r="D139" s="191"/>
      <c r="E139" s="191"/>
      <c r="F139" s="191"/>
      <c r="G139" s="191"/>
      <c r="H139" s="190" t="s">
        <v>288</v>
      </c>
      <c r="I139" s="190"/>
      <c r="J139" s="190"/>
      <c r="K139" s="190"/>
      <c r="L139" s="190"/>
      <c r="M139" s="190"/>
      <c r="N139" s="190"/>
      <c r="O139" s="190"/>
      <c r="P139" s="190"/>
      <c r="Q139" s="190"/>
      <c r="R139" s="190"/>
      <c r="S139" s="190"/>
    </row>
    <row r="140" spans="2:19" x14ac:dyDescent="0.3">
      <c r="B140" s="191" t="s">
        <v>24</v>
      </c>
      <c r="C140" s="191"/>
      <c r="D140" s="191"/>
      <c r="E140" s="191"/>
      <c r="F140" s="191"/>
      <c r="G140" s="191"/>
      <c r="H140" s="192" t="s">
        <v>182</v>
      </c>
      <c r="I140" s="192"/>
      <c r="J140" s="192"/>
      <c r="K140" s="192"/>
      <c r="L140" s="192"/>
      <c r="M140" s="192"/>
      <c r="N140" s="192"/>
      <c r="O140" s="192"/>
      <c r="P140" s="192"/>
      <c r="Q140" s="192"/>
      <c r="R140" s="192"/>
      <c r="S140" s="192"/>
    </row>
    <row r="141" spans="2:19" x14ac:dyDescent="0.3">
      <c r="B141" s="4" t="s">
        <v>25</v>
      </c>
      <c r="C141" s="4"/>
      <c r="D141" s="4"/>
      <c r="E141" s="4"/>
      <c r="F141" s="4"/>
      <c r="G141" s="4"/>
      <c r="H141" s="190" t="s">
        <v>177</v>
      </c>
      <c r="I141" s="190"/>
      <c r="J141" s="190"/>
      <c r="K141" s="190"/>
      <c r="L141" s="190"/>
      <c r="M141" s="190"/>
      <c r="N141" s="190"/>
      <c r="O141" s="190"/>
      <c r="P141" s="190"/>
      <c r="Q141" s="190"/>
      <c r="R141" s="190"/>
      <c r="S141" s="190"/>
    </row>
    <row r="142" spans="2:19" x14ac:dyDescent="0.3">
      <c r="B142" s="4"/>
      <c r="C142" s="4"/>
      <c r="D142" s="4"/>
      <c r="E142" s="4"/>
      <c r="F142" s="4"/>
      <c r="G142" s="4"/>
      <c r="H142" s="91"/>
      <c r="I142" s="91"/>
      <c r="J142" s="91"/>
      <c r="K142" s="91"/>
      <c r="L142" s="91"/>
      <c r="M142" s="91"/>
      <c r="N142" s="91"/>
      <c r="O142" s="91"/>
      <c r="P142" s="91"/>
      <c r="Q142" s="91"/>
      <c r="R142" s="91"/>
      <c r="S142" s="91"/>
    </row>
    <row r="144" spans="2:19" ht="24" customHeight="1" x14ac:dyDescent="0.3">
      <c r="B144" s="240" t="s">
        <v>310</v>
      </c>
      <c r="C144" s="240"/>
      <c r="D144" s="240"/>
      <c r="E144" s="240"/>
      <c r="F144" s="240"/>
      <c r="G144" s="240"/>
      <c r="H144" s="240"/>
      <c r="I144" s="240"/>
      <c r="J144" s="240"/>
      <c r="K144" s="240"/>
      <c r="L144" s="240"/>
      <c r="M144" s="240"/>
      <c r="N144" s="240"/>
      <c r="O144" s="240"/>
      <c r="P144" s="240"/>
      <c r="Q144" s="240"/>
      <c r="R144" s="240"/>
      <c r="S144" s="240"/>
    </row>
    <row r="156" ht="16.2" customHeight="1" x14ac:dyDescent="0.3"/>
    <row r="161" ht="16.95" customHeight="1" x14ac:dyDescent="0.3"/>
    <row r="162" ht="24" customHeight="1" x14ac:dyDescent="0.3"/>
    <row r="166" ht="16.95" customHeight="1" x14ac:dyDescent="0.3"/>
    <row r="170" ht="24" customHeight="1" x14ac:dyDescent="0.3"/>
  </sheetData>
  <mergeCells count="201">
    <mergeCell ref="B75:G75"/>
    <mergeCell ref="H75:L75"/>
    <mergeCell ref="M75:O75"/>
    <mergeCell ref="P75:S75"/>
    <mergeCell ref="B144:S144"/>
    <mergeCell ref="B136:G136"/>
    <mergeCell ref="B137:G137"/>
    <mergeCell ref="B134:S134"/>
    <mergeCell ref="F86:G86"/>
    <mergeCell ref="F85:G85"/>
    <mergeCell ref="B139:G139"/>
    <mergeCell ref="F88:G88"/>
    <mergeCell ref="F87:G87"/>
    <mergeCell ref="H94:I94"/>
    <mergeCell ref="H141:S141"/>
    <mergeCell ref="L101:N101"/>
    <mergeCell ref="F102:G102"/>
    <mergeCell ref="H102:I102"/>
    <mergeCell ref="J102:K102"/>
    <mergeCell ref="L102:N102"/>
    <mergeCell ref="L89:O89"/>
    <mergeCell ref="F90:G90"/>
    <mergeCell ref="H90:J90"/>
    <mergeCell ref="E120:F120"/>
    <mergeCell ref="R112:S112"/>
    <mergeCell ref="O112:Q112"/>
    <mergeCell ref="B138:E138"/>
    <mergeCell ref="H137:S137"/>
    <mergeCell ref="O120:P120"/>
    <mergeCell ref="O118:P119"/>
    <mergeCell ref="E121:F121"/>
    <mergeCell ref="H99:I99"/>
    <mergeCell ref="F100:G100"/>
    <mergeCell ref="H100:I100"/>
    <mergeCell ref="L99:N99"/>
    <mergeCell ref="J100:K100"/>
    <mergeCell ref="L100:N100"/>
    <mergeCell ref="E124:F124"/>
    <mergeCell ref="G124:I124"/>
    <mergeCell ref="J124:K124"/>
    <mergeCell ref="L124:N124"/>
    <mergeCell ref="O124:P124"/>
    <mergeCell ref="G123:I123"/>
    <mergeCell ref="J123:K123"/>
    <mergeCell ref="L123:N123"/>
    <mergeCell ref="O123:P123"/>
    <mergeCell ref="E123:F123"/>
    <mergeCell ref="O125:P125"/>
    <mergeCell ref="I18:R18"/>
    <mergeCell ref="I19:R19"/>
    <mergeCell ref="I5:R5"/>
    <mergeCell ref="I6:R6"/>
    <mergeCell ref="M31:R31"/>
    <mergeCell ref="I31:L31"/>
    <mergeCell ref="C15:R15"/>
    <mergeCell ref="C17:G17"/>
    <mergeCell ref="C18:G18"/>
    <mergeCell ref="I13:R13"/>
    <mergeCell ref="I11:R11"/>
    <mergeCell ref="I12:R12"/>
    <mergeCell ref="C19:G19"/>
    <mergeCell ref="C13:G13"/>
    <mergeCell ref="C12:G12"/>
    <mergeCell ref="C11:G11"/>
    <mergeCell ref="I17:R17"/>
    <mergeCell ref="I33:L33"/>
    <mergeCell ref="B50:S50"/>
    <mergeCell ref="B41:S43"/>
    <mergeCell ref="B40:S40"/>
    <mergeCell ref="B65:S68"/>
    <mergeCell ref="P71:S71"/>
    <mergeCell ref="H70:L70"/>
    <mergeCell ref="H71:L71"/>
    <mergeCell ref="I20:R20"/>
    <mergeCell ref="I21:R21"/>
    <mergeCell ref="C23:R28"/>
    <mergeCell ref="M32:O32"/>
    <mergeCell ref="I32:L32"/>
    <mergeCell ref="R38:S38"/>
    <mergeCell ref="O38:Q38"/>
    <mergeCell ref="C20:G20"/>
    <mergeCell ref="C21:G21"/>
    <mergeCell ref="I1:K1"/>
    <mergeCell ref="J2:K2"/>
    <mergeCell ref="G2:I2"/>
    <mergeCell ref="C3:R3"/>
    <mergeCell ref="I9:R9"/>
    <mergeCell ref="I10:R10"/>
    <mergeCell ref="I7:R7"/>
    <mergeCell ref="I8:R8"/>
    <mergeCell ref="C9:G9"/>
    <mergeCell ref="C8:G8"/>
    <mergeCell ref="C7:G7"/>
    <mergeCell ref="C6:G6"/>
    <mergeCell ref="C5:G5"/>
    <mergeCell ref="O1:Q1"/>
    <mergeCell ref="R1:S1"/>
    <mergeCell ref="C10:G10"/>
    <mergeCell ref="B73:G73"/>
    <mergeCell ref="B64:S64"/>
    <mergeCell ref="F45:J45"/>
    <mergeCell ref="F48:J48"/>
    <mergeCell ref="F46:G46"/>
    <mergeCell ref="K46:L46"/>
    <mergeCell ref="K48:P48"/>
    <mergeCell ref="K45:O45"/>
    <mergeCell ref="B51:S58"/>
    <mergeCell ref="B61:S62"/>
    <mergeCell ref="H73:L73"/>
    <mergeCell ref="M72:O72"/>
    <mergeCell ref="M73:O73"/>
    <mergeCell ref="P72:S72"/>
    <mergeCell ref="P73:S73"/>
    <mergeCell ref="B70:G70"/>
    <mergeCell ref="B71:G71"/>
    <mergeCell ref="H72:L72"/>
    <mergeCell ref="M70:O70"/>
    <mergeCell ref="M71:O71"/>
    <mergeCell ref="P70:S70"/>
    <mergeCell ref="B60:S60"/>
    <mergeCell ref="B72:G72"/>
    <mergeCell ref="H81:I81"/>
    <mergeCell ref="H85:J85"/>
    <mergeCell ref="L85:O85"/>
    <mergeCell ref="H86:J86"/>
    <mergeCell ref="R76:S76"/>
    <mergeCell ref="O76:Q76"/>
    <mergeCell ref="B78:S78"/>
    <mergeCell ref="H139:S139"/>
    <mergeCell ref="B140:G140"/>
    <mergeCell ref="H140:S140"/>
    <mergeCell ref="L86:O86"/>
    <mergeCell ref="H87:J87"/>
    <mergeCell ref="H88:J88"/>
    <mergeCell ref="F89:G89"/>
    <mergeCell ref="H89:J89"/>
    <mergeCell ref="H136:S136"/>
    <mergeCell ref="G118:I119"/>
    <mergeCell ref="J118:K119"/>
    <mergeCell ref="L118:N119"/>
    <mergeCell ref="L88:O88"/>
    <mergeCell ref="L87:O87"/>
    <mergeCell ref="F101:G101"/>
    <mergeCell ref="H101:I101"/>
    <mergeCell ref="J101:K101"/>
    <mergeCell ref="L98:N98"/>
    <mergeCell ref="J99:K99"/>
    <mergeCell ref="G121:I121"/>
    <mergeCell ref="J121:K121"/>
    <mergeCell ref="L121:N121"/>
    <mergeCell ref="O121:P121"/>
    <mergeCell ref="E122:F122"/>
    <mergeCell ref="G122:I122"/>
    <mergeCell ref="J122:K122"/>
    <mergeCell ref="L122:N122"/>
    <mergeCell ref="O122:P122"/>
    <mergeCell ref="F98:G98"/>
    <mergeCell ref="H98:I98"/>
    <mergeCell ref="G120:I120"/>
    <mergeCell ref="J120:K120"/>
    <mergeCell ref="L120:N120"/>
    <mergeCell ref="F99:G99"/>
    <mergeCell ref="E130:F130"/>
    <mergeCell ref="G130:I130"/>
    <mergeCell ref="J130:K130"/>
    <mergeCell ref="L130:N130"/>
    <mergeCell ref="O130:P130"/>
    <mergeCell ref="E127:F127"/>
    <mergeCell ref="G127:I127"/>
    <mergeCell ref="J127:K127"/>
    <mergeCell ref="L127:N127"/>
    <mergeCell ref="O127:P127"/>
    <mergeCell ref="E129:F129"/>
    <mergeCell ref="G129:I129"/>
    <mergeCell ref="J129:K129"/>
    <mergeCell ref="L129:N129"/>
    <mergeCell ref="O129:P129"/>
    <mergeCell ref="L126:N126"/>
    <mergeCell ref="O126:P126"/>
    <mergeCell ref="G126:I126"/>
    <mergeCell ref="J126:K126"/>
    <mergeCell ref="B74:G74"/>
    <mergeCell ref="H74:L74"/>
    <mergeCell ref="M74:O74"/>
    <mergeCell ref="P74:S74"/>
    <mergeCell ref="O128:P128"/>
    <mergeCell ref="L97:N97"/>
    <mergeCell ref="J97:K97"/>
    <mergeCell ref="H97:I97"/>
    <mergeCell ref="F97:G97"/>
    <mergeCell ref="E118:F119"/>
    <mergeCell ref="E128:F128"/>
    <mergeCell ref="G128:I128"/>
    <mergeCell ref="J128:K128"/>
    <mergeCell ref="L128:N128"/>
    <mergeCell ref="E126:F126"/>
    <mergeCell ref="E125:F125"/>
    <mergeCell ref="G125:I125"/>
    <mergeCell ref="J125:K125"/>
    <mergeCell ref="L125:N125"/>
    <mergeCell ref="J98:K98"/>
  </mergeCells>
  <phoneticPr fontId="23"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rowBreaks count="1" manualBreakCount="1">
    <brk id="111" max="16383" man="1"/>
  </rowBreaks>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2024-09-19T20:22:42Z</cp:lastPrinted>
  <dcterms:created xsi:type="dcterms:W3CDTF">2021-02-01T13:40:27Z</dcterms:created>
  <dcterms:modified xsi:type="dcterms:W3CDTF">2026-05-05T01:12:37Z</dcterms:modified>
</cp:coreProperties>
</file>