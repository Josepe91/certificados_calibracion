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5D8C0F11-19A6-4339-92C2-DE31EE87696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state="hidden" r:id="rId5"/>
    <sheet name="CERTIFICADO"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24" i="20" l="1"/>
  <c r="X24" i="20" s="1"/>
  <c r="Z24" i="20" s="1"/>
  <c r="V25" i="20"/>
  <c r="X25" i="20" s="1"/>
  <c r="Z25" i="20" s="1"/>
  <c r="V26" i="20"/>
  <c r="X26" i="20" s="1"/>
  <c r="Z26" i="20" s="1"/>
  <c r="X23" i="20"/>
  <c r="Z23" i="20" s="1"/>
  <c r="V23" i="20"/>
  <c r="T17" i="20"/>
  <c r="V17" i="20" s="1"/>
  <c r="X17" i="20" s="1"/>
  <c r="Z17" i="20" s="1"/>
  <c r="T16" i="20"/>
  <c r="V16" i="20" s="1"/>
  <c r="X16" i="20" s="1"/>
  <c r="Z16" i="20" s="1"/>
  <c r="T15" i="20"/>
  <c r="V15" i="20" s="1"/>
  <c r="X15" i="20" s="1"/>
  <c r="Z15" i="20" s="1"/>
  <c r="T14" i="20"/>
  <c r="V14" i="20" s="1"/>
  <c r="X14" i="20" s="1"/>
  <c r="Z14" i="20" s="1"/>
  <c r="T13" i="20"/>
  <c r="V13" i="20" s="1"/>
  <c r="X13" i="20" s="1"/>
  <c r="Z13" i="20" s="1"/>
  <c r="V5" i="20"/>
  <c r="X5" i="20" s="1"/>
  <c r="Z5" i="20" s="1"/>
  <c r="V6" i="20"/>
  <c r="X6" i="20" s="1"/>
  <c r="Z6" i="20" s="1"/>
  <c r="V7" i="20"/>
  <c r="X7" i="20" s="1"/>
  <c r="Z7" i="20" s="1"/>
  <c r="X4" i="20"/>
  <c r="Z4" i="20" s="1"/>
  <c r="V4" i="20"/>
  <c r="D23" i="20"/>
  <c r="D24" i="20" s="1"/>
  <c r="D25" i="20" s="1"/>
  <c r="D26" i="20" s="1"/>
  <c r="D27" i="20" s="1"/>
  <c r="D13" i="20"/>
  <c r="D14" i="20" s="1"/>
  <c r="D15" i="20" s="1"/>
  <c r="D16" i="20" s="1"/>
  <c r="D17" i="20" s="1"/>
  <c r="D4" i="20"/>
  <c r="D5" i="20" s="1"/>
  <c r="D6" i="20" s="1"/>
  <c r="D7" i="20" s="1"/>
  <c r="D8" i="20" s="1"/>
  <c r="J156" i="31" l="1"/>
  <c r="H157" i="31"/>
  <c r="H158" i="31"/>
  <c r="H156" i="31"/>
  <c r="F157" i="31"/>
  <c r="F158" i="31"/>
  <c r="F156" i="31"/>
  <c r="F33" i="20"/>
  <c r="J158" i="31" s="1"/>
  <c r="F32" i="20"/>
  <c r="J157" i="31" s="1"/>
  <c r="F31" i="20"/>
  <c r="D105" i="31" l="1"/>
  <c r="D106" i="31"/>
  <c r="D107" i="31"/>
  <c r="D108" i="31"/>
  <c r="D104" i="31"/>
  <c r="B105" i="31"/>
  <c r="B106" i="31"/>
  <c r="B107" i="31"/>
  <c r="B108" i="31"/>
  <c r="B104" i="31"/>
  <c r="B13" i="21"/>
  <c r="B14" i="21"/>
  <c r="B15" i="21"/>
  <c r="B16" i="21"/>
  <c r="B12" i="21"/>
  <c r="D95" i="31"/>
  <c r="D96" i="31"/>
  <c r="D97" i="31"/>
  <c r="D98" i="31"/>
  <c r="D94" i="31"/>
  <c r="B95" i="31"/>
  <c r="B96" i="31"/>
  <c r="B97" i="31"/>
  <c r="B98" i="31"/>
  <c r="B94" i="31"/>
  <c r="S108" i="31"/>
  <c r="S107" i="31"/>
  <c r="S106" i="31"/>
  <c r="S105" i="31"/>
  <c r="S104" i="31"/>
  <c r="S98" i="31"/>
  <c r="S97" i="31"/>
  <c r="S96" i="31"/>
  <c r="S95" i="31"/>
  <c r="S94" i="31"/>
  <c r="J27" i="20"/>
  <c r="J108" i="31" s="1"/>
  <c r="H27" i="20"/>
  <c r="H108" i="31" s="1"/>
  <c r="F27" i="20"/>
  <c r="F108" i="31" s="1"/>
  <c r="J26" i="20"/>
  <c r="J107" i="31" s="1"/>
  <c r="H26" i="20"/>
  <c r="H107" i="31" s="1"/>
  <c r="F26" i="20"/>
  <c r="F107" i="31" s="1"/>
  <c r="J25" i="20"/>
  <c r="J106" i="31" s="1"/>
  <c r="H25" i="20"/>
  <c r="H106" i="31" s="1"/>
  <c r="F25" i="20"/>
  <c r="F106" i="31" s="1"/>
  <c r="J24" i="20"/>
  <c r="J105" i="31" s="1"/>
  <c r="H24" i="20"/>
  <c r="H105" i="31" s="1"/>
  <c r="F24" i="20"/>
  <c r="F105" i="31" s="1"/>
  <c r="J23" i="20"/>
  <c r="J104" i="31" s="1"/>
  <c r="H23" i="20"/>
  <c r="H104" i="31" s="1"/>
  <c r="F23" i="20"/>
  <c r="F104" i="31" s="1"/>
  <c r="J17" i="20"/>
  <c r="J98" i="31" s="1"/>
  <c r="H17" i="20"/>
  <c r="H98" i="31" s="1"/>
  <c r="F17" i="20"/>
  <c r="J16" i="20"/>
  <c r="J97" i="31" s="1"/>
  <c r="H16" i="20"/>
  <c r="H97" i="31" s="1"/>
  <c r="F16" i="20"/>
  <c r="J15" i="20"/>
  <c r="H15" i="20"/>
  <c r="H96" i="31" s="1"/>
  <c r="F15" i="20"/>
  <c r="F96" i="31" s="1"/>
  <c r="J14" i="20"/>
  <c r="J95" i="31" s="1"/>
  <c r="H14" i="20"/>
  <c r="H95" i="31" s="1"/>
  <c r="F14" i="20"/>
  <c r="F95" i="31" s="1"/>
  <c r="J13" i="20"/>
  <c r="J94" i="31" s="1"/>
  <c r="H13" i="20"/>
  <c r="H94" i="31" s="1"/>
  <c r="F13" i="20"/>
  <c r="F94" i="31" s="1"/>
  <c r="B10" i="23"/>
  <c r="B9" i="23"/>
  <c r="I12" i="31"/>
  <c r="J8" i="20"/>
  <c r="J88" i="31" s="1"/>
  <c r="H8" i="20"/>
  <c r="H88" i="31" s="1"/>
  <c r="F8" i="20"/>
  <c r="F88" i="31" s="1"/>
  <c r="J7" i="20"/>
  <c r="J87" i="31" s="1"/>
  <c r="H7" i="20"/>
  <c r="H87" i="31" s="1"/>
  <c r="F7" i="20"/>
  <c r="F87" i="31" s="1"/>
  <c r="J6" i="20"/>
  <c r="J86" i="31" s="1"/>
  <c r="H6" i="20"/>
  <c r="F6" i="20"/>
  <c r="J5" i="20"/>
  <c r="J85" i="31" s="1"/>
  <c r="H5" i="20"/>
  <c r="H85" i="31" s="1"/>
  <c r="F5" i="20"/>
  <c r="F85" i="31" s="1"/>
  <c r="J4" i="20"/>
  <c r="H4" i="20"/>
  <c r="H84" i="31" s="1"/>
  <c r="F4" i="20"/>
  <c r="F84" i="31" s="1"/>
  <c r="R1" i="31"/>
  <c r="R76" i="31" s="1"/>
  <c r="R114" i="31" s="1"/>
  <c r="R150" i="31" s="1"/>
  <c r="I10" i="31"/>
  <c r="I9" i="31"/>
  <c r="I8" i="31"/>
  <c r="I7" i="31"/>
  <c r="I6" i="31"/>
  <c r="I5" i="31"/>
  <c r="I11" i="3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41"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S124" i="3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B43" i="21"/>
  <c r="B44" i="21"/>
  <c r="B45" i="21"/>
  <c r="B46" i="21"/>
  <c r="B42" i="21"/>
  <c r="B36" i="21"/>
  <c r="B37" i="21"/>
  <c r="B38" i="21"/>
  <c r="B35" i="21"/>
  <c r="B29" i="21"/>
  <c r="B30" i="21"/>
  <c r="B31" i="21"/>
  <c r="B28" i="21"/>
  <c r="B21" i="21"/>
  <c r="B22" i="21"/>
  <c r="B23" i="21"/>
  <c r="B24" i="21"/>
  <c r="B20" i="21"/>
  <c r="B5" i="21"/>
  <c r="B6" i="21"/>
  <c r="B7" i="21"/>
  <c r="B8" i="21"/>
  <c r="B4" i="21"/>
  <c r="AB16" i="20"/>
  <c r="AD16" i="20" s="1"/>
  <c r="N144" i="31" s="1"/>
  <c r="AB17" i="20"/>
  <c r="L145" i="31" s="1"/>
  <c r="J142" i="31"/>
  <c r="J143" i="31"/>
  <c r="J144" i="31"/>
  <c r="J145" i="31"/>
  <c r="J141" i="31"/>
  <c r="H142" i="31"/>
  <c r="H143" i="31"/>
  <c r="H144" i="31"/>
  <c r="H145" i="31"/>
  <c r="H141" i="31"/>
  <c r="F142" i="31"/>
  <c r="F143" i="31"/>
  <c r="F144" i="31"/>
  <c r="F145" i="31"/>
  <c r="F141" i="31"/>
  <c r="D142" i="31"/>
  <c r="D143" i="31"/>
  <c r="D144" i="31"/>
  <c r="D145" i="31"/>
  <c r="D141" i="31"/>
  <c r="B142" i="31"/>
  <c r="B143" i="31"/>
  <c r="B144" i="31"/>
  <c r="B145" i="31"/>
  <c r="B141" i="31"/>
  <c r="J132" i="31"/>
  <c r="J133" i="31"/>
  <c r="J134" i="31"/>
  <c r="J131" i="31"/>
  <c r="H132" i="31"/>
  <c r="H133" i="31"/>
  <c r="H134" i="31"/>
  <c r="H131" i="31"/>
  <c r="F132" i="31"/>
  <c r="F133" i="31"/>
  <c r="F134" i="31"/>
  <c r="F131" i="31"/>
  <c r="D132" i="31"/>
  <c r="D133" i="31"/>
  <c r="D134" i="31"/>
  <c r="D131" i="31"/>
  <c r="J122" i="31"/>
  <c r="J123" i="31"/>
  <c r="J124" i="31"/>
  <c r="J121" i="31"/>
  <c r="H122" i="31"/>
  <c r="H123" i="31"/>
  <c r="H124" i="31"/>
  <c r="H121" i="31"/>
  <c r="F122" i="31"/>
  <c r="F123" i="31"/>
  <c r="F124" i="31"/>
  <c r="F121" i="31"/>
  <c r="D122" i="31"/>
  <c r="D123" i="31"/>
  <c r="D124" i="31"/>
  <c r="D121" i="31"/>
  <c r="AB14" i="20"/>
  <c r="L142" i="31" s="1"/>
  <c r="AB15" i="20"/>
  <c r="AD15" i="20" s="1"/>
  <c r="N143" i="31" s="1"/>
  <c r="AB13" i="20"/>
  <c r="L141" i="31" s="1"/>
  <c r="AB26" i="20"/>
  <c r="L134" i="31" s="1"/>
  <c r="AB24" i="20"/>
  <c r="L132" i="31" s="1"/>
  <c r="AB25" i="20"/>
  <c r="L133" i="31" s="1"/>
  <c r="AB23" i="20"/>
  <c r="L131" i="31" s="1"/>
  <c r="AB7" i="20"/>
  <c r="AB5" i="20"/>
  <c r="AD5" i="20" s="1"/>
  <c r="N122" i="31" s="1"/>
  <c r="AB6" i="20"/>
  <c r="L123" i="31" s="1"/>
  <c r="AB4" i="20"/>
  <c r="L121" i="31" s="1"/>
  <c r="D85" i="31"/>
  <c r="D86" i="31"/>
  <c r="D87" i="31"/>
  <c r="D88" i="31"/>
  <c r="D84" i="31"/>
  <c r="B132" i="31"/>
  <c r="B133" i="31"/>
  <c r="B134" i="31"/>
  <c r="B131" i="31"/>
  <c r="B122" i="31"/>
  <c r="B123" i="31"/>
  <c r="B124" i="31"/>
  <c r="B121" i="31"/>
  <c r="L57" i="21"/>
  <c r="L50" i="21"/>
  <c r="L52" i="21"/>
  <c r="L56" i="21"/>
  <c r="J51" i="21"/>
  <c r="K51" i="21"/>
  <c r="B85" i="31"/>
  <c r="B86" i="31"/>
  <c r="B87" i="31"/>
  <c r="B88" i="31"/>
  <c r="B84" i="31"/>
  <c r="L51" i="21"/>
  <c r="N46" i="31"/>
  <c r="K46" i="31"/>
  <c r="I46" i="31"/>
  <c r="F46" i="31"/>
  <c r="M32" i="31"/>
  <c r="M31" i="31"/>
  <c r="I18" i="31"/>
  <c r="I19" i="31"/>
  <c r="I20" i="31"/>
  <c r="I21" i="31"/>
  <c r="I17" i="31"/>
  <c r="I13" i="31"/>
  <c r="O76" i="31"/>
  <c r="O114" i="31" s="1"/>
  <c r="O150" i="31" s="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H23" i="21" l="1"/>
  <c r="I23" i="21" s="1"/>
  <c r="J23" i="21" s="1"/>
  <c r="K23" i="21" s="1"/>
  <c r="L23" i="21" s="1"/>
  <c r="L17" i="20"/>
  <c r="N17" i="20" s="1"/>
  <c r="N98" i="31" s="1"/>
  <c r="H12" i="21" a="1"/>
  <c r="H12" i="21" s="1"/>
  <c r="I12" i="21" s="1"/>
  <c r="H22" i="21"/>
  <c r="I22" i="21" s="1"/>
  <c r="L27" i="20"/>
  <c r="F98" i="31"/>
  <c r="L13" i="20"/>
  <c r="J96" i="31"/>
  <c r="H21" i="21"/>
  <c r="I21" i="21" s="1"/>
  <c r="J21" i="21" s="1"/>
  <c r="K21" i="21" s="1"/>
  <c r="F97" i="31"/>
  <c r="H20" i="21"/>
  <c r="I20" i="21" s="1"/>
  <c r="J20" i="21" s="1"/>
  <c r="K20" i="21" s="1"/>
  <c r="L20" i="21" s="1"/>
  <c r="H24" i="21"/>
  <c r="I24" i="21" s="1"/>
  <c r="L6" i="20"/>
  <c r="N6" i="20" s="1"/>
  <c r="N86" i="31" s="1"/>
  <c r="H86" i="31"/>
  <c r="H6" i="21"/>
  <c r="I6" i="21" s="1"/>
  <c r="J6" i="21" s="1"/>
  <c r="K6" i="21" s="1"/>
  <c r="S86" i="31" s="1"/>
  <c r="F86" i="31"/>
  <c r="L24" i="20"/>
  <c r="L8" i="20"/>
  <c r="L88" i="31" s="1"/>
  <c r="L16" i="20"/>
  <c r="L23" i="20"/>
  <c r="H8" i="21"/>
  <c r="I8" i="21" s="1"/>
  <c r="J8" i="21" s="1"/>
  <c r="K8" i="21" s="1"/>
  <c r="S88" i="31" s="1"/>
  <c r="L26" i="20"/>
  <c r="L14" i="20"/>
  <c r="L15" i="20"/>
  <c r="L25" i="20"/>
  <c r="H4" i="21"/>
  <c r="I4" i="21" s="1"/>
  <c r="J4" i="21" s="1"/>
  <c r="K4" i="21" s="1"/>
  <c r="S84" i="31" s="1"/>
  <c r="J84" i="31"/>
  <c r="H7" i="21"/>
  <c r="I7" i="21" s="1"/>
  <c r="J7" i="21" s="1"/>
  <c r="K7" i="21" s="1"/>
  <c r="S87" i="31" s="1"/>
  <c r="L7" i="20"/>
  <c r="N7" i="20" s="1"/>
  <c r="N87" i="31" s="1"/>
  <c r="L4" i="20"/>
  <c r="L84" i="31" s="1"/>
  <c r="L5" i="20"/>
  <c r="L85" i="31" s="1"/>
  <c r="H5" i="21"/>
  <c r="I5" i="21" s="1"/>
  <c r="J5" i="21" s="1"/>
  <c r="K5" i="21" s="1"/>
  <c r="S85" i="31" s="1"/>
  <c r="AD24" i="20"/>
  <c r="N132" i="31" s="1"/>
  <c r="B50" i="21"/>
  <c r="L122" i="31"/>
  <c r="L14" i="21"/>
  <c r="A324" i="29" s="1"/>
  <c r="E326" i="29" s="1"/>
  <c r="F329" i="29" s="1"/>
  <c r="AD6" i="20"/>
  <c r="N123" i="31" s="1"/>
  <c r="AD14" i="20"/>
  <c r="N142" i="31" s="1"/>
  <c r="AD13" i="20"/>
  <c r="N141" i="31" s="1"/>
  <c r="L31" i="21"/>
  <c r="P124" i="31" s="1"/>
  <c r="AD4" i="20"/>
  <c r="N121" i="31" s="1"/>
  <c r="J12" i="21"/>
  <c r="K12" i="21" s="1"/>
  <c r="L12" i="21" s="1"/>
  <c r="J46" i="21"/>
  <c r="K46" i="21" s="1"/>
  <c r="S145" i="31" s="1"/>
  <c r="J36" i="21"/>
  <c r="K36" i="21" s="1"/>
  <c r="S132" i="31" s="1"/>
  <c r="J366" i="29"/>
  <c r="J367" i="29"/>
  <c r="E369" i="29"/>
  <c r="E366" i="29"/>
  <c r="F369" i="29" s="1"/>
  <c r="C372" i="29"/>
  <c r="D372" i="29" s="1"/>
  <c r="E372" i="29" s="1"/>
  <c r="B364" i="29"/>
  <c r="J43" i="21"/>
  <c r="K43" i="21" s="1"/>
  <c r="S142" i="31" s="1"/>
  <c r="J29" i="21"/>
  <c r="K29" i="21" s="1"/>
  <c r="S122" i="31" s="1"/>
  <c r="C363" i="29"/>
  <c r="D363" i="29" s="1"/>
  <c r="L13" i="21"/>
  <c r="A284" i="29" s="1"/>
  <c r="J28" i="21"/>
  <c r="K28" i="21" s="1"/>
  <c r="S121" i="31" s="1"/>
  <c r="AD7" i="20"/>
  <c r="N124" i="31" s="1"/>
  <c r="L124" i="31"/>
  <c r="L16" i="21"/>
  <c r="A404" i="29" s="1"/>
  <c r="J30" i="21"/>
  <c r="K30" i="21" s="1"/>
  <c r="S123" i="31" s="1"/>
  <c r="AD17" i="20"/>
  <c r="N145" i="31" s="1"/>
  <c r="J24" i="21"/>
  <c r="K24" i="21" s="1"/>
  <c r="L24" i="21" s="1"/>
  <c r="J22" i="21"/>
  <c r="K22" i="21" s="1"/>
  <c r="L22" i="21" s="1"/>
  <c r="AD26" i="20"/>
  <c r="N134" i="31" s="1"/>
  <c r="J38" i="21"/>
  <c r="K38" i="21" s="1"/>
  <c r="S134" i="31" s="1"/>
  <c r="AD25" i="20"/>
  <c r="N133" i="31" s="1"/>
  <c r="J37" i="21"/>
  <c r="K37" i="21" s="1"/>
  <c r="S133" i="31" s="1"/>
  <c r="R38" i="31"/>
  <c r="L144" i="31"/>
  <c r="J45" i="21"/>
  <c r="K45" i="21" s="1"/>
  <c r="S144" i="31" s="1"/>
  <c r="J44" i="21"/>
  <c r="K44" i="21" s="1"/>
  <c r="S143" i="31" s="1"/>
  <c r="L143" i="31"/>
  <c r="S141" i="31"/>
  <c r="AD23" i="20"/>
  <c r="N131" i="31" s="1"/>
  <c r="J35" i="21"/>
  <c r="K35" i="21" s="1"/>
  <c r="S131" i="31" s="1"/>
  <c r="L98" i="31" l="1"/>
  <c r="L86" i="31"/>
  <c r="N24" i="20"/>
  <c r="N105" i="31" s="1"/>
  <c r="L105" i="31"/>
  <c r="N26" i="20"/>
  <c r="N107" i="31" s="1"/>
  <c r="L107" i="31"/>
  <c r="N4" i="20"/>
  <c r="N84" i="31" s="1"/>
  <c r="N23" i="20"/>
  <c r="N104" i="31" s="1"/>
  <c r="L104" i="31"/>
  <c r="N25" i="20"/>
  <c r="N106" i="31" s="1"/>
  <c r="L106" i="31"/>
  <c r="L21" i="21"/>
  <c r="N27" i="20"/>
  <c r="N108" i="31" s="1"/>
  <c r="L108" i="31"/>
  <c r="N8" i="20"/>
  <c r="N88" i="31" s="1"/>
  <c r="N15" i="20"/>
  <c r="N96" i="31" s="1"/>
  <c r="L96" i="31"/>
  <c r="N14" i="20"/>
  <c r="N95" i="31" s="1"/>
  <c r="L95" i="31"/>
  <c r="N16" i="20"/>
  <c r="N97" i="31" s="1"/>
  <c r="L97" i="31"/>
  <c r="N13" i="20"/>
  <c r="N94" i="31" s="1"/>
  <c r="L94" i="31"/>
  <c r="L8" i="21"/>
  <c r="A124" i="29" s="1"/>
  <c r="L87" i="31"/>
  <c r="A244" i="29"/>
  <c r="C243" i="29" s="1"/>
  <c r="D243" i="29" s="1"/>
  <c r="E243" i="29" s="1"/>
  <c r="F243" i="29" s="1"/>
  <c r="C246" i="29" s="1"/>
  <c r="L7" i="21"/>
  <c r="P87" i="31" s="1"/>
  <c r="P97" i="31" s="1"/>
  <c r="P107" i="31" s="1"/>
  <c r="L5" i="21"/>
  <c r="A3" i="29" s="1"/>
  <c r="N5" i="20"/>
  <c r="N85" i="31" s="1"/>
  <c r="E329" i="29"/>
  <c r="G326" i="29" s="1"/>
  <c r="H326" i="29" s="1"/>
  <c r="J326" i="29"/>
  <c r="J327" i="29"/>
  <c r="C332" i="29"/>
  <c r="D332" i="29" s="1"/>
  <c r="E332" i="29" s="1"/>
  <c r="B324" i="29"/>
  <c r="C323" i="29"/>
  <c r="D323" i="29" s="1"/>
  <c r="D324" i="29" s="1"/>
  <c r="L29" i="21"/>
  <c r="P122" i="31" s="1"/>
  <c r="G366" i="29"/>
  <c r="H366" i="29" s="1"/>
  <c r="B404" i="29"/>
  <c r="E406" i="29"/>
  <c r="F409" i="29" s="1"/>
  <c r="J406" i="29"/>
  <c r="C403" i="29"/>
  <c r="D403" i="29" s="1"/>
  <c r="E409" i="29"/>
  <c r="J407" i="29"/>
  <c r="C412" i="29"/>
  <c r="D412" i="29" s="1"/>
  <c r="E412" i="29" s="1"/>
  <c r="L46" i="21"/>
  <c r="P145" i="31" s="1"/>
  <c r="L30" i="21"/>
  <c r="P123" i="31" s="1"/>
  <c r="E363" i="29"/>
  <c r="F363" i="29" s="1"/>
  <c r="C366" i="29" s="1"/>
  <c r="D364" i="29"/>
  <c r="C283" i="29"/>
  <c r="D283" i="29" s="1"/>
  <c r="J287" i="29"/>
  <c r="E286" i="29"/>
  <c r="F289" i="29" s="1"/>
  <c r="J286" i="29"/>
  <c r="E289" i="29"/>
  <c r="B284" i="29"/>
  <c r="C292" i="29"/>
  <c r="D292" i="29" s="1"/>
  <c r="E292" i="29" s="1"/>
  <c r="L36" i="21"/>
  <c r="P132" i="31" s="1"/>
  <c r="L28" i="21"/>
  <c r="P121" i="31" s="1"/>
  <c r="L43" i="21"/>
  <c r="P142" i="31" s="1"/>
  <c r="L38" i="21"/>
  <c r="P134" i="31" s="1"/>
  <c r="L37" i="21"/>
  <c r="P133" i="31" s="1"/>
  <c r="L45" i="21"/>
  <c r="P144" i="31" s="1"/>
  <c r="L44" i="21"/>
  <c r="P143" i="31" s="1"/>
  <c r="L35" i="21"/>
  <c r="P131" i="31" s="1"/>
  <c r="L6" i="21"/>
  <c r="L4" i="21"/>
  <c r="P84" i="31" s="1"/>
  <c r="P94" i="31" s="1"/>
  <c r="P104" i="31" s="1"/>
  <c r="J247" i="29" l="1"/>
  <c r="E246" i="29"/>
  <c r="F249" i="29" s="1"/>
  <c r="J246" i="29"/>
  <c r="C252" i="29"/>
  <c r="D252" i="29" s="1"/>
  <c r="E252" i="29" s="1"/>
  <c r="E249" i="29"/>
  <c r="G246" i="29" s="1"/>
  <c r="P88" i="31"/>
  <c r="P98" i="31" s="1"/>
  <c r="P108" i="31" s="1"/>
  <c r="P85" i="31"/>
  <c r="P95" i="31" s="1"/>
  <c r="P105" i="31" s="1"/>
  <c r="A83" i="29"/>
  <c r="J85" i="29" s="1"/>
  <c r="E323" i="29"/>
  <c r="F323" i="29" s="1"/>
  <c r="C326" i="29" s="1"/>
  <c r="F326" i="29"/>
  <c r="F366" i="29"/>
  <c r="G406" i="29"/>
  <c r="F406" i="29" s="1"/>
  <c r="D244" i="29"/>
  <c r="D326" i="29"/>
  <c r="C327" i="29"/>
  <c r="C328" i="29" s="1"/>
  <c r="C247" i="29"/>
  <c r="C248" i="29" s="1"/>
  <c r="D246" i="29"/>
  <c r="E283" i="29"/>
  <c r="F283" i="29" s="1"/>
  <c r="C286" i="29" s="1"/>
  <c r="D284" i="29"/>
  <c r="D404" i="29"/>
  <c r="E403" i="29"/>
  <c r="F403" i="29" s="1"/>
  <c r="C406" i="29" s="1"/>
  <c r="D366" i="29"/>
  <c r="C367" i="29"/>
  <c r="C368" i="29" s="1"/>
  <c r="G286" i="29"/>
  <c r="H286" i="29" s="1"/>
  <c r="E126" i="29"/>
  <c r="F129" i="29" s="1"/>
  <c r="J127" i="29"/>
  <c r="J126" i="29"/>
  <c r="C132" i="29"/>
  <c r="D132" i="29" s="1"/>
  <c r="E132" i="29" s="1"/>
  <c r="E129" i="29"/>
  <c r="C123" i="29"/>
  <c r="D123" i="29" s="1"/>
  <c r="A43" i="29"/>
  <c r="P86" i="31"/>
  <c r="P96" i="31" s="1"/>
  <c r="P106" i="31" s="1"/>
  <c r="C11" i="29"/>
  <c r="D11" i="29" s="1"/>
  <c r="E11" i="29" s="1"/>
  <c r="E8" i="29"/>
  <c r="C2" i="29"/>
  <c r="D2" i="29" s="1"/>
  <c r="J6" i="29"/>
  <c r="E5" i="29"/>
  <c r="F8" i="29" s="1"/>
  <c r="J5" i="29"/>
  <c r="E85" i="29" l="1"/>
  <c r="F88" i="29" s="1"/>
  <c r="C82" i="29"/>
  <c r="D82" i="29" s="1"/>
  <c r="D83" i="29" s="1"/>
  <c r="C91" i="29"/>
  <c r="D91" i="29" s="1"/>
  <c r="E91" i="29" s="1"/>
  <c r="E88" i="29"/>
  <c r="G85" i="29" s="1"/>
  <c r="H85" i="29" s="1"/>
  <c r="J86" i="29"/>
  <c r="H406" i="29"/>
  <c r="F246" i="29"/>
  <c r="H24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G126" i="29"/>
  <c r="F126" i="29" s="1"/>
  <c r="E123" i="29"/>
  <c r="F123" i="29" s="1"/>
  <c r="C126" i="29" s="1"/>
  <c r="D124" i="29"/>
  <c r="C42" i="29"/>
  <c r="D42" i="29" s="1"/>
  <c r="E45" i="29"/>
  <c r="F48" i="29" s="1"/>
  <c r="J45" i="29"/>
  <c r="C51" i="29"/>
  <c r="D51" i="29" s="1"/>
  <c r="E51" i="29" s="1"/>
  <c r="E48" i="29"/>
  <c r="J46" i="29"/>
  <c r="G5" i="29"/>
  <c r="H5" i="29" s="1"/>
  <c r="D3" i="29"/>
  <c r="E2" i="29"/>
  <c r="F2" i="29" s="1"/>
  <c r="C5" i="29" s="1"/>
  <c r="E82" i="29" l="1"/>
  <c r="F82" i="29" s="1"/>
  <c r="C85" i="29" s="1"/>
  <c r="C86" i="29" s="1"/>
  <c r="C87" i="29" s="1"/>
  <c r="D407" i="29"/>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F5" i="29"/>
  <c r="H126" i="29"/>
  <c r="C127" i="29"/>
  <c r="C128" i="29" s="1"/>
  <c r="D126" i="29"/>
  <c r="F85" i="29"/>
  <c r="G45" i="29"/>
  <c r="H45" i="29" s="1"/>
  <c r="E42" i="29"/>
  <c r="F42" i="29" s="1"/>
  <c r="C45" i="29" s="1"/>
  <c r="D43" i="29"/>
  <c r="C6" i="29"/>
  <c r="C7" i="29" s="1"/>
  <c r="D5" i="29"/>
  <c r="D85" i="29" l="1"/>
  <c r="D86" i="29" s="1"/>
  <c r="G254" i="29"/>
  <c r="C375" i="29"/>
  <c r="C376" i="29" s="1"/>
  <c r="K374" i="29" s="1"/>
  <c r="A380" i="29" s="1"/>
  <c r="D374" i="29"/>
  <c r="J414" i="29"/>
  <c r="E414" i="29"/>
  <c r="F417" i="29" s="1"/>
  <c r="J415" i="29"/>
  <c r="E417" i="29"/>
  <c r="C420" i="29"/>
  <c r="D420" i="29" s="1"/>
  <c r="E420" i="29" s="1"/>
  <c r="C414" i="29"/>
  <c r="C255" i="29"/>
  <c r="C256" i="29" s="1"/>
  <c r="D254" i="29"/>
  <c r="C300" i="29"/>
  <c r="D300" i="29" s="1"/>
  <c r="E300" i="29" s="1"/>
  <c r="J295" i="29"/>
  <c r="C294" i="29"/>
  <c r="E297" i="29"/>
  <c r="J294" i="29"/>
  <c r="E294" i="29"/>
  <c r="F297" i="29" s="1"/>
  <c r="G334" i="29"/>
  <c r="H334" i="29" s="1"/>
  <c r="D334" i="29"/>
  <c r="C335" i="29"/>
  <c r="C336" i="29" s="1"/>
  <c r="K334" i="29" s="1"/>
  <c r="A340" i="29" s="1"/>
  <c r="G374" i="29"/>
  <c r="H374" i="29" s="1"/>
  <c r="F45" i="29"/>
  <c r="D129" i="29"/>
  <c r="H123" i="29" s="1"/>
  <c r="D127" i="29"/>
  <c r="D45" i="29"/>
  <c r="C46" i="29"/>
  <c r="C47" i="29" s="1"/>
  <c r="D8" i="29"/>
  <c r="H2" i="29" s="1"/>
  <c r="D6" i="29"/>
  <c r="D88" i="29" l="1"/>
  <c r="H82" i="29" s="1"/>
  <c r="G414" i="29"/>
  <c r="H414" i="29" s="1"/>
  <c r="G294" i="29"/>
  <c r="H294" i="29" s="1"/>
  <c r="F374" i="29"/>
  <c r="F254" i="29"/>
  <c r="H254"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K254" i="29" s="1"/>
  <c r="A260" i="29" s="1"/>
  <c r="E382" i="29"/>
  <c r="F385" i="29" s="1"/>
  <c r="C382" i="29"/>
  <c r="J382" i="29"/>
  <c r="E385" i="29"/>
  <c r="J383" i="29"/>
  <c r="C388" i="29"/>
  <c r="D388" i="29" s="1"/>
  <c r="E388" i="29" s="1"/>
  <c r="F294" i="29"/>
  <c r="F414" i="29"/>
  <c r="F334" i="29"/>
  <c r="K126" i="29"/>
  <c r="A132" i="29" s="1"/>
  <c r="C140" i="29" s="1"/>
  <c r="D140" i="29" s="1"/>
  <c r="E140" i="29" s="1"/>
  <c r="K85" i="29"/>
  <c r="A91" i="29" s="1"/>
  <c r="C93" i="29" s="1"/>
  <c r="D48" i="29"/>
  <c r="K45" i="29" s="1"/>
  <c r="A51" i="29" s="1"/>
  <c r="D46" i="29"/>
  <c r="K5" i="29"/>
  <c r="A11" i="29" s="1"/>
  <c r="J14" i="29" s="1"/>
  <c r="J262" i="29" l="1"/>
  <c r="C268" i="29"/>
  <c r="D268" i="29" s="1"/>
  <c r="E268" i="29" s="1"/>
  <c r="J263" i="29"/>
  <c r="E262" i="29"/>
  <c r="F265" i="29" s="1"/>
  <c r="E265" i="29"/>
  <c r="C262" i="29"/>
  <c r="D262" i="29" s="1"/>
  <c r="G382" i="29"/>
  <c r="H382" i="29" s="1"/>
  <c r="C383" i="29"/>
  <c r="C384" i="29" s="1"/>
  <c r="K382" i="29" s="1"/>
  <c r="A388" i="29" s="1"/>
  <c r="D382" i="29"/>
  <c r="J423" i="29"/>
  <c r="E425" i="29"/>
  <c r="E422" i="29"/>
  <c r="F425" i="29" s="1"/>
  <c r="J422" i="29"/>
  <c r="C422" i="29"/>
  <c r="C428" i="29"/>
  <c r="D428" i="29" s="1"/>
  <c r="E428" i="29" s="1"/>
  <c r="D342" i="29"/>
  <c r="C343" i="29"/>
  <c r="C344" i="29" s="1"/>
  <c r="K342" i="29" s="1"/>
  <c r="A348" i="29" s="1"/>
  <c r="F382" i="29"/>
  <c r="D415" i="29"/>
  <c r="D417" i="29"/>
  <c r="E302" i="29"/>
  <c r="F305" i="29" s="1"/>
  <c r="C302" i="29"/>
  <c r="C308" i="29"/>
  <c r="D308" i="29" s="1"/>
  <c r="E308" i="29" s="1"/>
  <c r="J303" i="29"/>
  <c r="E305" i="29"/>
  <c r="J302" i="29"/>
  <c r="G342" i="29"/>
  <c r="H342" i="29" s="1"/>
  <c r="D297" i="29"/>
  <c r="D295" i="29"/>
  <c r="C13" i="29"/>
  <c r="C14" i="29" s="1"/>
  <c r="C15" i="29" s="1"/>
  <c r="K13" i="29" s="1"/>
  <c r="A19" i="29" s="1"/>
  <c r="C19" i="29"/>
  <c r="D19" i="29" s="1"/>
  <c r="E19" i="29" s="1"/>
  <c r="E13" i="29"/>
  <c r="F16" i="29" s="1"/>
  <c r="J13" i="29"/>
  <c r="J135" i="29"/>
  <c r="E137" i="29"/>
  <c r="C134" i="29"/>
  <c r="D134" i="29" s="1"/>
  <c r="E134" i="29"/>
  <c r="F137" i="29" s="1"/>
  <c r="J134" i="29"/>
  <c r="J93" i="29"/>
  <c r="E93" i="29"/>
  <c r="F96" i="29" s="1"/>
  <c r="E96" i="29"/>
  <c r="J94" i="29"/>
  <c r="C99" i="29"/>
  <c r="D99" i="29" s="1"/>
  <c r="E99" i="29" s="1"/>
  <c r="C94" i="29"/>
  <c r="C95" i="29" s="1"/>
  <c r="D93" i="29"/>
  <c r="H42" i="29"/>
  <c r="C59" i="29"/>
  <c r="D59" i="29" s="1"/>
  <c r="E59" i="29" s="1"/>
  <c r="E53" i="29"/>
  <c r="F56" i="29" s="1"/>
  <c r="C53" i="29"/>
  <c r="J53" i="29"/>
  <c r="E56" i="29"/>
  <c r="J54" i="29"/>
  <c r="E16" i="29"/>
  <c r="G262" i="29" l="1"/>
  <c r="H262" i="29" s="1"/>
  <c r="C263" i="29"/>
  <c r="C264" i="29" s="1"/>
  <c r="K262" i="29" s="1"/>
  <c r="A268" i="29" s="1"/>
  <c r="E273" i="29" s="1"/>
  <c r="F262" i="29"/>
  <c r="D13" i="29"/>
  <c r="D14" i="29" s="1"/>
  <c r="G302" i="29"/>
  <c r="H302" i="29" s="1"/>
  <c r="F342" i="29"/>
  <c r="G93" i="29"/>
  <c r="H93" i="29" s="1"/>
  <c r="G13" i="29"/>
  <c r="F13" i="29" s="1"/>
  <c r="D263" i="29"/>
  <c r="D265" i="29"/>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G134" i="29"/>
  <c r="H134" i="29" s="1"/>
  <c r="C135" i="29"/>
  <c r="C136" i="29" s="1"/>
  <c r="D135" i="29"/>
  <c r="D137" i="29"/>
  <c r="D96" i="29"/>
  <c r="K93" i="29" s="1"/>
  <c r="A99" i="29" s="1"/>
  <c r="D94" i="29"/>
  <c r="G53" i="29"/>
  <c r="H53" i="29" s="1"/>
  <c r="D53" i="29"/>
  <c r="C54" i="29"/>
  <c r="C55" i="29" s="1"/>
  <c r="D16" i="29"/>
  <c r="J22" i="29"/>
  <c r="E24" i="29"/>
  <c r="C21" i="29"/>
  <c r="E21" i="29"/>
  <c r="F24" i="29" s="1"/>
  <c r="J21" i="29"/>
  <c r="C27" i="29"/>
  <c r="D27" i="29" s="1"/>
  <c r="E27" i="29" s="1"/>
  <c r="J271" i="29" l="1"/>
  <c r="E270" i="29"/>
  <c r="F273" i="29" s="1"/>
  <c r="G270" i="29" s="1"/>
  <c r="H270" i="29" s="1"/>
  <c r="C270" i="29"/>
  <c r="D270" i="29" s="1"/>
  <c r="J270" i="29"/>
  <c r="C276" i="29"/>
  <c r="D276" i="29" s="1"/>
  <c r="E276" i="29" s="1"/>
  <c r="H13" i="29"/>
  <c r="F93" i="29"/>
  <c r="F302" i="29"/>
  <c r="F134" i="29"/>
  <c r="G390" i="29"/>
  <c r="F390" i="29" s="1"/>
  <c r="D350" i="29"/>
  <c r="C351" i="29"/>
  <c r="C352" i="29" s="1"/>
  <c r="K350" i="29" s="1"/>
  <c r="A356" i="29" s="1"/>
  <c r="H390" i="29"/>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C271" i="29"/>
  <c r="C272" i="29" s="1"/>
  <c r="K270" i="29" s="1"/>
  <c r="A276" i="29" s="1"/>
  <c r="K134" i="29"/>
  <c r="A140" i="29" s="1"/>
  <c r="C148" i="29" s="1"/>
  <c r="D148" i="29" s="1"/>
  <c r="E148" i="29" s="1"/>
  <c r="F53" i="29"/>
  <c r="C107" i="29"/>
  <c r="D107" i="29" s="1"/>
  <c r="E107" i="29" s="1"/>
  <c r="J102" i="29"/>
  <c r="E104" i="29"/>
  <c r="E101" i="29"/>
  <c r="F104" i="29" s="1"/>
  <c r="C101" i="29"/>
  <c r="D101" i="29" s="1"/>
  <c r="J101" i="29"/>
  <c r="D54" i="29"/>
  <c r="D56" i="29"/>
  <c r="K53" i="29" s="1"/>
  <c r="A59" i="29" s="1"/>
  <c r="G21" i="29"/>
  <c r="H21" i="29" s="1"/>
  <c r="D21" i="29"/>
  <c r="C22" i="29"/>
  <c r="C23" i="29" s="1"/>
  <c r="F270" i="29" l="1"/>
  <c r="G310" i="29"/>
  <c r="H310" i="29" s="1"/>
  <c r="G101" i="29"/>
  <c r="H101" i="29" s="1"/>
  <c r="C311" i="29"/>
  <c r="C312" i="29" s="1"/>
  <c r="K310" i="29" s="1"/>
  <c r="A316" i="29" s="1"/>
  <c r="D310" i="29"/>
  <c r="D273" i="29"/>
  <c r="D271" i="29"/>
  <c r="D391" i="29"/>
  <c r="D393" i="29"/>
  <c r="J398" i="29"/>
  <c r="E398" i="29"/>
  <c r="C398" i="29"/>
  <c r="C399" i="29" s="1"/>
  <c r="C400" i="29" s="1"/>
  <c r="K398" i="29" s="1"/>
  <c r="E401" i="29"/>
  <c r="J399" i="29"/>
  <c r="C358" i="29"/>
  <c r="C359" i="29" s="1"/>
  <c r="C360" i="29" s="1"/>
  <c r="K358" i="29" s="1"/>
  <c r="E358" i="29"/>
  <c r="J358" i="29"/>
  <c r="E361" i="29"/>
  <c r="J359" i="29"/>
  <c r="E278" i="29"/>
  <c r="E281" i="29"/>
  <c r="J278" i="29"/>
  <c r="C278" i="29"/>
  <c r="C279" i="29" s="1"/>
  <c r="C280" i="29" s="1"/>
  <c r="J279" i="29"/>
  <c r="D430" i="29"/>
  <c r="C431" i="29"/>
  <c r="C432" i="29" s="1"/>
  <c r="K430" i="29" s="1"/>
  <c r="A436" i="29" s="1"/>
  <c r="F310" i="29"/>
  <c r="J142" i="29"/>
  <c r="F350" i="29"/>
  <c r="G430" i="29"/>
  <c r="D351" i="29"/>
  <c r="D353" i="29"/>
  <c r="J143" i="29"/>
  <c r="E145" i="29"/>
  <c r="C142" i="29"/>
  <c r="D142" i="29" s="1"/>
  <c r="D143" i="29" s="1"/>
  <c r="E142" i="29"/>
  <c r="F145" i="29" s="1"/>
  <c r="J61" i="29"/>
  <c r="E61" i="29"/>
  <c r="F64" i="29" s="1"/>
  <c r="J62" i="29"/>
  <c r="C67" i="29"/>
  <c r="D67" i="29" s="1"/>
  <c r="E67" i="29" s="1"/>
  <c r="E64" i="29"/>
  <c r="C61" i="29"/>
  <c r="D61" i="29" s="1"/>
  <c r="F21" i="29"/>
  <c r="C102" i="29"/>
  <c r="C103" i="29" s="1"/>
  <c r="K101" i="29" s="1"/>
  <c r="A107" i="29" s="1"/>
  <c r="D104" i="29"/>
  <c r="D102" i="29"/>
  <c r="D22" i="29"/>
  <c r="D24" i="29"/>
  <c r="K21" i="29" s="1"/>
  <c r="A27" i="29" s="1"/>
  <c r="K278" i="29" l="1"/>
  <c r="B244" i="29" s="1"/>
  <c r="F101" i="29"/>
  <c r="D145" i="29"/>
  <c r="G142" i="29"/>
  <c r="H142" i="29" s="1"/>
  <c r="D358" i="29"/>
  <c r="F361" i="29"/>
  <c r="G358" i="29" s="1"/>
  <c r="H358" i="29" s="1"/>
  <c r="C438" i="29"/>
  <c r="C439" i="29" s="1"/>
  <c r="C440" i="29" s="1"/>
  <c r="K438" i="29" s="1"/>
  <c r="J438" i="29"/>
  <c r="E441" i="29"/>
  <c r="J439" i="29"/>
  <c r="E438" i="29"/>
  <c r="F281" i="29"/>
  <c r="G278" i="29" s="1"/>
  <c r="D278" i="29"/>
  <c r="D313" i="29"/>
  <c r="D311" i="29"/>
  <c r="F401" i="29"/>
  <c r="G398" i="29" s="1"/>
  <c r="H398" i="29" s="1"/>
  <c r="D398" i="29"/>
  <c r="D431" i="29"/>
  <c r="D433" i="29"/>
  <c r="H430" i="29"/>
  <c r="F430" i="29"/>
  <c r="J319" i="29"/>
  <c r="E321" i="29"/>
  <c r="C318" i="29"/>
  <c r="C319" i="29" s="1"/>
  <c r="C320" i="29" s="1"/>
  <c r="K318" i="29" s="1"/>
  <c r="J318" i="29"/>
  <c r="E318" i="29"/>
  <c r="C143" i="29"/>
  <c r="C144" i="29" s="1"/>
  <c r="K142" i="29" s="1"/>
  <c r="A148" i="29" s="1"/>
  <c r="E153" i="29" s="1"/>
  <c r="F142" i="29"/>
  <c r="G61" i="29"/>
  <c r="H61" i="29" s="1"/>
  <c r="C62" i="29"/>
  <c r="C63" i="29" s="1"/>
  <c r="J109" i="29"/>
  <c r="C109" i="29"/>
  <c r="E109" i="29"/>
  <c r="F112" i="29" s="1"/>
  <c r="C115" i="29"/>
  <c r="D115" i="29" s="1"/>
  <c r="E115" i="29" s="1"/>
  <c r="J110" i="29"/>
  <c r="E112" i="29"/>
  <c r="D62" i="29"/>
  <c r="D64" i="29"/>
  <c r="C29" i="29"/>
  <c r="E29" i="29"/>
  <c r="F32" i="29" s="1"/>
  <c r="E32" i="29"/>
  <c r="J30" i="29"/>
  <c r="J29" i="29"/>
  <c r="C35" i="29"/>
  <c r="D35" i="29" s="1"/>
  <c r="E35" i="29" s="1"/>
  <c r="F61" i="29" l="1"/>
  <c r="F358" i="29"/>
  <c r="H278" i="29"/>
  <c r="F278" i="29"/>
  <c r="D399" i="29"/>
  <c r="D401" i="29"/>
  <c r="D279" i="29"/>
  <c r="D281" i="29"/>
  <c r="D318" i="29"/>
  <c r="F321" i="29"/>
  <c r="G318" i="29" s="1"/>
  <c r="H318" i="29" s="1"/>
  <c r="D359" i="29"/>
  <c r="D361" i="29"/>
  <c r="F441" i="29"/>
  <c r="G438" i="29" s="1"/>
  <c r="D438" i="29"/>
  <c r="F398" i="29"/>
  <c r="J150" i="29"/>
  <c r="J151" i="29"/>
  <c r="C150" i="29"/>
  <c r="C151" i="29" s="1"/>
  <c r="C152" i="29" s="1"/>
  <c r="C156" i="29"/>
  <c r="D156" i="29" s="1"/>
  <c r="E156" i="29" s="1"/>
  <c r="E150" i="29"/>
  <c r="F153" i="29" s="1"/>
  <c r="G150" i="29" s="1"/>
  <c r="H150" i="29" s="1"/>
  <c r="K61" i="29"/>
  <c r="A67" i="29" s="1"/>
  <c r="J70" i="29" s="1"/>
  <c r="G109" i="29"/>
  <c r="H109" i="29" s="1"/>
  <c r="C110" i="29"/>
  <c r="C111" i="29" s="1"/>
  <c r="K109" i="29" s="1"/>
  <c r="D109" i="29"/>
  <c r="G29" i="29"/>
  <c r="H29" i="29" s="1"/>
  <c r="C30" i="29"/>
  <c r="C31" i="29" s="1"/>
  <c r="K29" i="29" s="1"/>
  <c r="D29" i="29"/>
  <c r="F318" i="29" l="1"/>
  <c r="K150" i="29"/>
  <c r="A156" i="29" s="1"/>
  <c r="J159" i="29" s="1"/>
  <c r="H438" i="29"/>
  <c r="F438" i="29"/>
  <c r="D441" i="29"/>
  <c r="D439" i="29"/>
  <c r="D321" i="29"/>
  <c r="D319" i="29"/>
  <c r="F150" i="29"/>
  <c r="D150" i="29"/>
  <c r="D151" i="29" s="1"/>
  <c r="C69" i="29"/>
  <c r="D69" i="29" s="1"/>
  <c r="C75" i="29"/>
  <c r="D75" i="29" s="1"/>
  <c r="E75" i="29" s="1"/>
  <c r="J69" i="29"/>
  <c r="E72" i="29"/>
  <c r="E69" i="29"/>
  <c r="F72" i="29" s="1"/>
  <c r="B124" i="29"/>
  <c r="F109" i="29"/>
  <c r="A115" i="29"/>
  <c r="E117" i="29" s="1"/>
  <c r="B83" i="29"/>
  <c r="D110" i="29"/>
  <c r="D112" i="29"/>
  <c r="D30" i="29"/>
  <c r="D32" i="29"/>
  <c r="A35" i="29"/>
  <c r="F29" i="29"/>
  <c r="C70" i="29" l="1"/>
  <c r="C71" i="29" s="1"/>
  <c r="K69" i="29" s="1"/>
  <c r="G69" i="29"/>
  <c r="H69" i="29" s="1"/>
  <c r="D153" i="29"/>
  <c r="E158" i="29"/>
  <c r="F161" i="29" s="1"/>
  <c r="E161" i="29"/>
  <c r="C158" i="29"/>
  <c r="C159" i="29" s="1"/>
  <c r="C160" i="29" s="1"/>
  <c r="K158" i="29" s="1"/>
  <c r="J158" i="29"/>
  <c r="E120" i="29"/>
  <c r="J117" i="29"/>
  <c r="C117" i="29"/>
  <c r="C118" i="29" s="1"/>
  <c r="C119" i="29" s="1"/>
  <c r="J118" i="29"/>
  <c r="D117" i="29"/>
  <c r="F120" i="29"/>
  <c r="D72" i="29"/>
  <c r="D70" i="29"/>
  <c r="A75" i="29"/>
  <c r="B43" i="29"/>
  <c r="F69" i="29"/>
  <c r="J37" i="29"/>
  <c r="C37" i="29"/>
  <c r="C38" i="29" s="1"/>
  <c r="C39" i="29" s="1"/>
  <c r="E37" i="29"/>
  <c r="J38" i="29"/>
  <c r="E40" i="29"/>
  <c r="G158" i="29" l="1"/>
  <c r="H158" i="29" s="1"/>
  <c r="D158" i="29"/>
  <c r="D159" i="29" s="1"/>
  <c r="K117" i="29"/>
  <c r="G117" i="29"/>
  <c r="H117" i="29" s="1"/>
  <c r="D118" i="29"/>
  <c r="D120" i="29"/>
  <c r="J77" i="29"/>
  <c r="E80" i="29"/>
  <c r="J78" i="29"/>
  <c r="E77" i="29"/>
  <c r="C77" i="29"/>
  <c r="C78" i="29" s="1"/>
  <c r="C79" i="29" s="1"/>
  <c r="D37" i="29"/>
  <c r="F40" i="29"/>
  <c r="G37" i="29" s="1"/>
  <c r="D161" i="29" l="1"/>
  <c r="F158" i="29"/>
  <c r="F117" i="29"/>
  <c r="F80" i="29"/>
  <c r="G77" i="29" s="1"/>
  <c r="D77" i="29"/>
  <c r="H37" i="29"/>
  <c r="F37" i="29"/>
  <c r="D38" i="29"/>
  <c r="D40" i="29"/>
  <c r="K37" i="29" s="1"/>
  <c r="B3" i="29" s="1"/>
  <c r="H77" i="29" l="1"/>
  <c r="F77" i="29"/>
  <c r="D78" i="29"/>
  <c r="D80" i="29"/>
  <c r="K77"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<sst xmlns="http://schemas.openxmlformats.org/spreadsheetml/2006/main" count="1224" uniqueCount="249">
  <si>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</si>
  <si>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</si>
  <si>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</si>
  <si>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</si>
  <si>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</si>
  <si>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</si>
  <si>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</si>
  <si>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</si>
  <si>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</si>
  <si>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</si>
  <si>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</si>
  <si>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</si>
  <si>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</si>
  <si>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</si>
  <si>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</si>
  <si>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</si>
  <si>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</si>
  <si>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</si>
  <si>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</si>
  <si>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</si>
  <si>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</si>
  <si>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</si>
  <si>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</si>
  <si>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</si>
  <si>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</si>
  <si>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</si>
  <si>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</si>
  <si>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</si>
  <si>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</si>
  <si>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</si>
  <si>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</si>
  <si>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</si>
  <si>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</si>
  <si>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</si>
  <si>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</si>
  <si>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</si>
  <si>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</si>
  <si>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</si>
  <si>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</si>
  <si>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</si>
  <si>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</si>
  <si>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</si>
  <si>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</si>
  <si>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</si>
  <si>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</si>
  <si>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</si>
  <si>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</si>
  <si>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</si>
  <si>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</si>
  <si>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</si>
  <si>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</si>
  <si>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</si>
  <si>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</si>
  <si>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</si>
  <si>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</si>
  <si>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</si>
  <si>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</si>
  <si>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</si>
  <si>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</si>
  <si>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</si>
  <si>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</si>
  <si>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</si>
  <si>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</si>
  <si>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</si>
  <si>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</si>
  <si>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</si>
  <si>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</si>
  <si>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</si>
  <si>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</si>
  <si>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</si>
  <si>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</si>
  <si>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</si>
  <si>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</si>
  <si>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</si>
  <si>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</si>
  <si>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</si>
  <si>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</si>
  <si>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</si>
  <si>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</si>
  <si>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</si>
  <si>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</si>
  <si>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</si>
  <si>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</si>
  <si>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</si>
  <si>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</si>
  <si>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</si>
  <si>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</si>
  <si>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</si>
  <si>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</si>
  <si>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</si>
  <si>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</si>
  <si>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</si>
  <si>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</si>
  <si>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</si>
  <si>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</si>
  <si>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</si>
  <si>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</si>
  <si>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</si>
  <si>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</si>
  <si>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</si>
  <si>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</si>
  <si>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</si>
  <si>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</si>
  <si>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</si>
  <si>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Calibración de frecuencia cardiaca</t>
  </si>
  <si>
    <t>Intervalo de medición (Lat/min):</t>
  </si>
  <si>
    <t>Resolución (Lat/min):</t>
  </si>
  <si>
    <t>Patrón (Lat/min)</t>
  </si>
  <si>
    <t>Lectura 1 (Lat/min)</t>
  </si>
  <si>
    <t>Lectura 2 (Lat/min)</t>
  </si>
  <si>
    <t>Lectura 3  (Lat/min)</t>
  </si>
  <si>
    <t>Lectura 4 (Lat/min)</t>
  </si>
  <si>
    <t>Promedio (Lat/min)</t>
  </si>
  <si>
    <t>*Lat/min= Latidos por minuto</t>
  </si>
  <si>
    <t>Calibración de frecuencia cardiaca (SPO2)</t>
  </si>
  <si>
    <t>Calibración de saturación de oxígeno</t>
  </si>
  <si>
    <t>Intervalo de medición (%):</t>
  </si>
  <si>
    <t>Resolución (%):</t>
  </si>
  <si>
    <t>80 a 99</t>
  </si>
  <si>
    <t>Patrón          (%)</t>
  </si>
  <si>
    <t>Error (Lat/min)</t>
  </si>
  <si>
    <t>Error (mmHg)</t>
  </si>
  <si>
    <t>Promedio (%)</t>
  </si>
  <si>
    <t>Error             (%)</t>
  </si>
  <si>
    <t>8. INFORMACIÓN ADICIONAL</t>
  </si>
  <si>
    <t>Declaración de cumplimiento según:</t>
  </si>
  <si>
    <t>N/A</t>
  </si>
  <si>
    <t>Factor de conversión:</t>
  </si>
  <si>
    <t>Kelvin= °C+ 273,15</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</si>
  <si>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</si>
  <si>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</si>
  <si>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</si>
  <si>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</si>
  <si>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</si>
  <si>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</si>
  <si>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</si>
  <si>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</si>
  <si>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</si>
  <si>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</si>
  <si>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</si>
  <si>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</si>
  <si>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</si>
  <si>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</si>
  <si>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</si>
  <si>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</si>
  <si>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</si>
  <si>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</si>
  <si>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</si>
  <si>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</si>
  <si>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</si>
  <si>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</si>
  <si>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</si>
  <si>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</si>
  <si>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</si>
  <si>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</si>
  <si>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</si>
  <si>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</si>
  <si>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</si>
  <si>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</si>
  <si>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</si>
  <si>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</si>
  <si>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</si>
  <si>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</si>
  <si>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</si>
  <si>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</si>
  <si>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</si>
  <si>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</si>
  <si>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</si>
  <si>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</si>
  <si>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ECG</t>
  </si>
  <si>
    <t>ECG (SPO2)</t>
  </si>
  <si>
    <t>SPO2</t>
  </si>
  <si>
    <t>Error       (Lat/min)</t>
  </si>
  <si>
    <t>Patrón               (%)</t>
  </si>
  <si>
    <t>Lectura 1           (%)</t>
  </si>
  <si>
    <t>Lectura 2          (%)</t>
  </si>
  <si>
    <t>Lectura 3          (%)</t>
  </si>
  <si>
    <t>Lectura 4          (%)</t>
  </si>
  <si>
    <t>Promedio        (%)</t>
  </si>
  <si>
    <t>Error                   (%)</t>
  </si>
  <si>
    <t>FUENTES DE INCERTIDUMBRE PRESIÓN NO INVASIVA</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</si>
  <si>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</si>
  <si>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</si>
  <si>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</si>
  <si>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</si>
  <si>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</si>
  <si>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</si>
  <si>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</si>
  <si>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</si>
  <si>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</si>
  <si>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</si>
  <si>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</si>
  <si>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</si>
  <si>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</si>
  <si>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</si>
  <si>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</si>
  <si>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</si>
  <si>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Código interno</t>
  </si>
  <si>
    <t>Fecha de Recepción</t>
  </si>
  <si>
    <t>ING. GABRIEL DURÁN</t>
  </si>
  <si>
    <t>IBP 1</t>
  </si>
  <si>
    <t>IBP 2</t>
  </si>
  <si>
    <t>Calibración de presión invasiva 1</t>
  </si>
  <si>
    <t>Calibración de presión invasiva 2</t>
  </si>
  <si>
    <t>TEMPERATURA 1</t>
  </si>
  <si>
    <t xml:space="preserve">    Patrón              (°C)</t>
  </si>
  <si>
    <t>EBP                         (°C)</t>
  </si>
  <si>
    <t>Error                      (°C)</t>
  </si>
  <si>
    <t>Calibración de temperatura 1</t>
  </si>
  <si>
    <t>Intervalo de medición (°C):</t>
  </si>
  <si>
    <t>33 a 37</t>
  </si>
  <si>
    <t>Resolución (°C):</t>
  </si>
  <si>
    <t>EBP                 (°C)</t>
  </si>
  <si>
    <t>Error             (°C)</t>
  </si>
  <si>
    <t>* EBP= Equipo bajo prueba</t>
  </si>
  <si>
    <t>* °C= Grados Celcius</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</si>
  <si>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</si>
  <si>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</si>
  <si>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</si>
  <si>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</si>
  <si>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</si>
  <si>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</si>
  <si>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</si>
  <si>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</si>
  <si>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</si>
  <si>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</si>
  <si>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</si>
  <si>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</si>
  <si>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</si>
  <si>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</si>
  <si>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</si>
  <si>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</si>
  <si>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</si>
  <si>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</si>
  <si>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30 a 240</t>
  </si>
  <si>
    <t>Lectura 3 (Lat/min)</t>
  </si>
  <si>
    <t>30 a 246</t>
  </si>
  <si>
    <t>Patrón              (°C)</t>
  </si>
  <si>
    <t>Datos suministrados por el cliente:</t>
  </si>
  <si>
    <t>Comentarios:</t>
  </si>
  <si>
    <t>1 mmHg = 133,3224 Pa</t>
  </si>
  <si>
    <t>Incertidumbre Expandida ± (mmHg)</t>
  </si>
  <si>
    <t>Incertidumbre Expandida ± (Lat/min)</t>
  </si>
  <si>
    <t>Lectura 1     (%)</t>
  </si>
  <si>
    <t>Lectura 2    (%)</t>
  </si>
  <si>
    <t>Lectura 3    (%)</t>
  </si>
  <si>
    <t>Lectura 4    (%)</t>
  </si>
  <si>
    <t>Incertidumbre Expandida ±             (%)</t>
  </si>
  <si>
    <t>Incertidumbre Expandida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</si>
</sst>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39">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0" fillId="0" borderId="5" xfId="0" applyBorder="1"/>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0" fontId="11" fillId="0" borderId="0" xfId="0" applyFont="1" applyAlignment="1">
      <alignment horizont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1" fillId="0" borderId="5" xfId="0" applyFont="1" applyBorder="1" applyAlignment="1">
      <alignment vertical="center"/>
    </xf>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26" fillId="13" borderId="0" xfId="0" applyFont="1" applyFill="1" applyAlignment="1">
      <alignment horizontal="center"/>
    </xf>
    <xf numFmtId="164" fontId="26" fillId="13" borderId="0" xfId="0" applyNumberFormat="1" applyFont="1" applyFill="1" applyAlignment="1">
      <alignment horizontal="center"/>
    </xf>
    <xf numFmtId="0" fontId="27" fillId="13" borderId="0" xfId="0" applyFont="1" applyFill="1" applyAlignment="1">
      <alignment horizontal="center"/>
    </xf>
    <xf numFmtId="164" fontId="27" fillId="13" borderId="0" xfId="0" applyNumberFormat="1" applyFon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6" fillId="0" borderId="0" xfId="0" applyNumberFormat="1" applyFont="1" applyAlignment="1">
      <alignment horizontal="center"/>
    </xf>
    <xf numFmtId="0" fontId="16" fillId="0" borderId="0" xfId="0" applyFont="1" applyAlignment="1">
      <alignment horizontal="center"/>
    </xf>
    <xf numFmtId="165" fontId="15" fillId="0" borderId="0" xfId="0" applyNumberFormat="1" applyFont="1" applyAlignment="1">
      <alignment horizontal="center" vertical="center"/>
    </xf>
    <xf numFmtId="0" fontId="15" fillId="0" borderId="0" xfId="0" applyFont="1" applyAlignment="1">
      <alignment horizontal="center" vertical="center" wrapText="1"/>
    </xf>
    <xf numFmtId="0" fontId="16" fillId="0" borderId="0" xfId="0" applyFont="1" applyAlignment="1">
      <alignment horizontal="left"/>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0" xfId="0" applyFont="1" applyAlignment="1">
      <alignment horizontal="right"/>
    </xf>
    <xf numFmtId="2" fontId="11" fillId="0" borderId="5" xfId="0" applyNumberFormat="1" applyFont="1" applyBorder="1" applyAlignment="1">
      <alignment horizontal="center" vertical="center"/>
    </xf>
    <xf numFmtId="164" fontId="16" fillId="0" borderId="0" xfId="0" applyNumberFormat="1" applyFont="1" applyAlignment="1">
      <alignment horizontal="center" vertical="center"/>
    </xf>
    <xf numFmtId="1" fontId="16" fillId="0" borderId="0" xfId="0" applyNumberFormat="1" applyFont="1" applyAlignment="1">
      <alignment horizontal="left" vertical="center"/>
    </xf>
    <xf numFmtId="0" fontId="15" fillId="0" borderId="5" xfId="0" applyFont="1" applyBorder="1" applyAlignment="1">
      <alignment horizontal="center"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0" xfId="0" applyFont="1" applyAlignment="1">
      <alignment horizontal="left"/>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26" xfId="0" applyFont="1" applyBorder="1" applyAlignment="1">
      <alignment horizontal="center" vertical="center"/>
    </xf>
    <xf numFmtId="0" fontId="6" fillId="0" borderId="26" xfId="0" applyFont="1" applyBorder="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0" xfId="0" applyFont="1" applyAlignment="1">
      <alignment horizontal="center"/>
    </xf>
    <xf numFmtId="0" fontId="6" fillId="0" borderId="0" xfId="0" applyFont="1" applyAlignment="1">
      <alignment horizontal="right"/>
    </xf>
    <xf numFmtId="0" fontId="11" fillId="0" borderId="0" xfId="0" applyFont="1"/>
    <xf numFmtId="164" fontId="16" fillId="0" borderId="0" xfId="0" applyNumberFormat="1" applyFont="1" applyAlignment="1">
      <alignment horizontal="center"/>
    </xf>
    <xf numFmtId="0" fontId="16" fillId="0" borderId="0" xfId="0" applyFont="1" applyAlignment="1">
      <alignment horizontal="center"/>
    </xf>
    <xf numFmtId="1" fontId="16" fillId="0" borderId="0" xfId="0" applyNumberFormat="1" applyFont="1" applyAlignment="1">
      <alignment horizontal="left"/>
    </xf>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1" fillId="13" borderId="5" xfId="0" applyFont="1" applyFill="1" applyBorder="1" applyAlignment="1">
      <alignment horizontal="center"/>
    </xf>
    <xf numFmtId="0" fontId="11" fillId="0" borderId="5" xfId="0" applyFont="1" applyBorder="1" applyAlignment="1">
      <alignment horizont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center" wrapText="1"/>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15" fillId="13" borderId="1"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5" fillId="13" borderId="1" xfId="0" applyFont="1" applyFill="1" applyBorder="1" applyAlignment="1">
      <alignment horizontal="center" vertical="center"/>
    </xf>
    <xf numFmtId="0" fontId="15" fillId="13" borderId="2" xfId="0" applyFont="1" applyFill="1" applyBorder="1" applyAlignment="1">
      <alignment horizontal="center" vertical="center"/>
    </xf>
    <xf numFmtId="0" fontId="15" fillId="13" borderId="3" xfId="0" applyFont="1" applyFill="1" applyBorder="1" applyAlignment="1">
      <alignment horizontal="center" vertical="center"/>
    </xf>
    <xf numFmtId="0" fontId="6" fillId="4" borderId="7" xfId="0" applyFont="1" applyFill="1" applyBorder="1" applyAlignment="1">
      <alignment horizontal="center"/>
    </xf>
    <xf numFmtId="0" fontId="26" fillId="13" borderId="5" xfId="0" applyFont="1" applyFill="1" applyBorder="1" applyAlignment="1">
      <alignment horizontal="center"/>
    </xf>
    <xf numFmtId="0" fontId="26" fillId="0" borderId="5" xfId="0" applyFont="1" applyBorder="1" applyAlignment="1">
      <alignment horizontal="center"/>
    </xf>
    <xf numFmtId="164" fontId="26" fillId="13" borderId="5" xfId="0" applyNumberFormat="1" applyFont="1" applyFill="1" applyBorder="1" applyAlignment="1">
      <alignment horizontal="center"/>
    </xf>
    <xf numFmtId="0" fontId="6" fillId="4" borderId="0" xfId="0" applyFont="1" applyFill="1" applyAlignment="1">
      <alignment horizontal="center"/>
    </xf>
    <xf numFmtId="0" fontId="15" fillId="13" borderId="5" xfId="0" applyFont="1" applyFill="1" applyBorder="1" applyAlignment="1">
      <alignment horizontal="center" vertical="center"/>
    </xf>
    <xf numFmtId="0" fontId="26" fillId="13" borderId="1" xfId="0" applyFont="1" applyFill="1" applyBorder="1" applyAlignment="1">
      <alignment horizontal="center"/>
    </xf>
    <xf numFmtId="0" fontId="26" fillId="13" borderId="3" xfId="0" applyFont="1" applyFill="1" applyBorder="1" applyAlignment="1">
      <alignment horizontal="center"/>
    </xf>
    <xf numFmtId="0" fontId="26" fillId="0" borderId="1" xfId="0" applyFont="1" applyBorder="1" applyAlignment="1">
      <alignment horizontal="center"/>
    </xf>
    <xf numFmtId="0" fontId="26" fillId="0" borderId="3" xfId="0" applyFont="1" applyBorder="1" applyAlignment="1">
      <alignment horizontal="center"/>
    </xf>
    <xf numFmtId="0" fontId="27" fillId="13" borderId="5" xfId="0" applyFont="1" applyFill="1" applyBorder="1" applyAlignment="1">
      <alignment horizontal="center"/>
    </xf>
    <xf numFmtId="0" fontId="27" fillId="0" borderId="5" xfId="0" applyFont="1" applyBorder="1" applyAlignment="1">
      <alignment horizontal="center"/>
    </xf>
    <xf numFmtId="164" fontId="27" fillId="13" borderId="5" xfId="0" applyNumberFormat="1" applyFont="1" applyFill="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0" xfId="0" applyFont="1" applyAlignment="1">
      <alignment horizontal="left" vertical="center"/>
    </xf>
    <xf numFmtId="0" fontId="2" fillId="0" borderId="0" xfId="0" applyFont="1" applyAlignment="1">
      <alignment vertical="center"/>
    </xf>
    <xf numFmtId="0" fontId="2" fillId="0" borderId="28" xfId="0" applyFont="1" applyBorder="1" applyAlignment="1">
      <alignment vertical="center"/>
    </xf>
    <xf numFmtId="14"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center"/>
    </xf>
    <xf numFmtId="0" fontId="1" fillId="0" borderId="1" xfId="0" applyFont="1" applyBorder="1" applyAlignment="1">
      <alignment horizontal="center" vertical="center"/>
    </xf>
    <xf numFmtId="0" fontId="2" fillId="0" borderId="28" xfId="0" applyFont="1" applyBorder="1" applyAlignment="1">
      <alignment horizontal="left"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1" fontId="11" fillId="0" borderId="5" xfId="0" applyNumberFormat="1" applyFont="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ertificados%20clientes/Sagrada%20familia/2023/BT0615-23%20MONITOR%20DE%20SIGNOS%20VITALES%20EV-16068226.xlsx" TargetMode="External"/><Relationship Id="rId2" Type="http://schemas.openxmlformats.org/officeDocument/2006/relationships/externalLinkPath" Target="file:///C:\Users\johan\Google%20Drive\Certificados%20clientes\Sagrada%20familia\2023\BT0615-23%20MONITOR%20DE%20SIGNOS%20VITALES%20EV-16068226.xlsx" TargetMode="External"/><Relationship Id="rId1" Type="http://schemas.openxmlformats.org/officeDocument/2006/relationships/externalLinkPath" Target="/Users/johan/Google%20Drive/Certificados%20clientes/Sagrada%20familia/2023/BT0615-23%20MONITOR%20DE%20SIGNOS%20VITALES%20EV-160682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FORMACIÓN"/>
      <sheetName val="Redondeo"/>
      <sheetName val="MEDIDA"/>
      <sheetName val="PATRON"/>
      <sheetName val="INCERTIDUMBRE"/>
      <sheetName val="CERTIFICADO "/>
    </sheetNames>
    <sheetDataSet>
      <sheetData sheetId="0" refreshError="1"/>
      <sheetData sheetId="1" refreshError="1"/>
      <sheetData sheetId="2">
        <row r="15">
          <cell r="F15">
            <v>50</v>
          </cell>
        </row>
      </sheetData>
      <sheetData sheetId="3" refreshError="1"/>
      <sheetData sheetId="4">
        <row r="12">
          <cell r="K12">
            <v>2.0060008910872194</v>
          </cell>
        </row>
        <row r="13">
          <cell r="K13">
            <v>2.0060008910872194</v>
          </cell>
        </row>
        <row r="14">
          <cell r="K14">
            <v>2.0060008910872194</v>
          </cell>
        </row>
        <row r="15">
          <cell r="K15">
            <v>2.0060008910872194</v>
          </cell>
        </row>
        <row r="16">
          <cell r="K16">
            <v>2.0060008910872194</v>
          </cell>
        </row>
        <row r="20">
          <cell r="K20">
            <v>2.0060008910872194</v>
          </cell>
        </row>
        <row r="21">
          <cell r="K21">
            <v>2.0060008910872194</v>
          </cell>
        </row>
        <row r="22">
          <cell r="K22">
            <v>2.0060008910872194</v>
          </cell>
        </row>
        <row r="23">
          <cell r="K23">
            <v>2.0060008910872194</v>
          </cell>
        </row>
        <row r="24">
          <cell r="K24">
            <v>2.0060008910872194</v>
          </cell>
        </row>
      </sheetData>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E7" sqref="E7:E11"/>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21875" style="1" customWidth="1"/>
    <col min="6" max="6" width="23.88671875" style="1" bestFit="1" customWidth="1"/>
    <col min="7" max="7" width="24.7773437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78" t="s">
        <v>131</v>
      </c>
      <c r="B1" s="179"/>
      <c r="C1" s="179"/>
      <c r="D1" s="179"/>
      <c r="E1" s="179"/>
      <c r="F1" s="179"/>
      <c r="G1" s="179"/>
      <c r="H1" s="180"/>
      <c r="I1"/>
      <c r="J1"/>
      <c r="K1"/>
      <c r="L1"/>
      <c r="M1" s="105" t="s">
        <v>143</v>
      </c>
      <c r="N1" s="106"/>
      <c r="O1" s="106"/>
      <c r="P1" s="106"/>
      <c r="Q1"/>
      <c r="R1"/>
      <c r="S1"/>
      <c r="T1"/>
      <c r="U1"/>
      <c r="V1"/>
      <c r="W1"/>
      <c r="X1"/>
      <c r="Y1"/>
      <c r="Z1"/>
      <c r="AA1"/>
      <c r="AB1"/>
      <c r="AC1"/>
    </row>
    <row r="2" spans="1:32" ht="14.4" x14ac:dyDescent="0.3">
      <c r="A2" s="104" t="s">
        <v>197</v>
      </c>
      <c r="B2" s="104" t="s">
        <v>190</v>
      </c>
      <c r="C2" s="104" t="s">
        <v>191</v>
      </c>
      <c r="D2" s="104" t="s">
        <v>192</v>
      </c>
      <c r="E2" s="104" t="s">
        <v>193</v>
      </c>
      <c r="F2" s="104" t="s">
        <v>194</v>
      </c>
      <c r="G2" s="104" t="s">
        <v>195</v>
      </c>
      <c r="H2" s="104" t="s">
        <v>198</v>
      </c>
      <c r="I2"/>
      <c r="J2"/>
      <c r="K2"/>
      <c r="L2"/>
      <c r="M2" s="105" t="s">
        <v>144</v>
      </c>
      <c r="N2"/>
      <c r="O2"/>
      <c r="P2"/>
      <c r="Q2"/>
      <c r="R2"/>
      <c r="S2"/>
      <c r="T2"/>
      <c r="U2"/>
      <c r="V2"/>
      <c r="W2"/>
      <c r="X2"/>
      <c r="Y2"/>
      <c r="Z2"/>
      <c r="AA2"/>
      <c r="AB2"/>
      <c r="AC2"/>
    </row>
    <row r="3" spans="1:32" ht="12.75" customHeight="1" x14ac:dyDescent="0.3">
      <c r="A3" s="94"/>
      <c r="B3" s="90"/>
      <c r="C3" s="90"/>
      <c r="D3" s="107"/>
      <c r="E3" s="107"/>
      <c r="F3" s="90"/>
      <c r="G3" s="90"/>
      <c r="H3" s="90"/>
      <c r="I3"/>
      <c r="J3"/>
      <c r="K3"/>
      <c r="L3"/>
      <c r="M3" s="105"/>
      <c r="N3"/>
      <c r="O3"/>
      <c r="P3"/>
      <c r="Q3"/>
      <c r="R3"/>
      <c r="S3"/>
      <c r="T3"/>
      <c r="U3"/>
      <c r="V3"/>
      <c r="W3"/>
      <c r="X3"/>
      <c r="Y3"/>
      <c r="Z3"/>
      <c r="AA3"/>
      <c r="AB3"/>
      <c r="AC3"/>
    </row>
    <row r="4" spans="1:32" ht="12.75" customHeight="1" x14ac:dyDescent="0.3">
      <c r="C4"/>
      <c r="D4"/>
      <c r="E4"/>
      <c r="F4"/>
      <c r="H4"/>
      <c r="I4"/>
      <c r="J4"/>
      <c r="K4"/>
      <c r="L4"/>
      <c r="M4"/>
      <c r="N4"/>
      <c r="O4"/>
      <c r="P4" s="105" t="s">
        <v>68</v>
      </c>
      <c r="Q4"/>
      <c r="R4"/>
      <c r="S4"/>
      <c r="T4"/>
      <c r="U4"/>
      <c r="V4"/>
      <c r="W4"/>
      <c r="X4"/>
      <c r="Y4"/>
      <c r="Z4"/>
      <c r="AA4"/>
      <c r="AB4"/>
      <c r="AC4"/>
      <c r="AD4"/>
      <c r="AE4"/>
      <c r="AF4"/>
    </row>
    <row r="5" spans="1:32" ht="12.75" customHeight="1" x14ac:dyDescent="0.3">
      <c r="A5"/>
      <c r="B5"/>
      <c r="C5"/>
      <c r="D5"/>
      <c r="E5"/>
      <c r="F5"/>
      <c r="H5"/>
      <c r="I5"/>
      <c r="J5"/>
      <c r="K5"/>
      <c r="L5"/>
      <c r="M5"/>
      <c r="N5"/>
      <c r="O5"/>
      <c r="P5"/>
      <c r="Q5"/>
      <c r="R5"/>
      <c r="S5"/>
      <c r="T5"/>
      <c r="U5"/>
      <c r="V5"/>
      <c r="W5"/>
      <c r="X5"/>
      <c r="Y5"/>
      <c r="Z5"/>
      <c r="AA5"/>
      <c r="AB5"/>
      <c r="AC5"/>
      <c r="AD5"/>
      <c r="AE5"/>
      <c r="AF5"/>
    </row>
    <row r="6" spans="1:32" ht="12.75" customHeight="1" x14ac:dyDescent="0.3">
      <c r="A6" s="177" t="s">
        <v>132</v>
      </c>
      <c r="B6" s="177"/>
      <c r="C6"/>
      <c r="D6" s="102" t="s">
        <v>130</v>
      </c>
      <c r="E6" s="102"/>
      <c r="H6"/>
      <c r="I6"/>
      <c r="J6"/>
      <c r="K6"/>
      <c r="L6"/>
      <c r="M6"/>
      <c r="N6"/>
      <c r="O6"/>
      <c r="P6"/>
      <c r="Q6"/>
      <c r="R6"/>
      <c r="S6"/>
      <c r="T6"/>
      <c r="U6"/>
      <c r="V6"/>
      <c r="W6"/>
      <c r="X6"/>
      <c r="Y6"/>
      <c r="Z6"/>
      <c r="AA6"/>
      <c r="AB6"/>
      <c r="AC6"/>
      <c r="AD6"/>
      <c r="AE6"/>
      <c r="AF6"/>
    </row>
    <row r="7" spans="1:32" ht="12.75" customHeight="1" x14ac:dyDescent="0.3">
      <c r="A7" s="22" t="s">
        <v>134</v>
      </c>
      <c r="B7" s="94" t="s">
        <v>143</v>
      </c>
      <c r="C7"/>
      <c r="D7" s="22" t="s">
        <v>133</v>
      </c>
      <c r="E7" s="101"/>
      <c r="H7"/>
      <c r="I7"/>
      <c r="J7"/>
      <c r="K7"/>
      <c r="L7"/>
      <c r="M7"/>
      <c r="N7"/>
      <c r="O7"/>
      <c r="P7"/>
      <c r="Q7"/>
      <c r="R7"/>
      <c r="S7"/>
      <c r="T7"/>
      <c r="U7"/>
      <c r="V7"/>
      <c r="W7"/>
      <c r="X7"/>
      <c r="Y7"/>
      <c r="Z7"/>
      <c r="AA7"/>
      <c r="AB7"/>
      <c r="AC7"/>
      <c r="AD7"/>
      <c r="AE7"/>
      <c r="AF7"/>
    </row>
    <row r="8" spans="1:32" ht="12.75" customHeight="1" x14ac:dyDescent="0.3">
      <c r="A8" s="22" t="s">
        <v>196</v>
      </c>
      <c r="B8" s="94" t="s">
        <v>68</v>
      </c>
      <c r="C8"/>
      <c r="D8" s="22" t="s">
        <v>8</v>
      </c>
      <c r="E8" s="94"/>
      <c r="H8"/>
      <c r="I8"/>
      <c r="J8"/>
      <c r="K8"/>
      <c r="L8"/>
      <c r="M8"/>
      <c r="N8"/>
      <c r="O8"/>
      <c r="P8"/>
      <c r="Q8"/>
      <c r="R8"/>
      <c r="S8"/>
      <c r="T8"/>
      <c r="U8"/>
      <c r="V8"/>
      <c r="W8"/>
      <c r="X8"/>
      <c r="Y8"/>
      <c r="Z8"/>
      <c r="AA8"/>
      <c r="AB8"/>
      <c r="AC8"/>
      <c r="AD8"/>
      <c r="AE8"/>
      <c r="AF8"/>
    </row>
    <row r="9" spans="1:32" ht="12.75" customHeight="1" x14ac:dyDescent="0.3">
      <c r="A9" s="22" t="s">
        <v>136</v>
      </c>
      <c r="B9" s="95">
        <f>H3</f>
        <v>0</v>
      </c>
      <c r="C9"/>
      <c r="D9" s="22" t="s">
        <v>135</v>
      </c>
      <c r="E9" s="94"/>
      <c r="H9"/>
      <c r="I9"/>
      <c r="J9"/>
      <c r="K9"/>
      <c r="L9"/>
      <c r="M9"/>
      <c r="N9"/>
      <c r="O9"/>
      <c r="P9"/>
      <c r="Q9"/>
      <c r="R9"/>
      <c r="S9"/>
      <c r="T9"/>
      <c r="U9"/>
      <c r="V9"/>
      <c r="W9"/>
      <c r="X9"/>
      <c r="Y9"/>
      <c r="Z9"/>
      <c r="AA9"/>
      <c r="AB9"/>
      <c r="AC9"/>
      <c r="AD9"/>
      <c r="AE9"/>
      <c r="AF9"/>
    </row>
    <row r="10" spans="1:32" ht="12.75" customHeight="1" x14ac:dyDescent="0.3">
      <c r="A10" s="22" t="s">
        <v>137</v>
      </c>
      <c r="B10" s="95">
        <f>H3</f>
        <v>0</v>
      </c>
      <c r="C10"/>
      <c r="D10" s="22" t="s">
        <v>5</v>
      </c>
      <c r="E10" s="101"/>
      <c r="G10"/>
      <c r="H10"/>
      <c r="I10"/>
      <c r="J10"/>
      <c r="K10"/>
      <c r="L10"/>
      <c r="M10"/>
      <c r="N10"/>
      <c r="O10"/>
      <c r="P10"/>
      <c r="Q10"/>
      <c r="R10"/>
      <c r="S10"/>
      <c r="T10"/>
      <c r="U10"/>
      <c r="V10"/>
      <c r="W10"/>
      <c r="X10"/>
      <c r="Y10"/>
      <c r="Z10"/>
      <c r="AA10"/>
      <c r="AB10"/>
      <c r="AC10"/>
      <c r="AD10"/>
      <c r="AE10"/>
      <c r="AF10"/>
    </row>
    <row r="11" spans="1:32" ht="14.4" x14ac:dyDescent="0.3">
      <c r="A11" s="22" t="s">
        <v>138</v>
      </c>
      <c r="B11" s="94">
        <v>24.1</v>
      </c>
      <c r="C11"/>
      <c r="D11" s="22" t="s">
        <v>3</v>
      </c>
      <c r="E11" s="101"/>
      <c r="G11"/>
      <c r="H11"/>
      <c r="I11"/>
      <c r="J11"/>
      <c r="K11"/>
      <c r="L11"/>
      <c r="M11"/>
      <c r="N11"/>
      <c r="O11"/>
      <c r="P11"/>
      <c r="Q11"/>
      <c r="R11"/>
      <c r="S11"/>
      <c r="T11"/>
      <c r="U11"/>
      <c r="V11"/>
      <c r="W11"/>
      <c r="X11"/>
      <c r="Y11"/>
      <c r="Z11"/>
      <c r="AA11"/>
      <c r="AB11"/>
      <c r="AC11"/>
      <c r="AD11"/>
      <c r="AE11"/>
      <c r="AF11"/>
    </row>
    <row r="12" spans="1:32" ht="12.75" customHeight="1" x14ac:dyDescent="0.3">
      <c r="A12" s="22" t="s">
        <v>139</v>
      </c>
      <c r="B12" s="94">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140</v>
      </c>
      <c r="B13" s="94">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141</v>
      </c>
      <c r="B14" s="94">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142</v>
      </c>
      <c r="B15" s="94" t="s">
        <v>199</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7" xr:uid="{3C7A63D5-FC04-49D2-81A4-94A72A09A593}">
      <formula1>$M$1:$M$2</formula1>
    </dataValidation>
    <dataValidation type="list" allowBlank="1" showInputMessage="1" showErrorMessage="1" sqref="B8" xr:uid="{57F3DB0E-2847-4DFF-ACB0-247A90798BAD}">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4" t="s">
        <v>57</v>
      </c>
      <c r="B1" s="185"/>
      <c r="C1" s="185"/>
      <c r="D1" s="185"/>
      <c r="E1" s="185"/>
      <c r="F1" s="185"/>
      <c r="G1" s="185"/>
      <c r="H1" s="185"/>
      <c r="I1" s="185"/>
      <c r="J1" s="185"/>
      <c r="K1" s="186"/>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81" t="s">
        <v>47</v>
      </c>
      <c r="B10" s="182"/>
      <c r="C10" s="182"/>
      <c r="D10" s="182"/>
      <c r="E10" s="182"/>
      <c r="F10" s="182"/>
      <c r="G10" s="182"/>
      <c r="H10" s="182"/>
      <c r="I10" s="182"/>
      <c r="J10" s="182"/>
      <c r="K10" s="183"/>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81" t="s">
        <v>46</v>
      </c>
      <c r="B18" s="182"/>
      <c r="C18" s="182"/>
      <c r="D18" s="182"/>
      <c r="E18" s="182"/>
      <c r="F18" s="182"/>
      <c r="G18" s="182"/>
      <c r="H18" s="182"/>
      <c r="I18" s="182"/>
      <c r="J18" s="182"/>
      <c r="K18" s="183"/>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81" t="s">
        <v>45</v>
      </c>
      <c r="B26" s="182"/>
      <c r="C26" s="182"/>
      <c r="D26" s="182"/>
      <c r="E26" s="182"/>
      <c r="F26" s="182"/>
      <c r="G26" s="182"/>
      <c r="H26" s="182"/>
      <c r="I26" s="182"/>
      <c r="J26" s="182"/>
      <c r="K26" s="183"/>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81" t="s">
        <v>44</v>
      </c>
      <c r="B34" s="182"/>
      <c r="C34" s="182"/>
      <c r="D34" s="182"/>
      <c r="E34" s="182"/>
      <c r="F34" s="182"/>
      <c r="G34" s="182"/>
      <c r="H34" s="182"/>
      <c r="I34" s="182"/>
      <c r="J34" s="182"/>
      <c r="K34" s="183"/>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84" t="s">
        <v>56</v>
      </c>
      <c r="B41" s="185"/>
      <c r="C41" s="185"/>
      <c r="D41" s="185"/>
      <c r="E41" s="185"/>
      <c r="F41" s="185"/>
      <c r="G41" s="185"/>
      <c r="H41" s="185"/>
      <c r="I41" s="185"/>
      <c r="J41" s="185"/>
      <c r="K41" s="186"/>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81" t="s">
        <v>47</v>
      </c>
      <c r="B50" s="182"/>
      <c r="C50" s="182"/>
      <c r="D50" s="182"/>
      <c r="E50" s="182"/>
      <c r="F50" s="182"/>
      <c r="G50" s="182"/>
      <c r="H50" s="182"/>
      <c r="I50" s="182"/>
      <c r="J50" s="182"/>
      <c r="K50" s="183"/>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81" t="s">
        <v>46</v>
      </c>
      <c r="B58" s="182"/>
      <c r="C58" s="182"/>
      <c r="D58" s="182"/>
      <c r="E58" s="182"/>
      <c r="F58" s="182"/>
      <c r="G58" s="182"/>
      <c r="H58" s="182"/>
      <c r="I58" s="182"/>
      <c r="J58" s="182"/>
      <c r="K58" s="183"/>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81" t="s">
        <v>45</v>
      </c>
      <c r="B66" s="182"/>
      <c r="C66" s="182"/>
      <c r="D66" s="182"/>
      <c r="E66" s="182"/>
      <c r="F66" s="182"/>
      <c r="G66" s="182"/>
      <c r="H66" s="182"/>
      <c r="I66" s="182"/>
      <c r="J66" s="182"/>
      <c r="K66" s="183"/>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81" t="s">
        <v>44</v>
      </c>
      <c r="B74" s="182"/>
      <c r="C74" s="182"/>
      <c r="D74" s="182"/>
      <c r="E74" s="182"/>
      <c r="F74" s="182"/>
      <c r="G74" s="182"/>
      <c r="H74" s="182"/>
      <c r="I74" s="182"/>
      <c r="J74" s="182"/>
      <c r="K74" s="183"/>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84" t="s">
        <v>55</v>
      </c>
      <c r="B81" s="185"/>
      <c r="C81" s="185"/>
      <c r="D81" s="185"/>
      <c r="E81" s="185"/>
      <c r="F81" s="185"/>
      <c r="G81" s="185"/>
      <c r="H81" s="185"/>
      <c r="I81" s="185"/>
      <c r="J81" s="185"/>
      <c r="K81" s="186"/>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81" t="s">
        <v>47</v>
      </c>
      <c r="B90" s="182"/>
      <c r="C90" s="182"/>
      <c r="D90" s="182"/>
      <c r="E90" s="182"/>
      <c r="F90" s="182"/>
      <c r="G90" s="182"/>
      <c r="H90" s="182"/>
      <c r="I90" s="182"/>
      <c r="J90" s="182"/>
      <c r="K90" s="183"/>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81" t="s">
        <v>46</v>
      </c>
      <c r="B98" s="182"/>
      <c r="C98" s="182"/>
      <c r="D98" s="182"/>
      <c r="E98" s="182"/>
      <c r="F98" s="182"/>
      <c r="G98" s="182"/>
      <c r="H98" s="182"/>
      <c r="I98" s="182"/>
      <c r="J98" s="182"/>
      <c r="K98" s="183"/>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81" t="s">
        <v>45</v>
      </c>
      <c r="B106" s="182"/>
      <c r="C106" s="182"/>
      <c r="D106" s="182"/>
      <c r="E106" s="182"/>
      <c r="F106" s="182"/>
      <c r="G106" s="182"/>
      <c r="H106" s="182"/>
      <c r="I106" s="182"/>
      <c r="J106" s="182"/>
      <c r="K106" s="183"/>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81" t="s">
        <v>44</v>
      </c>
      <c r="B114" s="182"/>
      <c r="C114" s="182"/>
      <c r="D114" s="182"/>
      <c r="E114" s="182"/>
      <c r="F114" s="182"/>
      <c r="G114" s="182"/>
      <c r="H114" s="182"/>
      <c r="I114" s="182"/>
      <c r="J114" s="182"/>
      <c r="K114" s="183"/>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84" t="s">
        <v>54</v>
      </c>
      <c r="B122" s="185"/>
      <c r="C122" s="185"/>
      <c r="D122" s="185"/>
      <c r="E122" s="185"/>
      <c r="F122" s="185"/>
      <c r="G122" s="185"/>
      <c r="H122" s="185"/>
      <c r="I122" s="185"/>
      <c r="J122" s="185"/>
      <c r="K122" s="186"/>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81" t="s">
        <v>47</v>
      </c>
      <c r="B131" s="182"/>
      <c r="C131" s="182"/>
      <c r="D131" s="182"/>
      <c r="E131" s="182"/>
      <c r="F131" s="182"/>
      <c r="G131" s="182"/>
      <c r="H131" s="182"/>
      <c r="I131" s="182"/>
      <c r="J131" s="182"/>
      <c r="K131" s="183"/>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81" t="s">
        <v>46</v>
      </c>
      <c r="B139" s="182"/>
      <c r="C139" s="182"/>
      <c r="D139" s="182"/>
      <c r="E139" s="182"/>
      <c r="F139" s="182"/>
      <c r="G139" s="182"/>
      <c r="H139" s="182"/>
      <c r="I139" s="182"/>
      <c r="J139" s="182"/>
      <c r="K139" s="183"/>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81" t="s">
        <v>45</v>
      </c>
      <c r="B147" s="182"/>
      <c r="C147" s="182"/>
      <c r="D147" s="182"/>
      <c r="E147" s="182"/>
      <c r="F147" s="182"/>
      <c r="G147" s="182"/>
      <c r="H147" s="182"/>
      <c r="I147" s="182"/>
      <c r="J147" s="182"/>
      <c r="K147" s="183"/>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81" t="s">
        <v>44</v>
      </c>
      <c r="B155" s="182"/>
      <c r="C155" s="182"/>
      <c r="D155" s="182"/>
      <c r="E155" s="182"/>
      <c r="F155" s="182"/>
      <c r="G155" s="182"/>
      <c r="H155" s="182"/>
      <c r="I155" s="182"/>
      <c r="J155" s="182"/>
      <c r="K155" s="183"/>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84" t="s">
        <v>53</v>
      </c>
      <c r="B162" s="185"/>
      <c r="C162" s="185"/>
      <c r="D162" s="185"/>
      <c r="E162" s="185"/>
      <c r="F162" s="185"/>
      <c r="G162" s="185"/>
      <c r="H162" s="185"/>
      <c r="I162" s="185"/>
      <c r="J162" s="185"/>
      <c r="K162" s="186"/>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81" t="s">
        <v>47</v>
      </c>
      <c r="B171" s="182"/>
      <c r="C171" s="182"/>
      <c r="D171" s="182"/>
      <c r="E171" s="182"/>
      <c r="F171" s="182"/>
      <c r="G171" s="182"/>
      <c r="H171" s="182"/>
      <c r="I171" s="182"/>
      <c r="J171" s="182"/>
      <c r="K171" s="183"/>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81" t="s">
        <v>46</v>
      </c>
      <c r="B179" s="182"/>
      <c r="C179" s="182"/>
      <c r="D179" s="182"/>
      <c r="E179" s="182"/>
      <c r="F179" s="182"/>
      <c r="G179" s="182"/>
      <c r="H179" s="182"/>
      <c r="I179" s="182"/>
      <c r="J179" s="182"/>
      <c r="K179" s="183"/>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81" t="s">
        <v>45</v>
      </c>
      <c r="B187" s="182"/>
      <c r="C187" s="182"/>
      <c r="D187" s="182"/>
      <c r="E187" s="182"/>
      <c r="F187" s="182"/>
      <c r="G187" s="182"/>
      <c r="H187" s="182"/>
      <c r="I187" s="182"/>
      <c r="J187" s="182"/>
      <c r="K187" s="183"/>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81" t="s">
        <v>44</v>
      </c>
      <c r="B195" s="182"/>
      <c r="C195" s="182"/>
      <c r="D195" s="182"/>
      <c r="E195" s="182"/>
      <c r="F195" s="182"/>
      <c r="G195" s="182"/>
      <c r="H195" s="182"/>
      <c r="I195" s="182"/>
      <c r="J195" s="182"/>
      <c r="K195" s="183"/>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84" t="s">
        <v>53</v>
      </c>
      <c r="B202" s="185"/>
      <c r="C202" s="185"/>
      <c r="D202" s="185"/>
      <c r="E202" s="185"/>
      <c r="F202" s="185"/>
      <c r="G202" s="185"/>
      <c r="H202" s="185"/>
      <c r="I202" s="185"/>
      <c r="J202" s="185"/>
      <c r="K202" s="186"/>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81" t="s">
        <v>47</v>
      </c>
      <c r="B211" s="182"/>
      <c r="C211" s="182"/>
      <c r="D211" s="182"/>
      <c r="E211" s="182"/>
      <c r="F211" s="182"/>
      <c r="G211" s="182"/>
      <c r="H211" s="182"/>
      <c r="I211" s="182"/>
      <c r="J211" s="182"/>
      <c r="K211" s="183"/>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81" t="s">
        <v>46</v>
      </c>
      <c r="B219" s="182"/>
      <c r="C219" s="182"/>
      <c r="D219" s="182"/>
      <c r="E219" s="182"/>
      <c r="F219" s="182"/>
      <c r="G219" s="182"/>
      <c r="H219" s="182"/>
      <c r="I219" s="182"/>
      <c r="J219" s="182"/>
      <c r="K219" s="183"/>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81" t="s">
        <v>45</v>
      </c>
      <c r="B227" s="182"/>
      <c r="C227" s="182"/>
      <c r="D227" s="182"/>
      <c r="E227" s="182"/>
      <c r="F227" s="182"/>
      <c r="G227" s="182"/>
      <c r="H227" s="182"/>
      <c r="I227" s="182"/>
      <c r="J227" s="182"/>
      <c r="K227" s="183"/>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81" t="s">
        <v>44</v>
      </c>
      <c r="B235" s="182"/>
      <c r="C235" s="182"/>
      <c r="D235" s="182"/>
      <c r="E235" s="182"/>
      <c r="F235" s="182"/>
      <c r="G235" s="182"/>
      <c r="H235" s="182"/>
      <c r="I235" s="182"/>
      <c r="J235" s="182"/>
      <c r="K235" s="183"/>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84" t="s">
        <v>52</v>
      </c>
      <c r="B242" s="185"/>
      <c r="C242" s="185"/>
      <c r="D242" s="185"/>
      <c r="E242" s="185"/>
      <c r="F242" s="185"/>
      <c r="G242" s="185"/>
      <c r="H242" s="185"/>
      <c r="I242" s="185"/>
      <c r="J242" s="185"/>
      <c r="K242" s="186"/>
    </row>
    <row r="243" spans="1:11" ht="15" thickBot="1" x14ac:dyDescent="0.35">
      <c r="A243" s="33" t="s">
        <v>30</v>
      </c>
      <c r="B243" s="20" t="s">
        <v>29</v>
      </c>
      <c r="C243" t="str">
        <f ca="1">FIXED(A244,6)</f>
        <v>43,327110</v>
      </c>
      <c r="D243" t="str">
        <f ca="1">RIGHT(C243,1)</f>
        <v>0</v>
      </c>
      <c r="E243">
        <f ca="1">D243/1000000</f>
        <v>0</v>
      </c>
      <c r="F243" s="32">
        <f ca="1">A244-E243</f>
        <v>43.327110443751714</v>
      </c>
      <c r="H243" t="str">
        <f ca="1">IF(C248=5,IF(AND(D244=0,D249=FALSE),J246,J247),J247)</f>
        <v>43,3271</v>
      </c>
      <c r="K243" s="29"/>
    </row>
    <row r="244" spans="1:11" ht="18.600000000000001" thickBot="1" x14ac:dyDescent="0.4">
      <c r="A244" s="31">
        <f ca="1">INCERTIDUMBRE!L12</f>
        <v>43.327110443751714</v>
      </c>
      <c r="B244" s="30" t="str">
        <f ca="1">IF(A244&gt;=10,K278,IF(A244&gt;=1,K270,IF(A244&gt;=0.1,K262,IF(A244&gt;=0.01,K254,IF(A244&gt;=0.001,K246)))))</f>
        <v>43</v>
      </c>
      <c r="C244" t="s">
        <v>28</v>
      </c>
      <c r="D244">
        <f ca="1">D243+0</f>
        <v>0</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str">
        <f ca="1">RIGHT(F243,2)</f>
        <v>17</v>
      </c>
      <c r="D246" t="str">
        <f ca="1">LEFT(C246,1)</f>
        <v>1</v>
      </c>
      <c r="E246" s="32">
        <f ca="1">TRUNC(A244)</f>
        <v>43</v>
      </c>
      <c r="F246" s="14" t="str">
        <f ca="1">FIXED(A244-E246,G246)</f>
        <v>0,3271104437517</v>
      </c>
      <c r="G246">
        <f ca="1">ABS(E249-F249)</f>
        <v>13</v>
      </c>
      <c r="H246" t="str">
        <f ca="1">RIGHT(A244,G246)</f>
        <v>3271104437517</v>
      </c>
      <c r="I246">
        <v>5.0000000000000002E-5</v>
      </c>
      <c r="J246" s="14">
        <f ca="1">(A244-I246)</f>
        <v>43.327060443751712</v>
      </c>
      <c r="K246" s="47" t="str">
        <f ca="1">IF(C248=5,IF(AND(D244=0,D249=FALSE),J246,J247),J247)</f>
        <v>43,3271</v>
      </c>
    </row>
    <row r="247" spans="1:11" hidden="1" x14ac:dyDescent="0.3">
      <c r="A247" s="33"/>
      <c r="C247" t="str">
        <f ca="1">RIGHT(C246,1)</f>
        <v>7</v>
      </c>
      <c r="D247">
        <f ca="1">D246+0</f>
        <v>1</v>
      </c>
      <c r="J247" t="str">
        <f ca="1">FIXED(A244,4)</f>
        <v>43,3271</v>
      </c>
      <c r="K247" s="29"/>
    </row>
    <row r="248" spans="1:11" hidden="1" x14ac:dyDescent="0.3">
      <c r="A248" s="33"/>
      <c r="C248">
        <f ca="1">C247+0</f>
        <v>7</v>
      </c>
      <c r="D248" t="s">
        <v>34</v>
      </c>
      <c r="E248" t="s">
        <v>33</v>
      </c>
      <c r="F248" t="s">
        <v>32</v>
      </c>
      <c r="K248" s="29"/>
    </row>
    <row r="249" spans="1:11" hidden="1" x14ac:dyDescent="0.3">
      <c r="A249" s="33"/>
      <c r="D249" t="b">
        <f ca="1">ISODD(D246)</f>
        <v>1</v>
      </c>
      <c r="E249">
        <f ca="1">LEN(A244)</f>
        <v>16</v>
      </c>
      <c r="F249">
        <f ca="1">LEN(E246)+1</f>
        <v>3</v>
      </c>
      <c r="K249" s="29"/>
    </row>
    <row r="250" spans="1:11" hidden="1" x14ac:dyDescent="0.3">
      <c r="A250" s="33"/>
      <c r="K250" s="29"/>
    </row>
    <row r="251" spans="1:11" hidden="1" x14ac:dyDescent="0.3">
      <c r="A251" s="181" t="s">
        <v>47</v>
      </c>
      <c r="B251" s="182"/>
      <c r="C251" s="182"/>
      <c r="D251" s="182"/>
      <c r="E251" s="182"/>
      <c r="F251" s="182"/>
      <c r="G251" s="182"/>
      <c r="H251" s="182"/>
      <c r="I251" s="182"/>
      <c r="J251" s="182"/>
      <c r="K251" s="183"/>
    </row>
    <row r="252" spans="1:11" hidden="1" x14ac:dyDescent="0.3">
      <c r="A252" s="44" t="str">
        <f ca="1">K246</f>
        <v>43,3271</v>
      </c>
      <c r="C252" t="str">
        <f ca="1">FIXED(A244,5)</f>
        <v>43,32711</v>
      </c>
      <c r="D252" t="str">
        <f ca="1">RIGHT(C252,1)</f>
        <v>1</v>
      </c>
      <c r="E252">
        <f ca="1">D252+0</f>
        <v>1</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str">
        <f ca="1">RIGHT(A252,2)</f>
        <v>71</v>
      </c>
      <c r="D254" t="str">
        <f ca="1">LEFT(C254,1)</f>
        <v>7</v>
      </c>
      <c r="E254" s="38">
        <f ca="1">TRUNC(A252)</f>
        <v>43</v>
      </c>
      <c r="F254" s="14" t="str">
        <f ca="1">FIXED(A252-E254,G254)</f>
        <v>0,3271</v>
      </c>
      <c r="G254">
        <f ca="1">ABS(E257-F257)</f>
        <v>4</v>
      </c>
      <c r="H254" t="str">
        <f ca="1">RIGHT(A252,G254)</f>
        <v>3271</v>
      </c>
      <c r="I254">
        <v>5.0000000000000001E-4</v>
      </c>
      <c r="J254" s="46">
        <f ca="1">(A252-I254)</f>
        <v>43.326599999999999</v>
      </c>
      <c r="K254" s="45" t="str">
        <f ca="1">IF(C256=5,IF(AND(E252=0,D257=FALSE),J254,J255),J255)</f>
        <v>43,327</v>
      </c>
    </row>
    <row r="255" spans="1:11" hidden="1" x14ac:dyDescent="0.3">
      <c r="A255" s="33"/>
      <c r="C255" t="str">
        <f ca="1">RIGHT(C254,1)</f>
        <v>1</v>
      </c>
      <c r="D255">
        <f ca="1">D254+0</f>
        <v>7</v>
      </c>
      <c r="J255" t="str">
        <f ca="1">FIXED(A252,3)</f>
        <v>43,327</v>
      </c>
      <c r="K255" s="29"/>
    </row>
    <row r="256" spans="1:11" hidden="1" x14ac:dyDescent="0.3">
      <c r="A256" s="33"/>
      <c r="C256">
        <f ca="1">C255+0</f>
        <v>1</v>
      </c>
      <c r="D256" t="s">
        <v>34</v>
      </c>
      <c r="E256" t="s">
        <v>33</v>
      </c>
      <c r="F256" t="s">
        <v>32</v>
      </c>
      <c r="K256" s="29"/>
    </row>
    <row r="257" spans="1:11" hidden="1" x14ac:dyDescent="0.3">
      <c r="A257" s="33"/>
      <c r="D257" t="b">
        <f ca="1">ISODD(D254)</f>
        <v>1</v>
      </c>
      <c r="E257">
        <f ca="1">LEN(A252)</f>
        <v>7</v>
      </c>
      <c r="F257">
        <f ca="1">LEN(E254)+1</f>
        <v>3</v>
      </c>
      <c r="K257" s="29"/>
    </row>
    <row r="258" spans="1:11" hidden="1" x14ac:dyDescent="0.3">
      <c r="A258" s="33"/>
      <c r="K258" s="29"/>
    </row>
    <row r="259" spans="1:11" hidden="1" x14ac:dyDescent="0.3">
      <c r="A259" s="181" t="s">
        <v>46</v>
      </c>
      <c r="B259" s="182"/>
      <c r="C259" s="182"/>
      <c r="D259" s="182"/>
      <c r="E259" s="182"/>
      <c r="F259" s="182"/>
      <c r="G259" s="182"/>
      <c r="H259" s="182"/>
      <c r="I259" s="182"/>
      <c r="J259" s="182"/>
      <c r="K259" s="183"/>
    </row>
    <row r="260" spans="1:11" hidden="1" x14ac:dyDescent="0.3">
      <c r="A260" s="44" t="str">
        <f ca="1">K254</f>
        <v>43,327</v>
      </c>
      <c r="C260" t="str">
        <f ca="1">FIXED(A252,4)</f>
        <v>43,3271</v>
      </c>
      <c r="D260" t="str">
        <f ca="1">RIGHT(C260,1)</f>
        <v>1</v>
      </c>
      <c r="E260">
        <f ca="1">D260+0</f>
        <v>1</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str">
        <f ca="1">RIGHT(A260,2)</f>
        <v>27</v>
      </c>
      <c r="D262" t="str">
        <f ca="1">LEFT(C262,1)</f>
        <v>2</v>
      </c>
      <c r="E262" s="38">
        <f ca="1">TRUNC(A260)</f>
        <v>43</v>
      </c>
      <c r="F262" s="14" t="str">
        <f ca="1">FIXED(A260-E262,G262)</f>
        <v>0,327</v>
      </c>
      <c r="G262">
        <f ca="1">ABS(E265-F265)</f>
        <v>3</v>
      </c>
      <c r="H262" t="str">
        <f ca="1">RIGHT(A260,G262)</f>
        <v>327</v>
      </c>
      <c r="I262">
        <v>5.0000000000000001E-3</v>
      </c>
      <c r="J262" s="2">
        <f ca="1">(A260-I262)</f>
        <v>43.321999999999996</v>
      </c>
      <c r="K262" s="43" t="str">
        <f ca="1">IF(C264=5,IF(AND(E260=0,D265=FALSE),J262,J263),J263)</f>
        <v>43,33</v>
      </c>
    </row>
    <row r="263" spans="1:11" ht="18" hidden="1" x14ac:dyDescent="0.35">
      <c r="A263" s="33"/>
      <c r="C263" t="str">
        <f ca="1">RIGHT(C262,1)</f>
        <v>7</v>
      </c>
      <c r="D263">
        <f ca="1">D262+0</f>
        <v>2</v>
      </c>
      <c r="J263" t="str">
        <f ca="1">FIXED(A260,2)</f>
        <v>43,33</v>
      </c>
      <c r="K263" s="43"/>
    </row>
    <row r="264" spans="1:11" hidden="1" x14ac:dyDescent="0.3">
      <c r="A264" s="33"/>
      <c r="C264">
        <f ca="1">C263+0</f>
        <v>7</v>
      </c>
      <c r="D264" t="s">
        <v>34</v>
      </c>
      <c r="E264" t="s">
        <v>33</v>
      </c>
      <c r="F264" t="s">
        <v>32</v>
      </c>
      <c r="K264" s="29"/>
    </row>
    <row r="265" spans="1:11" hidden="1" x14ac:dyDescent="0.3">
      <c r="A265" s="33"/>
      <c r="D265" t="b">
        <f ca="1">ISODD(D262)</f>
        <v>0</v>
      </c>
      <c r="E265">
        <f ca="1">LEN(A260)</f>
        <v>6</v>
      </c>
      <c r="F265">
        <f ca="1">LEN(E262)+1</f>
        <v>3</v>
      </c>
      <c r="K265" s="29"/>
    </row>
    <row r="266" spans="1:11" hidden="1" x14ac:dyDescent="0.3">
      <c r="A266" s="33"/>
      <c r="K266" s="29"/>
    </row>
    <row r="267" spans="1:11" hidden="1" x14ac:dyDescent="0.3">
      <c r="A267" s="181" t="s">
        <v>45</v>
      </c>
      <c r="B267" s="182"/>
      <c r="C267" s="182"/>
      <c r="D267" s="182"/>
      <c r="E267" s="182"/>
      <c r="F267" s="182"/>
      <c r="G267" s="182"/>
      <c r="H267" s="182"/>
      <c r="I267" s="182"/>
      <c r="J267" s="182"/>
      <c r="K267" s="183"/>
    </row>
    <row r="268" spans="1:11" hidden="1" x14ac:dyDescent="0.3">
      <c r="A268" s="41" t="str">
        <f ca="1">K262</f>
        <v>43,33</v>
      </c>
      <c r="C268" t="str">
        <f ca="1">FIXED(A260,3)</f>
        <v>43,327</v>
      </c>
      <c r="D268" t="str">
        <f ca="1">RIGHT(C268,1)</f>
        <v>7</v>
      </c>
      <c r="E268">
        <f ca="1">D268+0</f>
        <v>7</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str">
        <f ca="1">RIGHT(A268,2)</f>
        <v>33</v>
      </c>
      <c r="D270" t="str">
        <f ca="1">LEFT(C270,1)</f>
        <v>3</v>
      </c>
      <c r="E270" s="38">
        <f ca="1">TRUNC(A268)</f>
        <v>43</v>
      </c>
      <c r="F270" s="14" t="str">
        <f ca="1">FIXED(A268-E270,G270)</f>
        <v>0,33</v>
      </c>
      <c r="G270">
        <f ca="1">ABS(E273-F273)</f>
        <v>2</v>
      </c>
      <c r="H270" t="str">
        <f ca="1">RIGHT(A268,G270)</f>
        <v>33</v>
      </c>
      <c r="I270">
        <v>0.05</v>
      </c>
      <c r="J270" s="2">
        <f ca="1">(A268-I270)</f>
        <v>43.28</v>
      </c>
      <c r="K270" s="43" t="str">
        <f ca="1">IF(C272=5,IF(AND(E268=0,D273=FALSE),J270,J271),J271)</f>
        <v>43,3</v>
      </c>
    </row>
    <row r="271" spans="1:11" hidden="1" x14ac:dyDescent="0.3">
      <c r="A271" s="33"/>
      <c r="C271" t="str">
        <f ca="1">RIGHT(C270,1)</f>
        <v>3</v>
      </c>
      <c r="D271">
        <f ca="1">D270+0</f>
        <v>3</v>
      </c>
      <c r="J271" t="str">
        <f ca="1">FIXED(A268,1)</f>
        <v>43,3</v>
      </c>
      <c r="K271" s="42"/>
    </row>
    <row r="272" spans="1:11" hidden="1" x14ac:dyDescent="0.3">
      <c r="A272" s="33"/>
      <c r="C272">
        <f ca="1">C271+0</f>
        <v>3</v>
      </c>
      <c r="D272" t="s">
        <v>34</v>
      </c>
      <c r="E272" t="s">
        <v>33</v>
      </c>
      <c r="F272" t="s">
        <v>32</v>
      </c>
      <c r="K272" s="29"/>
    </row>
    <row r="273" spans="1:11" hidden="1" x14ac:dyDescent="0.3">
      <c r="A273" s="33"/>
      <c r="D273" t="b">
        <f ca="1">ISODD(D270)</f>
        <v>1</v>
      </c>
      <c r="E273">
        <f ca="1">LEN(A268)</f>
        <v>5</v>
      </c>
      <c r="F273">
        <f ca="1">LEN(E270)+1</f>
        <v>3</v>
      </c>
      <c r="K273" s="29"/>
    </row>
    <row r="274" spans="1:11" hidden="1" x14ac:dyDescent="0.3">
      <c r="A274" s="33"/>
      <c r="K274" s="29"/>
    </row>
    <row r="275" spans="1:11" hidden="1" x14ac:dyDescent="0.3">
      <c r="A275" s="181" t="s">
        <v>44</v>
      </c>
      <c r="B275" s="182"/>
      <c r="C275" s="182"/>
      <c r="D275" s="182"/>
      <c r="E275" s="182"/>
      <c r="F275" s="182"/>
      <c r="G275" s="182"/>
      <c r="H275" s="182"/>
      <c r="I275" s="182"/>
      <c r="J275" s="182"/>
      <c r="K275" s="183"/>
    </row>
    <row r="276" spans="1:11" hidden="1" x14ac:dyDescent="0.3">
      <c r="A276" s="41" t="str">
        <f ca="1">K270</f>
        <v>43,3</v>
      </c>
      <c r="C276" t="str">
        <f ca="1">FIXED(A268,2)</f>
        <v>43,33</v>
      </c>
      <c r="D276" t="str">
        <f ca="1">RIGHT(C276,1)</f>
        <v>3</v>
      </c>
      <c r="E276">
        <f ca="1">D276+0</f>
        <v>3</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str">
        <f ca="1">RIGHT(A276,2)</f>
        <v>,3</v>
      </c>
      <c r="D278" t="str">
        <f ca="1">RIGHT(E278,1)</f>
        <v>3</v>
      </c>
      <c r="E278" s="38">
        <f ca="1">TRUNC(A276)</f>
        <v>43</v>
      </c>
      <c r="F278" s="14" t="str">
        <f ca="1">FIXED(A276-E278,G278)</f>
        <v>0,3</v>
      </c>
      <c r="G278">
        <f ca="1">ABS(E281-F281)</f>
        <v>1</v>
      </c>
      <c r="H278" t="str">
        <f ca="1">RIGHT(A276,G278)</f>
        <v>3</v>
      </c>
      <c r="I278">
        <v>0.5</v>
      </c>
      <c r="J278" s="12">
        <f ca="1">(A276-I278)</f>
        <v>42.8</v>
      </c>
      <c r="K278" s="37" t="str">
        <f ca="1">IF(C280=5,IF(AND(E276=0,D281=FALSE),J278,J279),J279)</f>
        <v>43</v>
      </c>
    </row>
    <row r="279" spans="1:11" hidden="1" x14ac:dyDescent="0.3">
      <c r="A279" s="33"/>
      <c r="C279" t="str">
        <f ca="1">RIGHT(C278,1)</f>
        <v>3</v>
      </c>
      <c r="D279">
        <f ca="1">D278+0</f>
        <v>3</v>
      </c>
      <c r="J279" t="str">
        <f ca="1">FIXED(A276,0)</f>
        <v>43</v>
      </c>
      <c r="K279" s="36"/>
    </row>
    <row r="280" spans="1:11" hidden="1" x14ac:dyDescent="0.3">
      <c r="A280" s="33"/>
      <c r="C280">
        <f ca="1">C279+0</f>
        <v>3</v>
      </c>
      <c r="D280" t="s">
        <v>34</v>
      </c>
      <c r="E280" t="s">
        <v>33</v>
      </c>
      <c r="F280" t="s">
        <v>32</v>
      </c>
      <c r="K280" s="29"/>
    </row>
    <row r="281" spans="1:11" ht="15" hidden="1" thickBot="1" x14ac:dyDescent="0.35">
      <c r="A281" s="35"/>
      <c r="B281" s="35"/>
      <c r="C281" s="35"/>
      <c r="D281" s="35" t="b">
        <f ca="1">ISODD(D278)</f>
        <v>1</v>
      </c>
      <c r="E281" s="35">
        <f ca="1">LEN(A276)</f>
        <v>4</v>
      </c>
      <c r="F281" s="35">
        <f ca="1">LEN(E278)+1</f>
        <v>3</v>
      </c>
      <c r="G281" s="35"/>
      <c r="H281" s="35"/>
      <c r="I281" s="35"/>
      <c r="J281" s="35"/>
      <c r="K281" s="34"/>
    </row>
    <row r="282" spans="1:11" ht="15" thickBot="1" x14ac:dyDescent="0.35">
      <c r="A282" s="184" t="s">
        <v>51</v>
      </c>
      <c r="B282" s="185"/>
      <c r="C282" s="185"/>
      <c r="D282" s="185"/>
      <c r="E282" s="185"/>
      <c r="F282" s="185"/>
      <c r="G282" s="185"/>
      <c r="H282" s="185"/>
      <c r="I282" s="185"/>
      <c r="J282" s="185"/>
      <c r="K282" s="186"/>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81" t="s">
        <v>47</v>
      </c>
      <c r="B291" s="182"/>
      <c r="C291" s="182"/>
      <c r="D291" s="182"/>
      <c r="E291" s="182"/>
      <c r="F291" s="182"/>
      <c r="G291" s="182"/>
      <c r="H291" s="182"/>
      <c r="I291" s="182"/>
      <c r="J291" s="182"/>
      <c r="K291" s="183"/>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81" t="s">
        <v>46</v>
      </c>
      <c r="B299" s="182"/>
      <c r="C299" s="182"/>
      <c r="D299" s="182"/>
      <c r="E299" s="182"/>
      <c r="F299" s="182"/>
      <c r="G299" s="182"/>
      <c r="H299" s="182"/>
      <c r="I299" s="182"/>
      <c r="J299" s="182"/>
      <c r="K299" s="183"/>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81" t="s">
        <v>45</v>
      </c>
      <c r="B307" s="182"/>
      <c r="C307" s="182"/>
      <c r="D307" s="182"/>
      <c r="E307" s="182"/>
      <c r="F307" s="182"/>
      <c r="G307" s="182"/>
      <c r="H307" s="182"/>
      <c r="I307" s="182"/>
      <c r="J307" s="182"/>
      <c r="K307" s="183"/>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81" t="s">
        <v>44</v>
      </c>
      <c r="B315" s="182"/>
      <c r="C315" s="182"/>
      <c r="D315" s="182"/>
      <c r="E315" s="182"/>
      <c r="F315" s="182"/>
      <c r="G315" s="182"/>
      <c r="H315" s="182"/>
      <c r="I315" s="182"/>
      <c r="J315" s="182"/>
      <c r="K315" s="183"/>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84" t="s">
        <v>50</v>
      </c>
      <c r="B322" s="185"/>
      <c r="C322" s="185"/>
      <c r="D322" s="185"/>
      <c r="E322" s="185"/>
      <c r="F322" s="185"/>
      <c r="G322" s="185"/>
      <c r="H322" s="185"/>
      <c r="I322" s="185"/>
      <c r="J322" s="185"/>
      <c r="K322" s="186"/>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81" t="s">
        <v>47</v>
      </c>
      <c r="B331" s="182"/>
      <c r="C331" s="182"/>
      <c r="D331" s="182"/>
      <c r="E331" s="182"/>
      <c r="F331" s="182"/>
      <c r="G331" s="182"/>
      <c r="H331" s="182"/>
      <c r="I331" s="182"/>
      <c r="J331" s="182"/>
      <c r="K331" s="183"/>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81" t="s">
        <v>46</v>
      </c>
      <c r="B339" s="182"/>
      <c r="C339" s="182"/>
      <c r="D339" s="182"/>
      <c r="E339" s="182"/>
      <c r="F339" s="182"/>
      <c r="G339" s="182"/>
      <c r="H339" s="182"/>
      <c r="I339" s="182"/>
      <c r="J339" s="182"/>
      <c r="K339" s="183"/>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81" t="s">
        <v>45</v>
      </c>
      <c r="B347" s="182"/>
      <c r="C347" s="182"/>
      <c r="D347" s="182"/>
      <c r="E347" s="182"/>
      <c r="F347" s="182"/>
      <c r="G347" s="182"/>
      <c r="H347" s="182"/>
      <c r="I347" s="182"/>
      <c r="J347" s="182"/>
      <c r="K347" s="183"/>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81" t="s">
        <v>44</v>
      </c>
      <c r="B355" s="182"/>
      <c r="C355" s="182"/>
      <c r="D355" s="182"/>
      <c r="E355" s="182"/>
      <c r="F355" s="182"/>
      <c r="G355" s="182"/>
      <c r="H355" s="182"/>
      <c r="I355" s="182"/>
      <c r="J355" s="182"/>
      <c r="K355" s="183"/>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84" t="s">
        <v>49</v>
      </c>
      <c r="B362" s="185"/>
      <c r="C362" s="185"/>
      <c r="D362" s="185"/>
      <c r="E362" s="185"/>
      <c r="F362" s="185"/>
      <c r="G362" s="185"/>
      <c r="H362" s="185"/>
      <c r="I362" s="185"/>
      <c r="J362" s="185"/>
      <c r="K362" s="186"/>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81" t="s">
        <v>47</v>
      </c>
      <c r="B371" s="182"/>
      <c r="C371" s="182"/>
      <c r="D371" s="182"/>
      <c r="E371" s="182"/>
      <c r="F371" s="182"/>
      <c r="G371" s="182"/>
      <c r="H371" s="182"/>
      <c r="I371" s="182"/>
      <c r="J371" s="182"/>
      <c r="K371" s="183"/>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81" t="s">
        <v>46</v>
      </c>
      <c r="B379" s="182"/>
      <c r="C379" s="182"/>
      <c r="D379" s="182"/>
      <c r="E379" s="182"/>
      <c r="F379" s="182"/>
      <c r="G379" s="182"/>
      <c r="H379" s="182"/>
      <c r="I379" s="182"/>
      <c r="J379" s="182"/>
      <c r="K379" s="183"/>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81" t="s">
        <v>45</v>
      </c>
      <c r="B387" s="182"/>
      <c r="C387" s="182"/>
      <c r="D387" s="182"/>
      <c r="E387" s="182"/>
      <c r="F387" s="182"/>
      <c r="G387" s="182"/>
      <c r="H387" s="182"/>
      <c r="I387" s="182"/>
      <c r="J387" s="182"/>
      <c r="K387" s="183"/>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81" t="s">
        <v>44</v>
      </c>
      <c r="B395" s="182"/>
      <c r="C395" s="182"/>
      <c r="D395" s="182"/>
      <c r="E395" s="182"/>
      <c r="F395" s="182"/>
      <c r="G395" s="182"/>
      <c r="H395" s="182"/>
      <c r="I395" s="182"/>
      <c r="J395" s="182"/>
      <c r="K395" s="183"/>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84" t="s">
        <v>48</v>
      </c>
      <c r="B402" s="185"/>
      <c r="C402" s="185"/>
      <c r="D402" s="185"/>
      <c r="E402" s="185"/>
      <c r="F402" s="185"/>
      <c r="G402" s="185"/>
      <c r="H402" s="185"/>
      <c r="I402" s="185"/>
      <c r="J402" s="185"/>
      <c r="K402" s="186"/>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81" t="s">
        <v>47</v>
      </c>
      <c r="B411" s="182"/>
      <c r="C411" s="182"/>
      <c r="D411" s="182"/>
      <c r="E411" s="182"/>
      <c r="F411" s="182"/>
      <c r="G411" s="182"/>
      <c r="H411" s="182"/>
      <c r="I411" s="182"/>
      <c r="J411" s="182"/>
      <c r="K411" s="183"/>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81" t="s">
        <v>46</v>
      </c>
      <c r="B419" s="182"/>
      <c r="C419" s="182"/>
      <c r="D419" s="182"/>
      <c r="E419" s="182"/>
      <c r="F419" s="182"/>
      <c r="G419" s="182"/>
      <c r="H419" s="182"/>
      <c r="I419" s="182"/>
      <c r="J419" s="182"/>
      <c r="K419" s="183"/>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81" t="s">
        <v>45</v>
      </c>
      <c r="B427" s="182"/>
      <c r="C427" s="182"/>
      <c r="D427" s="182"/>
      <c r="E427" s="182"/>
      <c r="F427" s="182"/>
      <c r="G427" s="182"/>
      <c r="H427" s="182"/>
      <c r="I427" s="182"/>
      <c r="J427" s="182"/>
      <c r="K427" s="183"/>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81" t="s">
        <v>44</v>
      </c>
      <c r="B435" s="182"/>
      <c r="C435" s="182"/>
      <c r="D435" s="182"/>
      <c r="E435" s="182"/>
      <c r="F435" s="182"/>
      <c r="G435" s="182"/>
      <c r="H435" s="182"/>
      <c r="I435" s="182"/>
      <c r="J435" s="182"/>
      <c r="K435" s="183"/>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84" t="s">
        <v>31</v>
      </c>
      <c r="B442" s="185"/>
      <c r="C442" s="185"/>
      <c r="D442" s="185"/>
      <c r="E442" s="185"/>
      <c r="F442" s="185"/>
      <c r="G442" s="185"/>
      <c r="H442" s="185"/>
      <c r="I442" s="185"/>
      <c r="J442" s="185"/>
      <c r="K442" s="186"/>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81" t="s">
        <v>47</v>
      </c>
      <c r="D451" s="182"/>
      <c r="E451" s="182"/>
      <c r="F451" s="182"/>
      <c r="G451" s="182"/>
      <c r="H451" s="182"/>
      <c r="I451" s="182"/>
      <c r="J451" s="182"/>
      <c r="K451" s="182"/>
      <c r="L451" s="182"/>
      <c r="M451" s="183"/>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81" t="s">
        <v>46</v>
      </c>
      <c r="D459" s="182"/>
      <c r="E459" s="182"/>
      <c r="F459" s="182"/>
      <c r="G459" s="182"/>
      <c r="H459" s="182"/>
      <c r="I459" s="182"/>
      <c r="J459" s="182"/>
      <c r="K459" s="182"/>
      <c r="L459" s="182"/>
      <c r="M459" s="183"/>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81" t="s">
        <v>45</v>
      </c>
      <c r="D467" s="182"/>
      <c r="E467" s="182"/>
      <c r="F467" s="182"/>
      <c r="G467" s="182"/>
      <c r="H467" s="182"/>
      <c r="I467" s="182"/>
      <c r="J467" s="182"/>
      <c r="K467" s="182"/>
      <c r="L467" s="182"/>
      <c r="M467" s="183"/>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81" t="s">
        <v>44</v>
      </c>
      <c r="D475" s="182"/>
      <c r="E475" s="182"/>
      <c r="F475" s="182"/>
      <c r="G475" s="182"/>
      <c r="H475" s="182"/>
      <c r="I475" s="182"/>
      <c r="J475" s="182"/>
      <c r="K475" s="182"/>
      <c r="L475" s="182"/>
      <c r="M475" s="183"/>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58"/>
  <sheetViews>
    <sheetView zoomScaleNormal="100" workbookViewId="0">
      <selection activeCell="L32" sqref="L32"/>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6" width="2.88671875" style="16" customWidth="1"/>
    <col min="17" max="31" width="5.77734375" style="16" customWidth="1"/>
    <col min="32" max="33" width="10.33203125" style="16" customWidth="1"/>
    <col min="34" max="34" width="6.44140625" style="16" customWidth="1"/>
    <col min="35" max="38" width="10.33203125" style="16" customWidth="1"/>
    <col min="39" max="16384" width="11.44140625" style="16"/>
  </cols>
  <sheetData>
    <row r="1" spans="1:31" x14ac:dyDescent="0.3">
      <c r="A1"/>
      <c r="B1" s="202" t="s">
        <v>168</v>
      </c>
      <c r="C1" s="202"/>
      <c r="D1" s="202"/>
      <c r="E1" s="202"/>
      <c r="F1" s="202"/>
      <c r="G1" s="202"/>
      <c r="H1" s="202"/>
      <c r="I1" s="202"/>
      <c r="J1" s="202"/>
      <c r="K1" s="202"/>
      <c r="L1" s="202"/>
      <c r="M1" s="202"/>
      <c r="N1" s="202"/>
      <c r="O1" s="202"/>
      <c r="P1" s="103"/>
      <c r="Q1"/>
      <c r="R1" s="202" t="s">
        <v>169</v>
      </c>
      <c r="S1" s="202"/>
      <c r="T1" s="202"/>
      <c r="U1" s="202"/>
      <c r="V1" s="202"/>
      <c r="W1" s="202"/>
      <c r="X1" s="202"/>
      <c r="Y1" s="202"/>
      <c r="Z1" s="202"/>
      <c r="AA1" s="202"/>
      <c r="AB1" s="202"/>
      <c r="AC1" s="202"/>
      <c r="AD1" s="202"/>
      <c r="AE1" s="202"/>
    </row>
    <row r="2" spans="1:31" x14ac:dyDescent="0.3">
      <c r="A2"/>
      <c r="B2"/>
      <c r="C2"/>
      <c r="D2" s="203" t="s">
        <v>101</v>
      </c>
      <c r="E2" s="203"/>
      <c r="F2" s="203"/>
      <c r="G2" s="203"/>
      <c r="H2" s="203"/>
      <c r="I2" s="203"/>
      <c r="J2" s="203"/>
      <c r="K2" s="203"/>
      <c r="L2" s="96"/>
      <c r="M2" s="97"/>
      <c r="N2" s="97"/>
      <c r="O2" s="97"/>
      <c r="P2" s="108"/>
      <c r="Q2"/>
      <c r="R2"/>
      <c r="S2"/>
      <c r="T2" s="203" t="s">
        <v>101</v>
      </c>
      <c r="U2" s="203"/>
      <c r="V2" s="203"/>
      <c r="W2" s="203"/>
      <c r="X2" s="203"/>
      <c r="Y2" s="203"/>
      <c r="Z2" s="203"/>
      <c r="AA2" s="203"/>
      <c r="AB2" s="96"/>
      <c r="AC2" s="97"/>
      <c r="AD2" s="97"/>
      <c r="AE2" s="97"/>
    </row>
    <row r="3" spans="1:31" ht="25.8" customHeight="1" x14ac:dyDescent="0.3">
      <c r="A3"/>
      <c r="B3" s="191" t="s">
        <v>95</v>
      </c>
      <c r="C3" s="192"/>
      <c r="D3" s="189" t="s">
        <v>96</v>
      </c>
      <c r="E3" s="189"/>
      <c r="F3" s="189" t="s">
        <v>97</v>
      </c>
      <c r="G3" s="189"/>
      <c r="H3" s="189" t="s">
        <v>100</v>
      </c>
      <c r="I3" s="189"/>
      <c r="J3" s="189" t="s">
        <v>98</v>
      </c>
      <c r="K3" s="189"/>
      <c r="L3" s="190" t="s">
        <v>99</v>
      </c>
      <c r="M3" s="190"/>
      <c r="N3" s="190" t="s">
        <v>121</v>
      </c>
      <c r="O3" s="190"/>
      <c r="P3" s="109"/>
      <c r="Q3"/>
      <c r="R3" s="191" t="s">
        <v>107</v>
      </c>
      <c r="S3" s="192"/>
      <c r="T3" s="189" t="s">
        <v>108</v>
      </c>
      <c r="U3" s="189"/>
      <c r="V3" s="189" t="s">
        <v>109</v>
      </c>
      <c r="W3" s="189"/>
      <c r="X3" s="189" t="s">
        <v>110</v>
      </c>
      <c r="Y3" s="189"/>
      <c r="Z3" s="189" t="s">
        <v>111</v>
      </c>
      <c r="AA3" s="189"/>
      <c r="AB3" s="190" t="s">
        <v>112</v>
      </c>
      <c r="AC3" s="190"/>
      <c r="AD3" s="190" t="s">
        <v>172</v>
      </c>
      <c r="AE3" s="190"/>
    </row>
    <row r="4" spans="1:31" x14ac:dyDescent="0.3">
      <c r="A4"/>
      <c r="B4" s="199">
        <v>50</v>
      </c>
      <c r="C4" s="199"/>
      <c r="D4" s="200">
        <f ca="1">RANDBETWEEN(49, 50)</f>
        <v>49</v>
      </c>
      <c r="E4" s="200"/>
      <c r="F4" s="200">
        <f ca="1">D4</f>
        <v>49</v>
      </c>
      <c r="G4" s="200"/>
      <c r="H4" s="200">
        <f ca="1">D4</f>
        <v>49</v>
      </c>
      <c r="I4" s="200"/>
      <c r="J4" s="200">
        <f ca="1">D4</f>
        <v>49</v>
      </c>
      <c r="K4" s="200"/>
      <c r="L4" s="201">
        <f ca="1">AVERAGE(D4:K4)</f>
        <v>49</v>
      </c>
      <c r="M4" s="201"/>
      <c r="N4" s="201">
        <f ca="1">L4-B4</f>
        <v>-1</v>
      </c>
      <c r="O4" s="201"/>
      <c r="P4" s="110"/>
      <c r="Q4"/>
      <c r="R4" s="199">
        <v>30</v>
      </c>
      <c r="S4" s="199"/>
      <c r="T4" s="200">
        <v>30</v>
      </c>
      <c r="U4" s="200"/>
      <c r="V4" s="200">
        <f>T4</f>
        <v>30</v>
      </c>
      <c r="W4" s="200"/>
      <c r="X4" s="200">
        <f t="shared" ref="X4" si="0">V4</f>
        <v>30</v>
      </c>
      <c r="Y4" s="200"/>
      <c r="Z4" s="200">
        <f t="shared" ref="Z4" si="1">X4</f>
        <v>30</v>
      </c>
      <c r="AA4" s="200"/>
      <c r="AB4" s="199">
        <f>AVERAGE(T4:AA4)</f>
        <v>30</v>
      </c>
      <c r="AC4" s="199"/>
      <c r="AD4" s="199">
        <f>AB4-R4</f>
        <v>0</v>
      </c>
      <c r="AE4" s="199"/>
    </row>
    <row r="5" spans="1:31" x14ac:dyDescent="0.3">
      <c r="A5"/>
      <c r="B5" s="199">
        <v>100</v>
      </c>
      <c r="C5" s="199"/>
      <c r="D5" s="200">
        <f ca="1">IF((D4 - B4) = 0, IF(RAND() &lt; 0.5, B5, B5 - 1), IF((D4 - B4) = -1, B5 - 1, "Condición no especificada"))</f>
        <v>99</v>
      </c>
      <c r="E5" s="200"/>
      <c r="F5" s="200">
        <f ca="1">D5</f>
        <v>99</v>
      </c>
      <c r="G5" s="200"/>
      <c r="H5" s="200">
        <f ca="1">D5</f>
        <v>99</v>
      </c>
      <c r="I5" s="200"/>
      <c r="J5" s="200">
        <f ca="1">D5</f>
        <v>99</v>
      </c>
      <c r="K5" s="200"/>
      <c r="L5" s="201">
        <f t="shared" ref="L5:L8" ca="1" si="2">AVERAGE(D5:K5)</f>
        <v>99</v>
      </c>
      <c r="M5" s="201"/>
      <c r="N5" s="201">
        <f t="shared" ref="N5:N8" ca="1" si="3">L5-B5</f>
        <v>-1</v>
      </c>
      <c r="O5" s="201"/>
      <c r="P5" s="110"/>
      <c r="Q5"/>
      <c r="R5" s="199">
        <v>60</v>
      </c>
      <c r="S5" s="199"/>
      <c r="T5" s="200">
        <v>60</v>
      </c>
      <c r="U5" s="200"/>
      <c r="V5" s="200">
        <f t="shared" ref="V5:V7" si="4">T5</f>
        <v>60</v>
      </c>
      <c r="W5" s="200"/>
      <c r="X5" s="200">
        <f t="shared" ref="X5:X7" si="5">V5</f>
        <v>60</v>
      </c>
      <c r="Y5" s="200"/>
      <c r="Z5" s="200">
        <f t="shared" ref="Z5:Z7" si="6">X5</f>
        <v>60</v>
      </c>
      <c r="AA5" s="200"/>
      <c r="AB5" s="199">
        <f t="shared" ref="AB5:AB7" si="7">AVERAGE(T5:AA5)</f>
        <v>60</v>
      </c>
      <c r="AC5" s="199"/>
      <c r="AD5" s="199">
        <f t="shared" ref="AD5:AD7" si="8">AB5-R5</f>
        <v>0</v>
      </c>
      <c r="AE5" s="199"/>
    </row>
    <row r="6" spans="1:31" x14ac:dyDescent="0.3">
      <c r="A6"/>
      <c r="B6" s="199">
        <v>150</v>
      </c>
      <c r="C6" s="199"/>
      <c r="D6" s="200">
        <f ca="1">IF((D5 - B5) = 0, INT(IF(RAND() &lt; 0.5, B6, B6 - 1)), IF((D5 - B5) = -1, B6 - 1, "Condición no especificada"))</f>
        <v>149</v>
      </c>
      <c r="E6" s="200"/>
      <c r="F6" s="200">
        <f ca="1">D6</f>
        <v>149</v>
      </c>
      <c r="G6" s="200"/>
      <c r="H6" s="200">
        <f ca="1">D6</f>
        <v>149</v>
      </c>
      <c r="I6" s="200"/>
      <c r="J6" s="200">
        <f ca="1">D6</f>
        <v>149</v>
      </c>
      <c r="K6" s="200"/>
      <c r="L6" s="201">
        <f t="shared" ca="1" si="2"/>
        <v>149</v>
      </c>
      <c r="M6" s="201"/>
      <c r="N6" s="201">
        <f t="shared" ca="1" si="3"/>
        <v>-1</v>
      </c>
      <c r="O6" s="201"/>
      <c r="P6" s="110"/>
      <c r="Q6"/>
      <c r="R6" s="199">
        <v>120</v>
      </c>
      <c r="S6" s="199"/>
      <c r="T6" s="200">
        <v>120</v>
      </c>
      <c r="U6" s="200"/>
      <c r="V6" s="200">
        <f t="shared" si="4"/>
        <v>120</v>
      </c>
      <c r="W6" s="200"/>
      <c r="X6" s="200">
        <f t="shared" si="5"/>
        <v>120</v>
      </c>
      <c r="Y6" s="200"/>
      <c r="Z6" s="200">
        <f t="shared" si="6"/>
        <v>120</v>
      </c>
      <c r="AA6" s="200"/>
      <c r="AB6" s="199">
        <f t="shared" si="7"/>
        <v>120</v>
      </c>
      <c r="AC6" s="199"/>
      <c r="AD6" s="199">
        <f t="shared" si="8"/>
        <v>0</v>
      </c>
      <c r="AE6" s="199"/>
    </row>
    <row r="7" spans="1:31" x14ac:dyDescent="0.3">
      <c r="A7"/>
      <c r="B7" s="199">
        <v>200</v>
      </c>
      <c r="C7" s="199"/>
      <c r="D7" s="200">
        <f ca="1">IF((D6 - B6) = 0, INT(IF(RAND() &lt; 0.5, B7, B7 - 1)), IF((D6 - B6) = -1, INT(IF(RAND() &lt; 0.5, B7 - 1, B7 - 2)), B7))</f>
        <v>199</v>
      </c>
      <c r="E7" s="200"/>
      <c r="F7" s="200">
        <f ca="1">D7</f>
        <v>199</v>
      </c>
      <c r="G7" s="200"/>
      <c r="H7" s="200">
        <f ca="1">D7</f>
        <v>199</v>
      </c>
      <c r="I7" s="200"/>
      <c r="J7" s="200">
        <f ca="1">D7</f>
        <v>199</v>
      </c>
      <c r="K7" s="200"/>
      <c r="L7" s="201">
        <f t="shared" ca="1" si="2"/>
        <v>199</v>
      </c>
      <c r="M7" s="201"/>
      <c r="N7" s="201">
        <f t="shared" ca="1" si="3"/>
        <v>-1</v>
      </c>
      <c r="O7" s="201"/>
      <c r="P7" s="110"/>
      <c r="Q7"/>
      <c r="R7" s="199">
        <v>240</v>
      </c>
      <c r="S7" s="199"/>
      <c r="T7" s="200">
        <v>240</v>
      </c>
      <c r="U7" s="200"/>
      <c r="V7" s="200">
        <f t="shared" si="4"/>
        <v>240</v>
      </c>
      <c r="W7" s="200"/>
      <c r="X7" s="200">
        <f t="shared" si="5"/>
        <v>240</v>
      </c>
      <c r="Y7" s="200"/>
      <c r="Z7" s="200">
        <f t="shared" si="6"/>
        <v>240</v>
      </c>
      <c r="AA7" s="200"/>
      <c r="AB7" s="199">
        <f t="shared" si="7"/>
        <v>240</v>
      </c>
      <c r="AC7" s="199"/>
      <c r="AD7" s="199">
        <f t="shared" si="8"/>
        <v>0</v>
      </c>
      <c r="AE7" s="199"/>
    </row>
    <row r="8" spans="1:31" x14ac:dyDescent="0.3">
      <c r="A8"/>
      <c r="B8" s="199">
        <v>250</v>
      </c>
      <c r="C8" s="199"/>
      <c r="D8" s="200">
        <f ca="1">IF((D7 - B7) = 0, INT(IF(RAND() &lt; 0.5, B8, B8 - 1)), IF((D7 - B7) = -1, INT(IF(RAND() &lt; 0.5, B8 - 1, B8 - 2)), IF((D7 - B7) = -2, B8 - 2, "Condición no especificada")))</f>
        <v>248</v>
      </c>
      <c r="E8" s="200"/>
      <c r="F8" s="200">
        <f ca="1">D8</f>
        <v>248</v>
      </c>
      <c r="G8" s="200"/>
      <c r="H8" s="200">
        <f ca="1">D8</f>
        <v>248</v>
      </c>
      <c r="I8" s="200"/>
      <c r="J8" s="200">
        <f ca="1">D8</f>
        <v>248</v>
      </c>
      <c r="K8" s="200"/>
      <c r="L8" s="201">
        <f t="shared" ca="1" si="2"/>
        <v>248</v>
      </c>
      <c r="M8" s="201"/>
      <c r="N8" s="201">
        <f t="shared" ca="1" si="3"/>
        <v>-2</v>
      </c>
      <c r="O8" s="201"/>
      <c r="P8" s="110"/>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c r="AD9"/>
      <c r="AE9"/>
    </row>
    <row r="10" spans="1:31" x14ac:dyDescent="0.3">
      <c r="A10"/>
      <c r="B10" s="202" t="s">
        <v>200</v>
      </c>
      <c r="C10" s="202"/>
      <c r="D10" s="202"/>
      <c r="E10" s="202"/>
      <c r="F10" s="202"/>
      <c r="G10" s="202"/>
      <c r="H10" s="202"/>
      <c r="I10" s="202"/>
      <c r="J10" s="202"/>
      <c r="K10" s="202"/>
      <c r="L10" s="202"/>
      <c r="M10" s="202"/>
      <c r="N10" s="202"/>
      <c r="O10" s="202"/>
      <c r="P10"/>
      <c r="Q10"/>
      <c r="R10" s="202" t="s">
        <v>171</v>
      </c>
      <c r="S10" s="202"/>
      <c r="T10" s="202"/>
      <c r="U10" s="202"/>
      <c r="V10" s="202"/>
      <c r="W10" s="202"/>
      <c r="X10" s="202"/>
      <c r="Y10" s="202"/>
      <c r="Z10" s="202"/>
      <c r="AA10" s="202"/>
      <c r="AB10" s="202"/>
      <c r="AC10" s="202"/>
      <c r="AD10" s="202"/>
      <c r="AE10" s="202"/>
    </row>
    <row r="11" spans="1:31" x14ac:dyDescent="0.3">
      <c r="A11"/>
      <c r="B11"/>
      <c r="C11"/>
      <c r="D11" s="203" t="s">
        <v>101</v>
      </c>
      <c r="E11" s="203"/>
      <c r="F11" s="203"/>
      <c r="G11" s="203"/>
      <c r="H11" s="203"/>
      <c r="I11" s="203"/>
      <c r="J11" s="203"/>
      <c r="K11" s="203"/>
      <c r="L11" s="96"/>
      <c r="M11" s="97"/>
      <c r="N11" s="97"/>
      <c r="O11" s="97"/>
      <c r="P11"/>
      <c r="Q11"/>
      <c r="R11"/>
      <c r="S11"/>
      <c r="T11" s="203" t="s">
        <v>101</v>
      </c>
      <c r="U11" s="203"/>
      <c r="V11" s="203"/>
      <c r="W11" s="203"/>
      <c r="X11" s="203"/>
      <c r="Y11" s="203"/>
      <c r="Z11" s="203"/>
      <c r="AA11" s="203"/>
      <c r="AB11" s="96"/>
      <c r="AC11" s="97"/>
      <c r="AD11" s="97"/>
      <c r="AE11" s="97"/>
    </row>
    <row r="12" spans="1:31" ht="28.8" customHeight="1" x14ac:dyDescent="0.3">
      <c r="A12"/>
      <c r="B12" s="191" t="s">
        <v>95</v>
      </c>
      <c r="C12" s="192"/>
      <c r="D12" s="189" t="s">
        <v>96</v>
      </c>
      <c r="E12" s="189"/>
      <c r="F12" s="189" t="s">
        <v>97</v>
      </c>
      <c r="G12" s="189"/>
      <c r="H12" s="189" t="s">
        <v>100</v>
      </c>
      <c r="I12" s="189"/>
      <c r="J12" s="189" t="s">
        <v>98</v>
      </c>
      <c r="K12" s="189"/>
      <c r="L12" s="190" t="s">
        <v>99</v>
      </c>
      <c r="M12" s="190"/>
      <c r="N12" s="190" t="s">
        <v>121</v>
      </c>
      <c r="O12" s="190"/>
      <c r="P12"/>
      <c r="Q12"/>
      <c r="R12" s="191" t="s">
        <v>173</v>
      </c>
      <c r="S12" s="192"/>
      <c r="T12" s="189" t="s">
        <v>174</v>
      </c>
      <c r="U12" s="189"/>
      <c r="V12" s="189" t="s">
        <v>175</v>
      </c>
      <c r="W12" s="189"/>
      <c r="X12" s="189" t="s">
        <v>176</v>
      </c>
      <c r="Y12" s="189"/>
      <c r="Z12" s="189" t="s">
        <v>177</v>
      </c>
      <c r="AA12" s="189"/>
      <c r="AB12" s="190" t="s">
        <v>178</v>
      </c>
      <c r="AC12" s="190"/>
      <c r="AD12" s="190" t="s">
        <v>179</v>
      </c>
      <c r="AE12" s="190"/>
    </row>
    <row r="13" spans="1:31" x14ac:dyDescent="0.3">
      <c r="A13"/>
      <c r="B13" s="199">
        <v>50</v>
      </c>
      <c r="C13" s="199"/>
      <c r="D13" s="200">
        <f ca="1">RANDBETWEEN(49, 50)</f>
        <v>49</v>
      </c>
      <c r="E13" s="200"/>
      <c r="F13" s="200">
        <f ca="1">D13</f>
        <v>49</v>
      </c>
      <c r="G13" s="200"/>
      <c r="H13" s="200">
        <f ca="1">D13</f>
        <v>49</v>
      </c>
      <c r="I13" s="200"/>
      <c r="J13" s="200">
        <f ca="1">D13</f>
        <v>49</v>
      </c>
      <c r="K13" s="200"/>
      <c r="L13" s="201">
        <f ca="1">AVERAGE(D13:K13)</f>
        <v>49</v>
      </c>
      <c r="M13" s="201"/>
      <c r="N13" s="201">
        <f ca="1">L13-B13</f>
        <v>-1</v>
      </c>
      <c r="O13" s="201"/>
      <c r="P13"/>
      <c r="Q13"/>
      <c r="R13" s="208">
        <v>80</v>
      </c>
      <c r="S13" s="208"/>
      <c r="T13" s="209">
        <f ca="1">IF(RAND() &lt; 0.7, 80, IF(RAND() &lt; 0.5, 79.5, 80.5))</f>
        <v>80.5</v>
      </c>
      <c r="U13" s="209"/>
      <c r="V13" s="209">
        <f ca="1">T13</f>
        <v>80.5</v>
      </c>
      <c r="W13" s="209"/>
      <c r="X13" s="209">
        <f t="shared" ref="X13" ca="1" si="9">V13</f>
        <v>80.5</v>
      </c>
      <c r="Y13" s="209"/>
      <c r="Z13" s="209">
        <f t="shared" ref="Z13" ca="1" si="10">X13</f>
        <v>80.5</v>
      </c>
      <c r="AA13" s="209"/>
      <c r="AB13" s="210">
        <f ca="1">AVERAGE(T13:AA13)</f>
        <v>80.5</v>
      </c>
      <c r="AC13" s="210"/>
      <c r="AD13" s="210">
        <f ca="1">AB13-R13</f>
        <v>0.5</v>
      </c>
      <c r="AE13" s="210"/>
    </row>
    <row r="14" spans="1:31" x14ac:dyDescent="0.3">
      <c r="A14"/>
      <c r="B14" s="199">
        <v>100</v>
      </c>
      <c r="C14" s="199"/>
      <c r="D14" s="200">
        <f ca="1">IF((D13 - B13) = 0, IF(RAND() &lt; 0.5, B14, B14 - 1), IF((D13 - B13) = -1, B14 - 1, "Condición no especificada"))</f>
        <v>99</v>
      </c>
      <c r="E14" s="200"/>
      <c r="F14" s="200">
        <f ca="1">D14</f>
        <v>99</v>
      </c>
      <c r="G14" s="200"/>
      <c r="H14" s="200">
        <f ca="1">D14</f>
        <v>99</v>
      </c>
      <c r="I14" s="200"/>
      <c r="J14" s="200">
        <f ca="1">D14</f>
        <v>99</v>
      </c>
      <c r="K14" s="200"/>
      <c r="L14" s="201">
        <f t="shared" ref="L14:L17" ca="1" si="11">AVERAGE(D14:K14)</f>
        <v>99</v>
      </c>
      <c r="M14" s="201"/>
      <c r="N14" s="201">
        <f t="shared" ref="N14:N17" ca="1" si="12">L14-B14</f>
        <v>-1</v>
      </c>
      <c r="O14" s="201"/>
      <c r="P14"/>
      <c r="Q14"/>
      <c r="R14" s="208">
        <v>85</v>
      </c>
      <c r="S14" s="208"/>
      <c r="T14" s="209">
        <f ca="1">IF(RAND() &lt; 0.7, 85, IF(RAND() &lt; 0.5, 84.5, 85.5))</f>
        <v>84.5</v>
      </c>
      <c r="U14" s="209"/>
      <c r="V14" s="209">
        <f t="shared" ref="V14:V17" ca="1" si="13">T14</f>
        <v>84.5</v>
      </c>
      <c r="W14" s="209"/>
      <c r="X14" s="209">
        <f t="shared" ref="X14:X17" ca="1" si="14">V14</f>
        <v>84.5</v>
      </c>
      <c r="Y14" s="209"/>
      <c r="Z14" s="209">
        <f t="shared" ref="Z14:Z17" ca="1" si="15">X14</f>
        <v>84.5</v>
      </c>
      <c r="AA14" s="209"/>
      <c r="AB14" s="210">
        <f t="shared" ref="AB14:AB16" ca="1" si="16">AVERAGE(T14:AA14)</f>
        <v>84.5</v>
      </c>
      <c r="AC14" s="210"/>
      <c r="AD14" s="210">
        <f t="shared" ref="AD14:AD16" ca="1" si="17">AB14-R14</f>
        <v>-0.5</v>
      </c>
      <c r="AE14" s="210"/>
    </row>
    <row r="15" spans="1:31" x14ac:dyDescent="0.3">
      <c r="A15"/>
      <c r="B15" s="199">
        <v>150</v>
      </c>
      <c r="C15" s="199"/>
      <c r="D15" s="200">
        <f ca="1">IF((D14 - B14) = 0, INT(IF(RAND() &lt; 0.5, B15, B15 - 1)), IF((D14 - B14) = -1, B15 - 1, "Condición no especificada"))</f>
        <v>149</v>
      </c>
      <c r="E15" s="200"/>
      <c r="F15" s="200">
        <f ca="1">D15</f>
        <v>149</v>
      </c>
      <c r="G15" s="200"/>
      <c r="H15" s="200">
        <f ca="1">D15</f>
        <v>149</v>
      </c>
      <c r="I15" s="200"/>
      <c r="J15" s="200">
        <f ca="1">D15</f>
        <v>149</v>
      </c>
      <c r="K15" s="200"/>
      <c r="L15" s="201">
        <f t="shared" ca="1" si="11"/>
        <v>149</v>
      </c>
      <c r="M15" s="201"/>
      <c r="N15" s="201">
        <f t="shared" ca="1" si="12"/>
        <v>-1</v>
      </c>
      <c r="O15" s="201"/>
      <c r="P15"/>
      <c r="Q15"/>
      <c r="R15" s="208">
        <v>90</v>
      </c>
      <c r="S15" s="208"/>
      <c r="T15" s="209">
        <f ca="1">IF(RAND() &lt; 0.7, 90, IF(RAND() &lt; 0.5, 89.5, 90.5))</f>
        <v>90</v>
      </c>
      <c r="U15" s="209"/>
      <c r="V15" s="209">
        <f t="shared" ca="1" si="13"/>
        <v>90</v>
      </c>
      <c r="W15" s="209"/>
      <c r="X15" s="209">
        <f t="shared" ca="1" si="14"/>
        <v>90</v>
      </c>
      <c r="Y15" s="209"/>
      <c r="Z15" s="209">
        <f t="shared" ca="1" si="15"/>
        <v>90</v>
      </c>
      <c r="AA15" s="209"/>
      <c r="AB15" s="210">
        <f t="shared" ca="1" si="16"/>
        <v>90</v>
      </c>
      <c r="AC15" s="210"/>
      <c r="AD15" s="210">
        <f t="shared" ca="1" si="17"/>
        <v>0</v>
      </c>
      <c r="AE15" s="210"/>
    </row>
    <row r="16" spans="1:31" x14ac:dyDescent="0.3">
      <c r="A16"/>
      <c r="B16" s="199">
        <v>200</v>
      </c>
      <c r="C16" s="199"/>
      <c r="D16" s="200">
        <f ca="1">IF((D15 - B15) = 0, INT(IF(RAND() &lt; 0.5, B16, B16 - 1)), IF((D15 - B15) = -1, INT(IF(RAND() &lt; 0.5, B16 - 1, B16 - 2)), B16))</f>
        <v>199</v>
      </c>
      <c r="E16" s="200"/>
      <c r="F16" s="200">
        <f ca="1">D16</f>
        <v>199</v>
      </c>
      <c r="G16" s="200"/>
      <c r="H16" s="200">
        <f ca="1">D16</f>
        <v>199</v>
      </c>
      <c r="I16" s="200"/>
      <c r="J16" s="200">
        <f ca="1">D16</f>
        <v>199</v>
      </c>
      <c r="K16" s="200"/>
      <c r="L16" s="201">
        <f t="shared" ca="1" si="11"/>
        <v>199</v>
      </c>
      <c r="M16" s="201"/>
      <c r="N16" s="201">
        <f t="shared" ca="1" si="12"/>
        <v>-1</v>
      </c>
      <c r="O16" s="201"/>
      <c r="P16"/>
      <c r="Q16"/>
      <c r="R16" s="208">
        <v>95</v>
      </c>
      <c r="S16" s="208"/>
      <c r="T16" s="209">
        <f ca="1">IF(RAND() &lt; 0.7, 95, IF(RAND() &lt; 0.5, 94.5, 95.5))</f>
        <v>95</v>
      </c>
      <c r="U16" s="209"/>
      <c r="V16" s="209">
        <f t="shared" ca="1" si="13"/>
        <v>95</v>
      </c>
      <c r="W16" s="209"/>
      <c r="X16" s="209">
        <f t="shared" ca="1" si="14"/>
        <v>95</v>
      </c>
      <c r="Y16" s="209"/>
      <c r="Z16" s="209">
        <f t="shared" ca="1" si="15"/>
        <v>95</v>
      </c>
      <c r="AA16" s="209"/>
      <c r="AB16" s="210">
        <f t="shared" ca="1" si="16"/>
        <v>95</v>
      </c>
      <c r="AC16" s="210"/>
      <c r="AD16" s="210">
        <f t="shared" ca="1" si="17"/>
        <v>0</v>
      </c>
      <c r="AE16" s="210"/>
    </row>
    <row r="17" spans="1:33" x14ac:dyDescent="0.3">
      <c r="A17"/>
      <c r="B17" s="199">
        <v>250</v>
      </c>
      <c r="C17" s="199"/>
      <c r="D17" s="200">
        <f ca="1">IF((D16 - B16) = 0, INT(IF(RAND() &lt; 0.5, B17, B17 - 1)), IF((D16 - B16) = -1, INT(IF(RAND() &lt; 0.5, B17 - 1, B17 - 2)), IF((D16 - B16) = -2, B17 - 2, "Condición no especificada")))</f>
        <v>249</v>
      </c>
      <c r="E17" s="200"/>
      <c r="F17" s="200">
        <f ca="1">D17</f>
        <v>249</v>
      </c>
      <c r="G17" s="200"/>
      <c r="H17" s="200">
        <f ca="1">D17</f>
        <v>249</v>
      </c>
      <c r="I17" s="200"/>
      <c r="J17" s="200">
        <f ca="1">D17</f>
        <v>249</v>
      </c>
      <c r="K17" s="200"/>
      <c r="L17" s="201">
        <f t="shared" ca="1" si="11"/>
        <v>249</v>
      </c>
      <c r="M17" s="201"/>
      <c r="N17" s="201">
        <f t="shared" ca="1" si="12"/>
        <v>-1</v>
      </c>
      <c r="O17" s="201"/>
      <c r="P17"/>
      <c r="Q17"/>
      <c r="R17" s="208">
        <v>99</v>
      </c>
      <c r="S17" s="208"/>
      <c r="T17" s="209">
        <f ca="1">ROUNDUP(RANDBETWEEN(196, 200)/2, 1)</f>
        <v>98</v>
      </c>
      <c r="U17" s="209"/>
      <c r="V17" s="209">
        <f t="shared" ca="1" si="13"/>
        <v>98</v>
      </c>
      <c r="W17" s="209"/>
      <c r="X17" s="209">
        <f t="shared" ca="1" si="14"/>
        <v>98</v>
      </c>
      <c r="Y17" s="209"/>
      <c r="Z17" s="209">
        <f t="shared" ca="1" si="15"/>
        <v>98</v>
      </c>
      <c r="AA17" s="209"/>
      <c r="AB17" s="210">
        <f t="shared" ref="AB17" ca="1" si="18">AVERAGE(T17:AA17)</f>
        <v>98</v>
      </c>
      <c r="AC17" s="210"/>
      <c r="AD17" s="210">
        <f t="shared" ref="AD17" ca="1" si="19">AB17-R17</f>
        <v>-1</v>
      </c>
      <c r="AE17" s="210"/>
    </row>
    <row r="18" spans="1:33" x14ac:dyDescent="0.3">
      <c r="A18"/>
      <c r="B18" s="112"/>
      <c r="C18" s="112"/>
      <c r="D18" s="110"/>
      <c r="E18" s="110"/>
      <c r="F18" s="110"/>
      <c r="G18" s="110"/>
      <c r="H18" s="110"/>
      <c r="I18" s="110"/>
      <c r="J18" s="110"/>
      <c r="K18" s="110"/>
      <c r="L18" s="113"/>
      <c r="M18" s="113"/>
      <c r="N18" s="113"/>
      <c r="O18" s="113"/>
      <c r="P18"/>
      <c r="Q18"/>
      <c r="R18" s="114"/>
      <c r="S18" s="114"/>
      <c r="T18" s="111"/>
      <c r="U18" s="111"/>
      <c r="V18" s="111"/>
      <c r="W18" s="111"/>
      <c r="X18" s="111"/>
      <c r="Y18" s="111"/>
      <c r="Z18" s="111"/>
      <c r="AA18" s="111"/>
      <c r="AB18" s="115"/>
      <c r="AC18" s="115"/>
      <c r="AD18" s="115"/>
      <c r="AE18" s="115"/>
    </row>
    <row r="19" spans="1:33" x14ac:dyDescent="0.3">
      <c r="A19"/>
      <c r="M19"/>
      <c r="N19"/>
      <c r="O19"/>
      <c r="P19"/>
      <c r="Q19"/>
      <c r="R19"/>
      <c r="S19"/>
      <c r="T19"/>
      <c r="U19"/>
      <c r="V19"/>
      <c r="W19"/>
      <c r="X19"/>
      <c r="Y19"/>
      <c r="Z19"/>
      <c r="AA19"/>
      <c r="AB19"/>
      <c r="AC19"/>
      <c r="AD19"/>
      <c r="AE19"/>
    </row>
    <row r="20" spans="1:33" customFormat="1" x14ac:dyDescent="0.3">
      <c r="B20" s="202" t="s">
        <v>201</v>
      </c>
      <c r="C20" s="202"/>
      <c r="D20" s="202"/>
      <c r="E20" s="202"/>
      <c r="F20" s="202"/>
      <c r="G20" s="202"/>
      <c r="H20" s="202"/>
      <c r="I20" s="202"/>
      <c r="J20" s="202"/>
      <c r="K20" s="202"/>
      <c r="L20" s="202"/>
      <c r="M20" s="202"/>
      <c r="N20" s="202"/>
      <c r="O20" s="202"/>
      <c r="R20" s="202" t="s">
        <v>170</v>
      </c>
      <c r="S20" s="202"/>
      <c r="T20" s="202"/>
      <c r="U20" s="202"/>
      <c r="V20" s="202"/>
      <c r="W20" s="202"/>
      <c r="X20" s="202"/>
      <c r="Y20" s="202"/>
      <c r="Z20" s="202"/>
      <c r="AA20" s="202"/>
      <c r="AB20" s="202"/>
      <c r="AC20" s="202"/>
      <c r="AD20" s="202"/>
      <c r="AE20" s="202"/>
    </row>
    <row r="21" spans="1:33" customFormat="1" ht="25.8" customHeight="1" x14ac:dyDescent="0.3">
      <c r="D21" s="203" t="s">
        <v>101</v>
      </c>
      <c r="E21" s="203"/>
      <c r="F21" s="203"/>
      <c r="G21" s="203"/>
      <c r="H21" s="203"/>
      <c r="I21" s="203"/>
      <c r="J21" s="203"/>
      <c r="K21" s="203"/>
      <c r="L21" s="96"/>
      <c r="M21" s="97"/>
      <c r="N21" s="97"/>
      <c r="O21" s="97"/>
      <c r="T21" s="195" t="s">
        <v>101</v>
      </c>
      <c r="U21" s="196"/>
      <c r="V21" s="196"/>
      <c r="W21" s="196"/>
      <c r="X21" s="196"/>
      <c r="Y21" s="196"/>
      <c r="Z21" s="196"/>
      <c r="AA21" s="197"/>
      <c r="AB21" s="96"/>
      <c r="AC21" s="97"/>
      <c r="AD21" s="97"/>
      <c r="AE21" s="97"/>
    </row>
    <row r="22" spans="1:33" customFormat="1" ht="23.4" customHeight="1" x14ac:dyDescent="0.3">
      <c r="B22" s="191" t="s">
        <v>95</v>
      </c>
      <c r="C22" s="192"/>
      <c r="D22" s="189" t="s">
        <v>96</v>
      </c>
      <c r="E22" s="189"/>
      <c r="F22" s="189" t="s">
        <v>97</v>
      </c>
      <c r="G22" s="189"/>
      <c r="H22" s="189" t="s">
        <v>100</v>
      </c>
      <c r="I22" s="189"/>
      <c r="J22" s="189" t="s">
        <v>98</v>
      </c>
      <c r="K22" s="189"/>
      <c r="L22" s="190" t="s">
        <v>99</v>
      </c>
      <c r="M22" s="190"/>
      <c r="N22" s="190" t="s">
        <v>121</v>
      </c>
      <c r="O22" s="190"/>
      <c r="P22" s="111"/>
      <c r="R22" s="191" t="s">
        <v>107</v>
      </c>
      <c r="S22" s="192"/>
      <c r="T22" s="193" t="s">
        <v>108</v>
      </c>
      <c r="U22" s="194"/>
      <c r="V22" s="193" t="s">
        <v>109</v>
      </c>
      <c r="W22" s="194"/>
      <c r="X22" s="193" t="s">
        <v>110</v>
      </c>
      <c r="Y22" s="194"/>
      <c r="Z22" s="193" t="s">
        <v>111</v>
      </c>
      <c r="AA22" s="194"/>
      <c r="AB22" s="191" t="s">
        <v>112</v>
      </c>
      <c r="AC22" s="192"/>
      <c r="AD22" s="191" t="s">
        <v>181</v>
      </c>
      <c r="AE22" s="192"/>
    </row>
    <row r="23" spans="1:33" customFormat="1" x14ac:dyDescent="0.3">
      <c r="B23" s="199">
        <v>50</v>
      </c>
      <c r="C23" s="199"/>
      <c r="D23" s="200">
        <f ca="1">RANDBETWEEN(49, 50)</f>
        <v>50</v>
      </c>
      <c r="E23" s="200"/>
      <c r="F23" s="200">
        <f ca="1">D23</f>
        <v>50</v>
      </c>
      <c r="G23" s="200"/>
      <c r="H23" s="200">
        <f ca="1">D23</f>
        <v>50</v>
      </c>
      <c r="I23" s="200"/>
      <c r="J23" s="200">
        <f ca="1">D23</f>
        <v>50</v>
      </c>
      <c r="K23" s="200"/>
      <c r="L23" s="201">
        <f ca="1">AVERAGE(D23:K23)</f>
        <v>50</v>
      </c>
      <c r="M23" s="201"/>
      <c r="N23" s="201">
        <f ca="1">L23-B23</f>
        <v>0</v>
      </c>
      <c r="O23" s="201"/>
      <c r="P23" s="111"/>
      <c r="R23" s="204">
        <v>30</v>
      </c>
      <c r="S23" s="205"/>
      <c r="T23" s="206">
        <v>30</v>
      </c>
      <c r="U23" s="207"/>
      <c r="V23" s="206">
        <f>T23</f>
        <v>30</v>
      </c>
      <c r="W23" s="207"/>
      <c r="X23" s="206">
        <f t="shared" ref="X23" si="20">V23</f>
        <v>30</v>
      </c>
      <c r="Y23" s="207"/>
      <c r="Z23" s="206">
        <f t="shared" ref="Z23" si="21">X23</f>
        <v>30</v>
      </c>
      <c r="AA23" s="207"/>
      <c r="AB23" s="204">
        <f>AVERAGE(T23:AA23)</f>
        <v>30</v>
      </c>
      <c r="AC23" s="205"/>
      <c r="AD23" s="204">
        <f>AB23-R23</f>
        <v>0</v>
      </c>
      <c r="AE23" s="205"/>
    </row>
    <row r="24" spans="1:33" customFormat="1" x14ac:dyDescent="0.3">
      <c r="B24" s="199">
        <v>100</v>
      </c>
      <c r="C24" s="199"/>
      <c r="D24" s="200">
        <f ca="1">IF((D23 - B23) = 0, IF(RAND() &lt; 0.5, B24, B24 - 1), IF((D23 - B23) = -1, B24 - 1, "Condición no especificada"))</f>
        <v>100</v>
      </c>
      <c r="E24" s="200"/>
      <c r="F24" s="200">
        <f ca="1">D24</f>
        <v>100</v>
      </c>
      <c r="G24" s="200"/>
      <c r="H24" s="200">
        <f ca="1">D24</f>
        <v>100</v>
      </c>
      <c r="I24" s="200"/>
      <c r="J24" s="200">
        <f ca="1">D24</f>
        <v>100</v>
      </c>
      <c r="K24" s="200"/>
      <c r="L24" s="201">
        <f t="shared" ref="L24:L27" ca="1" si="22">AVERAGE(D24:K24)</f>
        <v>100</v>
      </c>
      <c r="M24" s="201"/>
      <c r="N24" s="201">
        <f t="shared" ref="N24:N27" ca="1" si="23">L24-B24</f>
        <v>0</v>
      </c>
      <c r="O24" s="201"/>
      <c r="P24" s="111"/>
      <c r="R24" s="204">
        <v>60</v>
      </c>
      <c r="S24" s="205"/>
      <c r="T24" s="206">
        <v>60</v>
      </c>
      <c r="U24" s="207"/>
      <c r="V24" s="206">
        <f t="shared" ref="V24:V26" si="24">T24</f>
        <v>60</v>
      </c>
      <c r="W24" s="207"/>
      <c r="X24" s="206">
        <f t="shared" ref="X24:X26" si="25">V24</f>
        <v>60</v>
      </c>
      <c r="Y24" s="207"/>
      <c r="Z24" s="206">
        <f t="shared" ref="Z24:Z26" si="26">X24</f>
        <v>60</v>
      </c>
      <c r="AA24" s="207"/>
      <c r="AB24" s="204">
        <f t="shared" ref="AB24:AB26" si="27">AVERAGE(T24:AA24)</f>
        <v>60</v>
      </c>
      <c r="AC24" s="205"/>
      <c r="AD24" s="204">
        <f t="shared" ref="AD24:AD26" si="28">AB24-R24</f>
        <v>0</v>
      </c>
      <c r="AE24" s="205"/>
    </row>
    <row r="25" spans="1:33" customFormat="1" x14ac:dyDescent="0.3">
      <c r="B25" s="199">
        <v>150</v>
      </c>
      <c r="C25" s="199"/>
      <c r="D25" s="200">
        <f ca="1">IF((D24 - B24) = 0, INT(IF(RAND() &lt; 0.5, B25, B25 - 1)), IF((D24 - B24) = -1, B25 - 1, "Condición no especificada"))</f>
        <v>150</v>
      </c>
      <c r="E25" s="200"/>
      <c r="F25" s="200">
        <f ca="1">D25</f>
        <v>150</v>
      </c>
      <c r="G25" s="200"/>
      <c r="H25" s="200">
        <f ca="1">D25</f>
        <v>150</v>
      </c>
      <c r="I25" s="200"/>
      <c r="J25" s="200">
        <f ca="1">D25</f>
        <v>150</v>
      </c>
      <c r="K25" s="200"/>
      <c r="L25" s="201">
        <f t="shared" ca="1" si="22"/>
        <v>150</v>
      </c>
      <c r="M25" s="201"/>
      <c r="N25" s="201">
        <f t="shared" ca="1" si="23"/>
        <v>0</v>
      </c>
      <c r="O25" s="201"/>
      <c r="P25" s="111"/>
      <c r="R25" s="204">
        <v>120</v>
      </c>
      <c r="S25" s="205"/>
      <c r="T25" s="206">
        <v>120</v>
      </c>
      <c r="U25" s="207"/>
      <c r="V25" s="206">
        <f t="shared" si="24"/>
        <v>120</v>
      </c>
      <c r="W25" s="207"/>
      <c r="X25" s="206">
        <f t="shared" si="25"/>
        <v>120</v>
      </c>
      <c r="Y25" s="207"/>
      <c r="Z25" s="206">
        <f t="shared" si="26"/>
        <v>120</v>
      </c>
      <c r="AA25" s="207"/>
      <c r="AB25" s="204">
        <f t="shared" si="27"/>
        <v>120</v>
      </c>
      <c r="AC25" s="205"/>
      <c r="AD25" s="204">
        <f t="shared" si="28"/>
        <v>0</v>
      </c>
      <c r="AE25" s="205"/>
    </row>
    <row r="26" spans="1:33" customFormat="1" x14ac:dyDescent="0.3">
      <c r="B26" s="199">
        <v>200</v>
      </c>
      <c r="C26" s="199"/>
      <c r="D26" s="200">
        <f ca="1">IF((D25 - B25) = 0, INT(IF(RAND() &lt; 0.5, B26, B26 - 1)), IF((D25 - B25) = -1, INT(IF(RAND() &lt; 0.5, B26 - 1, B26 - 2)), B26))</f>
        <v>199</v>
      </c>
      <c r="E26" s="200"/>
      <c r="F26" s="200">
        <f ca="1">D26</f>
        <v>199</v>
      </c>
      <c r="G26" s="200"/>
      <c r="H26" s="200">
        <f ca="1">D26</f>
        <v>199</v>
      </c>
      <c r="I26" s="200"/>
      <c r="J26" s="200">
        <f ca="1">D26</f>
        <v>199</v>
      </c>
      <c r="K26" s="200"/>
      <c r="L26" s="201">
        <f t="shared" ca="1" si="22"/>
        <v>199</v>
      </c>
      <c r="M26" s="201"/>
      <c r="N26" s="201">
        <f t="shared" ca="1" si="23"/>
        <v>-1</v>
      </c>
      <c r="O26" s="201"/>
      <c r="P26" s="111"/>
      <c r="R26" s="204">
        <v>246</v>
      </c>
      <c r="S26" s="205"/>
      <c r="T26" s="206">
        <v>246</v>
      </c>
      <c r="U26" s="207"/>
      <c r="V26" s="206">
        <f t="shared" si="24"/>
        <v>246</v>
      </c>
      <c r="W26" s="207"/>
      <c r="X26" s="206">
        <f t="shared" si="25"/>
        <v>246</v>
      </c>
      <c r="Y26" s="207"/>
      <c r="Z26" s="206">
        <f t="shared" si="26"/>
        <v>246</v>
      </c>
      <c r="AA26" s="207"/>
      <c r="AB26" s="204">
        <f t="shared" si="27"/>
        <v>246</v>
      </c>
      <c r="AC26" s="205"/>
      <c r="AD26" s="204">
        <f t="shared" si="28"/>
        <v>0</v>
      </c>
      <c r="AE26" s="205"/>
    </row>
    <row r="27" spans="1:33" customFormat="1" x14ac:dyDescent="0.3">
      <c r="B27" s="199">
        <v>250</v>
      </c>
      <c r="C27" s="199"/>
      <c r="D27" s="200">
        <f ca="1">IF((D26 - B26) = 0, INT(IF(RAND() &lt; 0.5, B27, B27 - 1)), IF((D26 - B26) = -1, INT(IF(RAND() &lt; 0.5, B27 - 1, B27 - 2)), IF((D26 - B26) = -2, B27 - 2, "Condición no especificada")))</f>
        <v>248</v>
      </c>
      <c r="E27" s="200"/>
      <c r="F27" s="200">
        <f ca="1">D27</f>
        <v>248</v>
      </c>
      <c r="G27" s="200"/>
      <c r="H27" s="200">
        <f ca="1">D27</f>
        <v>248</v>
      </c>
      <c r="I27" s="200"/>
      <c r="J27" s="200">
        <f ca="1">D27</f>
        <v>248</v>
      </c>
      <c r="K27" s="200"/>
      <c r="L27" s="201">
        <f t="shared" ca="1" si="22"/>
        <v>248</v>
      </c>
      <c r="M27" s="201"/>
      <c r="N27" s="201">
        <f t="shared" ca="1" si="23"/>
        <v>-2</v>
      </c>
      <c r="O27" s="201"/>
    </row>
    <row r="28" spans="1:33" customFormat="1" x14ac:dyDescent="0.3">
      <c r="L28" s="16"/>
      <c r="M28" s="16"/>
      <c r="N28" s="16"/>
      <c r="O28" s="16"/>
      <c r="P28" s="16"/>
      <c r="Q28" s="16"/>
      <c r="AF28" s="16"/>
      <c r="AG28" s="16"/>
    </row>
    <row r="29" spans="1:33" customFormat="1" x14ac:dyDescent="0.3">
      <c r="B29" s="198" t="s">
        <v>204</v>
      </c>
      <c r="C29" s="198"/>
      <c r="D29" s="198"/>
      <c r="E29" s="198"/>
      <c r="F29" s="198"/>
      <c r="G29" s="198"/>
      <c r="J29" s="16"/>
      <c r="K29" s="16"/>
      <c r="L29" s="16"/>
      <c r="M29" s="16"/>
      <c r="N29" s="16"/>
      <c r="O29" s="16"/>
      <c r="P29" s="16"/>
      <c r="Q29" s="16"/>
      <c r="R29" s="16"/>
      <c r="AC29" s="16"/>
      <c r="AD29" s="16"/>
      <c r="AE29" s="16"/>
    </row>
    <row r="30" spans="1:33" customFormat="1" ht="25.2" customHeight="1" x14ac:dyDescent="0.3">
      <c r="B30" s="189" t="s">
        <v>205</v>
      </c>
      <c r="C30" s="189"/>
      <c r="D30" s="189" t="s">
        <v>206</v>
      </c>
      <c r="E30" s="189"/>
      <c r="F30" s="190" t="s">
        <v>207</v>
      </c>
      <c r="G30" s="190"/>
      <c r="J30" s="16"/>
      <c r="K30" s="16"/>
      <c r="L30" s="16"/>
      <c r="M30" s="16"/>
      <c r="N30" s="16"/>
      <c r="O30" s="16"/>
      <c r="P30" s="16"/>
      <c r="Q30" s="16"/>
      <c r="R30" s="16"/>
      <c r="Z30" s="16"/>
      <c r="AA30" s="16"/>
      <c r="AB30" s="16"/>
      <c r="AC30" s="16"/>
    </row>
    <row r="31" spans="1:33" x14ac:dyDescent="0.3">
      <c r="B31" s="187">
        <v>33</v>
      </c>
      <c r="C31" s="187"/>
      <c r="D31" s="188">
        <v>33.1</v>
      </c>
      <c r="E31" s="188"/>
      <c r="F31" s="187">
        <f>D31-B31</f>
        <v>0.10000000000000142</v>
      </c>
      <c r="G31" s="187"/>
      <c r="H31"/>
      <c r="I31"/>
      <c r="S31"/>
      <c r="T31"/>
      <c r="U31"/>
      <c r="V31"/>
      <c r="W31"/>
      <c r="X31"/>
      <c r="Y31"/>
      <c r="AD31"/>
      <c r="AE31"/>
    </row>
    <row r="32" spans="1:33" customFormat="1" x14ac:dyDescent="0.3">
      <c r="B32" s="187">
        <v>35</v>
      </c>
      <c r="C32" s="187"/>
      <c r="D32" s="188">
        <v>35.1</v>
      </c>
      <c r="E32" s="188"/>
      <c r="F32" s="187">
        <f t="shared" ref="F32:F33" si="29">D32-B32</f>
        <v>0.10000000000000142</v>
      </c>
      <c r="G32" s="187"/>
      <c r="J32" s="16"/>
      <c r="K32" s="16"/>
      <c r="L32" s="16"/>
      <c r="M32" s="16"/>
      <c r="N32" s="16"/>
      <c r="O32" s="16"/>
      <c r="P32" s="16"/>
      <c r="Q32" s="16"/>
      <c r="R32" s="16"/>
      <c r="Z32" s="16"/>
      <c r="AA32" s="16"/>
      <c r="AB32" s="16"/>
      <c r="AC32" s="16"/>
      <c r="AD32" s="16"/>
      <c r="AE32" s="16"/>
    </row>
    <row r="33" spans="2:31" customFormat="1" x14ac:dyDescent="0.3">
      <c r="B33" s="187">
        <v>37</v>
      </c>
      <c r="C33" s="187"/>
      <c r="D33" s="188">
        <v>37.200000000000003</v>
      </c>
      <c r="E33" s="188"/>
      <c r="F33" s="187">
        <f t="shared" si="29"/>
        <v>0.20000000000000284</v>
      </c>
      <c r="G33" s="187"/>
      <c r="R33" s="16"/>
      <c r="Z33" s="16"/>
      <c r="AA33" s="16"/>
      <c r="AB33" s="16"/>
      <c r="AC33" s="16"/>
    </row>
    <row r="34" spans="2:31" customFormat="1" x14ac:dyDescent="0.3">
      <c r="R34" s="16"/>
      <c r="S34" s="16"/>
      <c r="T34" s="16"/>
      <c r="U34" s="16"/>
      <c r="V34" s="16"/>
      <c r="W34" s="16"/>
      <c r="X34" s="16"/>
      <c r="Y34" s="16"/>
      <c r="Z34" s="16"/>
      <c r="AA34" s="16"/>
      <c r="AB34" s="16"/>
      <c r="AC34" s="16"/>
      <c r="AD34" s="16"/>
      <c r="AE34" s="16"/>
    </row>
    <row r="35" spans="2:31" customFormat="1" x14ac:dyDescent="0.3">
      <c r="R35" s="16"/>
      <c r="S35" s="16"/>
      <c r="T35" s="16"/>
      <c r="U35" s="16"/>
      <c r="V35" s="16"/>
      <c r="W35" s="16"/>
      <c r="X35" s="16"/>
      <c r="Y35" s="16"/>
      <c r="Z35" s="16"/>
      <c r="AA35" s="16"/>
      <c r="AB35" s="16"/>
      <c r="AC35" s="16"/>
      <c r="AD35" s="16"/>
      <c r="AE35" s="16"/>
    </row>
    <row r="36" spans="2:31" customFormat="1" x14ac:dyDescent="0.3"/>
    <row r="37" spans="2:31" customFormat="1" ht="17.399999999999999" customHeight="1" x14ac:dyDescent="0.3"/>
    <row r="38" spans="2:31" customFormat="1" ht="23.4" customHeight="1" x14ac:dyDescent="0.3"/>
    <row r="39" spans="2:31" customFormat="1" x14ac:dyDescent="0.3">
      <c r="Q39" s="16"/>
    </row>
    <row r="40" spans="2:31" customFormat="1" x14ac:dyDescent="0.3">
      <c r="Q40" s="16"/>
      <c r="R40" s="16"/>
      <c r="S40" s="16"/>
      <c r="T40" s="16"/>
      <c r="U40" s="16"/>
      <c r="V40" s="16"/>
      <c r="W40" s="16"/>
      <c r="X40" s="16"/>
      <c r="Y40" s="16"/>
      <c r="Z40" s="16"/>
      <c r="AA40" s="16"/>
      <c r="AB40" s="16"/>
      <c r="AC40" s="16"/>
      <c r="AD40" s="16"/>
      <c r="AE40" s="16"/>
    </row>
    <row r="41" spans="2:31" customFormat="1" x14ac:dyDescent="0.3">
      <c r="Q41" s="16"/>
      <c r="R41" s="16"/>
      <c r="S41" s="16"/>
      <c r="T41" s="16"/>
      <c r="U41" s="16"/>
      <c r="V41" s="16"/>
      <c r="W41" s="16"/>
      <c r="X41" s="16"/>
      <c r="Y41" s="16"/>
      <c r="Z41" s="16"/>
      <c r="AA41" s="16"/>
      <c r="AB41" s="16"/>
      <c r="AC41" s="16"/>
      <c r="AD41" s="16"/>
      <c r="AE41" s="16"/>
    </row>
    <row r="42" spans="2:31" customFormat="1" x14ac:dyDescent="0.3">
      <c r="R42" s="16"/>
      <c r="S42" s="16"/>
      <c r="T42" s="16"/>
      <c r="U42" s="16"/>
      <c r="V42" s="16"/>
      <c r="W42" s="16"/>
      <c r="X42" s="16"/>
      <c r="Y42" s="16"/>
      <c r="Z42" s="16"/>
      <c r="AA42" s="16"/>
      <c r="AB42" s="16"/>
      <c r="AC42" s="16"/>
      <c r="AD42" s="16"/>
      <c r="AE42" s="16"/>
    </row>
    <row r="43" spans="2:31" customFormat="1" x14ac:dyDescent="0.3"/>
    <row r="44" spans="2:31" customFormat="1" x14ac:dyDescent="0.3"/>
    <row r="45" spans="2:31" customFormat="1" x14ac:dyDescent="0.3"/>
    <row r="46" spans="2:31" customFormat="1" x14ac:dyDescent="0.3"/>
    <row r="47" spans="2:31" customFormat="1" x14ac:dyDescent="0.3"/>
    <row r="48" spans="2:31" customFormat="1" x14ac:dyDescent="0.3"/>
    <row r="49" spans="18:31" customFormat="1" x14ac:dyDescent="0.3"/>
    <row r="50" spans="18:31" customFormat="1" ht="30" customHeight="1" x14ac:dyDescent="0.3"/>
    <row r="51" spans="18:31" customFormat="1" x14ac:dyDescent="0.3"/>
    <row r="52" spans="18:31" customFormat="1" x14ac:dyDescent="0.3"/>
    <row r="53" spans="18:31" customFormat="1" x14ac:dyDescent="0.3"/>
    <row r="54" spans="18:31" customFormat="1" x14ac:dyDescent="0.3"/>
    <row r="55" spans="18:31" customFormat="1" x14ac:dyDescent="0.3"/>
    <row r="56" spans="18:31" customFormat="1" x14ac:dyDescent="0.3"/>
    <row r="57" spans="18:31" x14ac:dyDescent="0.3">
      <c r="R57"/>
      <c r="S57"/>
      <c r="T57"/>
      <c r="U57"/>
      <c r="V57"/>
      <c r="W57"/>
      <c r="X57"/>
      <c r="Y57"/>
      <c r="Z57"/>
      <c r="AA57"/>
      <c r="AB57"/>
      <c r="AC57"/>
      <c r="AD57"/>
      <c r="AE57"/>
    </row>
    <row r="58" spans="18:31" x14ac:dyDescent="0.3">
      <c r="R58"/>
      <c r="S58"/>
      <c r="T58"/>
      <c r="U58"/>
      <c r="V58"/>
      <c r="W58"/>
      <c r="X58"/>
      <c r="Y58"/>
      <c r="Z58"/>
      <c r="AA58"/>
      <c r="AB58"/>
      <c r="AC58"/>
      <c r="AD58"/>
      <c r="AE58"/>
    </row>
  </sheetData>
  <mergeCells count="263">
    <mergeCell ref="Z17:AA17"/>
    <mergeCell ref="AB17:AC17"/>
    <mergeCell ref="AD17:AE17"/>
    <mergeCell ref="R17:S17"/>
    <mergeCell ref="T17:U17"/>
    <mergeCell ref="V17:W17"/>
    <mergeCell ref="X17:Y17"/>
    <mergeCell ref="R15:S15"/>
    <mergeCell ref="T15:U15"/>
    <mergeCell ref="V15:W15"/>
    <mergeCell ref="X15:Y15"/>
    <mergeCell ref="Z15:AA15"/>
    <mergeCell ref="AB15:AC15"/>
    <mergeCell ref="AD15:AE15"/>
    <mergeCell ref="R16:S16"/>
    <mergeCell ref="T16:U16"/>
    <mergeCell ref="V16:W16"/>
    <mergeCell ref="X16:Y16"/>
    <mergeCell ref="Z16:AA16"/>
    <mergeCell ref="AB16:AC16"/>
    <mergeCell ref="AD16:AE16"/>
    <mergeCell ref="R13:S13"/>
    <mergeCell ref="T13:U13"/>
    <mergeCell ref="V13:W13"/>
    <mergeCell ref="X13:Y13"/>
    <mergeCell ref="Z13:AA13"/>
    <mergeCell ref="AB13:AC13"/>
    <mergeCell ref="AD13:AE13"/>
    <mergeCell ref="R14:S14"/>
    <mergeCell ref="T14:U14"/>
    <mergeCell ref="V14:W14"/>
    <mergeCell ref="X14:Y14"/>
    <mergeCell ref="Z14:AA14"/>
    <mergeCell ref="AB14:AC14"/>
    <mergeCell ref="AD14:AE14"/>
    <mergeCell ref="R10:AE10"/>
    <mergeCell ref="T11:AA11"/>
    <mergeCell ref="R12:S12"/>
    <mergeCell ref="T12:U12"/>
    <mergeCell ref="V12:W12"/>
    <mergeCell ref="X12:Y12"/>
    <mergeCell ref="Z12:AA12"/>
    <mergeCell ref="AB12:AC12"/>
    <mergeCell ref="AD12:AE12"/>
    <mergeCell ref="B5:C5"/>
    <mergeCell ref="D5:E5"/>
    <mergeCell ref="F5:G5"/>
    <mergeCell ref="H5:I5"/>
    <mergeCell ref="J5:K5"/>
    <mergeCell ref="L5:M5"/>
    <mergeCell ref="N5:O5"/>
    <mergeCell ref="D2:K2"/>
    <mergeCell ref="B3:C3"/>
    <mergeCell ref="D3:E3"/>
    <mergeCell ref="F3:G3"/>
    <mergeCell ref="H3:I3"/>
    <mergeCell ref="J3:K3"/>
    <mergeCell ref="L3:M3"/>
    <mergeCell ref="N3:O3"/>
    <mergeCell ref="B4:C4"/>
    <mergeCell ref="D4:E4"/>
    <mergeCell ref="F4:G4"/>
    <mergeCell ref="H4:I4"/>
    <mergeCell ref="J4:K4"/>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H6:I6"/>
    <mergeCell ref="J6:K6"/>
    <mergeCell ref="L4:M4"/>
    <mergeCell ref="N4:O4"/>
    <mergeCell ref="Z5:AA5"/>
    <mergeCell ref="AB5:AC5"/>
    <mergeCell ref="AD5:AE5"/>
    <mergeCell ref="T3:U3"/>
    <mergeCell ref="V3:W3"/>
    <mergeCell ref="X3:Y3"/>
    <mergeCell ref="Z3:AA3"/>
    <mergeCell ref="AB3:AC3"/>
    <mergeCell ref="AD3:AE3"/>
    <mergeCell ref="T4:U4"/>
    <mergeCell ref="V4:W4"/>
    <mergeCell ref="X4:Y4"/>
    <mergeCell ref="Z4:AA4"/>
    <mergeCell ref="AB4:AC4"/>
    <mergeCell ref="R20:AE20"/>
    <mergeCell ref="R1:AE1"/>
    <mergeCell ref="T2:AA2"/>
    <mergeCell ref="R3:S3"/>
    <mergeCell ref="R4:S4"/>
    <mergeCell ref="R5:S5"/>
    <mergeCell ref="R6:S6"/>
    <mergeCell ref="R7:S7"/>
    <mergeCell ref="AD6:AE6"/>
    <mergeCell ref="T7:U7"/>
    <mergeCell ref="V7:W7"/>
    <mergeCell ref="X7:Y7"/>
    <mergeCell ref="Z7:AA7"/>
    <mergeCell ref="AB7:AC7"/>
    <mergeCell ref="AD7:AE7"/>
    <mergeCell ref="T6:U6"/>
    <mergeCell ref="V6:W6"/>
    <mergeCell ref="X6:Y6"/>
    <mergeCell ref="Z6:AA6"/>
    <mergeCell ref="AB6:AC6"/>
    <mergeCell ref="AD4:AE4"/>
    <mergeCell ref="T5:U5"/>
    <mergeCell ref="V5:W5"/>
    <mergeCell ref="X5:Y5"/>
    <mergeCell ref="AB23:AC23"/>
    <mergeCell ref="AD23:AE23"/>
    <mergeCell ref="R24:S24"/>
    <mergeCell ref="T24:U24"/>
    <mergeCell ref="V24:W24"/>
    <mergeCell ref="X24:Y24"/>
    <mergeCell ref="Z24:AA24"/>
    <mergeCell ref="AB24:AC24"/>
    <mergeCell ref="AD24:AE24"/>
    <mergeCell ref="R23:S23"/>
    <mergeCell ref="T23:U23"/>
    <mergeCell ref="V23:W23"/>
    <mergeCell ref="X23:Y23"/>
    <mergeCell ref="Z23:AA23"/>
    <mergeCell ref="AB25:AC25"/>
    <mergeCell ref="AD25:AE25"/>
    <mergeCell ref="R26:S26"/>
    <mergeCell ref="T26:U26"/>
    <mergeCell ref="V26:W26"/>
    <mergeCell ref="X26:Y26"/>
    <mergeCell ref="Z26:AA26"/>
    <mergeCell ref="AB26:AC26"/>
    <mergeCell ref="AD26:AE26"/>
    <mergeCell ref="R25:S25"/>
    <mergeCell ref="T25:U25"/>
    <mergeCell ref="V25:W25"/>
    <mergeCell ref="X25:Y25"/>
    <mergeCell ref="Z25:AA25"/>
    <mergeCell ref="B10:O10"/>
    <mergeCell ref="D11:K11"/>
    <mergeCell ref="B12:C12"/>
    <mergeCell ref="D12:E12"/>
    <mergeCell ref="F12:G12"/>
    <mergeCell ref="H12:I12"/>
    <mergeCell ref="J12:K12"/>
    <mergeCell ref="L12:M12"/>
    <mergeCell ref="N12:O12"/>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B17:C17"/>
    <mergeCell ref="D17:E17"/>
    <mergeCell ref="F17:G17"/>
    <mergeCell ref="H17:I17"/>
    <mergeCell ref="J17:K17"/>
    <mergeCell ref="L17:M17"/>
    <mergeCell ref="N17:O17"/>
    <mergeCell ref="B20:O20"/>
    <mergeCell ref="D21:K21"/>
    <mergeCell ref="B22:C22"/>
    <mergeCell ref="D22:E22"/>
    <mergeCell ref="F22:G22"/>
    <mergeCell ref="H22:I22"/>
    <mergeCell ref="J22:K22"/>
    <mergeCell ref="L22:M22"/>
    <mergeCell ref="N22:O22"/>
    <mergeCell ref="B23:C23"/>
    <mergeCell ref="D23:E23"/>
    <mergeCell ref="F23:G23"/>
    <mergeCell ref="H23:I23"/>
    <mergeCell ref="J23:K23"/>
    <mergeCell ref="L23:M23"/>
    <mergeCell ref="N23:O23"/>
    <mergeCell ref="D24:E24"/>
    <mergeCell ref="F24:G24"/>
    <mergeCell ref="H24:I24"/>
    <mergeCell ref="J24:K24"/>
    <mergeCell ref="L24:M24"/>
    <mergeCell ref="N24:O24"/>
    <mergeCell ref="B25:C25"/>
    <mergeCell ref="D25:E25"/>
    <mergeCell ref="F25:G25"/>
    <mergeCell ref="H25:I25"/>
    <mergeCell ref="J25:K25"/>
    <mergeCell ref="L25:M25"/>
    <mergeCell ref="N25:O25"/>
    <mergeCell ref="AD22:AE22"/>
    <mergeCell ref="AB22:AC22"/>
    <mergeCell ref="Z22:AA22"/>
    <mergeCell ref="X22:Y22"/>
    <mergeCell ref="V22:W22"/>
    <mergeCell ref="T22:U22"/>
    <mergeCell ref="R22:S22"/>
    <mergeCell ref="T21:AA21"/>
    <mergeCell ref="B29:G29"/>
    <mergeCell ref="B26:C26"/>
    <mergeCell ref="D26:E26"/>
    <mergeCell ref="F26:G26"/>
    <mergeCell ref="H26:I26"/>
    <mergeCell ref="J26:K26"/>
    <mergeCell ref="L26:M26"/>
    <mergeCell ref="N26:O26"/>
    <mergeCell ref="B27:C27"/>
    <mergeCell ref="D27:E27"/>
    <mergeCell ref="F27:G27"/>
    <mergeCell ref="H27:I27"/>
    <mergeCell ref="J27:K27"/>
    <mergeCell ref="L27:M27"/>
    <mergeCell ref="N27:O27"/>
    <mergeCell ref="B24:C24"/>
    <mergeCell ref="B33:C33"/>
    <mergeCell ref="D33:E33"/>
    <mergeCell ref="F33:G33"/>
    <mergeCell ref="B30:C30"/>
    <mergeCell ref="D30:E30"/>
    <mergeCell ref="F30:G30"/>
    <mergeCell ref="B31:C31"/>
    <mergeCell ref="D31:E31"/>
    <mergeCell ref="F31:G31"/>
    <mergeCell ref="B32:C32"/>
    <mergeCell ref="D32:E32"/>
    <mergeCell ref="F32:G3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211" t="s">
        <v>168</v>
      </c>
      <c r="D2" s="211"/>
      <c r="E2" s="211"/>
      <c r="F2" s="211"/>
      <c r="G2" s="211"/>
      <c r="H2" s="211"/>
      <c r="I2" s="211"/>
      <c r="J2" s="211"/>
      <c r="K2" s="211"/>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31" t="s">
        <v>13</v>
      </c>
      <c r="C34" s="231"/>
      <c r="D34" s="231"/>
      <c r="E34" s="231"/>
      <c r="F34" s="231"/>
      <c r="G34" s="231"/>
      <c r="H34" s="231"/>
      <c r="I34" s="231"/>
      <c r="J34" s="231"/>
      <c r="K34" s="231"/>
      <c r="L34" s="231"/>
      <c r="M34" s="231"/>
      <c r="N34" s="3"/>
      <c r="O34" s="3"/>
      <c r="P34" s="3"/>
      <c r="Q34" s="3"/>
    </row>
    <row r="35" spans="2:17" x14ac:dyDescent="0.3">
      <c r="B35" s="216" t="s">
        <v>12</v>
      </c>
      <c r="C35" s="216"/>
      <c r="D35" s="216"/>
      <c r="E35" s="216"/>
      <c r="F35" s="216"/>
      <c r="G35" s="223" t="s">
        <v>145</v>
      </c>
      <c r="H35" s="219"/>
      <c r="I35" s="219"/>
      <c r="J35" s="219"/>
      <c r="K35" s="219"/>
      <c r="L35" s="219"/>
      <c r="M35" s="220"/>
      <c r="N35" s="9"/>
      <c r="O35" s="9"/>
      <c r="P35" s="9"/>
      <c r="Q35" s="9"/>
    </row>
    <row r="36" spans="2:17" x14ac:dyDescent="0.3">
      <c r="B36" s="216" t="s">
        <v>7</v>
      </c>
      <c r="C36" s="216"/>
      <c r="D36" s="216"/>
      <c r="E36" s="216"/>
      <c r="F36" s="216"/>
      <c r="G36" s="223" t="s">
        <v>146</v>
      </c>
      <c r="H36" s="219"/>
      <c r="I36" s="219"/>
      <c r="J36" s="219"/>
      <c r="K36" s="219"/>
      <c r="L36" s="219"/>
      <c r="M36" s="220"/>
      <c r="N36" s="9"/>
      <c r="O36" s="9"/>
      <c r="P36" s="9"/>
      <c r="Q36" s="9"/>
    </row>
    <row r="37" spans="2:17" x14ac:dyDescent="0.3">
      <c r="B37" s="216" t="s">
        <v>6</v>
      </c>
      <c r="C37" s="216"/>
      <c r="D37" s="216"/>
      <c r="E37" s="216"/>
      <c r="F37" s="216"/>
      <c r="G37" s="223" t="s">
        <v>147</v>
      </c>
      <c r="H37" s="219"/>
      <c r="I37" s="219"/>
      <c r="J37" s="219"/>
      <c r="K37" s="219"/>
      <c r="L37" s="219"/>
      <c r="M37" s="220"/>
      <c r="N37" s="9"/>
      <c r="O37" s="9"/>
      <c r="P37" s="9"/>
      <c r="Q37" s="9"/>
    </row>
    <row r="38" spans="2:17" x14ac:dyDescent="0.3">
      <c r="B38" s="216" t="s">
        <v>4</v>
      </c>
      <c r="C38" s="216"/>
      <c r="D38" s="216"/>
      <c r="E38" s="216"/>
      <c r="F38" s="216"/>
      <c r="G38" s="223" t="s">
        <v>148</v>
      </c>
      <c r="H38" s="219"/>
      <c r="I38" s="219"/>
      <c r="J38" s="219"/>
      <c r="K38" s="219"/>
      <c r="L38" s="219"/>
      <c r="M38" s="220"/>
      <c r="N38" s="9"/>
      <c r="O38" s="9"/>
      <c r="P38" s="9"/>
      <c r="Q38" s="9"/>
    </row>
    <row r="39" spans="2:17" x14ac:dyDescent="0.3">
      <c r="B39" s="216" t="s">
        <v>11</v>
      </c>
      <c r="C39" s="216"/>
      <c r="D39" s="216"/>
      <c r="E39" s="216"/>
      <c r="F39" s="217"/>
      <c r="G39" s="232">
        <v>44971</v>
      </c>
      <c r="H39" s="232"/>
      <c r="I39" s="232"/>
      <c r="J39" s="232"/>
      <c r="K39" s="232"/>
      <c r="L39" s="232"/>
      <c r="M39" s="232"/>
      <c r="N39" s="10"/>
      <c r="O39" s="10"/>
      <c r="P39" s="10"/>
      <c r="Q39" s="10"/>
    </row>
    <row r="40" spans="2:17" x14ac:dyDescent="0.3">
      <c r="B40" s="216" t="s">
        <v>10</v>
      </c>
      <c r="C40" s="216"/>
      <c r="D40" s="216"/>
      <c r="E40" s="216"/>
      <c r="F40" s="216"/>
      <c r="G40" s="221" t="s">
        <v>158</v>
      </c>
      <c r="H40" s="221"/>
      <c r="I40" s="221"/>
      <c r="J40" s="221"/>
      <c r="K40" s="221"/>
      <c r="L40" s="221"/>
      <c r="M40" s="221"/>
      <c r="N40" s="9"/>
      <c r="O40" s="9"/>
      <c r="P40" s="9"/>
      <c r="Q40" s="9"/>
    </row>
    <row r="41" spans="2:17" x14ac:dyDescent="0.3">
      <c r="B41" s="216" t="s">
        <v>149</v>
      </c>
      <c r="C41" s="216"/>
      <c r="D41" s="216"/>
      <c r="E41" s="216"/>
      <c r="F41" s="216"/>
      <c r="G41" s="223">
        <v>0.11</v>
      </c>
      <c r="H41" s="219"/>
      <c r="I41" s="219"/>
      <c r="J41" s="219"/>
      <c r="K41" s="219"/>
      <c r="L41" s="219"/>
      <c r="M41" s="220"/>
      <c r="N41" s="4"/>
      <c r="O41" s="4"/>
      <c r="P41" s="4"/>
      <c r="Q41" s="4"/>
    </row>
    <row r="42" spans="2:17" x14ac:dyDescent="0.3">
      <c r="B42" s="216" t="s">
        <v>150</v>
      </c>
      <c r="C42" s="216"/>
      <c r="D42" s="216"/>
      <c r="E42" s="216"/>
      <c r="F42" s="216"/>
      <c r="G42" s="223">
        <v>0.48</v>
      </c>
      <c r="H42" s="219"/>
      <c r="I42" s="219"/>
      <c r="J42" s="219"/>
      <c r="K42" s="219"/>
      <c r="L42" s="219"/>
      <c r="M42" s="220"/>
      <c r="N42" s="4"/>
      <c r="O42" s="4"/>
      <c r="P42" s="4"/>
      <c r="Q42" s="4"/>
    </row>
    <row r="43" spans="2:17" x14ac:dyDescent="0.3">
      <c r="B43" s="216" t="s">
        <v>151</v>
      </c>
      <c r="C43" s="216"/>
      <c r="D43" s="216"/>
      <c r="E43" s="216"/>
      <c r="F43" s="217"/>
      <c r="G43" s="223">
        <v>0.5</v>
      </c>
      <c r="H43" s="219"/>
      <c r="I43" s="219"/>
      <c r="J43" s="219"/>
      <c r="K43" s="219"/>
      <c r="L43" s="219"/>
      <c r="M43" s="220"/>
      <c r="N43" s="4"/>
      <c r="O43" s="4"/>
      <c r="P43" s="4"/>
      <c r="Q43" s="4"/>
    </row>
    <row r="44" spans="2:17" x14ac:dyDescent="0.3">
      <c r="B44" s="216" t="s">
        <v>152</v>
      </c>
      <c r="C44" s="216"/>
      <c r="D44" s="216"/>
      <c r="E44" s="216"/>
      <c r="F44" s="217"/>
      <c r="G44" s="223">
        <v>0</v>
      </c>
      <c r="H44" s="219"/>
      <c r="I44" s="219"/>
      <c r="J44" s="219"/>
      <c r="K44" s="219"/>
      <c r="L44" s="219"/>
      <c r="M44" s="220"/>
    </row>
    <row r="45" spans="2:17" x14ac:dyDescent="0.3">
      <c r="B45" s="216" t="s">
        <v>153</v>
      </c>
      <c r="C45" s="216"/>
      <c r="D45" s="216"/>
      <c r="E45" s="216"/>
      <c r="F45" s="217"/>
      <c r="G45" s="223">
        <v>0.1</v>
      </c>
      <c r="H45" s="219"/>
      <c r="I45" s="219"/>
      <c r="J45" s="219"/>
      <c r="K45" s="219"/>
      <c r="L45" s="219"/>
      <c r="M45" s="220"/>
    </row>
    <row r="46" spans="2:17" x14ac:dyDescent="0.3">
      <c r="B46" s="216" t="s">
        <v>154</v>
      </c>
      <c r="C46" s="216"/>
      <c r="D46" s="216"/>
      <c r="E46" s="216"/>
      <c r="F46" s="217"/>
      <c r="G46" s="223">
        <v>1</v>
      </c>
      <c r="H46" s="219"/>
      <c r="I46" s="219"/>
      <c r="J46" s="219"/>
      <c r="K46" s="219"/>
      <c r="L46" s="219"/>
      <c r="M46" s="220"/>
    </row>
    <row r="47" spans="2:17" x14ac:dyDescent="0.3">
      <c r="B47" s="216" t="s">
        <v>9</v>
      </c>
      <c r="C47" s="216"/>
      <c r="D47" s="216"/>
      <c r="E47" s="216"/>
      <c r="F47" s="217"/>
      <c r="G47" s="223">
        <v>2</v>
      </c>
      <c r="H47" s="219"/>
      <c r="I47" s="219"/>
      <c r="J47" s="219"/>
      <c r="K47" s="219"/>
      <c r="L47" s="219"/>
      <c r="M47" s="220"/>
    </row>
    <row r="49" spans="2:13" x14ac:dyDescent="0.3">
      <c r="B49" s="231" t="s">
        <v>13</v>
      </c>
      <c r="C49" s="231"/>
      <c r="D49" s="231"/>
      <c r="E49" s="231"/>
      <c r="F49" s="231"/>
      <c r="G49" s="231"/>
      <c r="H49" s="231"/>
      <c r="I49" s="231"/>
      <c r="J49" s="231"/>
      <c r="K49" s="231"/>
      <c r="L49" s="231"/>
      <c r="M49" s="231"/>
    </row>
    <row r="50" spans="2:13" x14ac:dyDescent="0.3">
      <c r="B50" s="215" t="s">
        <v>12</v>
      </c>
      <c r="C50" s="215"/>
      <c r="D50" s="215"/>
      <c r="E50" s="215"/>
      <c r="F50" s="215"/>
      <c r="G50" s="223" t="s">
        <v>61</v>
      </c>
      <c r="H50" s="219"/>
      <c r="I50" s="219"/>
      <c r="J50" s="219"/>
      <c r="K50" s="219"/>
      <c r="L50" s="219"/>
      <c r="M50" s="220"/>
    </row>
    <row r="51" spans="2:13" x14ac:dyDescent="0.3">
      <c r="B51" s="215" t="s">
        <v>7</v>
      </c>
      <c r="C51" s="215"/>
      <c r="D51" s="215"/>
      <c r="E51" s="215"/>
      <c r="F51" s="215"/>
      <c r="G51" s="223" t="s">
        <v>160</v>
      </c>
      <c r="H51" s="219"/>
      <c r="I51" s="219"/>
      <c r="J51" s="219"/>
      <c r="K51" s="219"/>
      <c r="L51" s="219"/>
      <c r="M51" s="220"/>
    </row>
    <row r="52" spans="2:13" x14ac:dyDescent="0.3">
      <c r="B52" s="215" t="s">
        <v>6</v>
      </c>
      <c r="C52" s="215"/>
      <c r="D52" s="215"/>
      <c r="E52" s="215"/>
      <c r="F52" s="215"/>
      <c r="G52" s="223" t="s">
        <v>160</v>
      </c>
      <c r="H52" s="219"/>
      <c r="I52" s="219"/>
      <c r="J52" s="219"/>
      <c r="K52" s="219"/>
      <c r="L52" s="219"/>
      <c r="M52" s="220"/>
    </row>
    <row r="53" spans="2:13" x14ac:dyDescent="0.3">
      <c r="B53" s="215" t="s">
        <v>4</v>
      </c>
      <c r="C53" s="215"/>
      <c r="D53" s="215"/>
      <c r="E53" s="215"/>
      <c r="F53" s="215"/>
      <c r="G53" s="223" t="s">
        <v>160</v>
      </c>
      <c r="H53" s="219"/>
      <c r="I53" s="219"/>
      <c r="J53" s="219"/>
      <c r="K53" s="219"/>
      <c r="L53" s="219"/>
      <c r="M53" s="220"/>
    </row>
    <row r="54" spans="2:13" x14ac:dyDescent="0.3">
      <c r="B54" s="215" t="s">
        <v>11</v>
      </c>
      <c r="C54" s="215"/>
      <c r="D54" s="215"/>
      <c r="E54" s="215"/>
      <c r="F54" s="215"/>
      <c r="G54" s="218">
        <v>45048</v>
      </c>
      <c r="H54" s="219"/>
      <c r="I54" s="219"/>
      <c r="J54" s="219"/>
      <c r="K54" s="219"/>
      <c r="L54" s="219"/>
      <c r="M54" s="220"/>
    </row>
    <row r="55" spans="2:13" x14ac:dyDescent="0.3">
      <c r="B55" s="215" t="s">
        <v>10</v>
      </c>
      <c r="C55" s="215"/>
      <c r="D55" s="215"/>
      <c r="E55" s="215"/>
      <c r="F55" s="215"/>
      <c r="G55" s="221" t="s">
        <v>189</v>
      </c>
      <c r="H55" s="221"/>
      <c r="I55" s="221"/>
      <c r="J55" s="221"/>
      <c r="K55" s="221"/>
      <c r="L55" s="221"/>
      <c r="M55" s="221"/>
    </row>
    <row r="56" spans="2:13" x14ac:dyDescent="0.3">
      <c r="B56" s="215" t="s">
        <v>155</v>
      </c>
      <c r="C56" s="215"/>
      <c r="D56" s="215"/>
      <c r="E56" s="215"/>
      <c r="F56" s="215"/>
      <c r="G56" s="222">
        <v>0.52</v>
      </c>
      <c r="H56" s="222"/>
      <c r="I56" s="222"/>
      <c r="J56" s="222"/>
      <c r="K56" s="222"/>
      <c r="L56" s="222"/>
      <c r="M56" s="222"/>
    </row>
    <row r="57" spans="2:13" x14ac:dyDescent="0.3">
      <c r="B57" s="215" t="s">
        <v>164</v>
      </c>
      <c r="C57" s="215"/>
      <c r="D57" s="215"/>
      <c r="E57" s="215"/>
      <c r="F57" s="215"/>
      <c r="G57" s="212">
        <v>0.2</v>
      </c>
      <c r="H57" s="213"/>
      <c r="I57" s="213"/>
      <c r="J57" s="213"/>
      <c r="K57" s="213"/>
      <c r="L57" s="213"/>
      <c r="M57" s="214"/>
    </row>
    <row r="58" spans="2:13" x14ac:dyDescent="0.3">
      <c r="B58" s="215" t="s">
        <v>165</v>
      </c>
      <c r="C58" s="215"/>
      <c r="D58" s="215"/>
      <c r="E58" s="215"/>
      <c r="F58" s="215"/>
      <c r="G58" s="212">
        <v>0.1</v>
      </c>
      <c r="H58" s="213"/>
      <c r="I58" s="213"/>
      <c r="J58" s="213"/>
      <c r="K58" s="213"/>
      <c r="L58" s="213"/>
      <c r="M58" s="214"/>
    </row>
    <row r="59" spans="2:13" x14ac:dyDescent="0.3">
      <c r="B59" s="215" t="s">
        <v>9</v>
      </c>
      <c r="C59" s="215"/>
      <c r="D59" s="215"/>
      <c r="E59" s="215"/>
      <c r="F59" s="215"/>
      <c r="G59" s="222">
        <v>2</v>
      </c>
      <c r="H59" s="222"/>
      <c r="I59" s="222"/>
      <c r="J59" s="222"/>
      <c r="K59" s="222"/>
      <c r="L59" s="222"/>
      <c r="M59" s="222"/>
    </row>
    <row r="61" spans="2:13" x14ac:dyDescent="0.3">
      <c r="B61" s="231" t="s">
        <v>13</v>
      </c>
      <c r="C61" s="231"/>
      <c r="D61" s="231"/>
      <c r="E61" s="231"/>
      <c r="F61" s="231"/>
      <c r="G61" s="231"/>
      <c r="H61" s="231"/>
      <c r="I61" s="231"/>
      <c r="J61" s="231"/>
      <c r="K61" s="231"/>
      <c r="L61" s="231"/>
      <c r="M61" s="231"/>
    </row>
    <row r="62" spans="2:13" x14ac:dyDescent="0.3">
      <c r="B62" s="229" t="s">
        <v>12</v>
      </c>
      <c r="C62" s="229"/>
      <c r="D62" s="229"/>
      <c r="E62" s="229"/>
      <c r="F62" s="230"/>
      <c r="G62" s="223" t="s">
        <v>156</v>
      </c>
      <c r="H62" s="219"/>
      <c r="I62" s="219"/>
      <c r="J62" s="219"/>
      <c r="K62" s="219"/>
      <c r="L62" s="219"/>
      <c r="M62" s="220"/>
    </row>
    <row r="63" spans="2:13" x14ac:dyDescent="0.3">
      <c r="B63" s="215" t="s">
        <v>7</v>
      </c>
      <c r="C63" s="215"/>
      <c r="D63" s="215"/>
      <c r="E63" s="215"/>
      <c r="F63" s="224"/>
      <c r="G63" s="223" t="s">
        <v>146</v>
      </c>
      <c r="H63" s="219"/>
      <c r="I63" s="219"/>
      <c r="J63" s="219"/>
      <c r="K63" s="219"/>
      <c r="L63" s="219"/>
      <c r="M63" s="220"/>
    </row>
    <row r="64" spans="2:13" x14ac:dyDescent="0.3">
      <c r="B64" s="215" t="s">
        <v>6</v>
      </c>
      <c r="C64" s="215"/>
      <c r="D64" s="215"/>
      <c r="E64" s="215"/>
      <c r="F64" s="224"/>
      <c r="G64" s="223" t="s">
        <v>157</v>
      </c>
      <c r="H64" s="219"/>
      <c r="I64" s="219"/>
      <c r="J64" s="219"/>
      <c r="K64" s="219"/>
      <c r="L64" s="219"/>
      <c r="M64" s="220"/>
    </row>
    <row r="65" spans="2:13" x14ac:dyDescent="0.3">
      <c r="B65" s="215" t="s">
        <v>4</v>
      </c>
      <c r="C65" s="215"/>
      <c r="D65" s="215"/>
      <c r="E65" s="215"/>
      <c r="F65" s="224"/>
      <c r="G65" s="223">
        <v>73021035</v>
      </c>
      <c r="H65" s="219"/>
      <c r="I65" s="219"/>
      <c r="J65" s="219"/>
      <c r="K65" s="219"/>
      <c r="L65" s="219"/>
      <c r="M65" s="220"/>
    </row>
    <row r="66" spans="2:13" x14ac:dyDescent="0.3">
      <c r="B66" s="215" t="s">
        <v>11</v>
      </c>
      <c r="C66" s="215"/>
      <c r="D66" s="215"/>
      <c r="E66" s="215"/>
      <c r="F66" s="224"/>
      <c r="G66" s="218">
        <v>44970</v>
      </c>
      <c r="H66" s="219"/>
      <c r="I66" s="219"/>
      <c r="J66" s="219"/>
      <c r="K66" s="219"/>
      <c r="L66" s="219"/>
      <c r="M66" s="220"/>
    </row>
    <row r="67" spans="2:13" x14ac:dyDescent="0.3">
      <c r="B67" s="215" t="s">
        <v>10</v>
      </c>
      <c r="C67" s="215"/>
      <c r="D67" s="215"/>
      <c r="E67" s="215"/>
      <c r="F67" s="224"/>
      <c r="G67" s="221" t="s">
        <v>159</v>
      </c>
      <c r="H67" s="221"/>
      <c r="I67" s="221"/>
      <c r="J67" s="221"/>
      <c r="K67" s="221"/>
      <c r="L67" s="221"/>
      <c r="M67" s="221"/>
    </row>
    <row r="68" spans="2:13" x14ac:dyDescent="0.3">
      <c r="B68" s="215" t="s">
        <v>163</v>
      </c>
      <c r="C68" s="215"/>
      <c r="D68" s="215"/>
      <c r="E68" s="215"/>
      <c r="F68" s="224"/>
      <c r="G68" s="225">
        <v>2.2999999999999998</v>
      </c>
      <c r="H68" s="225"/>
      <c r="I68" s="225"/>
      <c r="J68" s="225"/>
      <c r="K68" s="225"/>
      <c r="L68" s="225"/>
      <c r="M68" s="225"/>
    </row>
    <row r="69" spans="2:13" x14ac:dyDescent="0.3">
      <c r="B69" s="215" t="s">
        <v>150</v>
      </c>
      <c r="C69" s="215"/>
      <c r="D69" s="215"/>
      <c r="E69" s="215"/>
      <c r="F69" s="224"/>
      <c r="G69" s="225">
        <v>1.7</v>
      </c>
      <c r="H69" s="225"/>
      <c r="I69" s="225"/>
      <c r="J69" s="225"/>
      <c r="K69" s="225"/>
      <c r="L69" s="225"/>
      <c r="M69" s="225"/>
    </row>
    <row r="70" spans="2:13" x14ac:dyDescent="0.3">
      <c r="B70" s="215" t="s">
        <v>161</v>
      </c>
      <c r="C70" s="215"/>
      <c r="D70" s="215"/>
      <c r="E70" s="215"/>
      <c r="F70" s="224"/>
      <c r="G70" s="225">
        <v>0.8</v>
      </c>
      <c r="H70" s="225"/>
      <c r="I70" s="225"/>
      <c r="J70" s="225"/>
      <c r="K70" s="225"/>
      <c r="L70" s="225"/>
      <c r="M70" s="225"/>
    </row>
    <row r="71" spans="2:13" x14ac:dyDescent="0.3">
      <c r="B71" s="215" t="s">
        <v>166</v>
      </c>
      <c r="C71" s="215"/>
      <c r="D71" s="215"/>
      <c r="E71" s="215"/>
      <c r="F71" s="224"/>
      <c r="G71" s="226">
        <v>1</v>
      </c>
      <c r="H71" s="227"/>
      <c r="I71" s="227"/>
      <c r="J71" s="227"/>
      <c r="K71" s="227"/>
      <c r="L71" s="227"/>
      <c r="M71" s="228"/>
    </row>
    <row r="72" spans="2:13" x14ac:dyDescent="0.3">
      <c r="B72" s="215" t="s">
        <v>167</v>
      </c>
      <c r="C72" s="215"/>
      <c r="D72" s="215"/>
      <c r="E72" s="215"/>
      <c r="F72" s="224"/>
      <c r="G72" s="225">
        <v>1</v>
      </c>
      <c r="H72" s="225"/>
      <c r="I72" s="225"/>
      <c r="J72" s="225"/>
      <c r="K72" s="225"/>
      <c r="L72" s="225"/>
      <c r="M72" s="225"/>
    </row>
    <row r="73" spans="2:13" x14ac:dyDescent="0.3">
      <c r="B73" s="215" t="s">
        <v>162</v>
      </c>
      <c r="C73" s="215"/>
      <c r="D73" s="215"/>
      <c r="E73" s="215"/>
      <c r="F73" s="224"/>
      <c r="G73" s="225">
        <v>1</v>
      </c>
      <c r="H73" s="225"/>
      <c r="I73" s="225"/>
      <c r="J73" s="225"/>
      <c r="K73" s="225"/>
      <c r="L73" s="225"/>
      <c r="M73" s="225"/>
    </row>
    <row r="74" spans="2:13" x14ac:dyDescent="0.3">
      <c r="B74" s="215" t="s">
        <v>9</v>
      </c>
      <c r="C74" s="215"/>
      <c r="D74" s="215"/>
      <c r="E74" s="215"/>
      <c r="F74" s="224"/>
      <c r="G74" s="225">
        <v>2</v>
      </c>
      <c r="H74" s="225"/>
      <c r="I74" s="225"/>
      <c r="J74" s="225"/>
      <c r="K74" s="225"/>
      <c r="L74" s="225"/>
      <c r="M74" s="225"/>
    </row>
    <row r="75" spans="2:13" x14ac:dyDescent="0.3">
      <c r="B75" s="17"/>
      <c r="C75" s="17"/>
      <c r="D75" s="17"/>
      <c r="E75" s="18"/>
      <c r="F75" s="19"/>
    </row>
    <row r="78" spans="2:13" x14ac:dyDescent="0.3">
      <c r="C78" s="144"/>
      <c r="D78" s="144"/>
      <c r="E78" s="144"/>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44"/>
      <c r="D95" s="144"/>
      <c r="E95" s="144"/>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 ref="G37:M37"/>
    <mergeCell ref="G35:M35"/>
    <mergeCell ref="B34:M34"/>
    <mergeCell ref="G38:M38"/>
    <mergeCell ref="G39:M39"/>
    <mergeCell ref="G36:M36"/>
    <mergeCell ref="B35:F35"/>
    <mergeCell ref="B36:F36"/>
    <mergeCell ref="B37:F37"/>
    <mergeCell ref="B38:F38"/>
    <mergeCell ref="B39:F39"/>
    <mergeCell ref="G53:M53"/>
    <mergeCell ref="B47:F47"/>
    <mergeCell ref="G47:M47"/>
    <mergeCell ref="B50:F50"/>
    <mergeCell ref="G50:M50"/>
    <mergeCell ref="B49:M49"/>
    <mergeCell ref="B59:F59"/>
    <mergeCell ref="G59:M59"/>
    <mergeCell ref="B62:F62"/>
    <mergeCell ref="G62:M62"/>
    <mergeCell ref="B63:F63"/>
    <mergeCell ref="G63:M63"/>
    <mergeCell ref="B61:M61"/>
    <mergeCell ref="B64:F64"/>
    <mergeCell ref="G64:M64"/>
    <mergeCell ref="B65:F65"/>
    <mergeCell ref="G65:M65"/>
    <mergeCell ref="G66:M66"/>
    <mergeCell ref="B66:F66"/>
    <mergeCell ref="G74:M74"/>
    <mergeCell ref="B69:F69"/>
    <mergeCell ref="B70:F70"/>
    <mergeCell ref="G70:M70"/>
    <mergeCell ref="G73:M73"/>
    <mergeCell ref="G69:M69"/>
    <mergeCell ref="G72:M72"/>
    <mergeCell ref="G71:M71"/>
    <mergeCell ref="B72:F72"/>
    <mergeCell ref="B73:F73"/>
    <mergeCell ref="B74:F74"/>
    <mergeCell ref="B67:F67"/>
    <mergeCell ref="G67:M67"/>
    <mergeCell ref="B68:F68"/>
    <mergeCell ref="G68:M68"/>
    <mergeCell ref="B71:F71"/>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9" zoomScaleNormal="100" workbookViewId="0">
      <selection activeCell="H12" sqref="H12"/>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33" t="s">
        <v>180</v>
      </c>
      <c r="C2" s="234"/>
      <c r="D2" s="234"/>
      <c r="E2" s="234"/>
      <c r="F2" s="234"/>
      <c r="G2" s="234"/>
      <c r="H2" s="234"/>
      <c r="I2" s="234"/>
      <c r="J2" s="234"/>
      <c r="K2" s="234"/>
      <c r="L2" s="235"/>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100">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100">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100">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100">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100">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33" t="s">
        <v>182</v>
      </c>
      <c r="C10" s="234"/>
      <c r="D10" s="234"/>
      <c r="E10" s="234"/>
      <c r="F10" s="234"/>
      <c r="G10" s="234"/>
      <c r="H10" s="234"/>
      <c r="I10" s="234"/>
      <c r="J10" s="234"/>
      <c r="K10" s="234"/>
      <c r="L10" s="235"/>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f>MEDIDA!B13</f>
        <v>50</v>
      </c>
      <c r="C12" s="8">
        <f>0.11/2</f>
        <v>5.5E-2</v>
      </c>
      <c r="D12" s="8">
        <f>PATRON!G$43/SQRT(3)</f>
        <v>0.28867513459481292</v>
      </c>
      <c r="E12" s="8">
        <v>0</v>
      </c>
      <c r="F12" s="8">
        <f>1/SQRT(12)</f>
        <v>0.28867513459481292</v>
      </c>
      <c r="G12" s="100">
        <f>PATRON!G$45/SQRT(12)</f>
        <v>2.8867513459481291E-2</v>
      </c>
      <c r="H12" s="7" cm="1">
        <f t="array" aca="1" ref="H12" ca="1">STDEVA(MEDIDA!D13:K13/SQRT(4))</f>
        <v>13.095800853708795</v>
      </c>
      <c r="I12" s="8">
        <f ca="1">SQRT(SUMSQ(C12:H12))</f>
        <v>13.102309910851597</v>
      </c>
      <c r="J12" s="15">
        <f ca="1">I12^4/(C12^4/200+D12^4/200+E12^4/200+F12^4/200+G12^4/200+H12^4/3)</f>
        <v>3.005968833891981</v>
      </c>
      <c r="K12" s="11">
        <f ca="1">TINV(0.0455,J12)</f>
        <v>3.3068299207201113</v>
      </c>
      <c r="L12" s="7">
        <f ca="1">I12*K12</f>
        <v>43.327110443751714</v>
      </c>
    </row>
    <row r="13" spans="1:12" x14ac:dyDescent="0.3">
      <c r="B13" s="6">
        <f>MEDIDA!B14</f>
        <v>100</v>
      </c>
      <c r="C13" s="8">
        <f t="shared" ref="C13:C16" si="4">0.11/2</f>
        <v>5.5E-2</v>
      </c>
      <c r="D13" s="8">
        <f>PATRON!G$43/SQRT(3)</f>
        <v>0.28867513459481292</v>
      </c>
      <c r="E13" s="8">
        <v>0</v>
      </c>
      <c r="F13" s="8">
        <f t="shared" ref="F13:F16" si="5">1/SQRT(12)</f>
        <v>0.28867513459481292</v>
      </c>
      <c r="G13" s="100">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f>MEDIDA!B15</f>
        <v>150</v>
      </c>
      <c r="C14" s="8">
        <f t="shared" si="4"/>
        <v>5.5E-2</v>
      </c>
      <c r="D14" s="8">
        <f>PATRON!G$43/SQRT(3)</f>
        <v>0.28867513459481292</v>
      </c>
      <c r="E14" s="8">
        <v>0</v>
      </c>
      <c r="F14" s="8">
        <f t="shared" si="5"/>
        <v>0.28867513459481292</v>
      </c>
      <c r="G14" s="100">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f>MEDIDA!B16</f>
        <v>200</v>
      </c>
      <c r="C15" s="8">
        <f t="shared" si="4"/>
        <v>5.5E-2</v>
      </c>
      <c r="D15" s="8">
        <f>PATRON!G$43/SQRT(3)</f>
        <v>0.28867513459481292</v>
      </c>
      <c r="E15" s="8">
        <v>0</v>
      </c>
      <c r="F15" s="8">
        <f t="shared" si="5"/>
        <v>0.28867513459481292</v>
      </c>
      <c r="G15" s="100">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f>MEDIDA!B17</f>
        <v>250</v>
      </c>
      <c r="C16" s="8">
        <f t="shared" si="4"/>
        <v>5.5E-2</v>
      </c>
      <c r="D16" s="8">
        <f>PATRON!G$43/SQRT(3)</f>
        <v>0.28867513459481292</v>
      </c>
      <c r="E16" s="8">
        <v>0</v>
      </c>
      <c r="F16" s="8">
        <f t="shared" si="5"/>
        <v>0.28867513459481292</v>
      </c>
      <c r="G16" s="100">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33" t="s">
        <v>183</v>
      </c>
      <c r="C18" s="234"/>
      <c r="D18" s="234"/>
      <c r="E18" s="234"/>
      <c r="F18" s="234"/>
      <c r="G18" s="234"/>
      <c r="H18" s="234"/>
      <c r="I18" s="234"/>
      <c r="J18" s="234"/>
      <c r="K18" s="234"/>
      <c r="L18" s="235"/>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100">
        <f>PATRON!G$45/SQRT(12)</f>
        <v>2.8867513459481291E-2</v>
      </c>
      <c r="H20" s="7">
        <f ca="1">STDEVA(MEDIDA!D13:K13)/SQRT(4)</f>
        <v>0</v>
      </c>
      <c r="I20" s="8">
        <f ca="1">SQRT(SUMSQ(C20:H20))</f>
        <v>0.41294672779911945</v>
      </c>
      <c r="J20" s="15">
        <f ca="1">I20^4/(C20^4/200+D20^4/200+E20^4/200+F20^4/200+G20^4/200+H20^4/3)</f>
        <v>418.43776148496022</v>
      </c>
      <c r="K20" s="11">
        <f ca="1">TINV(0.0455,J20)</f>
        <v>2.0060008910872194</v>
      </c>
      <c r="L20" s="7">
        <f ca="1">I20*K20</f>
        <v>0.82837150393658499</v>
      </c>
    </row>
    <row r="21" spans="2:12" x14ac:dyDescent="0.3">
      <c r="B21" s="6" t="e">
        <f>MEDIDA!#REF!</f>
        <v>#REF!</v>
      </c>
      <c r="C21" s="8">
        <f t="shared" ref="C21:C24" si="8">0.11/2</f>
        <v>5.5E-2</v>
      </c>
      <c r="D21" s="8">
        <f>PATRON!G$43/SQRT(3)</f>
        <v>0.28867513459481292</v>
      </c>
      <c r="E21" s="8">
        <v>0</v>
      </c>
      <c r="F21" s="8">
        <f t="shared" ref="F21:F24" si="9">1/SQRT(12)</f>
        <v>0.28867513459481292</v>
      </c>
      <c r="G21" s="100">
        <f>PATRON!G$45/SQRT(12)</f>
        <v>2.8867513459481291E-2</v>
      </c>
      <c r="H21" s="7">
        <f ca="1">STDEVA(MEDIDA!D14:K14)/SQRT(4)</f>
        <v>0</v>
      </c>
      <c r="I21" s="8">
        <f ca="1">SQRT(SUMSQ(C21:H21))</f>
        <v>0.41294672779911945</v>
      </c>
      <c r="J21" s="15">
        <f ca="1">I21^4/(C21^4/200+D21^4/200+E21^4/200+F21^4/200+G21^4/200+H21^4/3)</f>
        <v>418.43776148496022</v>
      </c>
      <c r="K21" s="11">
        <f ca="1">TINV(0.0455,J21)</f>
        <v>2.0060008910872194</v>
      </c>
      <c r="L21" s="7">
        <f ca="1">I21*K21</f>
        <v>0.82837150393658499</v>
      </c>
    </row>
    <row r="22" spans="2:12" x14ac:dyDescent="0.3">
      <c r="B22" s="6">
        <f>MEDIDA!B33</f>
        <v>37</v>
      </c>
      <c r="C22" s="8">
        <f t="shared" si="8"/>
        <v>5.5E-2</v>
      </c>
      <c r="D22" s="8">
        <f>PATRON!G$43/SQRT(3)</f>
        <v>0.28867513459481292</v>
      </c>
      <c r="E22" s="8">
        <v>0</v>
      </c>
      <c r="F22" s="8">
        <f t="shared" si="9"/>
        <v>0.28867513459481292</v>
      </c>
      <c r="G22" s="100">
        <f>PATRON!G$45/SQRT(12)</f>
        <v>2.8867513459481291E-2</v>
      </c>
      <c r="H22" s="7">
        <f ca="1">STDEVA(MEDIDA!D15:K15)/SQRT(4)</f>
        <v>0</v>
      </c>
      <c r="I22" s="8">
        <f ca="1">SQRT(SUMSQ(C22:H22))</f>
        <v>0.41294672779911945</v>
      </c>
      <c r="J22" s="15">
        <f ca="1">I22^4/(C22^4/200+D22^4/200+E22^4/200+F22^4/200+G22^4/200+H22^4/3)</f>
        <v>418.43776148496022</v>
      </c>
      <c r="K22" s="11">
        <f t="shared" ref="K22:K24" ca="1" si="10">TINV(0.0455,J22)</f>
        <v>2.0060008910872194</v>
      </c>
      <c r="L22" s="7">
        <f t="shared" ref="L22:L24" ca="1" si="11">I22*K22</f>
        <v>0.82837150393658499</v>
      </c>
    </row>
    <row r="23" spans="2:12" x14ac:dyDescent="0.3">
      <c r="B23" s="6">
        <f>MEDIDA!B34</f>
        <v>0</v>
      </c>
      <c r="C23" s="8">
        <f t="shared" si="8"/>
        <v>5.5E-2</v>
      </c>
      <c r="D23" s="8">
        <f>PATRON!G$43/SQRT(3)</f>
        <v>0.28867513459481292</v>
      </c>
      <c r="E23" s="8">
        <v>0</v>
      </c>
      <c r="F23" s="8">
        <f t="shared" si="9"/>
        <v>0.28867513459481292</v>
      </c>
      <c r="G23" s="100">
        <f>PATRON!G$45/SQRT(12)</f>
        <v>2.8867513459481291E-2</v>
      </c>
      <c r="H23" s="7">
        <f ca="1">STDEVA(MEDIDA!D16:K16)/SQRT(4)</f>
        <v>0</v>
      </c>
      <c r="I23" s="8">
        <f ca="1">SQRT(SUMSQ(C23:H23))</f>
        <v>0.41294672779911945</v>
      </c>
      <c r="J23" s="15">
        <f ca="1">I23^4/(C23^4/200+D23^4/200+E23^4/200+F23^4/200+G23^4/200+H23^4/3)</f>
        <v>418.43776148496022</v>
      </c>
      <c r="K23" s="11">
        <f t="shared" ca="1" si="10"/>
        <v>2.0060008910872194</v>
      </c>
      <c r="L23" s="7">
        <f t="shared" ca="1" si="11"/>
        <v>0.82837150393658499</v>
      </c>
    </row>
    <row r="24" spans="2:12" x14ac:dyDescent="0.3">
      <c r="B24" s="6">
        <f>MEDIDA!B35</f>
        <v>0</v>
      </c>
      <c r="C24" s="8">
        <f t="shared" si="8"/>
        <v>5.5E-2</v>
      </c>
      <c r="D24" s="8">
        <f>PATRON!G$43/SQRT(3)</f>
        <v>0.28867513459481292</v>
      </c>
      <c r="E24" s="8">
        <v>0</v>
      </c>
      <c r="F24" s="8">
        <f t="shared" si="9"/>
        <v>0.28867513459481292</v>
      </c>
      <c r="G24" s="100">
        <f>PATRON!G$45/SQRT(12)</f>
        <v>2.8867513459481291E-2</v>
      </c>
      <c r="H24" s="7">
        <f ca="1">STDEVA(MEDIDA!D17:K17)/SQRT(4)</f>
        <v>0</v>
      </c>
      <c r="I24" s="8">
        <f ca="1">SQRT(SUMSQ(C24:H24))</f>
        <v>0.41294672779911945</v>
      </c>
      <c r="J24" s="15">
        <f ca="1">I24^4/(C24^4/200+D24^4/200+E24^4/200+F24^4/200+G24^4/200+H24^4/3)</f>
        <v>418.43776148496022</v>
      </c>
      <c r="K24" s="11">
        <f t="shared" ca="1" si="10"/>
        <v>2.0060008910872194</v>
      </c>
      <c r="L24" s="7">
        <f t="shared" ca="1" si="11"/>
        <v>0.82837150393658499</v>
      </c>
    </row>
    <row r="26" spans="2:12" x14ac:dyDescent="0.3">
      <c r="B26" s="233" t="s">
        <v>184</v>
      </c>
      <c r="C26" s="234"/>
      <c r="D26" s="234"/>
      <c r="E26" s="234"/>
      <c r="F26" s="234"/>
      <c r="G26" s="234"/>
      <c r="H26" s="234"/>
      <c r="I26" s="234"/>
      <c r="J26" s="234"/>
      <c r="K26" s="234"/>
      <c r="L26" s="235"/>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f>MEDIDA!R4</f>
        <v>30</v>
      </c>
      <c r="C28" s="8">
        <f>PATRON!G$42/2</f>
        <v>0.24</v>
      </c>
      <c r="D28" s="7">
        <f>PATRON!G$44</f>
        <v>0</v>
      </c>
      <c r="E28" s="8">
        <v>0</v>
      </c>
      <c r="F28" s="8">
        <f>1/SQRT(12)</f>
        <v>0.28867513459481292</v>
      </c>
      <c r="G28" s="8">
        <f>1/SQRT(12)</f>
        <v>0.28867513459481292</v>
      </c>
      <c r="H28" s="7">
        <f>STDEVA(MEDIDA!T4:AA4)/SQRT(4)</f>
        <v>0</v>
      </c>
      <c r="I28" s="8">
        <f>SQRT(SUMSQ(C28:H28))</f>
        <v>0.47356801693808115</v>
      </c>
      <c r="J28" s="15">
        <f>I28^4/(C28^4/200+D28^4/200+E28^4/200+F28^4/200+G28^4/200+H28^4/3)</f>
        <v>584.60584745535061</v>
      </c>
      <c r="K28" s="11">
        <f>TINV(0.0455,J28)</f>
        <v>2.0042922732980215</v>
      </c>
      <c r="L28" s="7">
        <f>I28*K28</f>
        <v>0.94916871723006258</v>
      </c>
    </row>
    <row r="29" spans="2:12" x14ac:dyDescent="0.3">
      <c r="B29" s="6">
        <f>MEDIDA!R5</f>
        <v>60</v>
      </c>
      <c r="C29" s="8">
        <f>PATRON!G$42/2</f>
        <v>0.24</v>
      </c>
      <c r="D29" s="7">
        <f>PATRON!G$44</f>
        <v>0</v>
      </c>
      <c r="E29" s="8">
        <v>0</v>
      </c>
      <c r="F29" s="8">
        <f t="shared" ref="F29:G31" si="12">1/SQRT(12)</f>
        <v>0.28867513459481292</v>
      </c>
      <c r="G29" s="8">
        <f t="shared" si="12"/>
        <v>0.28867513459481292</v>
      </c>
      <c r="H29" s="7">
        <f>STDEVA(MEDIDA!T5:AA5)/SQRT(4)</f>
        <v>0</v>
      </c>
      <c r="I29" s="8">
        <f>SQRT(SUMSQ(C29:H29))</f>
        <v>0.47356801693808115</v>
      </c>
      <c r="J29" s="15">
        <f>I29^4/(C29^4/200+D29^4/200+E29^4/200+F29^4/200+G29^4/200+H29^4/3)</f>
        <v>584.60584745535061</v>
      </c>
      <c r="K29" s="11">
        <f>TINV(0.0455,J29)</f>
        <v>2.0042922732980215</v>
      </c>
      <c r="L29" s="7">
        <f>I29*K29</f>
        <v>0.94916871723006258</v>
      </c>
    </row>
    <row r="30" spans="2:12" x14ac:dyDescent="0.3">
      <c r="B30" s="6">
        <f>MEDIDA!R6</f>
        <v>120</v>
      </c>
      <c r="C30" s="8">
        <f>PATRON!G$42/2</f>
        <v>0.24</v>
      </c>
      <c r="D30" s="7">
        <f>PATRON!G$44</f>
        <v>0</v>
      </c>
      <c r="E30" s="8">
        <v>0</v>
      </c>
      <c r="F30" s="8">
        <f t="shared" si="12"/>
        <v>0.28867513459481292</v>
      </c>
      <c r="G30" s="8">
        <f t="shared" si="12"/>
        <v>0.28867513459481292</v>
      </c>
      <c r="H30" s="7">
        <f>STDEVA(MEDIDA!T6:AA6)/SQRT(4)</f>
        <v>0</v>
      </c>
      <c r="I30" s="8">
        <f>SQRT(SUMSQ(C30:H30))</f>
        <v>0.47356801693808115</v>
      </c>
      <c r="J30" s="15">
        <f>I30^4/(C30^4/200+D30^4/200+E30^4/200+F30^4/200+G30^4/200+H30^4/3)</f>
        <v>584.60584745535061</v>
      </c>
      <c r="K30" s="11">
        <f t="shared" ref="K30:K31" si="13">TINV(0.0455,J30)</f>
        <v>2.0042922732980215</v>
      </c>
      <c r="L30" s="7">
        <f t="shared" ref="L30:L31" si="14">I30*K30</f>
        <v>0.94916871723006258</v>
      </c>
    </row>
    <row r="31" spans="2:12" x14ac:dyDescent="0.3">
      <c r="B31" s="6">
        <f>MEDIDA!R7</f>
        <v>240</v>
      </c>
      <c r="C31" s="8">
        <f>PATRON!G$42/2</f>
        <v>0.24</v>
      </c>
      <c r="D31" s="7">
        <f>PATRON!G$44</f>
        <v>0</v>
      </c>
      <c r="E31" s="8">
        <v>0</v>
      </c>
      <c r="F31" s="8">
        <f t="shared" si="12"/>
        <v>0.28867513459481292</v>
      </c>
      <c r="G31" s="8">
        <f t="shared" si="12"/>
        <v>0.28867513459481292</v>
      </c>
      <c r="H31" s="7">
        <f>STDEVA(MEDIDA!T7:AA7)/SQRT(4)</f>
        <v>0</v>
      </c>
      <c r="I31" s="8">
        <f>SQRT(SUMSQ(C31:H31))</f>
        <v>0.47356801693808115</v>
      </c>
      <c r="J31" s="15">
        <f>I31^4/(C31^4/200+D31^4/200+E31^4/200+F31^4/200+G31^4/200+H31^4/3)</f>
        <v>584.60584745535061</v>
      </c>
      <c r="K31" s="11">
        <f t="shared" si="13"/>
        <v>2.0042922732980215</v>
      </c>
      <c r="L31" s="7">
        <f t="shared" si="14"/>
        <v>0.94916871723006258</v>
      </c>
    </row>
    <row r="33" spans="2:12" x14ac:dyDescent="0.3">
      <c r="B33" s="233" t="s">
        <v>185</v>
      </c>
      <c r="C33" s="234"/>
      <c r="D33" s="234"/>
      <c r="E33" s="234"/>
      <c r="F33" s="234"/>
      <c r="G33" s="234"/>
      <c r="H33" s="234"/>
      <c r="I33" s="234"/>
      <c r="J33" s="234"/>
      <c r="K33" s="234"/>
      <c r="L33" s="235"/>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MEDIDA!R23</f>
        <v>30</v>
      </c>
      <c r="C35" s="8">
        <f>PATRON!G$69/2</f>
        <v>0.85</v>
      </c>
      <c r="D35" s="8">
        <f>PATRON!G$71/SQRT(3)</f>
        <v>0.57735026918962584</v>
      </c>
      <c r="E35" s="8">
        <v>0</v>
      </c>
      <c r="F35" s="8">
        <f>1/SQRT(12)</f>
        <v>0.28867513459481292</v>
      </c>
      <c r="G35" s="8">
        <f>1/SQRT(12)</f>
        <v>0.28867513459481292</v>
      </c>
      <c r="H35" s="7">
        <f>STDEVA(MEDIDA!T23:AA23)/SQRT(4)</f>
        <v>0</v>
      </c>
      <c r="I35" s="8">
        <f>SQRT(SUMSQ(C35:H35))</f>
        <v>1.1056672193747989</v>
      </c>
      <c r="J35" s="15">
        <f>I35^4/(C35^4/200+D35^4/200+E35^4/200+F35^4/200+G35^4/200+H35^4/3)</f>
        <v>461.97583099081322</v>
      </c>
      <c r="K35" s="11">
        <f>TINV(0.0455,J35)</f>
        <v>2.0054398942598022</v>
      </c>
      <c r="L35" s="7">
        <f>I35*K35</f>
        <v>2.2173491515095263</v>
      </c>
    </row>
    <row r="36" spans="2:12" x14ac:dyDescent="0.3">
      <c r="B36" s="6">
        <f>MEDIDA!R24</f>
        <v>60</v>
      </c>
      <c r="C36" s="8">
        <f>PATRON!G$69/2</f>
        <v>0.85</v>
      </c>
      <c r="D36" s="8">
        <f>PATRON!G$71/SQRT(3)</f>
        <v>0.57735026918962584</v>
      </c>
      <c r="E36" s="8">
        <v>0</v>
      </c>
      <c r="F36" s="8">
        <f t="shared" ref="F36:G38" si="15">1/SQRT(12)</f>
        <v>0.28867513459481292</v>
      </c>
      <c r="G36" s="8">
        <f t="shared" si="15"/>
        <v>0.28867513459481292</v>
      </c>
      <c r="H36" s="7">
        <f>STDEVA(MEDIDA!T24:AA24)/SQRT(4)</f>
        <v>0</v>
      </c>
      <c r="I36" s="8">
        <f>SQRT(SUMSQ(C36:H36))</f>
        <v>1.1056672193747989</v>
      </c>
      <c r="J36" s="15">
        <f>I36^4/(C36^4/200+D36^4/200+E36^4/200+F36^4/200+G36^4/200+H36^4/3)</f>
        <v>461.97583099081322</v>
      </c>
      <c r="K36" s="11">
        <f>TINV(0.0455,J36)</f>
        <v>2.0054398942598022</v>
      </c>
      <c r="L36" s="7">
        <f>I36*K36</f>
        <v>2.2173491515095263</v>
      </c>
    </row>
    <row r="37" spans="2:12" x14ac:dyDescent="0.3">
      <c r="B37" s="6">
        <f>MEDIDA!R25</f>
        <v>120</v>
      </c>
      <c r="C37" s="8">
        <f>PATRON!G$69/2</f>
        <v>0.85</v>
      </c>
      <c r="D37" s="8">
        <f>PATRON!G$71/SQRT(3)</f>
        <v>0.57735026918962584</v>
      </c>
      <c r="E37" s="8">
        <v>0</v>
      </c>
      <c r="F37" s="8">
        <f t="shared" si="15"/>
        <v>0.28867513459481292</v>
      </c>
      <c r="G37" s="8">
        <f t="shared" si="15"/>
        <v>0.28867513459481292</v>
      </c>
      <c r="H37" s="7">
        <f>STDEVA(MEDIDA!T25:AA25)/SQRT(4)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MEDIDA!R26</f>
        <v>246</v>
      </c>
      <c r="C38" s="8">
        <f>PATRON!G$69/2</f>
        <v>0.85</v>
      </c>
      <c r="D38" s="8">
        <f>PATRON!G$71/SQRT(3)</f>
        <v>0.57735026918962584</v>
      </c>
      <c r="E38" s="8">
        <v>0</v>
      </c>
      <c r="F38" s="8">
        <f t="shared" si="15"/>
        <v>0.28867513459481292</v>
      </c>
      <c r="G38" s="8">
        <f t="shared" si="15"/>
        <v>0.28867513459481292</v>
      </c>
      <c r="H38" s="7">
        <f>STDEVA(MEDIDA!T26:AA26)/SQRT(4)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33" t="s">
        <v>186</v>
      </c>
      <c r="C40" s="234"/>
      <c r="D40" s="234"/>
      <c r="E40" s="234"/>
      <c r="F40" s="234"/>
      <c r="G40" s="234"/>
      <c r="H40" s="234"/>
      <c r="I40" s="234"/>
      <c r="J40" s="234"/>
      <c r="K40" s="234"/>
      <c r="L40" s="235"/>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MEDIDA!R13</f>
        <v>80</v>
      </c>
      <c r="C42" s="7">
        <f>PATRON!G$68/2</f>
        <v>1.1499999999999999</v>
      </c>
      <c r="D42" s="8">
        <f>PATRON!G$70/SQRT(3)</f>
        <v>0.46188021535170065</v>
      </c>
      <c r="E42" s="8">
        <v>0</v>
      </c>
      <c r="F42" s="8">
        <f>1/SQRT(12)</f>
        <v>0.28867513459481292</v>
      </c>
      <c r="G42" s="8">
        <f>1/SQRT(12)</f>
        <v>0.28867513459481292</v>
      </c>
      <c r="H42" s="7">
        <f ca="1">STDEVA(MEDIDA!T13:AA13)/SQRT(4)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MEDIDA!R14</f>
        <v>85</v>
      </c>
      <c r="C43" s="7">
        <f>PATRON!G$68/2</f>
        <v>1.1499999999999999</v>
      </c>
      <c r="D43" s="8">
        <f>PATRON!G$70/SQRT(3)</f>
        <v>0.46188021535170065</v>
      </c>
      <c r="E43" s="8">
        <v>0</v>
      </c>
      <c r="F43" s="8">
        <f t="shared" ref="F43:G46" si="18">1/SQRT(12)</f>
        <v>0.28867513459481292</v>
      </c>
      <c r="G43" s="8">
        <f t="shared" si="18"/>
        <v>0.28867513459481292</v>
      </c>
      <c r="H43" s="7">
        <f ca="1">STDEVA(MEDIDA!T14:AA14)/SQRT(4)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MEDIDA!R15</f>
        <v>90</v>
      </c>
      <c r="C44" s="7">
        <f>PATRON!G$68/2</f>
        <v>1.1499999999999999</v>
      </c>
      <c r="D44" s="8">
        <f>PATRON!G$70/SQRT(3)</f>
        <v>0.46188021535170065</v>
      </c>
      <c r="E44" s="8">
        <v>0</v>
      </c>
      <c r="F44" s="8">
        <f t="shared" si="18"/>
        <v>0.28867513459481292</v>
      </c>
      <c r="G44" s="8">
        <f t="shared" si="18"/>
        <v>0.28867513459481292</v>
      </c>
      <c r="H44" s="7">
        <f ca="1">STDEVA(MEDIDA!T15:AA15)/SQRT(4)</f>
        <v>0</v>
      </c>
      <c r="I44" s="8">
        <f t="shared" ca="1" si="19"/>
        <v>1.3047988350699888</v>
      </c>
      <c r="J44" s="15">
        <f t="shared" ca="1" si="20"/>
        <v>320.55919404171499</v>
      </c>
      <c r="K44" s="11">
        <f t="shared" ca="1" si="21"/>
        <v>2.007844963532889</v>
      </c>
      <c r="L44" s="7">
        <f t="shared" ca="1" si="22"/>
        <v>2.6198337694188578</v>
      </c>
    </row>
    <row r="45" spans="2:12" x14ac:dyDescent="0.3">
      <c r="B45" s="6">
        <f>MEDIDA!R16</f>
        <v>95</v>
      </c>
      <c r="C45" s="7">
        <f>PATRON!G$68/2</f>
        <v>1.1499999999999999</v>
      </c>
      <c r="D45" s="8">
        <f>PATRON!G$70/SQRT(3)</f>
        <v>0.46188021535170065</v>
      </c>
      <c r="E45" s="8">
        <v>0</v>
      </c>
      <c r="F45" s="8">
        <f t="shared" si="18"/>
        <v>0.28867513459481292</v>
      </c>
      <c r="G45" s="8">
        <f t="shared" si="18"/>
        <v>0.28867513459481292</v>
      </c>
      <c r="H45" s="7">
        <f ca="1">STDEVA(MEDIDA!T16:AA16)/SQRT(4)</f>
        <v>0</v>
      </c>
      <c r="I45" s="8">
        <f t="shared" ca="1" si="19"/>
        <v>1.3047988350699888</v>
      </c>
      <c r="J45" s="15">
        <f t="shared" ca="1" si="20"/>
        <v>320.55919404171499</v>
      </c>
      <c r="K45" s="11">
        <f t="shared" ca="1" si="21"/>
        <v>2.007844963532889</v>
      </c>
      <c r="L45" s="7">
        <f t="shared" ca="1" si="22"/>
        <v>2.6198337694188578</v>
      </c>
    </row>
    <row r="46" spans="2:12" x14ac:dyDescent="0.3">
      <c r="B46" s="6">
        <f>MEDIDA!R17</f>
        <v>99</v>
      </c>
      <c r="C46" s="7">
        <f>PATRON!G$68/2</f>
        <v>1.1499999999999999</v>
      </c>
      <c r="D46" s="8">
        <f>PATRON!G$70/SQRT(3)</f>
        <v>0.46188021535170065</v>
      </c>
      <c r="E46" s="8">
        <v>0</v>
      </c>
      <c r="F46" s="8">
        <f t="shared" si="18"/>
        <v>0.28867513459481292</v>
      </c>
      <c r="G46" s="8">
        <f t="shared" si="18"/>
        <v>0.28867513459481292</v>
      </c>
      <c r="H46" s="7">
        <f ca="1">STDEVA(MEDIDA!T17:AA17)/SQRT(4)</f>
        <v>0</v>
      </c>
      <c r="I46" s="8">
        <f t="shared" ca="1" si="19"/>
        <v>1.3047988350699888</v>
      </c>
      <c r="J46" s="15">
        <f t="shared" ca="1" si="20"/>
        <v>320.55919404171499</v>
      </c>
      <c r="K46" s="11">
        <f t="shared" ca="1" si="21"/>
        <v>2.007844963532889</v>
      </c>
      <c r="L46" s="7">
        <f t="shared" ca="1" si="22"/>
        <v>2.6198337694188578</v>
      </c>
    </row>
    <row r="48" spans="2:12" x14ac:dyDescent="0.3">
      <c r="B48" s="233" t="s">
        <v>187</v>
      </c>
      <c r="C48" s="234"/>
      <c r="D48" s="234"/>
      <c r="E48" s="234"/>
      <c r="F48" s="234"/>
      <c r="G48" s="234"/>
      <c r="H48" s="234"/>
      <c r="I48" s="234"/>
      <c r="J48" s="234"/>
      <c r="K48" s="234"/>
      <c r="L48" s="235"/>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100">
        <f>0.1/SQRT(12)</f>
        <v>2.8867513459481291E-2</v>
      </c>
      <c r="G50" s="100">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100">
        <f t="shared" ref="F51:G52" si="23">0.1/SQRT(12)</f>
        <v>2.8867513459481291E-2</v>
      </c>
      <c r="G51" s="100">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100">
        <f t="shared" si="23"/>
        <v>2.8867513459481291E-2</v>
      </c>
      <c r="G52" s="100">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33" t="s">
        <v>188</v>
      </c>
      <c r="C54" s="234"/>
      <c r="D54" s="234"/>
      <c r="E54" s="234"/>
      <c r="F54" s="234"/>
      <c r="G54" s="234"/>
      <c r="H54" s="234"/>
      <c r="I54" s="234"/>
      <c r="J54" s="234"/>
      <c r="K54" s="234"/>
      <c r="L54" s="235"/>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100">
        <f>0.1/SQRT(12)</f>
        <v>2.8867513459481291E-2</v>
      </c>
      <c r="G56" s="100">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100">
        <f t="shared" ref="F57:G58" si="28">0.1/SQRT(12)</f>
        <v>2.8867513459481291E-2</v>
      </c>
      <c r="G57" s="100">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100">
        <f t="shared" si="28"/>
        <v>2.8867513459481291E-2</v>
      </c>
      <c r="G58" s="100">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87"/>
  <sheetViews>
    <sheetView tabSelected="1" view="pageLayout" topLeftCell="A155" zoomScaleNormal="100" workbookViewId="0">
      <selection activeCell="R162" sqref="R16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58"/>
      <c r="J1" s="158"/>
      <c r="K1" s="158"/>
      <c r="M1" s="65"/>
      <c r="O1" s="155" t="s">
        <v>79</v>
      </c>
      <c r="P1" s="155"/>
      <c r="Q1" s="155"/>
      <c r="R1" s="156">
        <f>INFORMACIÓN!G3</f>
        <v>0</v>
      </c>
      <c r="S1" s="156"/>
    </row>
    <row r="2" spans="1:27" ht="16.95" customHeight="1" x14ac:dyDescent="0.3">
      <c r="G2" s="160"/>
      <c r="H2" s="160"/>
      <c r="I2" s="160"/>
      <c r="J2" s="159"/>
      <c r="K2" s="159"/>
    </row>
    <row r="3" spans="1:27" ht="16.95" customHeight="1" x14ac:dyDescent="0.3">
      <c r="B3" s="84"/>
      <c r="C3" s="161" t="s">
        <v>70</v>
      </c>
      <c r="D3" s="161"/>
      <c r="E3" s="161"/>
      <c r="F3" s="161"/>
      <c r="G3" s="161"/>
      <c r="H3" s="161"/>
      <c r="I3" s="161"/>
      <c r="J3" s="161"/>
      <c r="K3" s="161"/>
      <c r="L3" s="161"/>
      <c r="M3" s="161"/>
      <c r="N3" s="161"/>
      <c r="O3" s="161"/>
      <c r="P3" s="161"/>
      <c r="Q3" s="161"/>
      <c r="R3" s="161"/>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55" t="s">
        <v>62</v>
      </c>
      <c r="D5" s="155"/>
      <c r="E5" s="155"/>
      <c r="F5" s="155"/>
      <c r="G5" s="155"/>
      <c r="H5" s="53"/>
      <c r="I5" s="157">
        <f>INFORMACIÓN!B3</f>
        <v>0</v>
      </c>
      <c r="J5" s="157"/>
      <c r="K5" s="157"/>
      <c r="L5" s="157"/>
      <c r="M5" s="157"/>
      <c r="N5" s="157"/>
      <c r="O5" s="157"/>
      <c r="P5" s="157"/>
      <c r="Q5" s="157"/>
      <c r="R5" s="157"/>
      <c r="S5"/>
      <c r="T5"/>
      <c r="U5"/>
      <c r="V5"/>
      <c r="W5"/>
      <c r="X5"/>
      <c r="Y5"/>
      <c r="Z5"/>
      <c r="AA5"/>
    </row>
    <row r="6" spans="1:27" s="55" customFormat="1" ht="16.95" customHeight="1" x14ac:dyDescent="0.3">
      <c r="B6" s="79"/>
      <c r="C6" s="155" t="s">
        <v>63</v>
      </c>
      <c r="D6" s="155"/>
      <c r="E6" s="155"/>
      <c r="F6" s="155"/>
      <c r="G6" s="155"/>
      <c r="H6" s="53"/>
      <c r="I6" s="157">
        <f>INFORMACIÓN!C3</f>
        <v>0</v>
      </c>
      <c r="J6" s="157"/>
      <c r="K6" s="157"/>
      <c r="L6" s="157"/>
      <c r="M6" s="157"/>
      <c r="N6" s="157"/>
      <c r="O6" s="157"/>
      <c r="P6" s="157"/>
      <c r="Q6" s="157"/>
      <c r="R6" s="157"/>
      <c r="S6"/>
      <c r="T6"/>
      <c r="U6"/>
      <c r="V6"/>
      <c r="W6"/>
      <c r="X6"/>
      <c r="Y6"/>
      <c r="Z6"/>
      <c r="AA6"/>
    </row>
    <row r="7" spans="1:27" s="55" customFormat="1" ht="16.95" customHeight="1" x14ac:dyDescent="0.3">
      <c r="B7" s="79"/>
      <c r="C7" s="155" t="s">
        <v>64</v>
      </c>
      <c r="D7" s="155"/>
      <c r="E7" s="155"/>
      <c r="F7" s="155"/>
      <c r="G7" s="155"/>
      <c r="H7" s="53"/>
      <c r="I7" s="157">
        <f>INFORMACIÓN!D3</f>
        <v>0</v>
      </c>
      <c r="J7" s="157"/>
      <c r="K7" s="157"/>
      <c r="L7" s="157"/>
      <c r="M7" s="157"/>
      <c r="N7" s="157"/>
      <c r="O7" s="157"/>
      <c r="P7" s="157"/>
      <c r="Q7" s="157"/>
      <c r="R7" s="157"/>
      <c r="S7"/>
      <c r="T7"/>
      <c r="U7"/>
      <c r="V7"/>
      <c r="W7"/>
      <c r="X7"/>
      <c r="Y7"/>
      <c r="Z7"/>
      <c r="AA7"/>
    </row>
    <row r="8" spans="1:27" s="55" customFormat="1" ht="16.95" customHeight="1" x14ac:dyDescent="0.3">
      <c r="B8" s="79"/>
      <c r="C8" s="155" t="s">
        <v>225</v>
      </c>
      <c r="D8" s="155"/>
      <c r="E8" s="155"/>
      <c r="F8" s="155"/>
      <c r="G8" s="155"/>
      <c r="H8" s="53"/>
      <c r="I8" s="157">
        <f>INFORMACIÓN!E3</f>
        <v>0</v>
      </c>
      <c r="J8" s="157"/>
      <c r="K8" s="157"/>
      <c r="L8" s="157"/>
      <c r="M8" s="157"/>
      <c r="N8" s="157"/>
      <c r="O8" s="157"/>
      <c r="P8" s="157"/>
      <c r="Q8" s="157"/>
      <c r="R8" s="157"/>
      <c r="S8"/>
      <c r="T8"/>
      <c r="U8"/>
      <c r="V8"/>
      <c r="W8"/>
      <c r="X8"/>
      <c r="Y8"/>
      <c r="Z8"/>
      <c r="AA8"/>
    </row>
    <row r="9" spans="1:27" s="55" customFormat="1" ht="16.95" customHeight="1" x14ac:dyDescent="0.3">
      <c r="B9" s="79"/>
      <c r="C9" s="155" t="s">
        <v>65</v>
      </c>
      <c r="D9" s="155"/>
      <c r="E9" s="155"/>
      <c r="F9" s="155"/>
      <c r="G9" s="155"/>
      <c r="H9" s="53"/>
      <c r="I9" s="157">
        <f>INFORMACIÓN!A3</f>
        <v>0</v>
      </c>
      <c r="J9" s="157"/>
      <c r="K9" s="157"/>
      <c r="L9" s="157"/>
      <c r="M9" s="157"/>
      <c r="N9" s="157"/>
      <c r="O9" s="157"/>
      <c r="P9" s="157"/>
      <c r="Q9" s="157"/>
      <c r="R9" s="157"/>
      <c r="S9"/>
      <c r="T9"/>
      <c r="U9"/>
      <c r="V9"/>
      <c r="W9"/>
      <c r="X9"/>
      <c r="Y9"/>
      <c r="Z9"/>
      <c r="AA9"/>
    </row>
    <row r="10" spans="1:27" s="55" customFormat="1" ht="16.95" customHeight="1" x14ac:dyDescent="0.3">
      <c r="B10" s="79"/>
      <c r="C10" s="155" t="s">
        <v>67</v>
      </c>
      <c r="D10" s="155"/>
      <c r="E10" s="155"/>
      <c r="F10" s="155"/>
      <c r="G10" s="155"/>
      <c r="H10" s="53"/>
      <c r="I10" s="157">
        <f>INFORMACIÓN!F3</f>
        <v>0</v>
      </c>
      <c r="J10" s="157"/>
      <c r="K10" s="157"/>
      <c r="L10" s="157"/>
      <c r="M10" s="157"/>
      <c r="N10" s="157"/>
      <c r="O10" s="157"/>
      <c r="P10" s="157"/>
      <c r="Q10" s="157"/>
      <c r="R10" s="157"/>
      <c r="S10"/>
      <c r="T10"/>
      <c r="U10"/>
      <c r="V10"/>
      <c r="W10"/>
      <c r="X10"/>
      <c r="Y10"/>
      <c r="Z10"/>
      <c r="AA10"/>
    </row>
    <row r="11" spans="1:27" s="55" customFormat="1" ht="16.95" customHeight="1" x14ac:dyDescent="0.3">
      <c r="B11" s="79"/>
      <c r="C11" s="155" t="s">
        <v>66</v>
      </c>
      <c r="D11" s="155"/>
      <c r="E11" s="155"/>
      <c r="F11" s="155"/>
      <c r="G11" s="155"/>
      <c r="H11" s="53"/>
      <c r="I11" s="157" t="str">
        <f>INFORMACIÓN!B8</f>
        <v>BUEN ESTADO</v>
      </c>
      <c r="J11" s="157"/>
      <c r="K11" s="157"/>
      <c r="L11" s="157"/>
      <c r="M11" s="157"/>
      <c r="N11" s="157"/>
      <c r="O11" s="157"/>
      <c r="P11" s="157"/>
      <c r="Q11" s="157"/>
      <c r="R11" s="157"/>
      <c r="S11"/>
      <c r="T11"/>
      <c r="U11"/>
      <c r="V11"/>
      <c r="W11"/>
      <c r="X11"/>
      <c r="Y11"/>
      <c r="Z11"/>
      <c r="AA11"/>
    </row>
    <row r="12" spans="1:27" s="55" customFormat="1" ht="16.95" customHeight="1" x14ac:dyDescent="0.3">
      <c r="B12" s="79"/>
      <c r="C12" s="155" t="s">
        <v>76</v>
      </c>
      <c r="D12" s="155"/>
      <c r="E12" s="155"/>
      <c r="F12" s="155"/>
      <c r="G12" s="155"/>
      <c r="H12" s="80"/>
      <c r="I12" s="162">
        <f>INFORMACIÓN!H3</f>
        <v>0</v>
      </c>
      <c r="J12" s="162"/>
      <c r="K12" s="162"/>
      <c r="L12" s="162"/>
      <c r="M12" s="162"/>
      <c r="N12" s="162"/>
      <c r="O12" s="162"/>
      <c r="P12" s="162"/>
      <c r="Q12" s="162"/>
      <c r="R12" s="162"/>
      <c r="S12"/>
      <c r="T12"/>
      <c r="U12"/>
      <c r="V12"/>
      <c r="W12"/>
      <c r="X12"/>
      <c r="Y12"/>
      <c r="Z12"/>
      <c r="AA12"/>
    </row>
    <row r="13" spans="1:27" s="55" customFormat="1" ht="16.95" customHeight="1" x14ac:dyDescent="0.3">
      <c r="B13" s="79"/>
      <c r="C13" s="155" t="s">
        <v>75</v>
      </c>
      <c r="D13" s="155"/>
      <c r="E13" s="155"/>
      <c r="F13" s="155"/>
      <c r="G13" s="155"/>
      <c r="H13" s="80"/>
      <c r="I13" s="162">
        <f>INFORMACIÓN!B9</f>
        <v>0</v>
      </c>
      <c r="J13" s="162"/>
      <c r="K13" s="162"/>
      <c r="L13" s="162"/>
      <c r="M13" s="162"/>
      <c r="N13" s="162"/>
      <c r="O13" s="162"/>
      <c r="P13" s="162"/>
      <c r="Q13" s="162"/>
      <c r="R13" s="162"/>
      <c r="S13"/>
      <c r="T13"/>
      <c r="U13"/>
      <c r="V13"/>
      <c r="W13"/>
      <c r="X13"/>
      <c r="Y13"/>
      <c r="Z13"/>
      <c r="AA13"/>
    </row>
    <row r="14" spans="1:27" ht="16.95" customHeight="1" x14ac:dyDescent="0.3"/>
    <row r="15" spans="1:27" ht="16.95" customHeight="1" x14ac:dyDescent="0.3">
      <c r="B15" s="65"/>
      <c r="C15" s="167" t="s">
        <v>69</v>
      </c>
      <c r="D15" s="167"/>
      <c r="E15" s="167"/>
      <c r="F15" s="167"/>
      <c r="G15" s="167"/>
      <c r="H15" s="167"/>
      <c r="I15" s="167"/>
      <c r="J15" s="167"/>
      <c r="K15" s="167"/>
      <c r="L15" s="167"/>
      <c r="M15" s="167"/>
      <c r="N15" s="167"/>
      <c r="O15" s="167"/>
      <c r="P15" s="167"/>
      <c r="Q15" s="167"/>
      <c r="R15" s="167"/>
    </row>
    <row r="16" spans="1:27" ht="16.95" customHeight="1" x14ac:dyDescent="0.3"/>
    <row r="17" spans="1:18" ht="16.95" customHeight="1" x14ac:dyDescent="0.3">
      <c r="B17" s="52"/>
      <c r="C17" s="143" t="s">
        <v>71</v>
      </c>
      <c r="D17" s="143"/>
      <c r="E17" s="143"/>
      <c r="F17" s="143"/>
      <c r="G17" s="143"/>
      <c r="H17" s="51"/>
      <c r="I17" s="163">
        <f>INFORMACIÓN!E7</f>
        <v>0</v>
      </c>
      <c r="J17" s="163"/>
      <c r="K17" s="163"/>
      <c r="L17" s="163"/>
      <c r="M17" s="163"/>
      <c r="N17" s="163"/>
      <c r="O17" s="163"/>
      <c r="P17" s="163"/>
      <c r="Q17" s="163"/>
      <c r="R17" s="163"/>
    </row>
    <row r="18" spans="1:18" ht="16.95" customHeight="1" x14ac:dyDescent="0.3">
      <c r="B18" s="52"/>
      <c r="C18" s="143" t="s">
        <v>72</v>
      </c>
      <c r="D18" s="143"/>
      <c r="E18" s="143"/>
      <c r="F18" s="143"/>
      <c r="G18" s="143"/>
      <c r="H18" s="51"/>
      <c r="I18" s="163">
        <f>INFORMACIÓN!E8</f>
        <v>0</v>
      </c>
      <c r="J18" s="163"/>
      <c r="K18" s="163"/>
      <c r="L18" s="163"/>
      <c r="M18" s="163"/>
      <c r="N18" s="163"/>
      <c r="O18" s="163"/>
      <c r="P18" s="163"/>
      <c r="Q18" s="163"/>
      <c r="R18" s="163"/>
    </row>
    <row r="19" spans="1:18" ht="16.95" customHeight="1" x14ac:dyDescent="0.3">
      <c r="B19" s="52"/>
      <c r="C19" s="143" t="s">
        <v>89</v>
      </c>
      <c r="D19" s="143"/>
      <c r="E19" s="143"/>
      <c r="F19" s="143"/>
      <c r="G19" s="143"/>
      <c r="H19" s="51"/>
      <c r="I19" s="163">
        <f>INFORMACIÓN!E9</f>
        <v>0</v>
      </c>
      <c r="J19" s="163"/>
      <c r="K19" s="163"/>
      <c r="L19" s="163"/>
      <c r="M19" s="163"/>
      <c r="N19" s="163"/>
      <c r="O19" s="163"/>
      <c r="P19" s="163"/>
      <c r="Q19" s="163"/>
      <c r="R19" s="163"/>
    </row>
    <row r="20" spans="1:18" ht="16.95" customHeight="1" x14ac:dyDescent="0.3">
      <c r="B20" s="52"/>
      <c r="C20" s="143" t="s">
        <v>73</v>
      </c>
      <c r="D20" s="143"/>
      <c r="E20" s="143"/>
      <c r="F20" s="143"/>
      <c r="G20" s="143"/>
      <c r="H20" s="51"/>
      <c r="I20" s="163">
        <f>INFORMACIÓN!E10</f>
        <v>0</v>
      </c>
      <c r="J20" s="163"/>
      <c r="K20" s="163"/>
      <c r="L20" s="163"/>
      <c r="M20" s="163"/>
      <c r="N20" s="163"/>
      <c r="O20" s="163"/>
      <c r="P20" s="163"/>
      <c r="Q20" s="163"/>
      <c r="R20" s="163"/>
    </row>
    <row r="21" spans="1:18" ht="16.95" customHeight="1" x14ac:dyDescent="0.3">
      <c r="B21" s="52"/>
      <c r="C21" s="143" t="s">
        <v>74</v>
      </c>
      <c r="D21" s="143"/>
      <c r="E21" s="143"/>
      <c r="F21" s="143"/>
      <c r="G21" s="143"/>
      <c r="H21" s="51"/>
      <c r="I21" s="163">
        <f>INFORMACIÓN!E11</f>
        <v>0</v>
      </c>
      <c r="J21" s="163"/>
      <c r="K21" s="163"/>
      <c r="L21" s="163"/>
      <c r="M21" s="163"/>
      <c r="N21" s="163"/>
      <c r="O21" s="163"/>
      <c r="P21" s="163"/>
      <c r="Q21" s="163"/>
      <c r="R21" s="163"/>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64" t="s">
        <v>218</v>
      </c>
      <c r="D23" s="164"/>
      <c r="E23" s="164"/>
      <c r="F23" s="164"/>
      <c r="G23" s="164"/>
      <c r="H23" s="164"/>
      <c r="I23" s="164"/>
      <c r="J23" s="164"/>
      <c r="K23" s="164"/>
      <c r="L23" s="164"/>
      <c r="M23" s="164"/>
      <c r="N23" s="164"/>
      <c r="O23" s="164"/>
      <c r="P23" s="164"/>
      <c r="Q23" s="164"/>
      <c r="R23" s="164"/>
    </row>
    <row r="24" spans="1:18" ht="16.95" customHeight="1" x14ac:dyDescent="0.3">
      <c r="A24" s="78"/>
      <c r="B24" s="78"/>
      <c r="C24" s="165"/>
      <c r="D24" s="165"/>
      <c r="E24" s="165"/>
      <c r="F24" s="165"/>
      <c r="G24" s="165"/>
      <c r="H24" s="165"/>
      <c r="I24" s="165"/>
      <c r="J24" s="165"/>
      <c r="K24" s="165"/>
      <c r="L24" s="165"/>
      <c r="M24" s="165"/>
      <c r="N24" s="165"/>
      <c r="O24" s="165"/>
      <c r="P24" s="165"/>
      <c r="Q24" s="165"/>
      <c r="R24" s="165"/>
    </row>
    <row r="25" spans="1:18" ht="16.95" customHeight="1" x14ac:dyDescent="0.3">
      <c r="A25" s="78"/>
      <c r="B25" s="78"/>
      <c r="C25" s="165"/>
      <c r="D25" s="165"/>
      <c r="E25" s="165"/>
      <c r="F25" s="165"/>
      <c r="G25" s="165"/>
      <c r="H25" s="165"/>
      <c r="I25" s="165"/>
      <c r="J25" s="165"/>
      <c r="K25" s="165"/>
      <c r="L25" s="165"/>
      <c r="M25" s="165"/>
      <c r="N25" s="165"/>
      <c r="O25" s="165"/>
      <c r="P25" s="165"/>
      <c r="Q25" s="165"/>
      <c r="R25" s="165"/>
    </row>
    <row r="26" spans="1:18" ht="16.95" customHeight="1" x14ac:dyDescent="0.3">
      <c r="A26" s="78"/>
      <c r="B26" s="78"/>
      <c r="C26" s="165"/>
      <c r="D26" s="165"/>
      <c r="E26" s="165"/>
      <c r="F26" s="165"/>
      <c r="G26" s="165"/>
      <c r="H26" s="165"/>
      <c r="I26" s="165"/>
      <c r="J26" s="165"/>
      <c r="K26" s="165"/>
      <c r="L26" s="165"/>
      <c r="M26" s="165"/>
      <c r="N26" s="165"/>
      <c r="O26" s="165"/>
      <c r="P26" s="165"/>
      <c r="Q26" s="165"/>
      <c r="R26" s="165"/>
    </row>
    <row r="27" spans="1:18" ht="16.95" customHeight="1" x14ac:dyDescent="0.3">
      <c r="A27" s="78"/>
      <c r="B27" s="78"/>
      <c r="C27" s="165"/>
      <c r="D27" s="165"/>
      <c r="E27" s="165"/>
      <c r="F27" s="165"/>
      <c r="G27" s="165"/>
      <c r="H27" s="165"/>
      <c r="I27" s="165"/>
      <c r="J27" s="165"/>
      <c r="K27" s="165"/>
      <c r="L27" s="165"/>
      <c r="M27" s="165"/>
      <c r="N27" s="165"/>
      <c r="O27" s="165"/>
      <c r="P27" s="165"/>
      <c r="Q27" s="165"/>
      <c r="R27" s="165"/>
    </row>
    <row r="28" spans="1:18" ht="16.95" customHeight="1" x14ac:dyDescent="0.3">
      <c r="A28" s="78"/>
      <c r="B28" s="78"/>
      <c r="C28" s="166"/>
      <c r="D28" s="166"/>
      <c r="E28" s="166"/>
      <c r="F28" s="166"/>
      <c r="G28" s="166"/>
      <c r="H28" s="166"/>
      <c r="I28" s="166"/>
      <c r="J28" s="166"/>
      <c r="K28" s="166"/>
      <c r="L28" s="166"/>
      <c r="M28" s="166"/>
      <c r="N28" s="166"/>
      <c r="O28" s="166"/>
      <c r="P28" s="166"/>
      <c r="Q28" s="166"/>
      <c r="R28" s="166"/>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43" t="s">
        <v>77</v>
      </c>
      <c r="J31" s="143"/>
      <c r="K31" s="143"/>
      <c r="L31" s="143"/>
      <c r="M31" s="163" t="str">
        <f>INFORMACIÓN!B15</f>
        <v>ING. GABRIEL DURÁN</v>
      </c>
      <c r="N31" s="163"/>
      <c r="O31" s="163"/>
      <c r="P31" s="163"/>
      <c r="Q31" s="163"/>
      <c r="R31" s="163"/>
    </row>
    <row r="32" spans="1:18" ht="16.95" customHeight="1" x14ac:dyDescent="0.3">
      <c r="F32" s="52"/>
      <c r="G32" s="52"/>
      <c r="H32" s="52"/>
      <c r="I32" s="143" t="s">
        <v>78</v>
      </c>
      <c r="J32" s="143"/>
      <c r="K32" s="143"/>
      <c r="L32" s="143"/>
      <c r="M32" s="142">
        <f>INFORMACIÓN!B10</f>
        <v>0</v>
      </c>
      <c r="N32" s="142"/>
      <c r="O32" s="142"/>
      <c r="P32" s="64"/>
      <c r="Q32" s="64"/>
      <c r="R32" s="52"/>
    </row>
    <row r="33" spans="1:19" ht="16.95" customHeight="1" x14ac:dyDescent="0.3">
      <c r="I33" s="143" t="s">
        <v>82</v>
      </c>
      <c r="J33" s="143"/>
      <c r="K33" s="143"/>
      <c r="L33" s="143"/>
      <c r="M33" s="63">
        <v>4</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43" t="str">
        <f>O1</f>
        <v>CERTIFICADO N°:</v>
      </c>
      <c r="P38" s="143"/>
      <c r="Q38" s="143"/>
      <c r="R38" s="122">
        <f>R1</f>
        <v>0</v>
      </c>
      <c r="S38" s="122"/>
    </row>
    <row r="39" spans="1:19" ht="16.95" customHeight="1" x14ac:dyDescent="0.3"/>
    <row r="40" spans="1:19" ht="16.95" customHeight="1" x14ac:dyDescent="0.3">
      <c r="B40" s="145" t="s">
        <v>83</v>
      </c>
      <c r="C40" s="145"/>
      <c r="D40" s="145"/>
      <c r="E40" s="145"/>
      <c r="F40" s="145"/>
      <c r="G40" s="145"/>
      <c r="H40" s="145"/>
      <c r="I40" s="145"/>
      <c r="J40" s="145"/>
      <c r="K40" s="145"/>
      <c r="L40" s="145"/>
      <c r="M40" s="145"/>
      <c r="N40" s="145"/>
      <c r="O40" s="145"/>
      <c r="P40" s="145"/>
      <c r="Q40" s="145"/>
      <c r="R40" s="145"/>
      <c r="S40" s="145"/>
    </row>
    <row r="41" spans="1:19" ht="16.95" customHeight="1" x14ac:dyDescent="0.3">
      <c r="B41" s="137" t="s">
        <v>219</v>
      </c>
      <c r="C41" s="137"/>
      <c r="D41" s="137"/>
      <c r="E41" s="137"/>
      <c r="F41" s="137"/>
      <c r="G41" s="137"/>
      <c r="H41" s="137"/>
      <c r="I41" s="137"/>
      <c r="J41" s="137"/>
      <c r="K41" s="137"/>
      <c r="L41" s="137"/>
      <c r="M41" s="137"/>
      <c r="N41" s="137"/>
      <c r="O41" s="137"/>
      <c r="P41" s="137"/>
      <c r="Q41" s="137"/>
      <c r="R41" s="137"/>
      <c r="S41" s="137"/>
    </row>
    <row r="42" spans="1:19" ht="16.95" customHeight="1" x14ac:dyDescent="0.3">
      <c r="A42" s="87"/>
      <c r="B42" s="138"/>
      <c r="C42" s="138"/>
      <c r="D42" s="138"/>
      <c r="E42" s="138"/>
      <c r="F42" s="138"/>
      <c r="G42" s="138"/>
      <c r="H42" s="138"/>
      <c r="I42" s="138"/>
      <c r="J42" s="138"/>
      <c r="K42" s="138"/>
      <c r="L42" s="138"/>
      <c r="M42" s="138"/>
      <c r="N42" s="138"/>
      <c r="O42" s="138"/>
      <c r="P42" s="138"/>
      <c r="Q42" s="138"/>
      <c r="R42" s="138"/>
      <c r="S42" s="138"/>
    </row>
    <row r="43" spans="1:19" ht="16.95" customHeight="1" x14ac:dyDescent="0.3">
      <c r="A43" s="87"/>
      <c r="B43" s="138"/>
      <c r="C43" s="138"/>
      <c r="D43" s="138"/>
      <c r="E43" s="138"/>
      <c r="F43" s="138"/>
      <c r="G43" s="138"/>
      <c r="H43" s="138"/>
      <c r="I43" s="138"/>
      <c r="J43" s="138"/>
      <c r="K43" s="138"/>
      <c r="L43" s="138"/>
      <c r="M43" s="138"/>
      <c r="N43" s="138"/>
      <c r="O43" s="138"/>
      <c r="P43" s="138"/>
      <c r="Q43" s="138"/>
      <c r="R43" s="138"/>
      <c r="S43" s="138"/>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2" t="s">
        <v>84</v>
      </c>
      <c r="G45" s="153"/>
      <c r="H45" s="153"/>
      <c r="I45" s="153"/>
      <c r="J45" s="154"/>
      <c r="K45" s="152" t="s">
        <v>85</v>
      </c>
      <c r="L45" s="153"/>
      <c r="M45" s="153"/>
      <c r="N45" s="153"/>
      <c r="O45" s="154"/>
    </row>
    <row r="46" spans="1:19" ht="16.95" customHeight="1" x14ac:dyDescent="0.3">
      <c r="E46" s="76"/>
      <c r="F46" s="147">
        <f>AVERAGE(INFORMACIÓN!B11:B12)</f>
        <v>24.3</v>
      </c>
      <c r="G46" s="148"/>
      <c r="H46" s="72" t="s">
        <v>86</v>
      </c>
      <c r="I46" s="73">
        <f>ABS(INFORMACIÓN!B11-INFORMACIÓN!B12)</f>
        <v>0.39999999999999858</v>
      </c>
      <c r="J46" s="77"/>
      <c r="K46" s="149">
        <f>AVERAGE(INFORMACIÓN!B13:B14)</f>
        <v>61.5</v>
      </c>
      <c r="L46" s="150"/>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46" t="s">
        <v>220</v>
      </c>
      <c r="G48" s="146"/>
      <c r="H48" s="146"/>
      <c r="I48" s="146"/>
      <c r="J48" s="146"/>
      <c r="K48" s="151" t="s">
        <v>221</v>
      </c>
      <c r="L48" s="151"/>
      <c r="M48" s="151"/>
      <c r="N48" s="151"/>
      <c r="O48" s="151"/>
      <c r="P48" s="151"/>
    </row>
    <row r="49" spans="1:19" ht="13.2" customHeight="1" x14ac:dyDescent="0.3"/>
    <row r="50" spans="1:19" ht="16.95" customHeight="1" x14ac:dyDescent="0.3">
      <c r="B50" s="144" t="s">
        <v>87</v>
      </c>
      <c r="C50" s="144"/>
      <c r="D50" s="144"/>
      <c r="E50" s="144"/>
      <c r="F50" s="144"/>
      <c r="G50" s="144"/>
      <c r="H50" s="144"/>
      <c r="I50" s="144"/>
      <c r="J50" s="144"/>
      <c r="K50" s="144"/>
      <c r="L50" s="144"/>
      <c r="M50" s="144"/>
      <c r="N50" s="144"/>
      <c r="O50" s="144"/>
      <c r="P50" s="144"/>
      <c r="Q50" s="144"/>
      <c r="R50" s="144"/>
      <c r="S50" s="144"/>
    </row>
    <row r="51" spans="1:19" ht="16.95" customHeight="1" x14ac:dyDescent="0.3">
      <c r="B51" s="137" t="s">
        <v>226</v>
      </c>
      <c r="C51" s="137"/>
      <c r="D51" s="137"/>
      <c r="E51" s="137"/>
      <c r="F51" s="137"/>
      <c r="G51" s="137"/>
      <c r="H51" s="137"/>
      <c r="I51" s="137"/>
      <c r="J51" s="137"/>
      <c r="K51" s="137"/>
      <c r="L51" s="137"/>
      <c r="M51" s="137"/>
      <c r="N51" s="137"/>
      <c r="O51" s="137"/>
      <c r="P51" s="137"/>
      <c r="Q51" s="137"/>
      <c r="R51" s="137"/>
      <c r="S51" s="137"/>
    </row>
    <row r="52" spans="1:19" ht="16.95" customHeight="1" x14ac:dyDescent="0.3">
      <c r="A52" s="87"/>
      <c r="B52" s="138"/>
      <c r="C52" s="138"/>
      <c r="D52" s="138"/>
      <c r="E52" s="138"/>
      <c r="F52" s="138"/>
      <c r="G52" s="138"/>
      <c r="H52" s="138"/>
      <c r="I52" s="138"/>
      <c r="J52" s="138"/>
      <c r="K52" s="138"/>
      <c r="L52" s="138"/>
      <c r="M52" s="138"/>
      <c r="N52" s="138"/>
      <c r="O52" s="138"/>
      <c r="P52" s="138"/>
      <c r="Q52" s="138"/>
      <c r="R52" s="138"/>
      <c r="S52" s="138"/>
    </row>
    <row r="53" spans="1:19" ht="16.95" customHeight="1" x14ac:dyDescent="0.3">
      <c r="A53" s="87"/>
      <c r="B53" s="138"/>
      <c r="C53" s="138"/>
      <c r="D53" s="138"/>
      <c r="E53" s="138"/>
      <c r="F53" s="138"/>
      <c r="G53" s="138"/>
      <c r="H53" s="138"/>
      <c r="I53" s="138"/>
      <c r="J53" s="138"/>
      <c r="K53" s="138"/>
      <c r="L53" s="138"/>
      <c r="M53" s="138"/>
      <c r="N53" s="138"/>
      <c r="O53" s="138"/>
      <c r="P53" s="138"/>
      <c r="Q53" s="138"/>
      <c r="R53" s="138"/>
      <c r="S53" s="138"/>
    </row>
    <row r="54" spans="1:19" ht="16.95" customHeight="1" x14ac:dyDescent="0.3">
      <c r="A54" s="87"/>
      <c r="B54" s="138"/>
      <c r="C54" s="138"/>
      <c r="D54" s="138"/>
      <c r="E54" s="138"/>
      <c r="F54" s="138"/>
      <c r="G54" s="138"/>
      <c r="H54" s="138"/>
      <c r="I54" s="138"/>
      <c r="J54" s="138"/>
      <c r="K54" s="138"/>
      <c r="L54" s="138"/>
      <c r="M54" s="138"/>
      <c r="N54" s="138"/>
      <c r="O54" s="138"/>
      <c r="P54" s="138"/>
      <c r="Q54" s="138"/>
      <c r="R54" s="138"/>
      <c r="S54" s="138"/>
    </row>
    <row r="55" spans="1:19" ht="16.95" customHeight="1" x14ac:dyDescent="0.3">
      <c r="A55" s="87"/>
      <c r="B55" s="138"/>
      <c r="C55" s="138"/>
      <c r="D55" s="138"/>
      <c r="E55" s="138"/>
      <c r="F55" s="138"/>
      <c r="G55" s="138"/>
      <c r="H55" s="138"/>
      <c r="I55" s="138"/>
      <c r="J55" s="138"/>
      <c r="K55" s="138"/>
      <c r="L55" s="138"/>
      <c r="M55" s="138"/>
      <c r="N55" s="138"/>
      <c r="O55" s="138"/>
      <c r="P55" s="138"/>
      <c r="Q55" s="138"/>
      <c r="R55" s="138"/>
      <c r="S55" s="138"/>
    </row>
    <row r="56" spans="1:19" ht="16.95" customHeight="1" x14ac:dyDescent="0.3">
      <c r="A56" s="87"/>
      <c r="B56" s="138"/>
      <c r="C56" s="138"/>
      <c r="D56" s="138"/>
      <c r="E56" s="138"/>
      <c r="F56" s="138"/>
      <c r="G56" s="138"/>
      <c r="H56" s="138"/>
      <c r="I56" s="138"/>
      <c r="J56" s="138"/>
      <c r="K56" s="138"/>
      <c r="L56" s="138"/>
      <c r="M56" s="138"/>
      <c r="N56" s="138"/>
      <c r="O56" s="138"/>
      <c r="P56" s="138"/>
      <c r="Q56" s="138"/>
      <c r="R56" s="138"/>
      <c r="S56" s="138"/>
    </row>
    <row r="57" spans="1:19" ht="16.95" customHeight="1" x14ac:dyDescent="0.3">
      <c r="A57" s="87"/>
      <c r="B57" s="138"/>
      <c r="C57" s="138"/>
      <c r="D57" s="138"/>
      <c r="E57" s="138"/>
      <c r="F57" s="138"/>
      <c r="G57" s="138"/>
      <c r="H57" s="138"/>
      <c r="I57" s="138"/>
      <c r="J57" s="138"/>
      <c r="K57" s="138"/>
      <c r="L57" s="138"/>
      <c r="M57" s="138"/>
      <c r="N57" s="138"/>
      <c r="O57" s="138"/>
      <c r="P57" s="138"/>
      <c r="Q57" s="138"/>
      <c r="R57" s="138"/>
      <c r="S57" s="138"/>
    </row>
    <row r="58" spans="1:19" ht="16.95" customHeight="1" x14ac:dyDescent="0.3">
      <c r="A58" s="87"/>
      <c r="B58" s="138"/>
      <c r="C58" s="138"/>
      <c r="D58" s="138"/>
      <c r="E58" s="138"/>
      <c r="F58" s="138"/>
      <c r="G58" s="138"/>
      <c r="H58" s="138"/>
      <c r="I58" s="138"/>
      <c r="J58" s="138"/>
      <c r="K58" s="138"/>
      <c r="L58" s="138"/>
      <c r="M58" s="138"/>
      <c r="N58" s="138"/>
      <c r="O58" s="138"/>
      <c r="P58" s="138"/>
      <c r="Q58" s="138"/>
      <c r="R58" s="138"/>
      <c r="S58" s="138"/>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45" t="s">
        <v>88</v>
      </c>
      <c r="C60" s="145"/>
      <c r="D60" s="145"/>
      <c r="E60" s="145"/>
      <c r="F60" s="145"/>
      <c r="G60" s="145"/>
      <c r="H60" s="145"/>
      <c r="I60" s="145"/>
      <c r="J60" s="145"/>
      <c r="K60" s="145"/>
      <c r="L60" s="145"/>
      <c r="M60" s="145"/>
      <c r="N60" s="145"/>
      <c r="O60" s="145"/>
      <c r="P60" s="145"/>
      <c r="Q60" s="145"/>
      <c r="R60" s="145"/>
      <c r="S60" s="145"/>
    </row>
    <row r="61" spans="1:19" ht="16.95" customHeight="1" x14ac:dyDescent="0.3">
      <c r="B61" s="137" t="s">
        <v>222</v>
      </c>
      <c r="C61" s="137"/>
      <c r="D61" s="137"/>
      <c r="E61" s="137"/>
      <c r="F61" s="137"/>
      <c r="G61" s="137"/>
      <c r="H61" s="137"/>
      <c r="I61" s="137"/>
      <c r="J61" s="137"/>
      <c r="K61" s="137"/>
      <c r="L61" s="137"/>
      <c r="M61" s="137"/>
      <c r="N61" s="137"/>
      <c r="O61" s="137"/>
      <c r="P61" s="137"/>
      <c r="Q61" s="137"/>
      <c r="R61" s="137"/>
      <c r="S61" s="137"/>
    </row>
    <row r="62" spans="1:19" ht="16.95" customHeight="1" x14ac:dyDescent="0.3">
      <c r="A62" s="87"/>
      <c r="B62" s="138"/>
      <c r="C62" s="138"/>
      <c r="D62" s="138"/>
      <c r="E62" s="138"/>
      <c r="F62" s="138"/>
      <c r="G62" s="138"/>
      <c r="H62" s="138"/>
      <c r="I62" s="138"/>
      <c r="J62" s="138"/>
      <c r="K62" s="138"/>
      <c r="L62" s="138"/>
      <c r="M62" s="138"/>
      <c r="N62" s="138"/>
      <c r="O62" s="138"/>
      <c r="P62" s="138"/>
      <c r="Q62" s="138"/>
      <c r="R62" s="138"/>
      <c r="S62" s="138"/>
    </row>
    <row r="63" spans="1:19" ht="13.8" customHeight="1" x14ac:dyDescent="0.3"/>
    <row r="64" spans="1:19" ht="15" customHeight="1" x14ac:dyDescent="0.3">
      <c r="B64" s="145" t="s">
        <v>227</v>
      </c>
      <c r="C64" s="145"/>
      <c r="D64" s="145"/>
      <c r="E64" s="145"/>
      <c r="F64" s="145"/>
      <c r="G64" s="145"/>
      <c r="H64" s="145"/>
      <c r="I64" s="145"/>
      <c r="J64" s="145"/>
      <c r="K64" s="145"/>
      <c r="L64" s="145"/>
      <c r="M64" s="145"/>
      <c r="N64" s="145"/>
      <c r="O64" s="145"/>
      <c r="P64" s="145"/>
      <c r="Q64" s="145"/>
      <c r="R64" s="145"/>
      <c r="S64" s="145"/>
    </row>
    <row r="65" spans="1:19" ht="19.2" customHeight="1" x14ac:dyDescent="0.3">
      <c r="B65" s="137" t="s">
        <v>223</v>
      </c>
      <c r="C65" s="137"/>
      <c r="D65" s="137"/>
      <c r="E65" s="137"/>
      <c r="F65" s="137"/>
      <c r="G65" s="137"/>
      <c r="H65" s="137"/>
      <c r="I65" s="137"/>
      <c r="J65" s="137"/>
      <c r="K65" s="137"/>
      <c r="L65" s="137"/>
      <c r="M65" s="137"/>
      <c r="N65" s="137"/>
      <c r="O65" s="137"/>
      <c r="P65" s="137"/>
      <c r="Q65" s="137"/>
      <c r="R65" s="137"/>
      <c r="S65" s="137"/>
    </row>
    <row r="66" spans="1:19" ht="16.95" customHeight="1" x14ac:dyDescent="0.3">
      <c r="A66" s="87"/>
      <c r="B66" s="138"/>
      <c r="C66" s="138"/>
      <c r="D66" s="138"/>
      <c r="E66" s="138"/>
      <c r="F66" s="138"/>
      <c r="G66" s="138"/>
      <c r="H66" s="138"/>
      <c r="I66" s="138"/>
      <c r="J66" s="138"/>
      <c r="K66" s="138"/>
      <c r="L66" s="138"/>
      <c r="M66" s="138"/>
      <c r="N66" s="138"/>
      <c r="O66" s="138"/>
      <c r="P66" s="138"/>
      <c r="Q66" s="138"/>
      <c r="R66" s="138"/>
      <c r="S66" s="138"/>
    </row>
    <row r="67" spans="1:19" ht="16.95" customHeight="1" x14ac:dyDescent="0.3">
      <c r="A67" s="87"/>
      <c r="B67" s="138"/>
      <c r="C67" s="138"/>
      <c r="D67" s="138"/>
      <c r="E67" s="138"/>
      <c r="F67" s="138"/>
      <c r="G67" s="138"/>
      <c r="H67" s="138"/>
      <c r="I67" s="138"/>
      <c r="J67" s="138"/>
      <c r="K67" s="138"/>
      <c r="L67" s="138"/>
      <c r="M67" s="138"/>
      <c r="N67" s="138"/>
      <c r="O67" s="138"/>
      <c r="P67" s="138"/>
      <c r="Q67" s="138"/>
      <c r="R67" s="138"/>
      <c r="S67" s="138"/>
    </row>
    <row r="68" spans="1:19" ht="16.95" customHeight="1" x14ac:dyDescent="0.3">
      <c r="A68" s="87"/>
      <c r="B68" s="138"/>
      <c r="C68" s="138"/>
      <c r="D68" s="138"/>
      <c r="E68" s="138"/>
      <c r="F68" s="138"/>
      <c r="G68" s="138"/>
      <c r="H68" s="138"/>
      <c r="I68" s="138"/>
      <c r="J68" s="138"/>
      <c r="K68" s="138"/>
      <c r="L68" s="138"/>
      <c r="M68" s="138"/>
      <c r="N68" s="138"/>
      <c r="O68" s="138"/>
      <c r="P68" s="138"/>
      <c r="Q68" s="138"/>
      <c r="R68" s="138"/>
      <c r="S68" s="138"/>
    </row>
    <row r="69" spans="1:19" ht="16.95" customHeight="1" x14ac:dyDescent="0.3"/>
    <row r="70" spans="1:19" ht="16.95" customHeight="1" x14ac:dyDescent="0.3">
      <c r="B70" s="134" t="s">
        <v>90</v>
      </c>
      <c r="C70" s="134"/>
      <c r="D70" s="134"/>
      <c r="E70" s="134"/>
      <c r="F70" s="134"/>
      <c r="G70" s="134"/>
      <c r="H70" s="134" t="s">
        <v>91</v>
      </c>
      <c r="I70" s="134"/>
      <c r="J70" s="134"/>
      <c r="K70" s="134"/>
      <c r="L70" s="134"/>
      <c r="M70" s="134" t="s">
        <v>92</v>
      </c>
      <c r="N70" s="134"/>
      <c r="O70" s="134"/>
      <c r="P70" s="134" t="s">
        <v>93</v>
      </c>
      <c r="Q70" s="134"/>
      <c r="R70" s="134"/>
      <c r="S70" s="134"/>
    </row>
    <row r="71" spans="1:19" ht="16.95" customHeight="1" x14ac:dyDescent="0.3">
      <c r="B71" s="135" t="s">
        <v>145</v>
      </c>
      <c r="C71" s="135"/>
      <c r="D71" s="135"/>
      <c r="E71" s="135"/>
      <c r="F71" s="135"/>
      <c r="G71" s="135"/>
      <c r="H71" s="136">
        <v>73581403</v>
      </c>
      <c r="I71" s="136"/>
      <c r="J71" s="136"/>
      <c r="K71" s="136"/>
      <c r="L71" s="136"/>
      <c r="M71" s="141">
        <v>46065</v>
      </c>
      <c r="N71" s="141"/>
      <c r="O71" s="141"/>
      <c r="P71" s="139" t="s">
        <v>216</v>
      </c>
      <c r="Q71" s="139"/>
      <c r="R71" s="139"/>
      <c r="S71" s="139"/>
    </row>
    <row r="72" spans="1:19" x14ac:dyDescent="0.3">
      <c r="B72" s="135" t="s">
        <v>156</v>
      </c>
      <c r="C72" s="135"/>
      <c r="D72" s="135"/>
      <c r="E72" s="135"/>
      <c r="F72" s="135"/>
      <c r="G72" s="135"/>
      <c r="H72" s="136">
        <v>73021035</v>
      </c>
      <c r="I72" s="136"/>
      <c r="J72" s="136"/>
      <c r="K72" s="136"/>
      <c r="L72" s="136"/>
      <c r="M72" s="141">
        <v>46064</v>
      </c>
      <c r="N72" s="141"/>
      <c r="O72" s="141"/>
      <c r="P72" s="139" t="s">
        <v>217</v>
      </c>
      <c r="Q72" s="139"/>
      <c r="R72" s="139"/>
      <c r="S72" s="139"/>
    </row>
    <row r="73" spans="1:19" x14ac:dyDescent="0.3">
      <c r="B73" s="136" t="s">
        <v>61</v>
      </c>
      <c r="C73" s="136"/>
      <c r="D73" s="136"/>
      <c r="E73" s="136"/>
      <c r="F73" s="136"/>
      <c r="G73" s="136"/>
      <c r="H73" s="136">
        <v>230310997</v>
      </c>
      <c r="I73" s="136"/>
      <c r="J73" s="136"/>
      <c r="K73" s="136"/>
      <c r="L73" s="136"/>
      <c r="M73" s="141">
        <v>46055</v>
      </c>
      <c r="N73" s="141"/>
      <c r="O73" s="141"/>
      <c r="P73" s="140" t="s">
        <v>228</v>
      </c>
      <c r="Q73" s="140"/>
      <c r="R73" s="140"/>
      <c r="S73" s="140"/>
    </row>
    <row r="74" spans="1:19" x14ac:dyDescent="0.3">
      <c r="B74" s="116"/>
      <c r="C74" s="116"/>
      <c r="D74" s="116"/>
      <c r="E74" s="116"/>
      <c r="F74" s="116"/>
      <c r="G74" s="116"/>
      <c r="H74" s="116"/>
      <c r="I74" s="116"/>
      <c r="J74" s="116"/>
      <c r="K74" s="116"/>
      <c r="L74" s="116"/>
      <c r="M74" s="120"/>
      <c r="N74" s="120"/>
      <c r="O74" s="120"/>
      <c r="P74" s="121"/>
      <c r="Q74" s="121"/>
      <c r="R74" s="121"/>
      <c r="S74" s="121"/>
    </row>
    <row r="75" spans="1:19" ht="16.95" customHeight="1" x14ac:dyDescent="0.3"/>
    <row r="76" spans="1:19" ht="16.95" customHeight="1" x14ac:dyDescent="0.3">
      <c r="O76" s="143" t="str">
        <f>O1</f>
        <v>CERTIFICADO N°:</v>
      </c>
      <c r="P76" s="143"/>
      <c r="Q76" s="143"/>
      <c r="R76" s="122">
        <f>R1</f>
        <v>0</v>
      </c>
      <c r="S76" s="122"/>
    </row>
    <row r="77" spans="1:19" ht="16.95" customHeight="1" x14ac:dyDescent="0.3"/>
    <row r="78" spans="1:19" ht="16.95" customHeight="1" x14ac:dyDescent="0.3">
      <c r="B78" s="168" t="s">
        <v>94</v>
      </c>
      <c r="C78" s="168"/>
      <c r="D78" s="168"/>
      <c r="E78" s="168"/>
      <c r="F78" s="168"/>
      <c r="G78" s="168"/>
      <c r="H78" s="168"/>
      <c r="I78" s="168"/>
      <c r="J78" s="168"/>
      <c r="K78" s="168"/>
      <c r="L78" s="168"/>
      <c r="M78" s="168"/>
      <c r="N78" s="168"/>
      <c r="O78" s="168"/>
      <c r="P78" s="168"/>
      <c r="Q78" s="168"/>
      <c r="R78" s="168"/>
      <c r="S78" s="168"/>
    </row>
    <row r="79" spans="1:19" ht="16.649999999999999" customHeight="1" x14ac:dyDescent="0.3"/>
    <row r="80" spans="1:19" ht="16.649999999999999" customHeight="1" x14ac:dyDescent="0.3">
      <c r="B80" s="52" t="s">
        <v>229</v>
      </c>
      <c r="C80" s="52"/>
      <c r="D80" s="52"/>
      <c r="E80" s="52"/>
      <c r="F80" s="52"/>
      <c r="G80" s="52"/>
      <c r="H80" s="52"/>
      <c r="I80" s="126" t="s">
        <v>102</v>
      </c>
      <c r="J80" s="126"/>
      <c r="K80" s="126"/>
      <c r="L80" s="126"/>
      <c r="M80" s="126"/>
      <c r="N80" s="133" t="s">
        <v>230</v>
      </c>
      <c r="O80" s="133"/>
      <c r="P80" s="126" t="s">
        <v>103</v>
      </c>
      <c r="Q80" s="126"/>
      <c r="R80" s="126"/>
      <c r="S80" s="91">
        <v>1</v>
      </c>
    </row>
    <row r="81" spans="2:20" ht="16.8" customHeight="1" x14ac:dyDescent="0.3"/>
    <row r="82" spans="2:20" ht="16.649999999999999" customHeight="1" x14ac:dyDescent="0.3">
      <c r="D82" s="130" t="s">
        <v>231</v>
      </c>
      <c r="E82" s="130"/>
      <c r="F82" s="130"/>
      <c r="G82" s="130"/>
      <c r="H82" s="130"/>
      <c r="I82" s="130"/>
      <c r="J82" s="130"/>
      <c r="K82" s="130"/>
      <c r="L82" s="131" t="s">
        <v>232</v>
      </c>
      <c r="M82" s="132"/>
      <c r="N82" s="132"/>
      <c r="O82" s="132"/>
      <c r="P82" s="132"/>
      <c r="Q82" s="132"/>
      <c r="R82" s="132"/>
      <c r="S82" s="132"/>
    </row>
    <row r="83" spans="2:20" ht="34.200000000000003" customHeight="1" x14ac:dyDescent="0.3">
      <c r="B83" s="236" t="s">
        <v>95</v>
      </c>
      <c r="C83" s="237"/>
      <c r="D83" s="125" t="s">
        <v>96</v>
      </c>
      <c r="E83" s="125"/>
      <c r="F83" s="125" t="s">
        <v>97</v>
      </c>
      <c r="G83" s="125"/>
      <c r="H83" s="125" t="s">
        <v>233</v>
      </c>
      <c r="I83" s="125"/>
      <c r="J83" s="125" t="s">
        <v>98</v>
      </c>
      <c r="K83" s="125"/>
      <c r="L83" s="125" t="s">
        <v>99</v>
      </c>
      <c r="M83" s="125"/>
      <c r="N83" s="125" t="s">
        <v>121</v>
      </c>
      <c r="O83" s="125"/>
      <c r="P83" s="125" t="s">
        <v>241</v>
      </c>
      <c r="Q83" s="125"/>
      <c r="R83" s="125"/>
      <c r="S83" s="89" t="s">
        <v>14</v>
      </c>
    </row>
    <row r="84" spans="2:20" x14ac:dyDescent="0.3">
      <c r="B84" s="238">
        <f>MEDIDA!B4</f>
        <v>50</v>
      </c>
      <c r="C84" s="238"/>
      <c r="D84" s="124">
        <f ca="1">MEDIDA!D4</f>
        <v>49</v>
      </c>
      <c r="E84" s="124"/>
      <c r="F84" s="124">
        <f ca="1">MEDIDA!F4</f>
        <v>49</v>
      </c>
      <c r="G84" s="124"/>
      <c r="H84" s="124">
        <f ca="1">MEDIDA!H4</f>
        <v>49</v>
      </c>
      <c r="I84" s="124"/>
      <c r="J84" s="124">
        <f ca="1">MEDIDA!J4</f>
        <v>49</v>
      </c>
      <c r="K84" s="124"/>
      <c r="L84" s="123">
        <f ca="1">MEDIDA!L4</f>
        <v>49</v>
      </c>
      <c r="M84" s="123"/>
      <c r="N84" s="123">
        <f ca="1">MEDIDA!N4</f>
        <v>-1</v>
      </c>
      <c r="O84" s="123"/>
      <c r="P84" s="123">
        <f ca="1">INCERTIDUMBRE!L4</f>
        <v>0.82837150393658499</v>
      </c>
      <c r="Q84" s="123"/>
      <c r="R84" s="123"/>
      <c r="S84" s="99">
        <f ca="1">INCERTIDUMBRE!K4</f>
        <v>2.0060008910872194</v>
      </c>
    </row>
    <row r="85" spans="2:20" x14ac:dyDescent="0.3">
      <c r="B85" s="238">
        <f>MEDIDA!B5</f>
        <v>100</v>
      </c>
      <c r="C85" s="238"/>
      <c r="D85" s="124">
        <f ca="1">MEDIDA!D5</f>
        <v>99</v>
      </c>
      <c r="E85" s="124"/>
      <c r="F85" s="124">
        <f ca="1">MEDIDA!F5</f>
        <v>99</v>
      </c>
      <c r="G85" s="124"/>
      <c r="H85" s="124">
        <f ca="1">MEDIDA!H5</f>
        <v>99</v>
      </c>
      <c r="I85" s="124"/>
      <c r="J85" s="124">
        <f ca="1">MEDIDA!J5</f>
        <v>99</v>
      </c>
      <c r="K85" s="124"/>
      <c r="L85" s="123">
        <f ca="1">MEDIDA!L5</f>
        <v>99</v>
      </c>
      <c r="M85" s="123"/>
      <c r="N85" s="123">
        <f ca="1">MEDIDA!N5</f>
        <v>-1</v>
      </c>
      <c r="O85" s="123"/>
      <c r="P85" s="123">
        <f ca="1">INCERTIDUMBRE!L5</f>
        <v>0.82837150393658499</v>
      </c>
      <c r="Q85" s="123"/>
      <c r="R85" s="123"/>
      <c r="S85" s="99">
        <f ca="1">INCERTIDUMBRE!K5</f>
        <v>2.0060008910872194</v>
      </c>
    </row>
    <row r="86" spans="2:20" ht="16.8" customHeight="1" x14ac:dyDescent="0.3">
      <c r="B86" s="238">
        <f>MEDIDA!B6</f>
        <v>150</v>
      </c>
      <c r="C86" s="238"/>
      <c r="D86" s="124">
        <f ca="1">MEDIDA!D6</f>
        <v>149</v>
      </c>
      <c r="E86" s="124"/>
      <c r="F86" s="124">
        <f ca="1">MEDIDA!F6</f>
        <v>149</v>
      </c>
      <c r="G86" s="124"/>
      <c r="H86" s="124">
        <f ca="1">MEDIDA!H6</f>
        <v>149</v>
      </c>
      <c r="I86" s="124"/>
      <c r="J86" s="124">
        <f ca="1">MEDIDA!J6</f>
        <v>149</v>
      </c>
      <c r="K86" s="124"/>
      <c r="L86" s="123">
        <f ca="1">MEDIDA!L6</f>
        <v>149</v>
      </c>
      <c r="M86" s="123"/>
      <c r="N86" s="123">
        <f ca="1">MEDIDA!N6</f>
        <v>-1</v>
      </c>
      <c r="O86" s="123"/>
      <c r="P86" s="123">
        <f ca="1">INCERTIDUMBRE!L6</f>
        <v>0.82837150393658499</v>
      </c>
      <c r="Q86" s="123"/>
      <c r="R86" s="123"/>
      <c r="S86" s="99">
        <f ca="1">INCERTIDUMBRE!K6</f>
        <v>2.0060008910872194</v>
      </c>
    </row>
    <row r="87" spans="2:20" x14ac:dyDescent="0.3">
      <c r="B87" s="238">
        <f>MEDIDA!B7</f>
        <v>200</v>
      </c>
      <c r="C87" s="238"/>
      <c r="D87" s="124">
        <f ca="1">MEDIDA!D7</f>
        <v>199</v>
      </c>
      <c r="E87" s="124"/>
      <c r="F87" s="124">
        <f ca="1">MEDIDA!F7</f>
        <v>199</v>
      </c>
      <c r="G87" s="124"/>
      <c r="H87" s="124">
        <f ca="1">MEDIDA!H7</f>
        <v>199</v>
      </c>
      <c r="I87" s="124"/>
      <c r="J87" s="124">
        <f ca="1">MEDIDA!J7</f>
        <v>199</v>
      </c>
      <c r="K87" s="124"/>
      <c r="L87" s="123">
        <f ca="1">MEDIDA!L7</f>
        <v>199</v>
      </c>
      <c r="M87" s="123"/>
      <c r="N87" s="123">
        <f ca="1">MEDIDA!N7</f>
        <v>-1</v>
      </c>
      <c r="O87" s="123"/>
      <c r="P87" s="123">
        <f ca="1">INCERTIDUMBRE!L7</f>
        <v>0.82837150393658499</v>
      </c>
      <c r="Q87" s="123"/>
      <c r="R87" s="123"/>
      <c r="S87" s="99">
        <f ca="1">INCERTIDUMBRE!K7</f>
        <v>2.0060008910872194</v>
      </c>
      <c r="T87" s="92"/>
    </row>
    <row r="88" spans="2:20" x14ac:dyDescent="0.3">
      <c r="B88" s="238">
        <f>MEDIDA!B8</f>
        <v>250</v>
      </c>
      <c r="C88" s="238"/>
      <c r="D88" s="124">
        <f ca="1">MEDIDA!D8</f>
        <v>248</v>
      </c>
      <c r="E88" s="124"/>
      <c r="F88" s="124">
        <f ca="1">MEDIDA!F8</f>
        <v>248</v>
      </c>
      <c r="G88" s="124"/>
      <c r="H88" s="124">
        <f ca="1">MEDIDA!H8</f>
        <v>248</v>
      </c>
      <c r="I88" s="124"/>
      <c r="J88" s="124">
        <f ca="1">MEDIDA!J8</f>
        <v>248</v>
      </c>
      <c r="K88" s="124"/>
      <c r="L88" s="123">
        <f ca="1">MEDIDA!L8</f>
        <v>248</v>
      </c>
      <c r="M88" s="123"/>
      <c r="N88" s="123">
        <f ca="1">MEDIDA!N8</f>
        <v>-2</v>
      </c>
      <c r="O88" s="123"/>
      <c r="P88" s="123">
        <f ca="1">INCERTIDUMBRE!L8</f>
        <v>0.82837150393658499</v>
      </c>
      <c r="Q88" s="123"/>
      <c r="R88" s="123"/>
      <c r="S88" s="99">
        <f ca="1">INCERTIDUMBRE!K8</f>
        <v>2.0060008910872194</v>
      </c>
    </row>
    <row r="89" spans="2:20" x14ac:dyDescent="0.3">
      <c r="B89" s="116"/>
      <c r="C89" s="116"/>
      <c r="D89" s="116"/>
      <c r="E89" s="116"/>
      <c r="F89" s="116"/>
      <c r="G89" s="116"/>
      <c r="H89" s="116"/>
      <c r="I89" s="116"/>
      <c r="J89" s="116"/>
      <c r="K89" s="116"/>
      <c r="L89" s="116"/>
      <c r="M89" s="116"/>
      <c r="N89" s="117"/>
      <c r="O89" s="117"/>
      <c r="P89" s="117"/>
      <c r="Q89" s="117"/>
      <c r="R89" s="117"/>
      <c r="S89" s="117"/>
    </row>
    <row r="90" spans="2:20" x14ac:dyDescent="0.3">
      <c r="B90" s="52" t="s">
        <v>202</v>
      </c>
      <c r="C90" s="52"/>
      <c r="D90" s="52"/>
      <c r="E90" s="52"/>
      <c r="F90" s="52"/>
      <c r="G90" s="52"/>
      <c r="H90" s="52"/>
      <c r="I90" s="126" t="s">
        <v>102</v>
      </c>
      <c r="J90" s="126"/>
      <c r="K90" s="126"/>
      <c r="L90" s="126"/>
      <c r="M90" s="126"/>
      <c r="N90" s="133" t="s">
        <v>230</v>
      </c>
      <c r="O90" s="133"/>
      <c r="P90" s="126" t="s">
        <v>103</v>
      </c>
      <c r="Q90" s="126"/>
      <c r="R90" s="126"/>
      <c r="S90" s="91">
        <v>1</v>
      </c>
    </row>
    <row r="92" spans="2:20" x14ac:dyDescent="0.3">
      <c r="D92" s="130" t="s">
        <v>231</v>
      </c>
      <c r="E92" s="130"/>
      <c r="F92" s="130"/>
      <c r="G92" s="130"/>
      <c r="H92" s="130"/>
      <c r="I92" s="130"/>
      <c r="J92" s="130"/>
      <c r="K92" s="130"/>
      <c r="L92" s="131" t="s">
        <v>232</v>
      </c>
      <c r="M92" s="132"/>
      <c r="N92" s="132"/>
      <c r="O92" s="132"/>
      <c r="P92" s="132"/>
      <c r="Q92" s="132"/>
      <c r="R92" s="132"/>
      <c r="S92" s="132"/>
    </row>
    <row r="93" spans="2:20" ht="33.6" customHeight="1" x14ac:dyDescent="0.3">
      <c r="B93" s="236" t="s">
        <v>95</v>
      </c>
      <c r="C93" s="237"/>
      <c r="D93" s="125" t="s">
        <v>96</v>
      </c>
      <c r="E93" s="125"/>
      <c r="F93" s="125" t="s">
        <v>97</v>
      </c>
      <c r="G93" s="125"/>
      <c r="H93" s="125" t="s">
        <v>233</v>
      </c>
      <c r="I93" s="125"/>
      <c r="J93" s="125" t="s">
        <v>98</v>
      </c>
      <c r="K93" s="125"/>
      <c r="L93" s="125" t="s">
        <v>99</v>
      </c>
      <c r="M93" s="125"/>
      <c r="N93" s="125" t="s">
        <v>121</v>
      </c>
      <c r="O93" s="125"/>
      <c r="P93" s="125" t="s">
        <v>241</v>
      </c>
      <c r="Q93" s="125"/>
      <c r="R93" s="125"/>
      <c r="S93" s="89" t="s">
        <v>14</v>
      </c>
    </row>
    <row r="94" spans="2:20" x14ac:dyDescent="0.3">
      <c r="B94" s="238">
        <f>MEDIDA!B13</f>
        <v>50</v>
      </c>
      <c r="C94" s="238"/>
      <c r="D94" s="124">
        <f ca="1">MEDIDA!D13</f>
        <v>49</v>
      </c>
      <c r="E94" s="124"/>
      <c r="F94" s="124">
        <f ca="1">MEDIDA!F13</f>
        <v>49</v>
      </c>
      <c r="G94" s="124"/>
      <c r="H94" s="124">
        <f ca="1">MEDIDA!H13</f>
        <v>49</v>
      </c>
      <c r="I94" s="124"/>
      <c r="J94" s="124">
        <f ca="1">MEDIDA!J13</f>
        <v>49</v>
      </c>
      <c r="K94" s="124"/>
      <c r="L94" s="123">
        <f ca="1">MEDIDA!L13</f>
        <v>49</v>
      </c>
      <c r="M94" s="123"/>
      <c r="N94" s="123">
        <f ca="1">MEDIDA!N13</f>
        <v>-1</v>
      </c>
      <c r="O94" s="123"/>
      <c r="P94" s="127">
        <f ca="1">P84</f>
        <v>0.82837150393658499</v>
      </c>
      <c r="Q94" s="127"/>
      <c r="R94" s="127"/>
      <c r="S94" s="99">
        <f>[2]INCERTIDUMBRE!K12</f>
        <v>2.0060008910872194</v>
      </c>
    </row>
    <row r="95" spans="2:20" x14ac:dyDescent="0.3">
      <c r="B95" s="238">
        <f>MEDIDA!B14</f>
        <v>100</v>
      </c>
      <c r="C95" s="238"/>
      <c r="D95" s="124">
        <f ca="1">MEDIDA!D14</f>
        <v>99</v>
      </c>
      <c r="E95" s="124"/>
      <c r="F95" s="124">
        <f ca="1">MEDIDA!F14</f>
        <v>99</v>
      </c>
      <c r="G95" s="124"/>
      <c r="H95" s="124">
        <f ca="1">MEDIDA!H14</f>
        <v>99</v>
      </c>
      <c r="I95" s="124"/>
      <c r="J95" s="124">
        <f ca="1">MEDIDA!J14</f>
        <v>99</v>
      </c>
      <c r="K95" s="124"/>
      <c r="L95" s="123">
        <f ca="1">MEDIDA!L14</f>
        <v>99</v>
      </c>
      <c r="M95" s="123"/>
      <c r="N95" s="123">
        <f ca="1">MEDIDA!N14</f>
        <v>-1</v>
      </c>
      <c r="O95" s="123"/>
      <c r="P95" s="127">
        <f t="shared" ref="P95:P98" ca="1" si="0">P85</f>
        <v>0.82837150393658499</v>
      </c>
      <c r="Q95" s="127"/>
      <c r="R95" s="127"/>
      <c r="S95" s="99">
        <f>[2]INCERTIDUMBRE!K13</f>
        <v>2.0060008910872194</v>
      </c>
    </row>
    <row r="96" spans="2:20" x14ac:dyDescent="0.3">
      <c r="B96" s="238">
        <f>MEDIDA!B15</f>
        <v>150</v>
      </c>
      <c r="C96" s="238"/>
      <c r="D96" s="124">
        <f ca="1">MEDIDA!D15</f>
        <v>149</v>
      </c>
      <c r="E96" s="124"/>
      <c r="F96" s="124">
        <f ca="1">MEDIDA!F15</f>
        <v>149</v>
      </c>
      <c r="G96" s="124"/>
      <c r="H96" s="124">
        <f ca="1">MEDIDA!H15</f>
        <v>149</v>
      </c>
      <c r="I96" s="124"/>
      <c r="J96" s="124">
        <f ca="1">MEDIDA!J15</f>
        <v>149</v>
      </c>
      <c r="K96" s="124"/>
      <c r="L96" s="123">
        <f ca="1">MEDIDA!L15</f>
        <v>149</v>
      </c>
      <c r="M96" s="123"/>
      <c r="N96" s="123">
        <f ca="1">MEDIDA!N15</f>
        <v>-1</v>
      </c>
      <c r="O96" s="123"/>
      <c r="P96" s="127">
        <f t="shared" ca="1" si="0"/>
        <v>0.82837150393658499</v>
      </c>
      <c r="Q96" s="127"/>
      <c r="R96" s="127"/>
      <c r="S96" s="99">
        <f>[2]INCERTIDUMBRE!K14</f>
        <v>2.0060008910872194</v>
      </c>
    </row>
    <row r="97" spans="2:19" x14ac:dyDescent="0.3">
      <c r="B97" s="238">
        <f>MEDIDA!B16</f>
        <v>200</v>
      </c>
      <c r="C97" s="238"/>
      <c r="D97" s="124">
        <f ca="1">MEDIDA!D16</f>
        <v>199</v>
      </c>
      <c r="E97" s="124"/>
      <c r="F97" s="124">
        <f ca="1">MEDIDA!F16</f>
        <v>199</v>
      </c>
      <c r="G97" s="124"/>
      <c r="H97" s="124">
        <f ca="1">MEDIDA!H16</f>
        <v>199</v>
      </c>
      <c r="I97" s="124"/>
      <c r="J97" s="124">
        <f ca="1">MEDIDA!J16</f>
        <v>199</v>
      </c>
      <c r="K97" s="124"/>
      <c r="L97" s="123">
        <f ca="1">MEDIDA!L16</f>
        <v>199</v>
      </c>
      <c r="M97" s="123"/>
      <c r="N97" s="123">
        <f ca="1">MEDIDA!N16</f>
        <v>-1</v>
      </c>
      <c r="O97" s="123"/>
      <c r="P97" s="127">
        <f t="shared" ca="1" si="0"/>
        <v>0.82837150393658499</v>
      </c>
      <c r="Q97" s="127"/>
      <c r="R97" s="127"/>
      <c r="S97" s="99">
        <f>[2]INCERTIDUMBRE!K15</f>
        <v>2.0060008910872194</v>
      </c>
    </row>
    <row r="98" spans="2:19" x14ac:dyDescent="0.3">
      <c r="B98" s="238">
        <f>MEDIDA!B17</f>
        <v>250</v>
      </c>
      <c r="C98" s="238"/>
      <c r="D98" s="124">
        <f ca="1">MEDIDA!D17</f>
        <v>249</v>
      </c>
      <c r="E98" s="124"/>
      <c r="F98" s="124">
        <f ca="1">MEDIDA!F17</f>
        <v>249</v>
      </c>
      <c r="G98" s="124"/>
      <c r="H98" s="124">
        <f ca="1">MEDIDA!H17</f>
        <v>249</v>
      </c>
      <c r="I98" s="124"/>
      <c r="J98" s="124">
        <f ca="1">MEDIDA!J17</f>
        <v>249</v>
      </c>
      <c r="K98" s="124"/>
      <c r="L98" s="123">
        <f ca="1">MEDIDA!L17</f>
        <v>249</v>
      </c>
      <c r="M98" s="123"/>
      <c r="N98" s="123">
        <f ca="1">MEDIDA!N17</f>
        <v>-1</v>
      </c>
      <c r="O98" s="123"/>
      <c r="P98" s="127">
        <f t="shared" ca="1" si="0"/>
        <v>0.82837150393658499</v>
      </c>
      <c r="Q98" s="127"/>
      <c r="R98" s="127"/>
      <c r="S98" s="99">
        <f>[2]INCERTIDUMBRE!K16</f>
        <v>2.0060008910872194</v>
      </c>
    </row>
    <row r="100" spans="2:19" x14ac:dyDescent="0.3">
      <c r="B100" s="52" t="s">
        <v>203</v>
      </c>
      <c r="C100" s="52"/>
      <c r="D100" s="52"/>
      <c r="E100" s="52"/>
      <c r="F100" s="52"/>
      <c r="G100" s="52"/>
      <c r="H100" s="52"/>
      <c r="I100" s="126" t="s">
        <v>102</v>
      </c>
      <c r="J100" s="126"/>
      <c r="K100" s="126"/>
      <c r="L100" s="126"/>
      <c r="M100" s="126"/>
      <c r="N100" s="133" t="s">
        <v>230</v>
      </c>
      <c r="O100" s="133"/>
      <c r="P100" s="126" t="s">
        <v>103</v>
      </c>
      <c r="Q100" s="126"/>
      <c r="R100" s="126"/>
      <c r="S100" s="91">
        <v>1</v>
      </c>
    </row>
    <row r="102" spans="2:19" x14ac:dyDescent="0.3">
      <c r="D102" s="130" t="s">
        <v>231</v>
      </c>
      <c r="E102" s="130"/>
      <c r="F102" s="130"/>
      <c r="G102" s="130"/>
      <c r="H102" s="130"/>
      <c r="I102" s="130"/>
      <c r="J102" s="130"/>
      <c r="K102" s="130"/>
      <c r="L102" s="131" t="s">
        <v>232</v>
      </c>
      <c r="M102" s="132"/>
      <c r="N102" s="132"/>
      <c r="O102" s="132"/>
      <c r="P102" s="132"/>
      <c r="Q102" s="132"/>
      <c r="R102" s="132"/>
      <c r="S102" s="132"/>
    </row>
    <row r="103" spans="2:19" ht="34.799999999999997" customHeight="1" x14ac:dyDescent="0.3">
      <c r="B103" s="236" t="s">
        <v>95</v>
      </c>
      <c r="C103" s="237"/>
      <c r="D103" s="125" t="s">
        <v>96</v>
      </c>
      <c r="E103" s="125"/>
      <c r="F103" s="125" t="s">
        <v>97</v>
      </c>
      <c r="G103" s="125"/>
      <c r="H103" s="125" t="s">
        <v>233</v>
      </c>
      <c r="I103" s="125"/>
      <c r="J103" s="125" t="s">
        <v>98</v>
      </c>
      <c r="K103" s="125"/>
      <c r="L103" s="125" t="s">
        <v>99</v>
      </c>
      <c r="M103" s="125"/>
      <c r="N103" s="125" t="s">
        <v>121</v>
      </c>
      <c r="O103" s="125"/>
      <c r="P103" s="125" t="s">
        <v>241</v>
      </c>
      <c r="Q103" s="125"/>
      <c r="R103" s="125"/>
      <c r="S103" s="89" t="s">
        <v>14</v>
      </c>
    </row>
    <row r="104" spans="2:19" x14ac:dyDescent="0.3">
      <c r="B104" s="238">
        <f>MEDIDA!B23</f>
        <v>50</v>
      </c>
      <c r="C104" s="238"/>
      <c r="D104" s="124">
        <f ca="1">MEDIDA!D23</f>
        <v>50</v>
      </c>
      <c r="E104" s="124"/>
      <c r="F104" s="124">
        <f ca="1">MEDIDA!F23</f>
        <v>50</v>
      </c>
      <c r="G104" s="124"/>
      <c r="H104" s="124">
        <f ca="1">MEDIDA!H23</f>
        <v>50</v>
      </c>
      <c r="I104" s="124"/>
      <c r="J104" s="124">
        <f ca="1">MEDIDA!J23</f>
        <v>50</v>
      </c>
      <c r="K104" s="124"/>
      <c r="L104" s="123">
        <f ca="1">MEDIDA!L23</f>
        <v>50</v>
      </c>
      <c r="M104" s="123"/>
      <c r="N104" s="123">
        <f ca="1">MEDIDA!N23</f>
        <v>0</v>
      </c>
      <c r="O104" s="123"/>
      <c r="P104" s="127">
        <f ca="1">P94</f>
        <v>0.82837150393658499</v>
      </c>
      <c r="Q104" s="127"/>
      <c r="R104" s="127"/>
      <c r="S104" s="99">
        <f>[2]INCERTIDUMBRE!K20</f>
        <v>2.0060008910872194</v>
      </c>
    </row>
    <row r="105" spans="2:19" x14ac:dyDescent="0.3">
      <c r="B105" s="238">
        <f>MEDIDA!B24</f>
        <v>100</v>
      </c>
      <c r="C105" s="238"/>
      <c r="D105" s="124">
        <f ca="1">MEDIDA!D24</f>
        <v>100</v>
      </c>
      <c r="E105" s="124"/>
      <c r="F105" s="124">
        <f ca="1">MEDIDA!F24</f>
        <v>100</v>
      </c>
      <c r="G105" s="124"/>
      <c r="H105" s="124">
        <f ca="1">MEDIDA!H24</f>
        <v>100</v>
      </c>
      <c r="I105" s="124"/>
      <c r="J105" s="124">
        <f ca="1">MEDIDA!J24</f>
        <v>100</v>
      </c>
      <c r="K105" s="124"/>
      <c r="L105" s="123">
        <f ca="1">MEDIDA!L24</f>
        <v>100</v>
      </c>
      <c r="M105" s="123"/>
      <c r="N105" s="123">
        <f ca="1">MEDIDA!N24</f>
        <v>0</v>
      </c>
      <c r="O105" s="123"/>
      <c r="P105" s="127">
        <f t="shared" ref="P105:P108" ca="1" si="1">P95</f>
        <v>0.82837150393658499</v>
      </c>
      <c r="Q105" s="127"/>
      <c r="R105" s="127"/>
      <c r="S105" s="99">
        <f>[2]INCERTIDUMBRE!K21</f>
        <v>2.0060008910872194</v>
      </c>
    </row>
    <row r="106" spans="2:19" x14ac:dyDescent="0.3">
      <c r="B106" s="238">
        <f>MEDIDA!B25</f>
        <v>150</v>
      </c>
      <c r="C106" s="238"/>
      <c r="D106" s="124">
        <f ca="1">MEDIDA!D25</f>
        <v>150</v>
      </c>
      <c r="E106" s="124"/>
      <c r="F106" s="124">
        <f ca="1">MEDIDA!F25</f>
        <v>150</v>
      </c>
      <c r="G106" s="124"/>
      <c r="H106" s="124">
        <f ca="1">MEDIDA!H25</f>
        <v>150</v>
      </c>
      <c r="I106" s="124"/>
      <c r="J106" s="124">
        <f ca="1">MEDIDA!J25</f>
        <v>150</v>
      </c>
      <c r="K106" s="124"/>
      <c r="L106" s="123">
        <f ca="1">MEDIDA!L25</f>
        <v>150</v>
      </c>
      <c r="M106" s="123"/>
      <c r="N106" s="123">
        <f ca="1">MEDIDA!N25</f>
        <v>0</v>
      </c>
      <c r="O106" s="123"/>
      <c r="P106" s="127">
        <f t="shared" ca="1" si="1"/>
        <v>0.82837150393658499</v>
      </c>
      <c r="Q106" s="127"/>
      <c r="R106" s="127"/>
      <c r="S106" s="99">
        <f>[2]INCERTIDUMBRE!K22</f>
        <v>2.0060008910872194</v>
      </c>
    </row>
    <row r="107" spans="2:19" x14ac:dyDescent="0.3">
      <c r="B107" s="238">
        <f>MEDIDA!B26</f>
        <v>200</v>
      </c>
      <c r="C107" s="238"/>
      <c r="D107" s="124">
        <f ca="1">MEDIDA!D26</f>
        <v>199</v>
      </c>
      <c r="E107" s="124"/>
      <c r="F107" s="124">
        <f ca="1">MEDIDA!F26</f>
        <v>199</v>
      </c>
      <c r="G107" s="124"/>
      <c r="H107" s="124">
        <f ca="1">MEDIDA!H26</f>
        <v>199</v>
      </c>
      <c r="I107" s="124"/>
      <c r="J107" s="124">
        <f ca="1">MEDIDA!J26</f>
        <v>199</v>
      </c>
      <c r="K107" s="124"/>
      <c r="L107" s="123">
        <f ca="1">MEDIDA!L26</f>
        <v>199</v>
      </c>
      <c r="M107" s="123"/>
      <c r="N107" s="123">
        <f ca="1">MEDIDA!N26</f>
        <v>-1</v>
      </c>
      <c r="O107" s="123"/>
      <c r="P107" s="127">
        <f t="shared" ca="1" si="1"/>
        <v>0.82837150393658499</v>
      </c>
      <c r="Q107" s="127"/>
      <c r="R107" s="127"/>
      <c r="S107" s="99">
        <f>[2]INCERTIDUMBRE!K23</f>
        <v>2.0060008910872194</v>
      </c>
    </row>
    <row r="108" spans="2:19" x14ac:dyDescent="0.3">
      <c r="B108" s="238">
        <f>MEDIDA!B27</f>
        <v>250</v>
      </c>
      <c r="C108" s="238"/>
      <c r="D108" s="124">
        <f ca="1">MEDIDA!D27</f>
        <v>248</v>
      </c>
      <c r="E108" s="124"/>
      <c r="F108" s="124">
        <f ca="1">MEDIDA!F27</f>
        <v>248</v>
      </c>
      <c r="G108" s="124"/>
      <c r="H108" s="124">
        <f ca="1">MEDIDA!H27</f>
        <v>248</v>
      </c>
      <c r="I108" s="124"/>
      <c r="J108" s="124">
        <f ca="1">MEDIDA!J27</f>
        <v>248</v>
      </c>
      <c r="K108" s="124"/>
      <c r="L108" s="123">
        <f ca="1">MEDIDA!L27</f>
        <v>248</v>
      </c>
      <c r="M108" s="123"/>
      <c r="N108" s="123">
        <f ca="1">MEDIDA!N27</f>
        <v>-2</v>
      </c>
      <c r="O108" s="123"/>
      <c r="P108" s="127">
        <f t="shared" ca="1" si="1"/>
        <v>0.82837150393658499</v>
      </c>
      <c r="Q108" s="127"/>
      <c r="R108" s="127"/>
      <c r="S108" s="99">
        <f>[2]INCERTIDUMBRE!K24</f>
        <v>2.0060008910872194</v>
      </c>
    </row>
    <row r="109" spans="2:19" x14ac:dyDescent="0.3">
      <c r="B109" s="116"/>
      <c r="C109" s="116"/>
      <c r="D109" s="116"/>
      <c r="E109" s="116"/>
      <c r="F109" s="116"/>
      <c r="G109" s="116"/>
      <c r="H109" s="116"/>
      <c r="I109" s="116"/>
      <c r="J109" s="116"/>
      <c r="K109" s="116"/>
      <c r="L109" s="116"/>
      <c r="M109" s="116"/>
      <c r="N109" s="117"/>
      <c r="O109" s="117"/>
      <c r="P109" s="117"/>
      <c r="Q109" s="117"/>
      <c r="R109" s="117"/>
      <c r="S109" s="117"/>
    </row>
    <row r="110" spans="2:19" x14ac:dyDescent="0.3">
      <c r="B110" s="116"/>
      <c r="C110" s="116"/>
      <c r="D110" s="116"/>
      <c r="E110" s="116"/>
      <c r="F110" s="116"/>
      <c r="G110" s="116"/>
      <c r="H110" s="116"/>
      <c r="I110" s="116"/>
      <c r="J110" s="116"/>
      <c r="K110" s="116"/>
      <c r="L110" s="116"/>
      <c r="M110" s="116"/>
      <c r="N110" s="117"/>
      <c r="O110" s="117"/>
      <c r="P110" s="117"/>
      <c r="Q110" s="117"/>
      <c r="R110" s="117"/>
      <c r="S110" s="117"/>
    </row>
    <row r="111" spans="2:19" x14ac:dyDescent="0.3">
      <c r="B111" s="116"/>
      <c r="C111" s="116"/>
      <c r="D111" s="116"/>
      <c r="E111" s="116"/>
      <c r="F111" s="116"/>
      <c r="G111" s="116"/>
      <c r="H111" s="116"/>
      <c r="I111" s="116"/>
      <c r="J111" s="116"/>
      <c r="K111" s="116"/>
      <c r="L111" s="116"/>
      <c r="M111" s="116"/>
      <c r="N111" s="117"/>
      <c r="O111" s="117"/>
      <c r="P111" s="117"/>
      <c r="Q111" s="117"/>
      <c r="R111" s="117"/>
      <c r="S111" s="117"/>
    </row>
    <row r="112" spans="2:19" x14ac:dyDescent="0.3">
      <c r="B112" s="116"/>
      <c r="C112" s="116"/>
      <c r="D112" s="116"/>
      <c r="E112" s="116"/>
      <c r="F112" s="116"/>
      <c r="G112" s="116"/>
      <c r="H112" s="116"/>
      <c r="I112" s="116"/>
      <c r="J112" s="116"/>
      <c r="K112" s="116"/>
      <c r="L112" s="116"/>
      <c r="M112" s="116"/>
      <c r="N112" s="117"/>
      <c r="O112" s="117"/>
      <c r="P112" s="117"/>
      <c r="Q112" s="117"/>
      <c r="R112" s="117"/>
      <c r="S112" s="117"/>
    </row>
    <row r="113" spans="2:19" x14ac:dyDescent="0.3">
      <c r="B113" s="116"/>
      <c r="C113" s="116"/>
      <c r="D113" s="116"/>
      <c r="E113" s="116"/>
      <c r="F113" s="116"/>
      <c r="G113" s="116"/>
      <c r="H113" s="116"/>
      <c r="I113" s="116"/>
      <c r="J113" s="116"/>
      <c r="K113" s="116"/>
      <c r="L113" s="116"/>
      <c r="M113" s="116"/>
      <c r="N113" s="117"/>
      <c r="O113" s="117"/>
      <c r="P113" s="117"/>
      <c r="Q113" s="117"/>
      <c r="R113" s="117"/>
      <c r="S113" s="117"/>
    </row>
    <row r="114" spans="2:19" x14ac:dyDescent="0.3">
      <c r="B114" s="116"/>
      <c r="C114" s="116"/>
      <c r="D114" s="116"/>
      <c r="E114" s="116"/>
      <c r="F114" s="116"/>
      <c r="G114" s="116"/>
      <c r="H114" s="116"/>
      <c r="I114" s="116"/>
      <c r="J114" s="116"/>
      <c r="K114" s="116"/>
      <c r="L114" s="116"/>
      <c r="M114" s="116"/>
      <c r="N114" s="117"/>
      <c r="O114" s="128" t="str">
        <f>O76</f>
        <v>CERTIFICADO N°:</v>
      </c>
      <c r="P114" s="128"/>
      <c r="Q114" s="128"/>
      <c r="R114" s="129">
        <f>R76</f>
        <v>0</v>
      </c>
      <c r="S114" s="129"/>
    </row>
    <row r="115" spans="2:19" ht="16.2" customHeight="1" x14ac:dyDescent="0.3"/>
    <row r="116" spans="2:19" ht="13.2" customHeight="1" x14ac:dyDescent="0.3"/>
    <row r="117" spans="2:19" ht="16.95" customHeight="1" x14ac:dyDescent="0.3">
      <c r="B117" s="52" t="s">
        <v>104</v>
      </c>
      <c r="C117" s="52"/>
      <c r="D117" s="52"/>
      <c r="E117" s="52"/>
      <c r="F117" s="52"/>
      <c r="G117" s="52"/>
      <c r="H117" s="52"/>
      <c r="I117" s="126" t="s">
        <v>105</v>
      </c>
      <c r="J117" s="126"/>
      <c r="K117" s="126"/>
      <c r="L117" s="126"/>
      <c r="M117" s="126"/>
      <c r="N117" s="133" t="s">
        <v>234</v>
      </c>
      <c r="O117" s="133"/>
      <c r="P117" s="171" t="s">
        <v>106</v>
      </c>
      <c r="Q117" s="171"/>
      <c r="R117" s="171"/>
      <c r="S117" s="91">
        <v>1</v>
      </c>
    </row>
    <row r="118" spans="2:19" ht="16.95" customHeight="1" x14ac:dyDescent="0.3"/>
    <row r="119" spans="2:19" ht="16.95" customHeight="1" x14ac:dyDescent="0.3">
      <c r="D119" s="130" t="s">
        <v>231</v>
      </c>
      <c r="E119" s="130"/>
      <c r="F119" s="130"/>
      <c r="G119" s="130"/>
      <c r="H119" s="130"/>
      <c r="I119" s="130"/>
      <c r="J119" s="130"/>
      <c r="K119" s="130"/>
      <c r="L119" s="169" t="s">
        <v>113</v>
      </c>
      <c r="M119" s="170"/>
      <c r="N119" s="170"/>
      <c r="O119" s="170"/>
      <c r="P119" s="170"/>
      <c r="Q119" s="170"/>
      <c r="R119" s="170"/>
      <c r="S119" s="170"/>
    </row>
    <row r="120" spans="2:19" ht="35.4" customHeight="1" x14ac:dyDescent="0.3">
      <c r="B120" s="236" t="s">
        <v>107</v>
      </c>
      <c r="C120" s="237"/>
      <c r="D120" s="125" t="s">
        <v>108</v>
      </c>
      <c r="E120" s="125"/>
      <c r="F120" s="125" t="s">
        <v>109</v>
      </c>
      <c r="G120" s="125"/>
      <c r="H120" s="125" t="s">
        <v>235</v>
      </c>
      <c r="I120" s="125"/>
      <c r="J120" s="125" t="s">
        <v>111</v>
      </c>
      <c r="K120" s="125"/>
      <c r="L120" s="125" t="s">
        <v>112</v>
      </c>
      <c r="M120" s="125"/>
      <c r="N120" s="125" t="s">
        <v>120</v>
      </c>
      <c r="O120" s="125"/>
      <c r="P120" s="125" t="s">
        <v>242</v>
      </c>
      <c r="Q120" s="125"/>
      <c r="R120" s="125"/>
      <c r="S120" s="89" t="s">
        <v>14</v>
      </c>
    </row>
    <row r="121" spans="2:19" x14ac:dyDescent="0.3">
      <c r="B121" s="124">
        <f>MEDIDA!R4</f>
        <v>30</v>
      </c>
      <c r="C121" s="124"/>
      <c r="D121" s="124">
        <f>MEDIDA!T4</f>
        <v>30</v>
      </c>
      <c r="E121" s="124"/>
      <c r="F121" s="124">
        <f>MEDIDA!V4</f>
        <v>30</v>
      </c>
      <c r="G121" s="124"/>
      <c r="H121" s="124">
        <f>MEDIDA!X4</f>
        <v>30</v>
      </c>
      <c r="I121" s="124"/>
      <c r="J121" s="124">
        <f>MEDIDA!Z4</f>
        <v>30</v>
      </c>
      <c r="K121" s="124"/>
      <c r="L121" s="123">
        <f>MEDIDA!AB4</f>
        <v>30</v>
      </c>
      <c r="M121" s="123"/>
      <c r="N121" s="123">
        <f>MEDIDA!AD4</f>
        <v>0</v>
      </c>
      <c r="O121" s="123"/>
      <c r="P121" s="127">
        <f>INCERTIDUMBRE!L28</f>
        <v>0.94916871723006258</v>
      </c>
      <c r="Q121" s="127"/>
      <c r="R121" s="127"/>
      <c r="S121" s="99">
        <f>INCERTIDUMBRE!K28</f>
        <v>2.0042922732980215</v>
      </c>
    </row>
    <row r="122" spans="2:19" x14ac:dyDescent="0.3">
      <c r="B122" s="124">
        <f>MEDIDA!R5</f>
        <v>60</v>
      </c>
      <c r="C122" s="124"/>
      <c r="D122" s="124">
        <f>MEDIDA!T5</f>
        <v>60</v>
      </c>
      <c r="E122" s="124"/>
      <c r="F122" s="124">
        <f>MEDIDA!V5</f>
        <v>60</v>
      </c>
      <c r="G122" s="124"/>
      <c r="H122" s="124">
        <f>MEDIDA!X5</f>
        <v>60</v>
      </c>
      <c r="I122" s="124"/>
      <c r="J122" s="124">
        <f>MEDIDA!Z5</f>
        <v>60</v>
      </c>
      <c r="K122" s="124"/>
      <c r="L122" s="123">
        <f>MEDIDA!AB5</f>
        <v>60</v>
      </c>
      <c r="M122" s="123"/>
      <c r="N122" s="123">
        <f>MEDIDA!AD5</f>
        <v>0</v>
      </c>
      <c r="O122" s="123"/>
      <c r="P122" s="127">
        <f>INCERTIDUMBRE!L29</f>
        <v>0.94916871723006258</v>
      </c>
      <c r="Q122" s="127"/>
      <c r="R122" s="127"/>
      <c r="S122" s="99">
        <f>INCERTIDUMBRE!K29</f>
        <v>2.0042922732980215</v>
      </c>
    </row>
    <row r="123" spans="2:19" x14ac:dyDescent="0.3">
      <c r="B123" s="124">
        <f>MEDIDA!R6</f>
        <v>120</v>
      </c>
      <c r="C123" s="124"/>
      <c r="D123" s="124">
        <f>MEDIDA!T6</f>
        <v>120</v>
      </c>
      <c r="E123" s="124"/>
      <c r="F123" s="124">
        <f>MEDIDA!V6</f>
        <v>120</v>
      </c>
      <c r="G123" s="124"/>
      <c r="H123" s="124">
        <f>MEDIDA!X6</f>
        <v>120</v>
      </c>
      <c r="I123" s="124"/>
      <c r="J123" s="124">
        <f>MEDIDA!Z6</f>
        <v>120</v>
      </c>
      <c r="K123" s="124"/>
      <c r="L123" s="123">
        <f>MEDIDA!AB6</f>
        <v>120</v>
      </c>
      <c r="M123" s="123"/>
      <c r="N123" s="123">
        <f>MEDIDA!AD6</f>
        <v>0</v>
      </c>
      <c r="O123" s="123"/>
      <c r="P123" s="127">
        <f>INCERTIDUMBRE!L30</f>
        <v>0.94916871723006258</v>
      </c>
      <c r="Q123" s="127"/>
      <c r="R123" s="127"/>
      <c r="S123" s="99">
        <f>INCERTIDUMBRE!K30</f>
        <v>2.0042922732980215</v>
      </c>
    </row>
    <row r="124" spans="2:19" x14ac:dyDescent="0.3">
      <c r="B124" s="124">
        <f>MEDIDA!R7</f>
        <v>240</v>
      </c>
      <c r="C124" s="124"/>
      <c r="D124" s="124">
        <f>MEDIDA!T7</f>
        <v>240</v>
      </c>
      <c r="E124" s="124"/>
      <c r="F124" s="124">
        <f>MEDIDA!V7</f>
        <v>240</v>
      </c>
      <c r="G124" s="124"/>
      <c r="H124" s="124">
        <f>MEDIDA!X7</f>
        <v>240</v>
      </c>
      <c r="I124" s="124"/>
      <c r="J124" s="124">
        <f>MEDIDA!Z7</f>
        <v>240</v>
      </c>
      <c r="K124" s="124"/>
      <c r="L124" s="123">
        <f>MEDIDA!AB7</f>
        <v>240</v>
      </c>
      <c r="M124" s="123"/>
      <c r="N124" s="123">
        <f>MEDIDA!AD7</f>
        <v>0</v>
      </c>
      <c r="O124" s="123"/>
      <c r="P124" s="127">
        <f>INCERTIDUMBRE!L31</f>
        <v>0.94916871723006258</v>
      </c>
      <c r="Q124" s="127"/>
      <c r="R124" s="127"/>
      <c r="S124" s="99">
        <f>INCERTIDUMBRE!K31</f>
        <v>2.0042922732980215</v>
      </c>
    </row>
    <row r="125" spans="2:19" ht="16.649999999999999" customHeight="1" x14ac:dyDescent="0.3">
      <c r="B125" s="98"/>
      <c r="C125" s="98"/>
      <c r="D125" s="98"/>
      <c r="E125" s="98"/>
      <c r="F125" s="98"/>
      <c r="G125" s="98"/>
      <c r="H125" s="98"/>
      <c r="I125" s="98"/>
      <c r="J125" s="98"/>
      <c r="K125" s="98"/>
      <c r="L125" s="98"/>
      <c r="M125" s="98"/>
      <c r="N125" s="98"/>
      <c r="O125" s="98"/>
      <c r="P125" s="98"/>
      <c r="Q125" s="98"/>
      <c r="R125" s="98"/>
      <c r="S125" s="88"/>
    </row>
    <row r="126" spans="2:19" ht="16.8" customHeight="1" x14ac:dyDescent="0.3"/>
    <row r="127" spans="2:19" ht="16.8" customHeight="1" x14ac:dyDescent="0.3">
      <c r="B127" s="52" t="s">
        <v>114</v>
      </c>
      <c r="C127" s="52"/>
      <c r="D127" s="52"/>
      <c r="E127" s="52"/>
      <c r="F127" s="52"/>
      <c r="G127" s="52"/>
      <c r="H127" s="52"/>
      <c r="I127" s="126" t="s">
        <v>105</v>
      </c>
      <c r="J127" s="126"/>
      <c r="K127" s="126"/>
      <c r="L127" s="126"/>
      <c r="M127" s="126"/>
      <c r="N127" s="133" t="s">
        <v>236</v>
      </c>
      <c r="O127" s="133"/>
      <c r="P127" s="171" t="s">
        <v>106</v>
      </c>
      <c r="Q127" s="171"/>
      <c r="R127" s="171"/>
      <c r="S127" s="91">
        <v>1</v>
      </c>
    </row>
    <row r="128" spans="2:19" ht="16.8" customHeight="1" x14ac:dyDescent="0.3"/>
    <row r="129" spans="2:19" ht="16.8" customHeight="1" x14ac:dyDescent="0.3">
      <c r="D129" s="130" t="s">
        <v>231</v>
      </c>
      <c r="E129" s="130"/>
      <c r="F129" s="130"/>
      <c r="G129" s="130"/>
      <c r="H129" s="130"/>
      <c r="I129" s="130"/>
      <c r="J129" s="130"/>
      <c r="K129" s="130"/>
      <c r="L129" s="169" t="s">
        <v>113</v>
      </c>
      <c r="M129" s="170"/>
      <c r="N129" s="170"/>
      <c r="O129" s="170"/>
      <c r="P129" s="170"/>
      <c r="Q129" s="170"/>
      <c r="R129" s="170"/>
      <c r="S129" s="170"/>
    </row>
    <row r="130" spans="2:19" ht="35.4" customHeight="1" x14ac:dyDescent="0.3">
      <c r="B130" s="236" t="s">
        <v>107</v>
      </c>
      <c r="C130" s="237"/>
      <c r="D130" s="125" t="s">
        <v>108</v>
      </c>
      <c r="E130" s="125"/>
      <c r="F130" s="125" t="s">
        <v>109</v>
      </c>
      <c r="G130" s="125"/>
      <c r="H130" s="125" t="s">
        <v>235</v>
      </c>
      <c r="I130" s="125"/>
      <c r="J130" s="125" t="s">
        <v>111</v>
      </c>
      <c r="K130" s="125"/>
      <c r="L130" s="125" t="s">
        <v>112</v>
      </c>
      <c r="M130" s="125"/>
      <c r="N130" s="125" t="s">
        <v>120</v>
      </c>
      <c r="O130" s="125"/>
      <c r="P130" s="125" t="s">
        <v>242</v>
      </c>
      <c r="Q130" s="125"/>
      <c r="R130" s="125"/>
      <c r="S130" s="89" t="s">
        <v>14</v>
      </c>
    </row>
    <row r="131" spans="2:19" x14ac:dyDescent="0.3">
      <c r="B131" s="124">
        <f>MEDIDA!R23</f>
        <v>30</v>
      </c>
      <c r="C131" s="124"/>
      <c r="D131" s="124">
        <f>MEDIDA!T23</f>
        <v>30</v>
      </c>
      <c r="E131" s="124"/>
      <c r="F131" s="124">
        <f>MEDIDA!V23</f>
        <v>30</v>
      </c>
      <c r="G131" s="124"/>
      <c r="H131" s="124">
        <f>MEDIDA!X23</f>
        <v>30</v>
      </c>
      <c r="I131" s="124"/>
      <c r="J131" s="124">
        <f>MEDIDA!Z23</f>
        <v>30</v>
      </c>
      <c r="K131" s="124"/>
      <c r="L131" s="123">
        <f>MEDIDA!AB23</f>
        <v>30</v>
      </c>
      <c r="M131" s="123"/>
      <c r="N131" s="123">
        <f>MEDIDA!AD23</f>
        <v>0</v>
      </c>
      <c r="O131" s="123"/>
      <c r="P131" s="123">
        <f>INCERTIDUMBRE!L35</f>
        <v>2.2173491515095263</v>
      </c>
      <c r="Q131" s="123"/>
      <c r="R131" s="123"/>
      <c r="S131" s="99">
        <f>INCERTIDUMBRE!K35</f>
        <v>2.0054398942598022</v>
      </c>
    </row>
    <row r="132" spans="2:19" x14ac:dyDescent="0.3">
      <c r="B132" s="124">
        <f>MEDIDA!R24</f>
        <v>60</v>
      </c>
      <c r="C132" s="124"/>
      <c r="D132" s="124">
        <f>MEDIDA!T24</f>
        <v>60</v>
      </c>
      <c r="E132" s="124"/>
      <c r="F132" s="124">
        <f>MEDIDA!V24</f>
        <v>60</v>
      </c>
      <c r="G132" s="124"/>
      <c r="H132" s="124">
        <f>MEDIDA!X24</f>
        <v>60</v>
      </c>
      <c r="I132" s="124"/>
      <c r="J132" s="124">
        <f>MEDIDA!Z24</f>
        <v>60</v>
      </c>
      <c r="K132" s="124"/>
      <c r="L132" s="123">
        <f>MEDIDA!AB24</f>
        <v>60</v>
      </c>
      <c r="M132" s="123"/>
      <c r="N132" s="123">
        <f>MEDIDA!AD24</f>
        <v>0</v>
      </c>
      <c r="O132" s="123"/>
      <c r="P132" s="123">
        <f>INCERTIDUMBRE!L36</f>
        <v>2.2173491515095263</v>
      </c>
      <c r="Q132" s="123"/>
      <c r="R132" s="123"/>
      <c r="S132" s="99">
        <f>INCERTIDUMBRE!K36</f>
        <v>2.0054398942598022</v>
      </c>
    </row>
    <row r="133" spans="2:19" x14ac:dyDescent="0.3">
      <c r="B133" s="124">
        <f>MEDIDA!R25</f>
        <v>120</v>
      </c>
      <c r="C133" s="124"/>
      <c r="D133" s="124">
        <f>MEDIDA!T25</f>
        <v>120</v>
      </c>
      <c r="E133" s="124"/>
      <c r="F133" s="124">
        <f>MEDIDA!V25</f>
        <v>120</v>
      </c>
      <c r="G133" s="124"/>
      <c r="H133" s="124">
        <f>MEDIDA!X25</f>
        <v>120</v>
      </c>
      <c r="I133" s="124"/>
      <c r="J133" s="124">
        <f>MEDIDA!Z25</f>
        <v>120</v>
      </c>
      <c r="K133" s="124"/>
      <c r="L133" s="123">
        <f>MEDIDA!AB25</f>
        <v>120</v>
      </c>
      <c r="M133" s="123"/>
      <c r="N133" s="123">
        <f>MEDIDA!AD25</f>
        <v>0</v>
      </c>
      <c r="O133" s="123"/>
      <c r="P133" s="123">
        <f>INCERTIDUMBRE!L37</f>
        <v>2.2173491515095263</v>
      </c>
      <c r="Q133" s="123"/>
      <c r="R133" s="123"/>
      <c r="S133" s="99">
        <f>INCERTIDUMBRE!K37</f>
        <v>2.0054398942598022</v>
      </c>
    </row>
    <row r="134" spans="2:19" x14ac:dyDescent="0.3">
      <c r="B134" s="124">
        <f>MEDIDA!R26</f>
        <v>246</v>
      </c>
      <c r="C134" s="124"/>
      <c r="D134" s="124">
        <f>MEDIDA!T26</f>
        <v>246</v>
      </c>
      <c r="E134" s="124"/>
      <c r="F134" s="124">
        <f>MEDIDA!V26</f>
        <v>246</v>
      </c>
      <c r="G134" s="124"/>
      <c r="H134" s="124">
        <f>MEDIDA!X26</f>
        <v>246</v>
      </c>
      <c r="I134" s="124"/>
      <c r="J134" s="124">
        <f>MEDIDA!Z26</f>
        <v>246</v>
      </c>
      <c r="K134" s="124"/>
      <c r="L134" s="123">
        <f>MEDIDA!AB26</f>
        <v>246</v>
      </c>
      <c r="M134" s="123"/>
      <c r="N134" s="123">
        <f>MEDIDA!AD26</f>
        <v>0</v>
      </c>
      <c r="O134" s="123"/>
      <c r="P134" s="123">
        <f>INCERTIDUMBRE!L38</f>
        <v>2.2173491515095263</v>
      </c>
      <c r="Q134" s="123"/>
      <c r="R134" s="123"/>
      <c r="S134" s="99">
        <f>INCERTIDUMBRE!K38</f>
        <v>2.0054398942598022</v>
      </c>
    </row>
    <row r="135" spans="2:19" x14ac:dyDescent="0.3">
      <c r="B135" s="19"/>
      <c r="C135" s="19"/>
      <c r="D135" s="19"/>
      <c r="E135" s="19"/>
      <c r="F135" s="19"/>
      <c r="G135" s="19"/>
      <c r="H135" s="19"/>
      <c r="I135" s="19"/>
      <c r="J135" s="19"/>
      <c r="K135" s="19"/>
      <c r="L135" s="19"/>
      <c r="M135" s="19"/>
      <c r="N135" s="19"/>
      <c r="O135" s="19"/>
      <c r="P135" s="19"/>
      <c r="Q135" s="19"/>
      <c r="R135" s="19"/>
    </row>
    <row r="136" spans="2:19" ht="16.649999999999999" customHeight="1" x14ac:dyDescent="0.3"/>
    <row r="137" spans="2:19" ht="16.8" customHeight="1" x14ac:dyDescent="0.3">
      <c r="B137" s="52" t="s">
        <v>115</v>
      </c>
      <c r="C137" s="52"/>
      <c r="D137" s="52"/>
      <c r="E137" s="52"/>
      <c r="F137" s="52"/>
      <c r="G137" s="52"/>
      <c r="H137" s="52"/>
      <c r="I137" s="126" t="s">
        <v>116</v>
      </c>
      <c r="J137" s="126"/>
      <c r="K137" s="126"/>
      <c r="L137" s="126"/>
      <c r="M137" s="126"/>
      <c r="N137" s="133" t="s">
        <v>118</v>
      </c>
      <c r="O137" s="133"/>
      <c r="P137" s="126" t="s">
        <v>117</v>
      </c>
      <c r="Q137" s="126"/>
      <c r="R137" s="126"/>
      <c r="S137" s="91">
        <v>1</v>
      </c>
    </row>
    <row r="138" spans="2:19" ht="16.8" customHeight="1" x14ac:dyDescent="0.3"/>
    <row r="139" spans="2:19" ht="24" customHeight="1" x14ac:dyDescent="0.3">
      <c r="D139" s="130" t="s">
        <v>231</v>
      </c>
      <c r="E139" s="130"/>
      <c r="F139" s="130"/>
      <c r="G139" s="130"/>
      <c r="H139" s="130"/>
      <c r="I139" s="130"/>
      <c r="J139" s="130"/>
      <c r="K139" s="130"/>
      <c r="L139" s="169" t="s">
        <v>129</v>
      </c>
      <c r="M139" s="170"/>
      <c r="N139" s="170"/>
      <c r="O139" s="170"/>
      <c r="P139" s="170"/>
      <c r="Q139" s="170"/>
      <c r="R139" s="170"/>
      <c r="S139" s="170"/>
    </row>
    <row r="140" spans="2:19" ht="36.6" customHeight="1" x14ac:dyDescent="0.3">
      <c r="B140" s="236" t="s">
        <v>119</v>
      </c>
      <c r="C140" s="237"/>
      <c r="D140" s="125" t="s">
        <v>243</v>
      </c>
      <c r="E140" s="125"/>
      <c r="F140" s="125" t="s">
        <v>244</v>
      </c>
      <c r="G140" s="125"/>
      <c r="H140" s="125" t="s">
        <v>245</v>
      </c>
      <c r="I140" s="125"/>
      <c r="J140" s="125" t="s">
        <v>246</v>
      </c>
      <c r="K140" s="125"/>
      <c r="L140" s="125" t="s">
        <v>122</v>
      </c>
      <c r="M140" s="125"/>
      <c r="N140" s="125" t="s">
        <v>123</v>
      </c>
      <c r="O140" s="125"/>
      <c r="P140" s="125" t="s">
        <v>247</v>
      </c>
      <c r="Q140" s="125"/>
      <c r="R140" s="125"/>
      <c r="S140" s="89" t="s">
        <v>14</v>
      </c>
    </row>
    <row r="141" spans="2:19" x14ac:dyDescent="0.3">
      <c r="B141" s="124">
        <f>MEDIDA!R13</f>
        <v>80</v>
      </c>
      <c r="C141" s="124"/>
      <c r="D141" s="238">
        <f ca="1">MEDIDA!T13</f>
        <v>80.5</v>
      </c>
      <c r="E141" s="238"/>
      <c r="F141" s="238">
        <f ca="1">MEDIDA!V13</f>
        <v>80.5</v>
      </c>
      <c r="G141" s="238"/>
      <c r="H141" s="238">
        <f ca="1">MEDIDA!X13</f>
        <v>80.5</v>
      </c>
      <c r="I141" s="238"/>
      <c r="J141" s="238">
        <f ca="1">MEDIDA!Z13</f>
        <v>80.5</v>
      </c>
      <c r="K141" s="238"/>
      <c r="L141" s="123">
        <f ca="1">MEDIDA!AB13</f>
        <v>80.5</v>
      </c>
      <c r="M141" s="123"/>
      <c r="N141" s="123">
        <f ca="1">MEDIDA!AD13</f>
        <v>0.5</v>
      </c>
      <c r="O141" s="123"/>
      <c r="P141" s="123">
        <f ca="1">INCERTIDUMBRE!L42</f>
        <v>2.6198337694188578</v>
      </c>
      <c r="Q141" s="123"/>
      <c r="R141" s="123"/>
      <c r="S141" s="99">
        <f ca="1">INCERTIDUMBRE!K42</f>
        <v>2.007844963532889</v>
      </c>
    </row>
    <row r="142" spans="2:19" x14ac:dyDescent="0.3">
      <c r="B142" s="124">
        <f>MEDIDA!R14</f>
        <v>85</v>
      </c>
      <c r="C142" s="124"/>
      <c r="D142" s="238">
        <f ca="1">MEDIDA!T14</f>
        <v>84.5</v>
      </c>
      <c r="E142" s="238"/>
      <c r="F142" s="238">
        <f ca="1">MEDIDA!V14</f>
        <v>84.5</v>
      </c>
      <c r="G142" s="238"/>
      <c r="H142" s="238">
        <f ca="1">MEDIDA!X14</f>
        <v>84.5</v>
      </c>
      <c r="I142" s="238"/>
      <c r="J142" s="238">
        <f ca="1">MEDIDA!Z14</f>
        <v>84.5</v>
      </c>
      <c r="K142" s="238"/>
      <c r="L142" s="123">
        <f ca="1">MEDIDA!AB14</f>
        <v>84.5</v>
      </c>
      <c r="M142" s="123"/>
      <c r="N142" s="123">
        <f ca="1">MEDIDA!AD14</f>
        <v>-0.5</v>
      </c>
      <c r="O142" s="123"/>
      <c r="P142" s="123">
        <f ca="1">INCERTIDUMBRE!L43</f>
        <v>2.6198337694188578</v>
      </c>
      <c r="Q142" s="123"/>
      <c r="R142" s="123"/>
      <c r="S142" s="99">
        <f ca="1">INCERTIDUMBRE!K43</f>
        <v>2.007844963532889</v>
      </c>
    </row>
    <row r="143" spans="2:19" x14ac:dyDescent="0.3">
      <c r="B143" s="124">
        <f>MEDIDA!R15</f>
        <v>90</v>
      </c>
      <c r="C143" s="124"/>
      <c r="D143" s="238">
        <f ca="1">MEDIDA!T15</f>
        <v>90</v>
      </c>
      <c r="E143" s="238"/>
      <c r="F143" s="238">
        <f ca="1">MEDIDA!V15</f>
        <v>90</v>
      </c>
      <c r="G143" s="238"/>
      <c r="H143" s="238">
        <f ca="1">MEDIDA!X15</f>
        <v>90</v>
      </c>
      <c r="I143" s="238"/>
      <c r="J143" s="238">
        <f ca="1">MEDIDA!Z15</f>
        <v>90</v>
      </c>
      <c r="K143" s="238"/>
      <c r="L143" s="123">
        <f ca="1">MEDIDA!AB15</f>
        <v>90</v>
      </c>
      <c r="M143" s="123"/>
      <c r="N143" s="123">
        <f ca="1">MEDIDA!AD15</f>
        <v>0</v>
      </c>
      <c r="O143" s="123"/>
      <c r="P143" s="123">
        <f ca="1">INCERTIDUMBRE!L44</f>
        <v>2.6198337694188578</v>
      </c>
      <c r="Q143" s="123"/>
      <c r="R143" s="123"/>
      <c r="S143" s="99">
        <f ca="1">INCERTIDUMBRE!K44</f>
        <v>2.007844963532889</v>
      </c>
    </row>
    <row r="144" spans="2:19" x14ac:dyDescent="0.3">
      <c r="B144" s="124">
        <f>MEDIDA!R16</f>
        <v>95</v>
      </c>
      <c r="C144" s="124"/>
      <c r="D144" s="238">
        <f ca="1">MEDIDA!T16</f>
        <v>95</v>
      </c>
      <c r="E144" s="238"/>
      <c r="F144" s="238">
        <f ca="1">MEDIDA!V16</f>
        <v>95</v>
      </c>
      <c r="G144" s="238"/>
      <c r="H144" s="238">
        <f ca="1">MEDIDA!X16</f>
        <v>95</v>
      </c>
      <c r="I144" s="238"/>
      <c r="J144" s="238">
        <f ca="1">MEDIDA!Z16</f>
        <v>95</v>
      </c>
      <c r="K144" s="238"/>
      <c r="L144" s="123">
        <f ca="1">MEDIDA!AB16</f>
        <v>95</v>
      </c>
      <c r="M144" s="123"/>
      <c r="N144" s="123">
        <f ca="1">MEDIDA!AD16</f>
        <v>0</v>
      </c>
      <c r="O144" s="123"/>
      <c r="P144" s="123">
        <f ca="1">INCERTIDUMBRE!L45</f>
        <v>2.6198337694188578</v>
      </c>
      <c r="Q144" s="123"/>
      <c r="R144" s="123"/>
      <c r="S144" s="99">
        <f ca="1">INCERTIDUMBRE!K45</f>
        <v>2.007844963532889</v>
      </c>
    </row>
    <row r="145" spans="2:19" x14ac:dyDescent="0.3">
      <c r="B145" s="124">
        <f>MEDIDA!R17</f>
        <v>99</v>
      </c>
      <c r="C145" s="124"/>
      <c r="D145" s="238">
        <f ca="1">MEDIDA!T17</f>
        <v>98</v>
      </c>
      <c r="E145" s="238"/>
      <c r="F145" s="238">
        <f ca="1">MEDIDA!V17</f>
        <v>98</v>
      </c>
      <c r="G145" s="238"/>
      <c r="H145" s="238">
        <f ca="1">MEDIDA!X17</f>
        <v>98</v>
      </c>
      <c r="I145" s="238"/>
      <c r="J145" s="238">
        <f ca="1">MEDIDA!Z17</f>
        <v>98</v>
      </c>
      <c r="K145" s="238"/>
      <c r="L145" s="123">
        <f ca="1">MEDIDA!AB17</f>
        <v>98</v>
      </c>
      <c r="M145" s="123"/>
      <c r="N145" s="123">
        <f ca="1">MEDIDA!AD17</f>
        <v>-1</v>
      </c>
      <c r="O145" s="123"/>
      <c r="P145" s="123">
        <f ca="1">INCERTIDUMBRE!L46</f>
        <v>2.6198337694188578</v>
      </c>
      <c r="Q145" s="123"/>
      <c r="R145" s="123"/>
      <c r="S145" s="99">
        <f ca="1">INCERTIDUMBRE!K46</f>
        <v>2.007844963532889</v>
      </c>
    </row>
    <row r="146" spans="2:19" x14ac:dyDescent="0.3">
      <c r="B146" s="116"/>
      <c r="C146" s="116"/>
      <c r="D146" s="116"/>
      <c r="E146" s="116"/>
      <c r="F146" s="116"/>
      <c r="G146" s="116"/>
      <c r="H146" s="116"/>
      <c r="I146" s="116"/>
      <c r="J146" s="116"/>
      <c r="K146" s="116"/>
      <c r="L146" s="117"/>
      <c r="M146" s="117"/>
      <c r="N146" s="117"/>
      <c r="O146" s="117"/>
      <c r="P146" s="117"/>
      <c r="Q146" s="117"/>
      <c r="R146" s="117"/>
      <c r="S146" s="117"/>
    </row>
    <row r="147" spans="2:19" x14ac:dyDescent="0.3">
      <c r="B147" s="116"/>
      <c r="C147" s="116"/>
      <c r="D147" s="116"/>
      <c r="E147" s="116"/>
      <c r="F147" s="116"/>
      <c r="G147" s="116"/>
      <c r="H147" s="116"/>
      <c r="I147" s="116"/>
      <c r="J147" s="116"/>
      <c r="K147" s="116"/>
      <c r="L147" s="117"/>
      <c r="M147" s="117"/>
      <c r="N147" s="117"/>
      <c r="O147" s="117"/>
      <c r="P147" s="117"/>
      <c r="Q147" s="117"/>
      <c r="R147" s="117"/>
      <c r="S147" s="117"/>
    </row>
    <row r="148" spans="2:19" x14ac:dyDescent="0.3">
      <c r="B148" s="116"/>
      <c r="C148" s="116"/>
      <c r="D148" s="116"/>
      <c r="E148" s="116"/>
      <c r="F148" s="116"/>
      <c r="G148" s="116"/>
      <c r="H148" s="116"/>
      <c r="I148" s="116"/>
      <c r="J148" s="116"/>
      <c r="K148" s="116"/>
      <c r="L148" s="117"/>
      <c r="M148" s="117"/>
      <c r="N148" s="117"/>
      <c r="O148" s="117"/>
      <c r="P148" s="117"/>
      <c r="Q148" s="117"/>
      <c r="R148" s="117"/>
      <c r="S148" s="117"/>
    </row>
    <row r="149" spans="2:19" x14ac:dyDescent="0.3">
      <c r="B149" s="116"/>
      <c r="C149" s="116"/>
      <c r="D149" s="116"/>
      <c r="E149" s="116"/>
      <c r="F149" s="116"/>
      <c r="G149" s="116"/>
      <c r="H149" s="116"/>
      <c r="I149" s="116"/>
      <c r="J149" s="116"/>
      <c r="K149" s="116"/>
      <c r="L149" s="117"/>
      <c r="M149" s="117"/>
      <c r="N149" s="117"/>
      <c r="O149" s="117"/>
      <c r="P149" s="117"/>
      <c r="Q149" s="117"/>
      <c r="R149" s="117"/>
      <c r="S149" s="117"/>
    </row>
    <row r="150" spans="2:19" x14ac:dyDescent="0.3">
      <c r="O150" s="174" t="str">
        <f>O114</f>
        <v>CERTIFICADO N°:</v>
      </c>
      <c r="P150" s="175"/>
      <c r="Q150" s="175"/>
      <c r="R150" s="176">
        <f>R114</f>
        <v>0</v>
      </c>
      <c r="S150" s="176"/>
    </row>
    <row r="151" spans="2:19" x14ac:dyDescent="0.3">
      <c r="O151" s="118"/>
      <c r="P151" s="119"/>
      <c r="Q151" s="119"/>
      <c r="R151" s="118"/>
      <c r="S151" s="119"/>
    </row>
    <row r="153" spans="2:19" x14ac:dyDescent="0.3">
      <c r="B153" s="122" t="s">
        <v>208</v>
      </c>
      <c r="C153" s="122"/>
      <c r="D153" s="122"/>
      <c r="E153" s="122"/>
      <c r="F153" s="122"/>
      <c r="G153" s="52"/>
      <c r="H153" s="52"/>
      <c r="I153" s="126" t="s">
        <v>209</v>
      </c>
      <c r="J153" s="126"/>
      <c r="K153" s="126"/>
      <c r="L153" s="126"/>
      <c r="M153" s="126"/>
      <c r="N153" s="133" t="s">
        <v>210</v>
      </c>
      <c r="O153" s="133"/>
      <c r="P153" s="126" t="s">
        <v>211</v>
      </c>
      <c r="Q153" s="126"/>
      <c r="R153" s="126"/>
      <c r="S153" s="91">
        <v>0.1</v>
      </c>
    </row>
    <row r="155" spans="2:19" ht="33.6" customHeight="1" x14ac:dyDescent="0.3">
      <c r="F155" s="125" t="s">
        <v>237</v>
      </c>
      <c r="G155" s="125"/>
      <c r="H155" s="125" t="s">
        <v>212</v>
      </c>
      <c r="I155" s="125"/>
      <c r="J155" s="125" t="s">
        <v>213</v>
      </c>
      <c r="K155" s="125"/>
      <c r="L155" s="125" t="s">
        <v>248</v>
      </c>
      <c r="M155" s="125"/>
      <c r="N155" s="125"/>
      <c r="O155" s="89" t="s">
        <v>14</v>
      </c>
    </row>
    <row r="156" spans="2:19" x14ac:dyDescent="0.3">
      <c r="F156" s="123">
        <f>MEDIDA!B31</f>
        <v>33</v>
      </c>
      <c r="G156" s="123"/>
      <c r="H156" s="123">
        <f>MEDIDA!D31</f>
        <v>33.1</v>
      </c>
      <c r="I156" s="123"/>
      <c r="J156" s="124">
        <f>MEDIDA!F31</f>
        <v>0.10000000000000142</v>
      </c>
      <c r="K156" s="124"/>
      <c r="L156" s="123">
        <v>0.6</v>
      </c>
      <c r="M156" s="123"/>
      <c r="N156" s="123"/>
      <c r="O156" s="99">
        <v>2</v>
      </c>
      <c r="P156" s="93" t="s">
        <v>214</v>
      </c>
      <c r="R156" s="93"/>
    </row>
    <row r="157" spans="2:19" x14ac:dyDescent="0.3">
      <c r="F157" s="123">
        <f>MEDIDA!B32</f>
        <v>35</v>
      </c>
      <c r="G157" s="123"/>
      <c r="H157" s="123">
        <f>MEDIDA!D32</f>
        <v>35.1</v>
      </c>
      <c r="I157" s="123"/>
      <c r="J157" s="124">
        <f>MEDIDA!F32</f>
        <v>0.10000000000000142</v>
      </c>
      <c r="K157" s="124"/>
      <c r="L157" s="123">
        <v>0.6</v>
      </c>
      <c r="M157" s="123"/>
      <c r="N157" s="123"/>
      <c r="O157" s="99">
        <v>2</v>
      </c>
      <c r="P157" s="93" t="s">
        <v>215</v>
      </c>
      <c r="R157" s="93"/>
    </row>
    <row r="158" spans="2:19" x14ac:dyDescent="0.3">
      <c r="F158" s="123">
        <f>MEDIDA!B33</f>
        <v>37</v>
      </c>
      <c r="G158" s="123"/>
      <c r="H158" s="123">
        <f>MEDIDA!D33</f>
        <v>37.200000000000003</v>
      </c>
      <c r="I158" s="123"/>
      <c r="J158" s="124">
        <f>MEDIDA!F33</f>
        <v>0.20000000000000284</v>
      </c>
      <c r="K158" s="124"/>
      <c r="L158" s="123">
        <v>0.6</v>
      </c>
      <c r="M158" s="123"/>
      <c r="N158" s="123"/>
      <c r="O158" s="99">
        <v>2</v>
      </c>
    </row>
    <row r="163" spans="2:20" x14ac:dyDescent="0.3">
      <c r="B163" s="168" t="s">
        <v>124</v>
      </c>
      <c r="C163" s="168"/>
      <c r="D163" s="168"/>
      <c r="E163" s="168"/>
      <c r="F163" s="168"/>
      <c r="G163" s="168"/>
      <c r="H163" s="168"/>
      <c r="I163" s="168"/>
      <c r="J163" s="168"/>
      <c r="K163" s="168"/>
      <c r="L163" s="168"/>
      <c r="M163" s="168"/>
      <c r="N163" s="168"/>
      <c r="O163" s="168"/>
      <c r="P163" s="168"/>
      <c r="Q163" s="168"/>
      <c r="R163" s="168"/>
      <c r="S163" s="168"/>
    </row>
    <row r="165" spans="2:20" x14ac:dyDescent="0.3">
      <c r="B165" s="155" t="s">
        <v>125</v>
      </c>
      <c r="C165" s="155"/>
      <c r="D165" s="155"/>
      <c r="E165" s="155"/>
      <c r="F165" s="155"/>
      <c r="G165" s="155"/>
      <c r="I165" s="78" t="s">
        <v>126</v>
      </c>
      <c r="J165" s="78"/>
      <c r="K165" s="78"/>
      <c r="L165" s="78"/>
      <c r="M165" s="78"/>
      <c r="N165" s="78"/>
      <c r="O165" s="78"/>
      <c r="P165" s="78"/>
      <c r="Q165" s="78"/>
      <c r="R165" s="78"/>
      <c r="S165" s="78"/>
    </row>
    <row r="166" spans="2:20" x14ac:dyDescent="0.3">
      <c r="B166" s="156" t="s">
        <v>238</v>
      </c>
      <c r="C166" s="156"/>
      <c r="D166" s="156"/>
      <c r="E166" s="156"/>
      <c r="F166" s="156"/>
      <c r="G166" s="156"/>
      <c r="I166" s="78" t="s">
        <v>126</v>
      </c>
    </row>
    <row r="167" spans="2:20" ht="16.8" customHeight="1" x14ac:dyDescent="0.3">
      <c r="B167" s="155" t="s">
        <v>239</v>
      </c>
      <c r="C167" s="155"/>
      <c r="D167" s="155"/>
      <c r="E167" s="155"/>
      <c r="F167" s="155"/>
      <c r="G167" s="155"/>
      <c r="I167" s="78" t="s">
        <v>126</v>
      </c>
      <c r="J167" s="78"/>
      <c r="K167" s="78"/>
      <c r="L167" s="78"/>
      <c r="M167" s="78"/>
      <c r="N167" s="78"/>
      <c r="O167" s="78"/>
      <c r="P167" s="78"/>
      <c r="Q167" s="78"/>
      <c r="R167" s="78"/>
      <c r="S167" s="78"/>
    </row>
    <row r="168" spans="2:20" x14ac:dyDescent="0.3">
      <c r="B168" s="172" t="s">
        <v>127</v>
      </c>
      <c r="C168" s="172"/>
      <c r="D168" s="172"/>
      <c r="E168" s="172"/>
      <c r="F168" s="172"/>
      <c r="G168" s="172"/>
      <c r="I168" s="173" t="s">
        <v>240</v>
      </c>
      <c r="J168" s="173"/>
      <c r="K168" s="173"/>
      <c r="L168" s="173"/>
      <c r="M168" s="88" t="s">
        <v>128</v>
      </c>
      <c r="N168" s="88"/>
      <c r="O168" s="88"/>
      <c r="P168" s="88"/>
      <c r="Q168" s="88"/>
      <c r="R168" s="88"/>
      <c r="S168" s="88"/>
    </row>
    <row r="169" spans="2:20" x14ac:dyDescent="0.3">
      <c r="T169" s="93"/>
    </row>
    <row r="170" spans="2:20" x14ac:dyDescent="0.3">
      <c r="T170" s="93"/>
    </row>
    <row r="171" spans="2:20" x14ac:dyDescent="0.3">
      <c r="T171" s="93"/>
    </row>
    <row r="172" spans="2:20" x14ac:dyDescent="0.3">
      <c r="T172" s="93"/>
    </row>
    <row r="174" spans="2:20" x14ac:dyDescent="0.3">
      <c r="B174" s="167" t="s">
        <v>224</v>
      </c>
      <c r="C174" s="167"/>
      <c r="D174" s="167"/>
      <c r="E174" s="167"/>
      <c r="F174" s="167"/>
      <c r="G174" s="167"/>
      <c r="H174" s="167"/>
      <c r="I174" s="167"/>
      <c r="J174" s="167"/>
      <c r="K174" s="167"/>
      <c r="L174" s="167"/>
      <c r="M174" s="167"/>
      <c r="N174" s="167"/>
      <c r="O174" s="167"/>
      <c r="P174" s="167"/>
      <c r="Q174" s="167"/>
      <c r="R174" s="167"/>
      <c r="S174" s="167"/>
    </row>
    <row r="176" spans="2:20" ht="24" customHeight="1" x14ac:dyDescent="0.3"/>
    <row r="177" spans="20:20" x14ac:dyDescent="0.3">
      <c r="T177" s="93"/>
    </row>
    <row r="178" spans="20:20" x14ac:dyDescent="0.3">
      <c r="T178" s="93"/>
    </row>
    <row r="187" spans="20:20" x14ac:dyDescent="0.3">
      <c r="T187" s="88"/>
    </row>
  </sheetData>
  <mergeCells count="409">
    <mergeCell ref="B174:S174"/>
    <mergeCell ref="B165:G165"/>
    <mergeCell ref="B166:G166"/>
    <mergeCell ref="B167:G167"/>
    <mergeCell ref="B163:S163"/>
    <mergeCell ref="L145:M145"/>
    <mergeCell ref="N145:O145"/>
    <mergeCell ref="P145:R145"/>
    <mergeCell ref="B145:C145"/>
    <mergeCell ref="D145:E145"/>
    <mergeCell ref="F145:G145"/>
    <mergeCell ref="H145:I145"/>
    <mergeCell ref="J145:K145"/>
    <mergeCell ref="B168:G168"/>
    <mergeCell ref="I168:L168"/>
    <mergeCell ref="O150:Q150"/>
    <mergeCell ref="R150:S150"/>
    <mergeCell ref="I153:M153"/>
    <mergeCell ref="N153:O153"/>
    <mergeCell ref="P153:R153"/>
    <mergeCell ref="F155:G155"/>
    <mergeCell ref="H155:I155"/>
    <mergeCell ref="J155:K155"/>
    <mergeCell ref="L155:N155"/>
    <mergeCell ref="L143:M143"/>
    <mergeCell ref="N143:O143"/>
    <mergeCell ref="P143:R143"/>
    <mergeCell ref="B144:C144"/>
    <mergeCell ref="D144:E144"/>
    <mergeCell ref="F144:G144"/>
    <mergeCell ref="H144:I144"/>
    <mergeCell ref="J144:K144"/>
    <mergeCell ref="L144:M144"/>
    <mergeCell ref="N144:O144"/>
    <mergeCell ref="P144:R144"/>
    <mergeCell ref="B143:C143"/>
    <mergeCell ref="D143:E143"/>
    <mergeCell ref="F143:G143"/>
    <mergeCell ref="H143:I143"/>
    <mergeCell ref="J143:K143"/>
    <mergeCell ref="L141:M141"/>
    <mergeCell ref="N141:O141"/>
    <mergeCell ref="P141:R141"/>
    <mergeCell ref="B142:C142"/>
    <mergeCell ref="D142:E142"/>
    <mergeCell ref="F142:G142"/>
    <mergeCell ref="H142:I142"/>
    <mergeCell ref="J142:K142"/>
    <mergeCell ref="L142:M142"/>
    <mergeCell ref="N142:O142"/>
    <mergeCell ref="P142:R142"/>
    <mergeCell ref="B141:C141"/>
    <mergeCell ref="D141:E141"/>
    <mergeCell ref="F141:G141"/>
    <mergeCell ref="H141:I141"/>
    <mergeCell ref="J141:K141"/>
    <mergeCell ref="N137:O137"/>
    <mergeCell ref="P137:R137"/>
    <mergeCell ref="D139:K139"/>
    <mergeCell ref="L139:S139"/>
    <mergeCell ref="B140:C140"/>
    <mergeCell ref="D140:E140"/>
    <mergeCell ref="F140:G140"/>
    <mergeCell ref="H140:I140"/>
    <mergeCell ref="J140:K140"/>
    <mergeCell ref="L140:M140"/>
    <mergeCell ref="N140:O140"/>
    <mergeCell ref="P140:R140"/>
    <mergeCell ref="P133:R133"/>
    <mergeCell ref="B134:C134"/>
    <mergeCell ref="D134:E134"/>
    <mergeCell ref="F134:G134"/>
    <mergeCell ref="H134:I134"/>
    <mergeCell ref="J134:K134"/>
    <mergeCell ref="L134:M134"/>
    <mergeCell ref="N134:O134"/>
    <mergeCell ref="P134:R134"/>
    <mergeCell ref="B133:C133"/>
    <mergeCell ref="D133:E133"/>
    <mergeCell ref="F133:G133"/>
    <mergeCell ref="H133:I133"/>
    <mergeCell ref="J133:K133"/>
    <mergeCell ref="P131:R131"/>
    <mergeCell ref="B132:C132"/>
    <mergeCell ref="D132:E132"/>
    <mergeCell ref="F132:G132"/>
    <mergeCell ref="H132:I132"/>
    <mergeCell ref="J132:K132"/>
    <mergeCell ref="L132:M132"/>
    <mergeCell ref="N132:O132"/>
    <mergeCell ref="P132:R132"/>
    <mergeCell ref="B131:C131"/>
    <mergeCell ref="D131:E131"/>
    <mergeCell ref="F131:G131"/>
    <mergeCell ref="H131:I131"/>
    <mergeCell ref="J131:K131"/>
    <mergeCell ref="P130:R130"/>
    <mergeCell ref="B124:C124"/>
    <mergeCell ref="D124:E124"/>
    <mergeCell ref="F124:G124"/>
    <mergeCell ref="H124:I124"/>
    <mergeCell ref="J124:K124"/>
    <mergeCell ref="B123:C123"/>
    <mergeCell ref="D123:E123"/>
    <mergeCell ref="F123:G123"/>
    <mergeCell ref="B130:C130"/>
    <mergeCell ref="D130:E130"/>
    <mergeCell ref="F130:G130"/>
    <mergeCell ref="H130:I130"/>
    <mergeCell ref="P123:R123"/>
    <mergeCell ref="N117:O117"/>
    <mergeCell ref="P117:R117"/>
    <mergeCell ref="D129:K129"/>
    <mergeCell ref="L129:S129"/>
    <mergeCell ref="I127:M127"/>
    <mergeCell ref="N127:O127"/>
    <mergeCell ref="P127:R127"/>
    <mergeCell ref="L124:M124"/>
    <mergeCell ref="N124:O124"/>
    <mergeCell ref="P124:R124"/>
    <mergeCell ref="L122:M122"/>
    <mergeCell ref="N122:O122"/>
    <mergeCell ref="P122:R122"/>
    <mergeCell ref="D122:E122"/>
    <mergeCell ref="F122:G122"/>
    <mergeCell ref="H122:I122"/>
    <mergeCell ref="J122:K122"/>
    <mergeCell ref="P121:R121"/>
    <mergeCell ref="D119:K119"/>
    <mergeCell ref="B120:C120"/>
    <mergeCell ref="D120:E120"/>
    <mergeCell ref="F120:G120"/>
    <mergeCell ref="H120:I120"/>
    <mergeCell ref="J120:K120"/>
    <mergeCell ref="L119:S119"/>
    <mergeCell ref="L120:M120"/>
    <mergeCell ref="N120:O120"/>
    <mergeCell ref="P120:R120"/>
    <mergeCell ref="B86:C86"/>
    <mergeCell ref="D86:E86"/>
    <mergeCell ref="B121:C121"/>
    <mergeCell ref="D121:E121"/>
    <mergeCell ref="F121:G121"/>
    <mergeCell ref="H121:I121"/>
    <mergeCell ref="J121:K121"/>
    <mergeCell ref="L121:M121"/>
    <mergeCell ref="N121:O121"/>
    <mergeCell ref="I117:M117"/>
    <mergeCell ref="B88:C88"/>
    <mergeCell ref="D88:E88"/>
    <mergeCell ref="F88:G88"/>
    <mergeCell ref="H88:I88"/>
    <mergeCell ref="J88:K88"/>
    <mergeCell ref="L88:M88"/>
    <mergeCell ref="N88:O88"/>
    <mergeCell ref="B87:C87"/>
    <mergeCell ref="I90:M90"/>
    <mergeCell ref="N90:O90"/>
    <mergeCell ref="B94:C94"/>
    <mergeCell ref="D94:E94"/>
    <mergeCell ref="F94:G94"/>
    <mergeCell ref="H94:I94"/>
    <mergeCell ref="P88:R88"/>
    <mergeCell ref="D87:E87"/>
    <mergeCell ref="F87:G87"/>
    <mergeCell ref="H87:I87"/>
    <mergeCell ref="J87:K87"/>
    <mergeCell ref="D85:E85"/>
    <mergeCell ref="F85:G85"/>
    <mergeCell ref="H85:I85"/>
    <mergeCell ref="J85:K85"/>
    <mergeCell ref="F86:G86"/>
    <mergeCell ref="L87:M87"/>
    <mergeCell ref="N87:O87"/>
    <mergeCell ref="P87:R87"/>
    <mergeCell ref="L85:M85"/>
    <mergeCell ref="N85:O85"/>
    <mergeCell ref="P85:R85"/>
    <mergeCell ref="N83:O83"/>
    <mergeCell ref="P83:R83"/>
    <mergeCell ref="H86:I86"/>
    <mergeCell ref="J86:K86"/>
    <mergeCell ref="L86:M86"/>
    <mergeCell ref="N86:O86"/>
    <mergeCell ref="P86:R86"/>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B83:C83"/>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B40:S40"/>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M32:O32"/>
    <mergeCell ref="I32:L32"/>
    <mergeCell ref="I33:L33"/>
    <mergeCell ref="B50:S50"/>
    <mergeCell ref="B60:S60"/>
    <mergeCell ref="B64:S64"/>
    <mergeCell ref="F45:J45"/>
    <mergeCell ref="F48:J48"/>
    <mergeCell ref="F46:G46"/>
    <mergeCell ref="K46:L46"/>
    <mergeCell ref="K48:P48"/>
    <mergeCell ref="K45:O45"/>
    <mergeCell ref="B85:C85"/>
    <mergeCell ref="B70:G70"/>
    <mergeCell ref="B71:G71"/>
    <mergeCell ref="B72:G72"/>
    <mergeCell ref="B73:G73"/>
    <mergeCell ref="B51:S58"/>
    <mergeCell ref="B61:S62"/>
    <mergeCell ref="B65:S68"/>
    <mergeCell ref="P71:S71"/>
    <mergeCell ref="P72:S72"/>
    <mergeCell ref="P73:S73"/>
    <mergeCell ref="H70:L70"/>
    <mergeCell ref="H71:L71"/>
    <mergeCell ref="H72:L72"/>
    <mergeCell ref="H73:L73"/>
    <mergeCell ref="M70:O70"/>
    <mergeCell ref="M71:O71"/>
    <mergeCell ref="M72:O72"/>
    <mergeCell ref="M73:O73"/>
    <mergeCell ref="P70:S70"/>
    <mergeCell ref="N80:O80"/>
    <mergeCell ref="P80:R80"/>
    <mergeCell ref="I80:M80"/>
    <mergeCell ref="L82:S82"/>
    <mergeCell ref="P90:R90"/>
    <mergeCell ref="D92:K92"/>
    <mergeCell ref="L92:S92"/>
    <mergeCell ref="B93:C93"/>
    <mergeCell ref="D93:E93"/>
    <mergeCell ref="F93:G93"/>
    <mergeCell ref="H93:I93"/>
    <mergeCell ref="J93:K93"/>
    <mergeCell ref="L93:M93"/>
    <mergeCell ref="N93:O93"/>
    <mergeCell ref="P93:R93"/>
    <mergeCell ref="J94:K94"/>
    <mergeCell ref="L94:M94"/>
    <mergeCell ref="N94:O94"/>
    <mergeCell ref="P94:R94"/>
    <mergeCell ref="B95:C95"/>
    <mergeCell ref="D95:E95"/>
    <mergeCell ref="F95:G95"/>
    <mergeCell ref="H95:I95"/>
    <mergeCell ref="J95:K95"/>
    <mergeCell ref="L95:M95"/>
    <mergeCell ref="N95:O95"/>
    <mergeCell ref="P95:R95"/>
    <mergeCell ref="B96:C96"/>
    <mergeCell ref="D96:E96"/>
    <mergeCell ref="F96:G96"/>
    <mergeCell ref="H96:I96"/>
    <mergeCell ref="J96:K96"/>
    <mergeCell ref="L96:M96"/>
    <mergeCell ref="N96:O96"/>
    <mergeCell ref="P96:R96"/>
    <mergeCell ref="B97:C97"/>
    <mergeCell ref="D97:E97"/>
    <mergeCell ref="F97:G97"/>
    <mergeCell ref="H97:I97"/>
    <mergeCell ref="J97:K97"/>
    <mergeCell ref="L97:M97"/>
    <mergeCell ref="N97:O97"/>
    <mergeCell ref="P97:R97"/>
    <mergeCell ref="B98:C98"/>
    <mergeCell ref="D98:E98"/>
    <mergeCell ref="F98:G98"/>
    <mergeCell ref="H98:I98"/>
    <mergeCell ref="J98:K98"/>
    <mergeCell ref="L98:M98"/>
    <mergeCell ref="N98:O98"/>
    <mergeCell ref="P98:R98"/>
    <mergeCell ref="I100:M100"/>
    <mergeCell ref="N100:O100"/>
    <mergeCell ref="P100:R100"/>
    <mergeCell ref="D102:K102"/>
    <mergeCell ref="L102:S102"/>
    <mergeCell ref="B103:C103"/>
    <mergeCell ref="D103:E103"/>
    <mergeCell ref="F103:G103"/>
    <mergeCell ref="H103:I103"/>
    <mergeCell ref="J103:K103"/>
    <mergeCell ref="L103:M103"/>
    <mergeCell ref="N103:O103"/>
    <mergeCell ref="P103:R103"/>
    <mergeCell ref="B104:C104"/>
    <mergeCell ref="D104:E104"/>
    <mergeCell ref="F104:G104"/>
    <mergeCell ref="H104:I104"/>
    <mergeCell ref="J104:K104"/>
    <mergeCell ref="L104:M104"/>
    <mergeCell ref="N104:O104"/>
    <mergeCell ref="P104:R104"/>
    <mergeCell ref="B105:C105"/>
    <mergeCell ref="D105:E105"/>
    <mergeCell ref="F105:G105"/>
    <mergeCell ref="H105:I105"/>
    <mergeCell ref="J105:K105"/>
    <mergeCell ref="L105:M105"/>
    <mergeCell ref="N105:O105"/>
    <mergeCell ref="P105:R105"/>
    <mergeCell ref="P108:R108"/>
    <mergeCell ref="O114:Q114"/>
    <mergeCell ref="R114:S114"/>
    <mergeCell ref="B106:C106"/>
    <mergeCell ref="D106:E106"/>
    <mergeCell ref="F106:G106"/>
    <mergeCell ref="H106:I106"/>
    <mergeCell ref="J106:K106"/>
    <mergeCell ref="L106:M106"/>
    <mergeCell ref="N106:O106"/>
    <mergeCell ref="P106:R106"/>
    <mergeCell ref="B107:C107"/>
    <mergeCell ref="D107:E107"/>
    <mergeCell ref="F107:G107"/>
    <mergeCell ref="H107:I107"/>
    <mergeCell ref="J107:K107"/>
    <mergeCell ref="L107:M107"/>
    <mergeCell ref="N107:O107"/>
    <mergeCell ref="P107:R107"/>
    <mergeCell ref="F158:G158"/>
    <mergeCell ref="H158:I158"/>
    <mergeCell ref="J158:K158"/>
    <mergeCell ref="L158:N158"/>
    <mergeCell ref="B108:C108"/>
    <mergeCell ref="D108:E108"/>
    <mergeCell ref="F108:G108"/>
    <mergeCell ref="H108:I108"/>
    <mergeCell ref="J108:K108"/>
    <mergeCell ref="L108:M108"/>
    <mergeCell ref="N108:O108"/>
    <mergeCell ref="H123:I123"/>
    <mergeCell ref="J123:K123"/>
    <mergeCell ref="L123:M123"/>
    <mergeCell ref="N123:O123"/>
    <mergeCell ref="J130:K130"/>
    <mergeCell ref="L130:M130"/>
    <mergeCell ref="N130:O130"/>
    <mergeCell ref="B122:C122"/>
    <mergeCell ref="L131:M131"/>
    <mergeCell ref="N131:O131"/>
    <mergeCell ref="L133:M133"/>
    <mergeCell ref="N133:O133"/>
    <mergeCell ref="I137:M137"/>
    <mergeCell ref="B153:F153"/>
    <mergeCell ref="F156:G156"/>
    <mergeCell ref="H156:I156"/>
    <mergeCell ref="J156:K156"/>
    <mergeCell ref="L156:N156"/>
    <mergeCell ref="F157:G157"/>
    <mergeCell ref="H157:I157"/>
    <mergeCell ref="J157:K157"/>
    <mergeCell ref="L157:N157"/>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2023-07-24T14:37:41Z</cp:lastPrinted>
  <dcterms:created xsi:type="dcterms:W3CDTF">2012-07-25T22:15:54Z</dcterms:created>
  <dcterms:modified xsi:type="dcterms:W3CDTF">2026-05-05T18:16:05Z</dcterms:modified>
</cp:coreProperties>
</file>