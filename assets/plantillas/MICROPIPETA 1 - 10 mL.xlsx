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E6F56C2-22E4-436B-95F0-71E2CBA15CC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D110" i="29" l="1"/>
  <c r="D112" i="29"/>
  <c r="K109" i="29" s="1"/>
  <c r="A115" i="29" s="1"/>
  <c r="F109" i="29"/>
  <c r="E32" i="29"/>
  <c r="J29" i="29"/>
  <c r="E29" i="29"/>
  <c r="F32" i="29" s="1"/>
  <c r="J30" i="29"/>
  <c r="C35" i="29"/>
  <c r="D35" i="29" s="1"/>
  <c r="E35" i="29" s="1"/>
  <c r="C29" i="29"/>
  <c r="C151" i="29"/>
  <c r="C152" i="29" s="1"/>
  <c r="K150" i="29" s="1"/>
  <c r="A156" i="29" s="1"/>
  <c r="E161" i="29" s="1"/>
  <c r="H150" i="29"/>
  <c r="J117" i="29" l="1"/>
  <c r="C117" i="29"/>
  <c r="C118" i="29" s="1"/>
  <c r="C119" i="29" s="1"/>
  <c r="E117" i="29"/>
  <c r="J118" i="29"/>
  <c r="E120" i="29"/>
  <c r="G29" i="29"/>
  <c r="H29" i="29" s="1"/>
  <c r="D29" i="29"/>
  <c r="C30" i="29"/>
  <c r="C31" i="29" s="1"/>
  <c r="K29" i="29" s="1"/>
  <c r="A35" i="29" s="1"/>
  <c r="C158" i="29"/>
  <c r="C159" i="29" s="1"/>
  <c r="C160" i="29" s="1"/>
  <c r="J159" i="29"/>
  <c r="E158" i="29"/>
  <c r="D158" i="29" s="1"/>
  <c r="D159" i="29" s="1"/>
  <c r="J158" i="29"/>
  <c r="K158" i="29"/>
  <c r="F161" i="29"/>
  <c r="G158" i="29" s="1"/>
  <c r="H158" i="29" s="1"/>
  <c r="D161" i="29"/>
  <c r="F120" i="29" l="1"/>
  <c r="G117" i="29" s="1"/>
  <c r="D117" i="29"/>
  <c r="K117" i="29"/>
  <c r="F29" i="29"/>
  <c r="E40" i="29"/>
  <c r="E37" i="29"/>
  <c r="C37" i="29"/>
  <c r="C38" i="29" s="1"/>
  <c r="C39" i="29" s="1"/>
  <c r="J38" i="29"/>
  <c r="J37" i="29"/>
  <c r="D32" i="29"/>
  <c r="D30" i="29"/>
  <c r="F158" i="29"/>
  <c r="F117" i="29" l="1"/>
  <c r="H117" i="29"/>
  <c r="D120" i="29"/>
  <c r="D118" i="29"/>
  <c r="K37" i="29"/>
  <c r="B3" i="29" s="1"/>
  <c r="F40" i="29"/>
  <c r="G37" i="29" s="1"/>
  <c r="D37" i="29"/>
  <c r="D40" i="29" l="1"/>
  <c r="D38" i="29"/>
  <c r="H37" i="29"/>
  <c r="F37" i="29"/>
</calcChain>
</file>

<file path=xl/sharedStrings.xml><?xml version="1.0" encoding="utf-8"?>
<sst xmlns="http://schemas.openxmlformats.org/spreadsheetml/2006/main" count="964" uniqueCount="167">
  <si>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</si>
  <si>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</si>
  <si>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</si>
  <si>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</si>
  <si>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</si>
  <si>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</si>
  <si>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</si>
  <si>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</si>
  <si>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</si>
  <si>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</si>
  <si>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</si>
  <si>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</si>
  <si>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</si>
  <si>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</si>
  <si>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</si>
  <si>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</si>
  <si>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</si>
  <si>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</si>
  <si>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</si>
  <si>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</si>
  <si>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</si>
  <si>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</si>
  <si>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</si>
  <si>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</si>
  <si>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</si>
  <si>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</si>
  <si>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</si>
  <si>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</si>
  <si>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</si>
  <si>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</si>
  <si>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</si>
  <si>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</si>
  <si>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</si>
  <si>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</si>
  <si>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</si>
  <si>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</si>
  <si>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</si>
  <si>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</si>
  <si>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</si>
  <si>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</si>
  <si>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</si>
  <si>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</si>
  <si>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</si>
  <si>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</si>
  <si>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</si>
  <si>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</si>
  <si>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</si>
  <si>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</si>
  <si>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</si>
  <si>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</si>
  <si>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</si>
  <si>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</si>
  <si>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</si>
  <si>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</si>
  <si>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</si>
  <si>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</si>
  <si>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</si>
  <si>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</si>
  <si>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</si>
  <si>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</si>
  <si>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</si>
  <si>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</si>
  <si>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</si>
  <si>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</si>
  <si>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</si>
  <si>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</si>
  <si>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</si>
  <si>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</si>
  <si>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</si>
  <si>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</si>
  <si>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</si>
  <si>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</si>
  <si>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</si>
  <si>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</si>
  <si>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</si>
  <si>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</si>
  <si>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</si>
  <si>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</si>
  <si>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</si>
  <si>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</si>
  <si>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</si>
  <si>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</si>
  <si>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</si>
  <si>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</si>
  <si>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</si>
  <si>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</si>
  <si>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</si>
  <si>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</si>
  <si>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</si>
  <si>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</si>
  <si>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</si>
  <si>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</si>
  <si>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</si>
  <si>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</si>
  <si>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</si>
  <si>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</si>
  <si>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</si>
  <si>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</si>
  <si>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</si>
  <si>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</si>
  <si>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</si>
  <si>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</si>
  <si>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</si>
  <si>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</si>
  <si>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</si>
  <si>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</si>
  <si>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</si>
  <si>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</si>
  <si>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</si>
  <si>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</si>
  <si>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</si>
  <si>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</si>
  <si>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</si>
  <si>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</si>
  <si>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</si>
  <si>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</si>
  <si>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</si>
  <si>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</si>
  <si>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</si>
  <si>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</si>
  <si>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</si>
  <si>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</si>
  <si>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</si>
  <si>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</si>
  <si>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</si>
  <si>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</si>
  <si>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</si>
  <si>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</si>
  <si>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</si>
  <si>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</si>
  <si>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</si>
  <si>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</si>
  <si>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</si>
  <si>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</si>
  <si>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</si>
  <si>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</si>
  <si>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</si>
  <si>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</si>
  <si>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*µL= Microlitros</t>
  </si>
  <si>
    <t>Intrumento</t>
  </si>
  <si>
    <t>Marca</t>
  </si>
  <si>
    <t>Modelo</t>
  </si>
  <si>
    <t>Serie</t>
  </si>
  <si>
    <t>Ubicación</t>
  </si>
  <si>
    <t>Número de Certificado</t>
  </si>
  <si>
    <t>Fecha de Recepción</t>
  </si>
  <si>
    <t>Estado Físico:</t>
  </si>
  <si>
    <t>ING. GABRIEL DURÁN</t>
  </si>
  <si>
    <t>Inventario</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</si>
  <si>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</si>
  <si>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</si>
  <si>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</si>
  <si>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</si>
  <si>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</si>
  <si>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</si>
  <si>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</si>
  <si>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</si>
  <si>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Intervalo de medición (mL):</t>
  </si>
  <si>
    <t>Resolución (mL):</t>
  </si>
  <si>
    <t>1 a 10</t>
  </si>
  <si>
    <t>Equipo bajo prueba     (mL)</t>
  </si>
  <si>
    <t>Lectura 1 (mL)</t>
  </si>
  <si>
    <t>Lectura 2 (mL)</t>
  </si>
  <si>
    <t>Lectura 3  (mL)</t>
  </si>
  <si>
    <t>Lectura 4 (mL)</t>
  </si>
  <si>
    <t>Promedio (mL)</t>
  </si>
  <si>
    <t>Error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</si>
</sst>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2" fontId="27" fillId="0" borderId="5" xfId="0" applyNumberFormat="1" applyFont="1" applyBorder="1" applyAlignment="1">
      <alignment horizontal="center"/>
    </xf>
    <xf numFmtId="0" fontId="27" fillId="0" borderId="5" xfId="0"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itle>
    <c:autoTitleDeleted val="0"/>
    <c:plotArea>
      <c:layout>
        <c:manualLayout>
          <c:layoutTarget val="inner"/>
          <c:xMode val="edge"/>
          <c:yMode val="edge"/>
          <c:x val="0.11339924252587692"/>
          <c:y val="0.14883494187051069"/>
          <c:w val="0.84337846530651561"/>
          <c:h val="0.69888759986506388"/>
        </c:manualLayout>
      </c:layout>
      <c:scatterChart>
        <c:scatterStyle val="lineMarker"/>
        <c:varyColors val="0"/>
        <c:ser>
          <c:idx val="3"/>
          <c:order val="0"/>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1</c:v>
                </c:pt>
                <c:pt idx="1">
                  <c:v>5</c:v>
                </c:pt>
                <c:pt idx="2">
                  <c:v>10</c:v>
                </c:pt>
              </c:numCache>
            </c:numRef>
          </c:xVal>
          <c:yVal>
            <c:numRef>
              <c:f>MEDIDA!$C$6:$C$8</c:f>
              <c:numCache>
                <c:formatCode>General</c:formatCode>
                <c:ptCount val="3"/>
              </c:numCache>
            </c:numRef>
          </c:yVal>
          <c:smooth val="0"/>
          <c:extLst>
            <c:ext xmlns:c16="http://schemas.microsoft.com/office/drawing/2014/chart" uri="{C3380CC4-5D6E-409C-BE32-E72D297353CC}">
              <c16:uniqueId val="{00000006-E36F-4519-BBAD-BF3AC847D107}"/>
            </c:ext>
          </c:extLst>
        </c:ser>
        <c:ser>
          <c:idx val="4"/>
          <c:order val="1"/>
          <c:spPr>
            <a:ln w="28575">
              <a:noFill/>
            </a:ln>
          </c:spPr>
          <c:marker>
            <c:symbol val="triangle"/>
            <c:size val="7"/>
            <c:spPr>
              <a:solidFill>
                <a:schemeClr val="accent2"/>
              </a:solidFill>
            </c:spPr>
          </c:marker>
          <c:errBars>
            <c:errDir val="y"/>
            <c:errBarType val="both"/>
            <c:errValType val="cust"/>
            <c:noEndCap val="0"/>
            <c:plus>
              <c:numRef>
                <c:f>INCERTIDUMBRE!$L$4:$L$8</c:f>
                <c:numCache>
                  <c:formatCode>General</c:formatCode>
                  <c:ptCount val="5"/>
                  <c:pt idx="0">
                    <c:v>0.18</c:v>
                  </c:pt>
                  <c:pt idx="1">
                    <c:v>0.21</c:v>
                  </c:pt>
                  <c:pt idx="2">
                    <c:v>0.25</c:v>
                  </c:pt>
                  <c:pt idx="3">
                    <c:v>0</c:v>
                  </c:pt>
                  <c:pt idx="4">
                    <c:v>0</c:v>
                  </c:pt>
                </c:numCache>
              </c:numRef>
            </c:plus>
            <c:minus>
              <c:numRef>
                <c:f>INCERTIDUMBRE!$L$4:$L$8</c:f>
                <c:numCache>
                  <c:formatCode>General</c:formatCode>
                  <c:ptCount val="5"/>
                  <c:pt idx="0">
                    <c:v>0.18</c:v>
                  </c:pt>
                  <c:pt idx="1">
                    <c:v>0.21</c:v>
                  </c:pt>
                  <c:pt idx="2">
                    <c:v>0.25</c:v>
                  </c:pt>
                  <c:pt idx="3">
                    <c:v>0</c:v>
                  </c:pt>
                  <c:pt idx="4">
                    <c:v>0</c:v>
                  </c:pt>
                </c:numCache>
              </c:numRef>
            </c:minus>
            <c:spPr>
              <a:ln>
                <a:solidFill>
                  <a:schemeClr val="accent2"/>
                </a:solidFill>
              </a:ln>
            </c:spPr>
          </c:errBars>
          <c:xVal>
            <c:numRef>
              <c:f>MEDIDA!$B$6:$B$8</c:f>
              <c:numCache>
                <c:formatCode>General</c:formatCode>
                <c:ptCount val="3"/>
                <c:pt idx="0">
                  <c:v>1</c:v>
                </c:pt>
                <c:pt idx="1">
                  <c:v>5</c:v>
                </c:pt>
                <c:pt idx="2">
                  <c:v>10</c:v>
                </c:pt>
              </c:numCache>
            </c:numRef>
          </c:xVal>
          <c:yVal>
            <c:numRef>
              <c:f>MEDIDA!$N$6:$N$8</c:f>
              <c:numCache>
                <c:formatCode>0.00</c:formatCode>
                <c:ptCount val="3"/>
                <c:pt idx="0">
                  <c:v>0.13187138190089021</c:v>
                </c:pt>
                <c:pt idx="1">
                  <c:v>0.2123825268011803</c:v>
                </c:pt>
                <c:pt idx="2">
                  <c:v>0.2455605016049951</c:v>
                </c:pt>
              </c:numCache>
            </c:numRef>
          </c:yVal>
          <c:smooth val="0"/>
          <c:extLst>
            <c:ext xmlns:c16="http://schemas.microsoft.com/office/drawing/2014/chart" uri="{C3380CC4-5D6E-409C-BE32-E72D297353CC}">
              <c16:uniqueId val="{00000007-E36F-4519-BBAD-BF3AC847D107}"/>
            </c:ext>
          </c:extLst>
        </c:ser>
        <c:ser>
          <c:idx val="5"/>
          <c:order val="2"/>
          <c:spPr>
            <a:ln w="28575">
              <a:noFill/>
            </a:ln>
          </c:spPr>
          <c:errBars>
            <c:errDir val="x"/>
            <c:errBarType val="both"/>
            <c:errValType val="stdErr"/>
            <c:noEndCap val="0"/>
          </c:errBars>
          <c:errBars>
            <c:errDir val="y"/>
            <c:errBarType val="both"/>
            <c:errValType val="stdErr"/>
            <c:noEndCap val="0"/>
          </c:errBars>
          <c:xVal>
            <c:numRef>
              <c:f>MEDIDA!$B$6:$B$8</c:f>
              <c:numCache>
                <c:formatCode>General</c:formatCode>
                <c:ptCount val="3"/>
                <c:pt idx="0">
                  <c:v>1</c:v>
                </c:pt>
                <c:pt idx="1">
                  <c:v>5</c:v>
                </c:pt>
                <c:pt idx="2">
                  <c:v>10</c:v>
                </c:pt>
              </c:numCache>
            </c:numRef>
          </c:xVal>
          <c:yVal>
            <c:numRef>
              <c:f>MEDIDA!$O$6:$O$8</c:f>
              <c:numCache>
                <c:formatCode>0.00</c:formatCode>
                <c:ptCount val="3"/>
              </c:numCache>
            </c:numRef>
          </c:yVal>
          <c:smooth val="0"/>
          <c:extLst>
            <c:ext xmlns:c16="http://schemas.microsoft.com/office/drawing/2014/chart" uri="{C3380CC4-5D6E-409C-BE32-E72D297353CC}">
              <c16:uniqueId val="{00000008-E36F-4519-BBAD-BF3AC847D107}"/>
            </c:ext>
          </c:extLst>
        </c:ser>
        <c:ser>
          <c:idx val="0"/>
          <c:order val="3"/>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[2]MEDIDA!$C$6:$C$8</c:f>
              <c:numCache>
                <c:formatCode>General</c:formatCode>
                <c:ptCount val="3"/>
              </c:numCache>
            </c:numRef>
          </c:yVal>
          <c:smooth val="0"/>
          <c:extLst>
            <c:ext xmlns:c16="http://schemas.microsoft.com/office/drawing/2014/chart" uri="{C3380CC4-5D6E-409C-BE32-E72D297353CC}">
              <c16:uniqueId val="{00000001-E36F-4519-BBAD-BF3AC847D107}"/>
            </c:ext>
          </c:extLst>
        </c:ser>
        <c:ser>
          <c:idx val="2"/>
          <c:order val="4"/>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0.1</c:v>
                </c:pt>
                <c:pt idx="1">
                  <c:v>1.5</c:v>
                </c:pt>
                <c:pt idx="2">
                  <c:v>2.5</c:v>
                </c:pt>
              </c:numCache>
            </c:numRef>
          </c:xVal>
          <c:yVal>
            <c:numRef>
              <c:f>[2]MEDIDA!$O$6:$O$8</c:f>
              <c:numCache>
                <c:formatCode>General</c:formatCode>
                <c:ptCount val="3"/>
              </c:numCache>
            </c:numRef>
          </c:yVal>
          <c:smooth val="0"/>
          <c:extLst>
            <c:ext xmlns:c16="http://schemas.microsoft.com/office/drawing/2014/chart" uri="{C3380CC4-5D6E-409C-BE32-E72D297353CC}">
              <c16:uniqueId val="{00000005-E36F-4519-BBAD-BF3AC847D107}"/>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(mL)</a:t>
                </a:r>
              </a:p>
            </c:rich>
          </c:tx>
          <c:layout>
            <c:manualLayout>
              <c:xMode val="edge"/>
              <c:yMode val="edge"/>
              <c:x val="0.44605938019215496"/>
              <c:y val="0.9097216257058774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(mL)</a:t>
                </a:r>
              </a:p>
            </c:rich>
          </c:tx>
          <c:layout>
            <c:manualLayout>
              <c:xMode val="edge"/>
              <c:yMode val="edge"/>
              <c:x val="1.3018613499000698E-2"/>
              <c:y val="0.2156562913961773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22860</xdr:colOff>
      <xdr:row>86</xdr:row>
      <xdr:rowOff>190500</xdr:rowOff>
    </xdr:from>
    <xdr:to>
      <xdr:col>18</xdr:col>
      <xdr:colOff>312420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MICROPIPETA%200,1%20-%202,5%20uL.xlsx" TargetMode="External"/><Relationship Id="rId1" Type="http://schemas.openxmlformats.org/officeDocument/2006/relationships/externalLinkPath" Target="MICROPIPETA%200,1%20-%202,5%20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row r="6">
          <cell r="B6">
            <v>0.1</v>
          </cell>
        </row>
        <row r="7">
          <cell r="B7">
            <v>1.5</v>
          </cell>
        </row>
        <row r="8">
          <cell r="B8">
            <v>2.5</v>
          </cell>
        </row>
      </sheetData>
      <sheetData sheetId="3"/>
      <sheetData sheetId="4">
        <row r="4">
          <cell r="L4">
            <v>0.01</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3" sqref="D23"/>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139</v>
      </c>
      <c r="B2" s="98" t="s">
        <v>140</v>
      </c>
      <c r="C2" s="98" t="s">
        <v>141</v>
      </c>
      <c r="D2" s="98" t="s">
        <v>142</v>
      </c>
      <c r="E2" s="98" t="s">
        <v>143</v>
      </c>
      <c r="F2" s="98" t="s">
        <v>148</v>
      </c>
      <c r="G2" s="98" t="s">
        <v>144</v>
      </c>
      <c r="H2" s="98" t="s">
        <v>145</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146</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0,210000</v>
      </c>
      <c r="D2" t="str">
        <f>RIGHT(C2,1)</f>
        <v>0</v>
      </c>
      <c r="E2">
        <f>D2/1000000</f>
        <v>0</v>
      </c>
      <c r="F2" s="30">
        <f>A3-E2</f>
        <v>0.21</v>
      </c>
      <c r="H2" t="str">
        <f>IF(C7=5,IF(AND(D3=0,D8=FALSE),J5,J6),J6)</f>
        <v>0,2100</v>
      </c>
      <c r="K2" s="27"/>
    </row>
    <row r="3" spans="1:11" ht="18.600000000000001" thickBot="1" x14ac:dyDescent="0.4">
      <c r="A3" s="29">
        <f>INCERTIDUMBRE!L5</f>
        <v>0.21</v>
      </c>
      <c r="B3" s="28" t="str">
        <f>IF(A3&gt;=10,K37,IF(A3&gt;=1,K29,IF(A3&gt;=0.1,K21,IF(A3&gt;=0.01,K13,IF(A3&gt;=0.001,K5)))))</f>
        <v>0,21</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21</v>
      </c>
      <c r="D5" t="str">
        <f>LEFT(C5,1)</f>
        <v>2</v>
      </c>
      <c r="E5" s="30">
        <f>TRUNC(A3)</f>
        <v>0</v>
      </c>
      <c r="F5" s="14" t="str">
        <f>FIXED(A3-E5,G5)</f>
        <v>0,21</v>
      </c>
      <c r="G5">
        <f>ABS(E8-F8)</f>
        <v>2</v>
      </c>
      <c r="H5" t="str">
        <f>RIGHT(A3,G5)</f>
        <v>21</v>
      </c>
      <c r="I5">
        <v>5.0000000000000002E-5</v>
      </c>
      <c r="J5" s="14">
        <f>(A3-I5)</f>
        <v>0.20995</v>
      </c>
      <c r="K5" s="45" t="str">
        <f>IF(C7=5,IF(AND(D3=0,D8=FALSE),J5,J6),J6)</f>
        <v>0,2100</v>
      </c>
    </row>
    <row r="6" spans="1:11" hidden="1" x14ac:dyDescent="0.3">
      <c r="A6" s="31"/>
      <c r="C6" t="str">
        <f>RIGHT(C5,1)</f>
        <v>1</v>
      </c>
      <c r="D6">
        <f>D5+0</f>
        <v>2</v>
      </c>
      <c r="J6" t="str">
        <f>FIXED(A3,4)</f>
        <v>0,2100</v>
      </c>
      <c r="K6" s="27"/>
    </row>
    <row r="7" spans="1:11" hidden="1" x14ac:dyDescent="0.3">
      <c r="A7" s="31"/>
      <c r="C7">
        <f>C6+0</f>
        <v>1</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0,2100</v>
      </c>
      <c r="C11" t="str">
        <f>FIXED(A3,5)</f>
        <v>0,21000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0,2100</v>
      </c>
      <c r="G13">
        <f>ABS(E16-F16)</f>
        <v>4</v>
      </c>
      <c r="H13" t="str">
        <f>RIGHT(A11,G13)</f>
        <v>2100</v>
      </c>
      <c r="I13">
        <v>5.0000000000000001E-4</v>
      </c>
      <c r="J13" s="44">
        <f>(A11-I13)</f>
        <v>0.20949999999999999</v>
      </c>
      <c r="K13" s="43" t="str">
        <f>IF(C15=5,IF(AND(E11=0,D16=FALSE),J13,J14),J14)</f>
        <v>0,210</v>
      </c>
    </row>
    <row r="14" spans="1:11" hidden="1" x14ac:dyDescent="0.3">
      <c r="A14" s="31"/>
      <c r="C14" t="str">
        <f>RIGHT(C13,1)</f>
        <v>0</v>
      </c>
      <c r="D14">
        <f>D13+0</f>
        <v>0</v>
      </c>
      <c r="J14" t="str">
        <f>FIXED(A11,3)</f>
        <v>0,210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0,210</v>
      </c>
      <c r="C19" t="str">
        <f>FIXED(A11,4)</f>
        <v>0,2100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10</v>
      </c>
      <c r="D21" t="str">
        <f>LEFT(C21,1)</f>
        <v>1</v>
      </c>
      <c r="E21" s="36">
        <f>TRUNC(A19)</f>
        <v>0</v>
      </c>
      <c r="F21" s="14" t="str">
        <f>FIXED(A19-E21,G21)</f>
        <v>0,210</v>
      </c>
      <c r="G21">
        <f>ABS(E24-F24)</f>
        <v>3</v>
      </c>
      <c r="H21" t="str">
        <f>RIGHT(A19,G21)</f>
        <v>210</v>
      </c>
      <c r="I21">
        <v>5.0000000000000001E-3</v>
      </c>
      <c r="J21" s="2">
        <f>(A19-I21)</f>
        <v>0.20499999999999999</v>
      </c>
      <c r="K21" s="41" t="str">
        <f>IF(C23=5,IF(AND(E19=0,D24=FALSE),J21,J22),J22)</f>
        <v>0,21</v>
      </c>
    </row>
    <row r="22" spans="1:11" ht="18" hidden="1" x14ac:dyDescent="0.35">
      <c r="A22" s="31"/>
      <c r="C22" t="str">
        <f>RIGHT(C21,1)</f>
        <v>0</v>
      </c>
      <c r="D22">
        <f>D21+0</f>
        <v>1</v>
      </c>
      <c r="J22" t="str">
        <f>FIXED(A19,2)</f>
        <v>0,21</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0,21</v>
      </c>
      <c r="C27" t="str">
        <f>FIXED(A19,3)</f>
        <v>0,210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21</v>
      </c>
      <c r="D29" t="str">
        <f>LEFT(C29,1)</f>
        <v>2</v>
      </c>
      <c r="E29" s="36">
        <f>TRUNC(A27)</f>
        <v>0</v>
      </c>
      <c r="F29" s="14" t="str">
        <f>FIXED(A27-E29,G29)</f>
        <v>0,21</v>
      </c>
      <c r="G29">
        <f>ABS(E32-F32)</f>
        <v>2</v>
      </c>
      <c r="H29" t="str">
        <f>RIGHT(A27,G29)</f>
        <v>21</v>
      </c>
      <c r="I29">
        <v>0.05</v>
      </c>
      <c r="J29" s="2">
        <f>(A27-I29)</f>
        <v>0.15999999999999998</v>
      </c>
      <c r="K29" s="41" t="str">
        <f>IF(C31=5,IF(AND(E27=0,D32=FALSE),J29,J30),J30)</f>
        <v>0,2</v>
      </c>
    </row>
    <row r="30" spans="1:11" hidden="1" x14ac:dyDescent="0.3">
      <c r="A30" s="31"/>
      <c r="C30" t="str">
        <f>RIGHT(C29,1)</f>
        <v>1</v>
      </c>
      <c r="D30">
        <f>D29+0</f>
        <v>2</v>
      </c>
      <c r="J30" t="str">
        <f>FIXED(A27,1)</f>
        <v>0,2</v>
      </c>
      <c r="K30" s="40"/>
    </row>
    <row r="31" spans="1:11" hidden="1" x14ac:dyDescent="0.3">
      <c r="A31" s="31"/>
      <c r="C31">
        <f>C30+0</f>
        <v>1</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0,2</v>
      </c>
      <c r="C35" t="str">
        <f>FIXED(A27,2)</f>
        <v>0,21</v>
      </c>
      <c r="D35" t="str">
        <f>RIGHT(C35,1)</f>
        <v>1</v>
      </c>
      <c r="E35">
        <f>D35+0</f>
        <v>1</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,2</v>
      </c>
      <c r="D37" t="str">
        <f>RIGHT(E37,1)</f>
        <v>0</v>
      </c>
      <c r="E37" s="36">
        <f>TRUNC(A35)</f>
        <v>0</v>
      </c>
      <c r="F37" s="14" t="str">
        <f>FIXED(A35-E37,G37)</f>
        <v>0,2</v>
      </c>
      <c r="G37">
        <f>ABS(E40-F40)</f>
        <v>1</v>
      </c>
      <c r="H37" t="str">
        <f>RIGHT(A35,G37)</f>
        <v>2</v>
      </c>
      <c r="I37">
        <v>0.5</v>
      </c>
      <c r="J37" s="12">
        <f>(A35-I37)</f>
        <v>-0.3</v>
      </c>
      <c r="K37" s="35" t="str">
        <f>IF(C39=5,IF(AND(E35=0,D40=FALSE),J37,J38),J38)</f>
        <v>0</v>
      </c>
    </row>
    <row r="38" spans="1:11" hidden="1" x14ac:dyDescent="0.3">
      <c r="A38" s="31"/>
      <c r="C38" t="str">
        <f>RIGHT(C37,1)</f>
        <v>2</v>
      </c>
      <c r="D38">
        <f>D37+0</f>
        <v>0</v>
      </c>
      <c r="J38" t="str">
        <f>FIXED(A35,0)</f>
        <v>0</v>
      </c>
      <c r="K38" s="34"/>
    </row>
    <row r="39" spans="1:11" hidden="1" x14ac:dyDescent="0.3">
      <c r="A39" s="31"/>
      <c r="C39">
        <f>C38+0</f>
        <v>2</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0,250000</v>
      </c>
      <c r="D82" t="str">
        <f>RIGHT(C82,1)</f>
        <v>0</v>
      </c>
      <c r="E82">
        <f>D82/1000000</f>
        <v>0</v>
      </c>
      <c r="F82" s="30">
        <f>A83-E82</f>
        <v>0.25</v>
      </c>
      <c r="H82">
        <f>IF(C87=5,IF(AND(D83=0,D88=FALSE),J85,J86),J86)</f>
        <v>0.24995000000000001</v>
      </c>
      <c r="K82" s="27"/>
    </row>
    <row r="83" spans="1:11" ht="18.600000000000001" thickBot="1" x14ac:dyDescent="0.4">
      <c r="A83" s="29">
        <f>INCERTIDUMBRE!L6</f>
        <v>0.25</v>
      </c>
      <c r="B83" s="28" t="str">
        <f>IF(A83&gt;=10,K117,IF(A83&gt;=1,K109,IF(A83&gt;=0.1,K101,IF(A83&gt;=0.01,K93,IF(A83&gt;=0.001,K85)))))</f>
        <v>0,25</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25</v>
      </c>
      <c r="D85" t="str">
        <f>LEFT(C85,1)</f>
        <v>2</v>
      </c>
      <c r="E85" s="30">
        <f>TRUNC(A83)</f>
        <v>0</v>
      </c>
      <c r="F85" s="14" t="str">
        <f>FIXED(A83-E85,G85)</f>
        <v>0,25</v>
      </c>
      <c r="G85">
        <f>ABS(E88-F88)</f>
        <v>2</v>
      </c>
      <c r="H85" t="str">
        <f>RIGHT(A83,G85)</f>
        <v>25</v>
      </c>
      <c r="I85">
        <v>5.0000000000000002E-5</v>
      </c>
      <c r="J85" s="14">
        <f>(A83-I85)</f>
        <v>0.24995000000000001</v>
      </c>
      <c r="K85" s="45">
        <f>IF(C87=5,IF(AND(D83=0,D88=FALSE),J85,J86),J86)</f>
        <v>0.24995000000000001</v>
      </c>
    </row>
    <row r="86" spans="1:11" hidden="1" x14ac:dyDescent="0.3">
      <c r="A86" s="31"/>
      <c r="C86" t="str">
        <f>RIGHT(C85,1)</f>
        <v>5</v>
      </c>
      <c r="D86">
        <f>D85+0</f>
        <v>2</v>
      </c>
      <c r="J86" t="str">
        <f>FIXED(A83,4)</f>
        <v>0,2500</v>
      </c>
      <c r="K86" s="27"/>
    </row>
    <row r="87" spans="1:11" hidden="1" x14ac:dyDescent="0.3">
      <c r="A87" s="31"/>
      <c r="C87">
        <f>C86+0</f>
        <v>5</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f>K85</f>
        <v>0.24995000000000001</v>
      </c>
      <c r="C91" t="str">
        <f>FIXED(A83,5)</f>
        <v>0,25000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95</v>
      </c>
      <c r="D93" t="str">
        <f>LEFT(C93,1)</f>
        <v>9</v>
      </c>
      <c r="E93" s="36">
        <f>TRUNC(A91)</f>
        <v>0</v>
      </c>
      <c r="F93" s="14" t="str">
        <f>FIXED(A91-E93,G93)</f>
        <v>0,24995</v>
      </c>
      <c r="G93">
        <f>ABS(E96-F96)</f>
        <v>5</v>
      </c>
      <c r="H93" t="str">
        <f>RIGHT(A91,G93)</f>
        <v>24995</v>
      </c>
      <c r="I93">
        <v>5.0000000000000001E-4</v>
      </c>
      <c r="J93" s="44">
        <f>(A91-I93)</f>
        <v>0.24945000000000001</v>
      </c>
      <c r="K93" s="43" t="str">
        <f>IF(C95=5,IF(AND(E91=0,D96=FALSE),J93,J94),J94)</f>
        <v>0,250</v>
      </c>
    </row>
    <row r="94" spans="1:11" hidden="1" x14ac:dyDescent="0.3">
      <c r="A94" s="31"/>
      <c r="C94" t="str">
        <f>RIGHT(C93,1)</f>
        <v>5</v>
      </c>
      <c r="D94">
        <f>D93+0</f>
        <v>9</v>
      </c>
      <c r="J94" t="str">
        <f>FIXED(A91,3)</f>
        <v>0,250</v>
      </c>
      <c r="K94" s="27"/>
    </row>
    <row r="95" spans="1:11" hidden="1" x14ac:dyDescent="0.3">
      <c r="A95" s="31"/>
      <c r="C95">
        <f>C94+0</f>
        <v>5</v>
      </c>
      <c r="D95" t="s">
        <v>34</v>
      </c>
      <c r="E95" t="s">
        <v>33</v>
      </c>
      <c r="F95" t="s">
        <v>32</v>
      </c>
      <c r="K95" s="27"/>
    </row>
    <row r="96" spans="1:11" hidden="1" x14ac:dyDescent="0.3">
      <c r="A96" s="31"/>
      <c r="D96" t="b">
        <f>ISODD(D93)</f>
        <v>1</v>
      </c>
      <c r="E96">
        <f>LEN(A91)</f>
        <v>7</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0,250</v>
      </c>
      <c r="C99" t="str">
        <f>FIXED(A91,4)</f>
        <v>0,2500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50</v>
      </c>
      <c r="D101" t="str">
        <f>LEFT(C101,1)</f>
        <v>5</v>
      </c>
      <c r="E101" s="36">
        <f>TRUNC(A99)</f>
        <v>0</v>
      </c>
      <c r="F101" s="14" t="str">
        <f>FIXED(A99-E101,G101)</f>
        <v>0,250</v>
      </c>
      <c r="G101">
        <f>ABS(E104-F104)</f>
        <v>3</v>
      </c>
      <c r="H101" t="str">
        <f>RIGHT(A99,G101)</f>
        <v>250</v>
      </c>
      <c r="I101">
        <v>5.0000000000000001E-3</v>
      </c>
      <c r="J101" s="2">
        <f>(A99-I101)</f>
        <v>0.245</v>
      </c>
      <c r="K101" s="41" t="str">
        <f>IF(C103=5,IF(AND(E99=0,D104=FALSE),J101,J102),J102)</f>
        <v>0,25</v>
      </c>
    </row>
    <row r="102" spans="1:11" ht="18" hidden="1" x14ac:dyDescent="0.35">
      <c r="A102" s="31"/>
      <c r="C102" t="str">
        <f>RIGHT(C101,1)</f>
        <v>0</v>
      </c>
      <c r="D102">
        <f>D101+0</f>
        <v>5</v>
      </c>
      <c r="J102" t="str">
        <f>FIXED(A99,2)</f>
        <v>0,25</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0,25</v>
      </c>
      <c r="C107" t="str">
        <f>FIXED(A99,3)</f>
        <v>0,250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25</v>
      </c>
      <c r="D109" t="str">
        <f>LEFT(C109,1)</f>
        <v>2</v>
      </c>
      <c r="E109" s="36">
        <f>TRUNC(A107)</f>
        <v>0</v>
      </c>
      <c r="F109" s="14" t="str">
        <f>FIXED(A107-E109,G109)</f>
        <v>0,25</v>
      </c>
      <c r="G109">
        <f>ABS(E112-F112)</f>
        <v>2</v>
      </c>
      <c r="H109" t="str">
        <f>RIGHT(A107,G109)</f>
        <v>25</v>
      </c>
      <c r="I109">
        <v>0.05</v>
      </c>
      <c r="J109" s="2">
        <f>(A107-I109)</f>
        <v>0.2</v>
      </c>
      <c r="K109" s="41">
        <f>IF(C111=5,IF(AND(E107=0,D112=FALSE),J109,J110),J110)</f>
        <v>0.2</v>
      </c>
    </row>
    <row r="110" spans="1:11" hidden="1" x14ac:dyDescent="0.3">
      <c r="A110" s="31"/>
      <c r="C110" t="str">
        <f>RIGHT(C109,1)</f>
        <v>5</v>
      </c>
      <c r="D110">
        <f>D109+0</f>
        <v>2</v>
      </c>
      <c r="J110" t="str">
        <f>FIXED(A107,1)</f>
        <v>0,3</v>
      </c>
      <c r="K110" s="40"/>
    </row>
    <row r="111" spans="1:11" hidden="1" x14ac:dyDescent="0.3">
      <c r="A111" s="31"/>
      <c r="C111">
        <f>C110+0</f>
        <v>5</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f>K109</f>
        <v>0.2</v>
      </c>
      <c r="C115" t="str">
        <f>FIXED(A107,2)</f>
        <v>0,25</v>
      </c>
      <c r="D115" t="str">
        <f>RIGHT(C115,1)</f>
        <v>5</v>
      </c>
      <c r="E115">
        <f>D115+0</f>
        <v>5</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,2</v>
      </c>
      <c r="D117" t="str">
        <f>RIGHT(E117,1)</f>
        <v>0</v>
      </c>
      <c r="E117" s="36">
        <f>TRUNC(A115)</f>
        <v>0</v>
      </c>
      <c r="F117" s="14" t="str">
        <f>FIXED(A115-E117,G117)</f>
        <v>0,2</v>
      </c>
      <c r="G117">
        <f>ABS(E120-F120)</f>
        <v>1</v>
      </c>
      <c r="H117" t="str">
        <f>RIGHT(A115,G117)</f>
        <v>2</v>
      </c>
      <c r="I117">
        <v>0.5</v>
      </c>
      <c r="J117" s="12">
        <f>(A115-I117)</f>
        <v>-0.3</v>
      </c>
      <c r="K117" s="35" t="str">
        <f>IF(C119=5,IF(AND(E115=0,D120=FALSE),J117,J118),J118)</f>
        <v>0</v>
      </c>
    </row>
    <row r="118" spans="1:11" hidden="1" x14ac:dyDescent="0.3">
      <c r="A118" s="31"/>
      <c r="C118" t="str">
        <f>RIGHT(C117,1)</f>
        <v>2</v>
      </c>
      <c r="D118">
        <f>D117+0</f>
        <v>0</v>
      </c>
      <c r="J118" t="str">
        <f>FIXED(A115,0)</f>
        <v>0</v>
      </c>
      <c r="K118" s="34"/>
    </row>
    <row r="119" spans="1:11" hidden="1" x14ac:dyDescent="0.3">
      <c r="A119" s="31"/>
      <c r="C119">
        <f>C118+0</f>
        <v>2</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F8" sqref="F8:G8"/>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9" t="s">
        <v>121</v>
      </c>
      <c r="C3" s="169"/>
      <c r="D3" s="169"/>
      <c r="E3" s="169"/>
      <c r="F3" s="169"/>
      <c r="G3" s="169"/>
      <c r="H3" s="169"/>
      <c r="I3" s="169"/>
      <c r="J3" s="169"/>
      <c r="K3" s="169"/>
      <c r="L3" s="169"/>
      <c r="M3" s="169"/>
      <c r="N3" s="169"/>
      <c r="O3" s="169"/>
      <c r="P3"/>
      <c r="Q3"/>
      <c r="R3"/>
      <c r="S3"/>
      <c r="T3"/>
      <c r="U3"/>
      <c r="V3"/>
      <c r="W3"/>
      <c r="X3"/>
      <c r="Y3"/>
      <c r="Z3"/>
      <c r="AA3"/>
      <c r="AB3"/>
      <c r="AC3"/>
      <c r="AD3"/>
      <c r="AE3"/>
      <c r="AF3"/>
    </row>
    <row r="4" spans="1:32" x14ac:dyDescent="0.3">
      <c r="A4"/>
      <c r="B4" s="111" t="s">
        <v>126</v>
      </c>
      <c r="C4" s="111"/>
      <c r="D4" s="110" t="s">
        <v>120</v>
      </c>
      <c r="E4" s="110"/>
      <c r="F4" s="110"/>
      <c r="G4" s="110"/>
      <c r="H4" s="110"/>
      <c r="I4" s="110"/>
      <c r="J4" s="110"/>
      <c r="K4" s="110"/>
      <c r="L4" s="91"/>
      <c r="M4" s="92"/>
      <c r="N4" s="92"/>
      <c r="O4" s="92"/>
      <c r="P4"/>
      <c r="Q4"/>
      <c r="R4"/>
      <c r="S4"/>
      <c r="T4"/>
      <c r="U4"/>
      <c r="V4"/>
      <c r="W4"/>
      <c r="X4"/>
      <c r="Y4"/>
      <c r="Z4"/>
      <c r="AA4"/>
      <c r="AB4"/>
      <c r="AC4"/>
      <c r="AD4"/>
      <c r="AE4"/>
      <c r="AF4"/>
    </row>
    <row r="5" spans="1:32" ht="25.8" customHeight="1" x14ac:dyDescent="0.3">
      <c r="A5"/>
      <c r="B5" s="111"/>
      <c r="C5" s="111"/>
      <c r="D5" s="156" t="s">
        <v>125</v>
      </c>
      <c r="E5" s="156"/>
      <c r="F5" s="156" t="s">
        <v>127</v>
      </c>
      <c r="G5" s="156"/>
      <c r="H5" s="156" t="s">
        <v>128</v>
      </c>
      <c r="I5" s="156"/>
      <c r="J5" s="156" t="s">
        <v>129</v>
      </c>
      <c r="K5" s="156"/>
      <c r="L5" s="111" t="s">
        <v>130</v>
      </c>
      <c r="M5" s="111"/>
      <c r="N5" s="111" t="s">
        <v>131</v>
      </c>
      <c r="O5" s="111"/>
      <c r="P5"/>
      <c r="Q5"/>
      <c r="R5"/>
      <c r="S5"/>
      <c r="T5"/>
      <c r="U5"/>
      <c r="V5"/>
      <c r="W5"/>
      <c r="X5"/>
      <c r="Y5"/>
      <c r="Z5"/>
      <c r="AA5"/>
      <c r="AB5"/>
      <c r="AC5"/>
      <c r="AD5"/>
      <c r="AE5"/>
      <c r="AF5"/>
    </row>
    <row r="6" spans="1:32" x14ac:dyDescent="0.3">
      <c r="A6"/>
      <c r="B6" s="168">
        <v>1</v>
      </c>
      <c r="C6" s="168"/>
      <c r="D6" s="167">
        <v>0.85</v>
      </c>
      <c r="E6" s="167"/>
      <c r="F6" s="167">
        <f ca="1">D6+((RAND()*(0.05)+0.008)*(RANDBETWEEN(-1,1)))</f>
        <v>0.89013732225259967</v>
      </c>
      <c r="G6" s="167"/>
      <c r="H6" s="167">
        <f ca="1">D6+((RAND()*(0.05)+0.008)*(RANDBETWEEN(-1,1)))</f>
        <v>0.85</v>
      </c>
      <c r="I6" s="167"/>
      <c r="J6" s="167">
        <f ca="1">D6+((RAND()*(0.05)+0.008)*(RANDBETWEEN(-1,1)))</f>
        <v>0.88237715014383955</v>
      </c>
      <c r="K6" s="167"/>
      <c r="L6" s="167">
        <f ca="1">AVERAGE(D6:K6)</f>
        <v>0.86812861809910979</v>
      </c>
      <c r="M6" s="167"/>
      <c r="N6" s="167">
        <f ca="1">B6-L6</f>
        <v>0.13187138190089021</v>
      </c>
      <c r="O6" s="167"/>
      <c r="P6"/>
      <c r="Q6"/>
      <c r="R6"/>
      <c r="S6"/>
      <c r="T6"/>
      <c r="U6"/>
      <c r="V6"/>
      <c r="W6"/>
      <c r="X6"/>
      <c r="Y6"/>
      <c r="Z6"/>
      <c r="AA6"/>
      <c r="AB6"/>
      <c r="AC6"/>
      <c r="AD6"/>
      <c r="AE6"/>
      <c r="AF6"/>
    </row>
    <row r="7" spans="1:32" x14ac:dyDescent="0.3">
      <c r="A7"/>
      <c r="B7" s="168">
        <v>5</v>
      </c>
      <c r="C7" s="168"/>
      <c r="D7" s="167">
        <v>4.79</v>
      </c>
      <c r="E7" s="167"/>
      <c r="F7" s="167">
        <f t="shared" ref="F7:F8" ca="1" si="0">D7+((RAND()*(0.05)+0.008)*(RANDBETWEEN(-1,1)))</f>
        <v>4.7660655493698352</v>
      </c>
      <c r="G7" s="167"/>
      <c r="H7" s="167">
        <f t="shared" ref="H7:H8" ca="1" si="1">D7+((RAND()*(0.05)+0.008)*(RANDBETWEEN(-1,1)))</f>
        <v>4.8284895082199606</v>
      </c>
      <c r="I7" s="167"/>
      <c r="J7" s="167">
        <f t="shared" ref="J7:J8" ca="1" si="2">D7+((RAND()*(0.05)+0.008)*(RANDBETWEEN(-1,1)))</f>
        <v>4.7659148352054812</v>
      </c>
      <c r="K7" s="167"/>
      <c r="L7" s="167">
        <f t="shared" ref="L7:L8" ca="1" si="3">AVERAGE(D7:K7)</f>
        <v>4.7876174731988197</v>
      </c>
      <c r="M7" s="167"/>
      <c r="N7" s="167">
        <f t="shared" ref="N7:N8" ca="1" si="4">B7-L7</f>
        <v>0.2123825268011803</v>
      </c>
      <c r="O7" s="167"/>
      <c r="P7"/>
      <c r="Q7"/>
      <c r="R7"/>
      <c r="S7"/>
      <c r="T7"/>
      <c r="U7"/>
      <c r="V7"/>
      <c r="W7"/>
      <c r="X7"/>
      <c r="Y7"/>
      <c r="Z7"/>
      <c r="AA7"/>
      <c r="AB7"/>
      <c r="AC7"/>
      <c r="AD7"/>
      <c r="AE7"/>
      <c r="AF7"/>
    </row>
    <row r="8" spans="1:32" x14ac:dyDescent="0.3">
      <c r="A8"/>
      <c r="B8" s="168">
        <v>10</v>
      </c>
      <c r="C8" s="168"/>
      <c r="D8" s="167">
        <v>9.76</v>
      </c>
      <c r="E8" s="167"/>
      <c r="F8" s="167">
        <f t="shared" ca="1" si="0"/>
        <v>9.7377579935800256</v>
      </c>
      <c r="G8" s="167"/>
      <c r="H8" s="167">
        <f t="shared" ca="1" si="1"/>
        <v>9.76</v>
      </c>
      <c r="I8" s="167"/>
      <c r="J8" s="167">
        <f t="shared" ca="1" si="2"/>
        <v>9.76</v>
      </c>
      <c r="K8" s="167"/>
      <c r="L8" s="167">
        <f t="shared" ca="1" si="3"/>
        <v>9.7544394983950049</v>
      </c>
      <c r="M8" s="167"/>
      <c r="N8" s="167">
        <f t="shared" ca="1" si="4"/>
        <v>0.2455605016049951</v>
      </c>
      <c r="O8" s="167"/>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132</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133</v>
      </c>
      <c r="H38" s="173"/>
      <c r="I38" s="173"/>
      <c r="J38" s="173"/>
      <c r="K38" s="173"/>
      <c r="L38" s="173"/>
      <c r="M38" s="174"/>
      <c r="N38" s="9"/>
      <c r="O38" s="9"/>
      <c r="P38" s="9"/>
      <c r="Q38" s="9"/>
    </row>
    <row r="39" spans="2:17" x14ac:dyDescent="0.3">
      <c r="B39" s="171" t="s">
        <v>11</v>
      </c>
      <c r="C39" s="171"/>
      <c r="D39" s="171"/>
      <c r="E39" s="171"/>
      <c r="F39" s="175"/>
      <c r="G39" s="178">
        <v>44997</v>
      </c>
      <c r="H39" s="178"/>
      <c r="I39" s="178"/>
      <c r="J39" s="178"/>
      <c r="K39" s="178"/>
      <c r="L39" s="178"/>
      <c r="M39" s="178"/>
      <c r="N39" s="10"/>
      <c r="O39" s="10"/>
      <c r="P39" s="10"/>
      <c r="Q39" s="10"/>
    </row>
    <row r="40" spans="2:17" x14ac:dyDescent="0.3">
      <c r="B40" s="171" t="s">
        <v>10</v>
      </c>
      <c r="C40" s="171"/>
      <c r="D40" s="171"/>
      <c r="E40" s="171"/>
      <c r="F40" s="171"/>
      <c r="G40" s="170" t="s">
        <v>134</v>
      </c>
      <c r="H40" s="170"/>
      <c r="I40" s="170"/>
      <c r="J40" s="170"/>
      <c r="K40" s="170"/>
      <c r="L40" s="170"/>
      <c r="M40" s="170"/>
      <c r="N40" s="9"/>
      <c r="O40" s="9"/>
      <c r="P40" s="9"/>
      <c r="Q40" s="9"/>
    </row>
    <row r="41" spans="2:17" x14ac:dyDescent="0.3">
      <c r="B41" s="171" t="s">
        <v>135</v>
      </c>
      <c r="C41" s="171"/>
      <c r="D41" s="171"/>
      <c r="E41" s="171"/>
      <c r="F41" s="171"/>
      <c r="G41" s="172">
        <v>2.7E-2</v>
      </c>
      <c r="H41" s="173"/>
      <c r="I41" s="173"/>
      <c r="J41" s="173"/>
      <c r="K41" s="173"/>
      <c r="L41" s="173"/>
      <c r="M41" s="174"/>
      <c r="N41" s="4"/>
      <c r="O41" s="4"/>
      <c r="P41" s="4"/>
      <c r="Q41" s="4"/>
    </row>
    <row r="42" spans="2:17" x14ac:dyDescent="0.3">
      <c r="B42" s="171" t="s">
        <v>136</v>
      </c>
      <c r="C42" s="171"/>
      <c r="D42" s="171"/>
      <c r="E42" s="171"/>
      <c r="F42" s="175"/>
      <c r="G42" s="172">
        <v>0.2</v>
      </c>
      <c r="H42" s="173"/>
      <c r="I42" s="173"/>
      <c r="J42" s="173"/>
      <c r="K42" s="173"/>
      <c r="L42" s="173"/>
      <c r="M42" s="174"/>
      <c r="N42" s="4"/>
      <c r="O42" s="4"/>
      <c r="P42" s="4"/>
      <c r="Q42" s="4"/>
    </row>
    <row r="43" spans="2:17" x14ac:dyDescent="0.3">
      <c r="B43" s="171" t="s">
        <v>124</v>
      </c>
      <c r="C43" s="171"/>
      <c r="D43" s="171"/>
      <c r="E43" s="171"/>
      <c r="F43" s="175"/>
      <c r="G43" s="172">
        <v>1E-4</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7" sqref="L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v>
      </c>
      <c r="C4" s="8">
        <f>PATRON!G$41/2</f>
        <v>1.35E-2</v>
      </c>
      <c r="D4" s="8">
        <f>PATRON!G$42/SQRT(3)</f>
        <v>0.11547005383792516</v>
      </c>
      <c r="E4" s="8">
        <v>0</v>
      </c>
      <c r="F4" s="8">
        <f>1/SQRT(12)</f>
        <v>0.28867513459481292</v>
      </c>
      <c r="G4" s="94">
        <f>PATRON!G$43/SQRT(12)</f>
        <v>2.8867513459481293E-5</v>
      </c>
      <c r="H4" s="7">
        <f ca="1">STDEVA(MEDIDA!D6:K6)/SQRT(4)</f>
        <v>1.0585750297421362E-2</v>
      </c>
      <c r="I4" s="8">
        <f ca="1">SQRT(SUMSQ(C4:H4))</f>
        <v>0.31138557386198767</v>
      </c>
      <c r="J4" s="15">
        <f ca="1">I4^4/(C4^4/200+D4^4/200+E4^4/200+F4^4/200+G4^4/200+H4^4/3)</f>
        <v>263.97047900654735</v>
      </c>
      <c r="K4" s="11">
        <f ca="1">TINV(0.0455,J4)</f>
        <v>2.0095526109253541</v>
      </c>
      <c r="L4" s="7">
        <v>0.18</v>
      </c>
    </row>
    <row r="5" spans="1:12" x14ac:dyDescent="0.3">
      <c r="A5" s="52"/>
      <c r="B5" s="6">
        <f>MEDIDA!B7</f>
        <v>5</v>
      </c>
      <c r="C5" s="8">
        <f>PATRON!G$41/2</f>
        <v>1.35E-2</v>
      </c>
      <c r="D5" s="8">
        <f>PATRON!G$42/SQRT(3)</f>
        <v>0.11547005383792516</v>
      </c>
      <c r="E5" s="8">
        <v>0</v>
      </c>
      <c r="F5" s="8">
        <f t="shared" ref="F5:F8" si="0">1/SQRT(12)</f>
        <v>0.28867513459481292</v>
      </c>
      <c r="G5" s="94">
        <f>PATRON!G$43/SQRT(12)</f>
        <v>2.8867513459481293E-5</v>
      </c>
      <c r="H5" s="7">
        <f ca="1">STDEVA(MEDIDA!D7:K7)/SQRT(4)</f>
        <v>1.4752653990971592E-2</v>
      </c>
      <c r="I5" s="8">
        <f ca="1">SQRT(SUMSQ(C5:H5))</f>
        <v>0.31155506463509358</v>
      </c>
      <c r="J5" s="15">
        <f ca="1">I5^4/(C5^4/200+D5^4/200+E5^4/200+F5^4/200+G5^4/200+H5^4/3)</f>
        <v>264.45951640315337</v>
      </c>
      <c r="K5" s="11">
        <f ca="1">TINV(0.0455,J5)</f>
        <v>2.0095162677856342</v>
      </c>
      <c r="L5" s="7">
        <v>0.21</v>
      </c>
    </row>
    <row r="6" spans="1:12" x14ac:dyDescent="0.3">
      <c r="A6" s="52"/>
      <c r="B6" s="6">
        <f>MEDIDA!B8</f>
        <v>10</v>
      </c>
      <c r="C6" s="8">
        <f>PATRON!G$41/2</f>
        <v>1.35E-2</v>
      </c>
      <c r="D6" s="8">
        <f>PATRON!G$42/SQRT(3)</f>
        <v>0.11547005383792516</v>
      </c>
      <c r="E6" s="8">
        <v>0</v>
      </c>
      <c r="F6" s="8">
        <f t="shared" si="0"/>
        <v>0.28867513459481292</v>
      </c>
      <c r="G6" s="94">
        <f>PATRON!G$43/SQRT(12)</f>
        <v>2.8867513459481293E-5</v>
      </c>
      <c r="H6" s="7">
        <f ca="1">STDEVA(MEDIDA!D8:K8)/SQRT(4)</f>
        <v>5.5605016049935507E-3</v>
      </c>
      <c r="I6" s="8">
        <f ca="1">SQRT(SUMSQ(C6:H6))</f>
        <v>0.31125525967941353</v>
      </c>
      <c r="J6" s="15">
        <f ca="1">I6^4/(C6^4/200+D6^4/200+E6^4/200+F6^4/200+G6^4/200+H6^4/3)</f>
        <v>263.55748823734615</v>
      </c>
      <c r="K6" s="11">
        <f t="shared" ref="K6:K7" ca="1" si="1">TINV(0.0455,J6)</f>
        <v>2.0095526109253541</v>
      </c>
      <c r="L6" s="7">
        <v>0.25</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82" zoomScaleNormal="100" workbookViewId="0">
      <selection activeCell="T93" sqref="T93"/>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f>INFORMACIÓN!G3</f>
        <v>0</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f>INFORMACIÓN!A3</f>
        <v>0</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f>INFORMACIÓN!B3</f>
        <v>0</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f>INFORMACIÓN!C3</f>
        <v>0</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f>INFORMACIÓN!D3</f>
        <v>0</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0</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0">
        <f>INFORMACIÓN!E3</f>
        <v>0</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8" t="s">
        <v>75</v>
      </c>
      <c r="D13" s="118"/>
      <c r="E13" s="118"/>
      <c r="F13" s="118"/>
      <c r="G13" s="118"/>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8" t="s">
        <v>71</v>
      </c>
      <c r="D17" s="108"/>
      <c r="E17" s="108"/>
      <c r="F17" s="108"/>
      <c r="G17" s="108"/>
      <c r="H17" s="49"/>
      <c r="I17" s="128">
        <f>INFORMACIÓN!E7</f>
        <v>0</v>
      </c>
      <c r="J17" s="128"/>
      <c r="K17" s="128"/>
      <c r="L17" s="128"/>
      <c r="M17" s="128"/>
      <c r="N17" s="128"/>
      <c r="O17" s="128"/>
      <c r="P17" s="128"/>
      <c r="Q17" s="128"/>
      <c r="R17" s="128"/>
    </row>
    <row r="18" spans="1:18" ht="16.95" customHeight="1" x14ac:dyDescent="0.3">
      <c r="B18" s="50"/>
      <c r="C18" s="108" t="s">
        <v>72</v>
      </c>
      <c r="D18" s="108"/>
      <c r="E18" s="108"/>
      <c r="F18" s="108"/>
      <c r="G18" s="108"/>
      <c r="H18" s="49"/>
      <c r="I18" s="128">
        <f>INFORMACIÓN!E8</f>
        <v>0</v>
      </c>
      <c r="J18" s="128"/>
      <c r="K18" s="128"/>
      <c r="L18" s="128"/>
      <c r="M18" s="128"/>
      <c r="N18" s="128"/>
      <c r="O18" s="128"/>
      <c r="P18" s="128"/>
      <c r="Q18" s="128"/>
      <c r="R18" s="128"/>
    </row>
    <row r="19" spans="1:18" ht="16.95" customHeight="1" x14ac:dyDescent="0.3">
      <c r="B19" s="50"/>
      <c r="C19" s="108" t="s">
        <v>89</v>
      </c>
      <c r="D19" s="108"/>
      <c r="E19" s="108"/>
      <c r="F19" s="108"/>
      <c r="G19" s="108"/>
      <c r="H19" s="49"/>
      <c r="I19" s="128">
        <f>INFORMACIÓN!E9</f>
        <v>0</v>
      </c>
      <c r="J19" s="128"/>
      <c r="K19" s="128"/>
      <c r="L19" s="128"/>
      <c r="M19" s="128"/>
      <c r="N19" s="128"/>
      <c r="O19" s="128"/>
      <c r="P19" s="128"/>
      <c r="Q19" s="128"/>
      <c r="R19" s="128"/>
    </row>
    <row r="20" spans="1:18" ht="16.95" customHeight="1" x14ac:dyDescent="0.3">
      <c r="B20" s="50"/>
      <c r="C20" s="108" t="s">
        <v>73</v>
      </c>
      <c r="D20" s="108"/>
      <c r="E20" s="108"/>
      <c r="F20" s="108"/>
      <c r="G20" s="108"/>
      <c r="H20" s="49"/>
      <c r="I20" s="128">
        <f>INFORMACIÓN!E10</f>
        <v>0</v>
      </c>
      <c r="J20" s="128"/>
      <c r="K20" s="128"/>
      <c r="L20" s="128"/>
      <c r="M20" s="128"/>
      <c r="N20" s="128"/>
      <c r="O20" s="128"/>
      <c r="P20" s="128"/>
      <c r="Q20" s="128"/>
      <c r="R20" s="128"/>
    </row>
    <row r="21" spans="1:18" ht="16.95" customHeight="1" x14ac:dyDescent="0.3">
      <c r="B21" s="50"/>
      <c r="C21" s="108" t="s">
        <v>74</v>
      </c>
      <c r="D21" s="108"/>
      <c r="E21" s="108"/>
      <c r="F21" s="108"/>
      <c r="G21" s="108"/>
      <c r="H21" s="49"/>
      <c r="I21" s="128">
        <f>INFORMACIÓN!E11</f>
        <v>0</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149</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8" t="s">
        <v>77</v>
      </c>
      <c r="J31" s="108"/>
      <c r="K31" s="108"/>
      <c r="L31" s="108"/>
      <c r="M31" s="128" t="str">
        <f>INFORMACIÓN!B15</f>
        <v>ING. GABRIEL DURÁN</v>
      </c>
      <c r="N31" s="128"/>
      <c r="O31" s="128"/>
      <c r="P31" s="128"/>
      <c r="Q31" s="128"/>
      <c r="R31" s="128"/>
    </row>
    <row r="32" spans="1:18" ht="16.95" customHeight="1" x14ac:dyDescent="0.3">
      <c r="F32" s="50"/>
      <c r="G32" s="50"/>
      <c r="H32" s="50"/>
      <c r="I32" s="108" t="s">
        <v>78</v>
      </c>
      <c r="J32" s="108"/>
      <c r="K32" s="108"/>
      <c r="L32" s="108"/>
      <c r="M32" s="132">
        <f>INFORMACIÓN!B10</f>
        <v>0</v>
      </c>
      <c r="N32" s="132"/>
      <c r="O32" s="132"/>
      <c r="P32" s="62"/>
      <c r="Q32" s="62"/>
      <c r="R32" s="50"/>
    </row>
    <row r="33" spans="1:19" ht="16.95" customHeight="1" x14ac:dyDescent="0.3">
      <c r="I33" s="108" t="s">
        <v>82</v>
      </c>
      <c r="J33" s="108"/>
      <c r="K33" s="108"/>
      <c r="L33" s="108"/>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8" t="str">
        <f>O1</f>
        <v>CERTIFICADO N°:</v>
      </c>
      <c r="P38" s="108"/>
      <c r="Q38" s="108"/>
      <c r="R38" s="117">
        <f>R1</f>
        <v>0</v>
      </c>
      <c r="S38" s="11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47" t="s">
        <v>150</v>
      </c>
      <c r="C41" s="147"/>
      <c r="D41" s="147"/>
      <c r="E41" s="147"/>
      <c r="F41" s="147"/>
      <c r="G41" s="147"/>
      <c r="H41" s="147"/>
      <c r="I41" s="147"/>
      <c r="J41" s="147"/>
      <c r="K41" s="147"/>
      <c r="L41" s="147"/>
      <c r="M41" s="147"/>
      <c r="N41" s="147"/>
      <c r="O41" s="147"/>
      <c r="P41" s="147"/>
      <c r="Q41" s="147"/>
      <c r="R41" s="147"/>
      <c r="S41" s="147"/>
    </row>
    <row r="42" spans="1:19" ht="16.95" customHeight="1" x14ac:dyDescent="0.3">
      <c r="A42" s="85"/>
      <c r="B42" s="148"/>
      <c r="C42" s="148"/>
      <c r="D42" s="148"/>
      <c r="E42" s="148"/>
      <c r="F42" s="148"/>
      <c r="G42" s="148"/>
      <c r="H42" s="148"/>
      <c r="I42" s="148"/>
      <c r="J42" s="148"/>
      <c r="K42" s="148"/>
      <c r="L42" s="148"/>
      <c r="M42" s="148"/>
      <c r="N42" s="148"/>
      <c r="O42" s="148"/>
      <c r="P42" s="148"/>
      <c r="Q42" s="148"/>
      <c r="R42" s="148"/>
      <c r="S42" s="148"/>
    </row>
    <row r="43" spans="1:19" ht="16.95" customHeight="1" x14ac:dyDescent="0.3">
      <c r="A43" s="85"/>
      <c r="B43" s="148"/>
      <c r="C43" s="148"/>
      <c r="D43" s="148"/>
      <c r="E43" s="148"/>
      <c r="F43" s="148"/>
      <c r="G43" s="148"/>
      <c r="H43" s="148"/>
      <c r="I43" s="148"/>
      <c r="J43" s="148"/>
      <c r="K43" s="148"/>
      <c r="L43" s="148"/>
      <c r="M43" s="148"/>
      <c r="N43" s="148"/>
      <c r="O43" s="148"/>
      <c r="P43" s="148"/>
      <c r="Q43" s="148"/>
      <c r="R43" s="148"/>
      <c r="S43" s="148"/>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151</v>
      </c>
      <c r="G48" s="138"/>
      <c r="H48" s="138"/>
      <c r="I48" s="138"/>
      <c r="J48" s="138"/>
      <c r="K48" s="143" t="s">
        <v>152</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47" t="s">
        <v>153</v>
      </c>
      <c r="C51" s="147"/>
      <c r="D51" s="147"/>
      <c r="E51" s="147"/>
      <c r="F51" s="147"/>
      <c r="G51" s="147"/>
      <c r="H51" s="147"/>
      <c r="I51" s="147"/>
      <c r="J51" s="147"/>
      <c r="K51" s="147"/>
      <c r="L51" s="147"/>
      <c r="M51" s="147"/>
      <c r="N51" s="147"/>
      <c r="O51" s="147"/>
      <c r="P51" s="147"/>
      <c r="Q51" s="147"/>
      <c r="R51" s="147"/>
      <c r="S51" s="147"/>
    </row>
    <row r="52" spans="1:19" ht="16.95" customHeight="1" x14ac:dyDescent="0.3">
      <c r="A52" s="85"/>
      <c r="B52" s="148"/>
      <c r="C52" s="148"/>
      <c r="D52" s="148"/>
      <c r="E52" s="148"/>
      <c r="F52" s="148"/>
      <c r="G52" s="148"/>
      <c r="H52" s="148"/>
      <c r="I52" s="148"/>
      <c r="J52" s="148"/>
      <c r="K52" s="148"/>
      <c r="L52" s="148"/>
      <c r="M52" s="148"/>
      <c r="N52" s="148"/>
      <c r="O52" s="148"/>
      <c r="P52" s="148"/>
      <c r="Q52" s="148"/>
      <c r="R52" s="148"/>
      <c r="S52" s="148"/>
    </row>
    <row r="53" spans="1:19" ht="16.95" customHeight="1" x14ac:dyDescent="0.3">
      <c r="A53" s="85"/>
      <c r="B53" s="148"/>
      <c r="C53" s="148"/>
      <c r="D53" s="148"/>
      <c r="E53" s="148"/>
      <c r="F53" s="148"/>
      <c r="G53" s="148"/>
      <c r="H53" s="148"/>
      <c r="I53" s="148"/>
      <c r="J53" s="148"/>
      <c r="K53" s="148"/>
      <c r="L53" s="148"/>
      <c r="M53" s="148"/>
      <c r="N53" s="148"/>
      <c r="O53" s="148"/>
      <c r="P53" s="148"/>
      <c r="Q53" s="148"/>
      <c r="R53" s="148"/>
      <c r="S53" s="148"/>
    </row>
    <row r="54" spans="1:19" ht="16.95" customHeight="1" x14ac:dyDescent="0.3">
      <c r="A54" s="85"/>
      <c r="B54" s="148"/>
      <c r="C54" s="148"/>
      <c r="D54" s="148"/>
      <c r="E54" s="148"/>
      <c r="F54" s="148"/>
      <c r="G54" s="148"/>
      <c r="H54" s="148"/>
      <c r="I54" s="148"/>
      <c r="J54" s="148"/>
      <c r="K54" s="148"/>
      <c r="L54" s="148"/>
      <c r="M54" s="148"/>
      <c r="N54" s="148"/>
      <c r="O54" s="148"/>
      <c r="P54" s="148"/>
      <c r="Q54" s="148"/>
      <c r="R54" s="148"/>
      <c r="S54" s="148"/>
    </row>
    <row r="55" spans="1:19" ht="16.95" customHeight="1" x14ac:dyDescent="0.3">
      <c r="A55" s="85"/>
      <c r="B55" s="148"/>
      <c r="C55" s="148"/>
      <c r="D55" s="148"/>
      <c r="E55" s="148"/>
      <c r="F55" s="148"/>
      <c r="G55" s="148"/>
      <c r="H55" s="148"/>
      <c r="I55" s="148"/>
      <c r="J55" s="148"/>
      <c r="K55" s="148"/>
      <c r="L55" s="148"/>
      <c r="M55" s="148"/>
      <c r="N55" s="148"/>
      <c r="O55" s="148"/>
      <c r="P55" s="148"/>
      <c r="Q55" s="148"/>
      <c r="R55" s="148"/>
      <c r="S55" s="148"/>
    </row>
    <row r="56" spans="1:19" ht="16.95" customHeight="1" x14ac:dyDescent="0.3">
      <c r="A56" s="85"/>
      <c r="B56" s="148"/>
      <c r="C56" s="148"/>
      <c r="D56" s="148"/>
      <c r="E56" s="148"/>
      <c r="F56" s="148"/>
      <c r="G56" s="148"/>
      <c r="H56" s="148"/>
      <c r="I56" s="148"/>
      <c r="J56" s="148"/>
      <c r="K56" s="148"/>
      <c r="L56" s="148"/>
      <c r="M56" s="148"/>
      <c r="N56" s="148"/>
      <c r="O56" s="148"/>
      <c r="P56" s="148"/>
      <c r="Q56" s="148"/>
      <c r="R56" s="148"/>
      <c r="S56" s="148"/>
    </row>
    <row r="57" spans="1:19" ht="16.95" customHeight="1" x14ac:dyDescent="0.3">
      <c r="A57" s="85"/>
      <c r="B57" s="148"/>
      <c r="C57" s="148"/>
      <c r="D57" s="148"/>
      <c r="E57" s="148"/>
      <c r="F57" s="148"/>
      <c r="G57" s="148"/>
      <c r="H57" s="148"/>
      <c r="I57" s="148"/>
      <c r="J57" s="148"/>
      <c r="K57" s="148"/>
      <c r="L57" s="148"/>
      <c r="M57" s="148"/>
      <c r="N57" s="148"/>
      <c r="O57" s="148"/>
      <c r="P57" s="148"/>
      <c r="Q57" s="148"/>
      <c r="R57" s="148"/>
      <c r="S57" s="148"/>
    </row>
    <row r="58" spans="1:19" ht="16.95" customHeight="1" x14ac:dyDescent="0.3">
      <c r="A58" s="85"/>
      <c r="B58" s="148"/>
      <c r="C58" s="148"/>
      <c r="D58" s="148"/>
      <c r="E58" s="148"/>
      <c r="F58" s="148"/>
      <c r="G58" s="148"/>
      <c r="H58" s="148"/>
      <c r="I58" s="148"/>
      <c r="J58" s="148"/>
      <c r="K58" s="148"/>
      <c r="L58" s="148"/>
      <c r="M58" s="148"/>
      <c r="N58" s="148"/>
      <c r="O58" s="148"/>
      <c r="P58" s="148"/>
      <c r="Q58" s="148"/>
      <c r="R58" s="148"/>
      <c r="S58" s="148"/>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47" t="s">
        <v>154</v>
      </c>
      <c r="C61" s="147"/>
      <c r="D61" s="147"/>
      <c r="E61" s="147"/>
      <c r="F61" s="147"/>
      <c r="G61" s="147"/>
      <c r="H61" s="147"/>
      <c r="I61" s="147"/>
      <c r="J61" s="147"/>
      <c r="K61" s="147"/>
      <c r="L61" s="147"/>
      <c r="M61" s="147"/>
      <c r="N61" s="147"/>
      <c r="O61" s="147"/>
      <c r="P61" s="147"/>
      <c r="Q61" s="147"/>
      <c r="R61" s="147"/>
      <c r="S61" s="147"/>
    </row>
    <row r="62" spans="1:19" ht="16.95" customHeight="1" x14ac:dyDescent="0.3">
      <c r="A62" s="85"/>
      <c r="B62" s="148"/>
      <c r="C62" s="148"/>
      <c r="D62" s="148"/>
      <c r="E62" s="148"/>
      <c r="F62" s="148"/>
      <c r="G62" s="148"/>
      <c r="H62" s="148"/>
      <c r="I62" s="148"/>
      <c r="J62" s="148"/>
      <c r="K62" s="148"/>
      <c r="L62" s="148"/>
      <c r="M62" s="148"/>
      <c r="N62" s="148"/>
      <c r="O62" s="148"/>
      <c r="P62" s="148"/>
      <c r="Q62" s="148"/>
      <c r="R62" s="148"/>
      <c r="S62" s="148"/>
    </row>
    <row r="63" spans="1:19" ht="13.8"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47" t="s">
        <v>155</v>
      </c>
      <c r="C65" s="147"/>
      <c r="D65" s="147"/>
      <c r="E65" s="147"/>
      <c r="F65" s="147"/>
      <c r="G65" s="147"/>
      <c r="H65" s="147"/>
      <c r="I65" s="147"/>
      <c r="J65" s="147"/>
      <c r="K65" s="147"/>
      <c r="L65" s="147"/>
      <c r="M65" s="147"/>
      <c r="N65" s="147"/>
      <c r="O65" s="147"/>
      <c r="P65" s="147"/>
      <c r="Q65" s="147"/>
      <c r="R65" s="147"/>
      <c r="S65" s="147"/>
    </row>
    <row r="66" spans="1:19" ht="16.95" customHeight="1" x14ac:dyDescent="0.3">
      <c r="A66" s="85"/>
      <c r="B66" s="148"/>
      <c r="C66" s="148"/>
      <c r="D66" s="148"/>
      <c r="E66" s="148"/>
      <c r="F66" s="148"/>
      <c r="G66" s="148"/>
      <c r="H66" s="148"/>
      <c r="I66" s="148"/>
      <c r="J66" s="148"/>
      <c r="K66" s="148"/>
      <c r="L66" s="148"/>
      <c r="M66" s="148"/>
      <c r="N66" s="148"/>
      <c r="O66" s="148"/>
      <c r="P66" s="148"/>
      <c r="Q66" s="148"/>
      <c r="R66" s="148"/>
      <c r="S66" s="148"/>
    </row>
    <row r="67" spans="1:19" ht="16.95" customHeight="1" x14ac:dyDescent="0.3">
      <c r="A67" s="85"/>
      <c r="B67" s="148"/>
      <c r="C67" s="148"/>
      <c r="D67" s="148"/>
      <c r="E67" s="148"/>
      <c r="F67" s="148"/>
      <c r="G67" s="148"/>
      <c r="H67" s="148"/>
      <c r="I67" s="148"/>
      <c r="J67" s="148"/>
      <c r="K67" s="148"/>
      <c r="L67" s="148"/>
      <c r="M67" s="148"/>
      <c r="N67" s="148"/>
      <c r="O67" s="148"/>
      <c r="P67" s="148"/>
      <c r="Q67" s="148"/>
      <c r="R67" s="148"/>
      <c r="S67" s="148"/>
    </row>
    <row r="68" spans="1:19" ht="16.95" customHeight="1" x14ac:dyDescent="0.3">
      <c r="A68" s="85"/>
      <c r="B68" s="148"/>
      <c r="C68" s="148"/>
      <c r="D68" s="148"/>
      <c r="E68" s="148"/>
      <c r="F68" s="148"/>
      <c r="G68" s="148"/>
      <c r="H68" s="148"/>
      <c r="I68" s="148"/>
      <c r="J68" s="148"/>
      <c r="K68" s="148"/>
      <c r="L68" s="148"/>
      <c r="M68" s="148"/>
      <c r="N68" s="148"/>
      <c r="O68" s="148"/>
      <c r="P68" s="148"/>
      <c r="Q68" s="148"/>
      <c r="R68" s="148"/>
      <c r="S68" s="148"/>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8" t="str">
        <f>O1</f>
        <v>CERTIFICADO N°:</v>
      </c>
      <c r="P76" s="108"/>
      <c r="Q76" s="108"/>
      <c r="R76" s="117">
        <f>R1</f>
        <v>0</v>
      </c>
      <c r="S76" s="11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137</v>
      </c>
      <c r="C80" s="50"/>
      <c r="D80" s="50"/>
      <c r="E80" s="50"/>
      <c r="F80" s="50"/>
      <c r="G80" s="50"/>
      <c r="H80" s="50"/>
      <c r="I80" s="113" t="s">
        <v>157</v>
      </c>
      <c r="J80" s="113"/>
      <c r="K80" s="113"/>
      <c r="L80" s="113"/>
      <c r="M80" s="113"/>
      <c r="N80" s="112" t="s">
        <v>159</v>
      </c>
      <c r="O80" s="112"/>
      <c r="P80" s="113" t="s">
        <v>158</v>
      </c>
      <c r="Q80" s="113"/>
      <c r="R80" s="113"/>
      <c r="S80" s="88">
        <v>10</v>
      </c>
    </row>
    <row r="81" spans="2:19" ht="16.8" customHeight="1" x14ac:dyDescent="0.3"/>
    <row r="82" spans="2:19" ht="16.649999999999999" customHeight="1" x14ac:dyDescent="0.3">
      <c r="B82" s="111" t="s">
        <v>160</v>
      </c>
      <c r="C82" s="111"/>
      <c r="D82" s="110" t="s">
        <v>120</v>
      </c>
      <c r="E82" s="110"/>
      <c r="F82" s="110"/>
      <c r="G82" s="110"/>
      <c r="H82" s="110"/>
      <c r="I82" s="110"/>
      <c r="J82" s="110"/>
      <c r="K82" s="110"/>
      <c r="L82" s="114" t="s">
        <v>138</v>
      </c>
      <c r="M82" s="115"/>
      <c r="N82" s="115"/>
      <c r="O82" s="115"/>
      <c r="P82" s="115"/>
      <c r="Q82" s="115"/>
      <c r="R82" s="115"/>
      <c r="S82" s="115"/>
    </row>
    <row r="83" spans="2:19" ht="24" customHeight="1" x14ac:dyDescent="0.3">
      <c r="B83" s="111"/>
      <c r="C83" s="111"/>
      <c r="D83" s="156" t="s">
        <v>161</v>
      </c>
      <c r="E83" s="156"/>
      <c r="F83" s="156" t="s">
        <v>162</v>
      </c>
      <c r="G83" s="156"/>
      <c r="H83" s="156" t="s">
        <v>163</v>
      </c>
      <c r="I83" s="156"/>
      <c r="J83" s="156" t="s">
        <v>164</v>
      </c>
      <c r="K83" s="156"/>
      <c r="L83" s="111" t="s">
        <v>165</v>
      </c>
      <c r="M83" s="111"/>
      <c r="N83" s="111" t="s">
        <v>166</v>
      </c>
      <c r="O83" s="111"/>
      <c r="P83" s="156" t="s">
        <v>96</v>
      </c>
      <c r="Q83" s="156"/>
      <c r="R83" s="156"/>
      <c r="S83" s="87" t="s">
        <v>14</v>
      </c>
    </row>
    <row r="84" spans="2:19" ht="16.8" customHeight="1" x14ac:dyDescent="0.3">
      <c r="B84" s="116">
        <f>MEDIDA!B6</f>
        <v>1</v>
      </c>
      <c r="C84" s="116"/>
      <c r="D84" s="107">
        <f>MEDIDA!D6</f>
        <v>0.85</v>
      </c>
      <c r="E84" s="107"/>
      <c r="F84" s="107">
        <f ca="1">MEDIDA!F6</f>
        <v>0.89013732225259967</v>
      </c>
      <c r="G84" s="107"/>
      <c r="H84" s="107">
        <f ca="1">MEDIDA!H6</f>
        <v>0.85</v>
      </c>
      <c r="I84" s="107"/>
      <c r="J84" s="107">
        <f ca="1">MEDIDA!J6</f>
        <v>0.88237715014383955</v>
      </c>
      <c r="K84" s="107"/>
      <c r="L84" s="107">
        <f ca="1">MEDIDA!L6</f>
        <v>0.86812861809910979</v>
      </c>
      <c r="M84" s="107"/>
      <c r="N84" s="107">
        <f ca="1">MEDIDA!N6</f>
        <v>0.13187138190089021</v>
      </c>
      <c r="O84" s="107"/>
      <c r="P84" s="107">
        <v>0.18</v>
      </c>
      <c r="Q84" s="107"/>
      <c r="R84" s="107"/>
      <c r="S84" s="93">
        <f ca="1">INCERTIDUMBRE!K4</f>
        <v>2.0095526109253541</v>
      </c>
    </row>
    <row r="85" spans="2:19" ht="16.8" customHeight="1" x14ac:dyDescent="0.3">
      <c r="B85" s="116">
        <f>MEDIDA!B7</f>
        <v>5</v>
      </c>
      <c r="C85" s="116"/>
      <c r="D85" s="107">
        <f>MEDIDA!D7</f>
        <v>4.79</v>
      </c>
      <c r="E85" s="107"/>
      <c r="F85" s="107">
        <f ca="1">MEDIDA!F7</f>
        <v>4.7660655493698352</v>
      </c>
      <c r="G85" s="107"/>
      <c r="H85" s="107">
        <f ca="1">MEDIDA!H7</f>
        <v>4.8284895082199606</v>
      </c>
      <c r="I85" s="107"/>
      <c r="J85" s="107">
        <f ca="1">MEDIDA!J7</f>
        <v>4.7659148352054812</v>
      </c>
      <c r="K85" s="107"/>
      <c r="L85" s="107">
        <f ca="1">MEDIDA!L7</f>
        <v>4.7876174731988197</v>
      </c>
      <c r="M85" s="107"/>
      <c r="N85" s="107">
        <f ca="1">MEDIDA!N7</f>
        <v>0.2123825268011803</v>
      </c>
      <c r="O85" s="107"/>
      <c r="P85" s="107">
        <v>0.21</v>
      </c>
      <c r="Q85" s="107"/>
      <c r="R85" s="107"/>
      <c r="S85" s="93">
        <f ca="1">INCERTIDUMBRE!K5</f>
        <v>2.0095162677856342</v>
      </c>
    </row>
    <row r="86" spans="2:19" ht="16.8" customHeight="1" x14ac:dyDescent="0.3">
      <c r="B86" s="116">
        <f>MEDIDA!B8</f>
        <v>10</v>
      </c>
      <c r="C86" s="116"/>
      <c r="D86" s="107">
        <f>MEDIDA!D8</f>
        <v>9.76</v>
      </c>
      <c r="E86" s="107"/>
      <c r="F86" s="107">
        <f ca="1">MEDIDA!F8</f>
        <v>9.7377579935800256</v>
      </c>
      <c r="G86" s="107"/>
      <c r="H86" s="107">
        <f ca="1">MEDIDA!H8</f>
        <v>9.76</v>
      </c>
      <c r="I86" s="107"/>
      <c r="J86" s="107">
        <f ca="1">MEDIDA!J8</f>
        <v>9.76</v>
      </c>
      <c r="K86" s="107"/>
      <c r="L86" s="107">
        <f ca="1">MEDIDA!L8</f>
        <v>9.7544394983950049</v>
      </c>
      <c r="M86" s="107"/>
      <c r="N86" s="107">
        <f ca="1">MEDIDA!N8</f>
        <v>0.2455605016049951</v>
      </c>
      <c r="O86" s="107"/>
      <c r="P86" s="107">
        <v>0.25</v>
      </c>
      <c r="Q86" s="107"/>
      <c r="R86" s="107"/>
      <c r="S86" s="93">
        <f ca="1">INCERTIDUMBRE!K6</f>
        <v>2.0095526109253541</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9" t="s">
        <v>97</v>
      </c>
      <c r="C100" s="109"/>
      <c r="D100" s="109"/>
      <c r="E100" s="109"/>
      <c r="F100" s="109"/>
      <c r="G100" s="109"/>
      <c r="H100" s="109"/>
      <c r="I100" s="109"/>
      <c r="J100" s="109"/>
      <c r="K100" s="109"/>
      <c r="L100" s="109"/>
      <c r="M100" s="109"/>
      <c r="N100" s="109"/>
      <c r="O100" s="109"/>
      <c r="P100" s="109"/>
      <c r="Q100" s="109"/>
      <c r="R100" s="109"/>
      <c r="S100" s="109"/>
    </row>
    <row r="101" spans="2:19" ht="16.95" customHeight="1" x14ac:dyDescent="0.3"/>
    <row r="102" spans="2:19" ht="16.95" customHeight="1" x14ac:dyDescent="0.3">
      <c r="B102" s="118" t="s">
        <v>98</v>
      </c>
      <c r="C102" s="118"/>
      <c r="D102" s="118"/>
      <c r="E102" s="118"/>
      <c r="F102" s="118"/>
      <c r="G102" s="118"/>
      <c r="I102" s="76" t="s">
        <v>99</v>
      </c>
      <c r="J102" s="76"/>
      <c r="K102" s="76"/>
      <c r="L102" s="76"/>
      <c r="M102" s="76"/>
      <c r="N102" s="76"/>
      <c r="O102" s="76"/>
      <c r="P102" s="76"/>
      <c r="Q102" s="76"/>
      <c r="R102" s="76"/>
      <c r="S102" s="76"/>
    </row>
    <row r="103" spans="2:19" ht="19.8" customHeight="1" x14ac:dyDescent="0.3">
      <c r="B103" s="119" t="s">
        <v>100</v>
      </c>
      <c r="C103" s="119"/>
      <c r="D103" s="119"/>
      <c r="E103" s="119"/>
      <c r="F103" s="119"/>
      <c r="G103" s="119"/>
      <c r="I103" s="76" t="s">
        <v>99</v>
      </c>
    </row>
    <row r="104" spans="2:19" x14ac:dyDescent="0.3">
      <c r="B104" s="118" t="s">
        <v>101</v>
      </c>
      <c r="C104" s="118"/>
      <c r="D104" s="118"/>
      <c r="E104" s="118"/>
      <c r="F104" s="118"/>
      <c r="G104" s="118"/>
      <c r="I104" s="76" t="s">
        <v>99</v>
      </c>
      <c r="J104" s="76"/>
      <c r="K104" s="76"/>
      <c r="L104" s="76"/>
      <c r="M104" s="76"/>
      <c r="N104" s="76"/>
      <c r="O104" s="76"/>
      <c r="P104" s="76"/>
      <c r="Q104" s="76"/>
      <c r="R104" s="76"/>
      <c r="S104" s="76"/>
    </row>
    <row r="105" spans="2:19" x14ac:dyDescent="0.3">
      <c r="B105" s="154" t="s">
        <v>102</v>
      </c>
      <c r="C105" s="154"/>
      <c r="D105" s="154"/>
      <c r="E105" s="154"/>
      <c r="F105" s="154"/>
      <c r="G105" s="154"/>
      <c r="I105" s="155" t="s">
        <v>99</v>
      </c>
      <c r="J105" s="155"/>
      <c r="K105" s="155"/>
      <c r="L105" s="155"/>
      <c r="M105" s="86"/>
      <c r="N105" s="86"/>
      <c r="O105" s="86"/>
      <c r="P105" s="86"/>
      <c r="Q105" s="86"/>
      <c r="R105" s="86"/>
      <c r="S105" s="86"/>
    </row>
    <row r="106" spans="2:19" ht="16.649999999999999" customHeight="1" x14ac:dyDescent="0.3"/>
    <row r="107" spans="2:19" ht="16.8" customHeight="1" x14ac:dyDescent="0.3"/>
    <row r="108" spans="2:19" ht="16.8" customHeight="1" x14ac:dyDescent="0.3">
      <c r="B108" s="127" t="s">
        <v>156</v>
      </c>
      <c r="C108" s="127"/>
      <c r="D108" s="127"/>
      <c r="E108" s="127"/>
      <c r="F108" s="127"/>
      <c r="G108" s="127"/>
      <c r="H108" s="127"/>
      <c r="I108" s="127"/>
      <c r="J108" s="127"/>
      <c r="K108" s="127"/>
      <c r="L108" s="127"/>
      <c r="M108" s="127"/>
      <c r="N108" s="127"/>
      <c r="O108" s="127"/>
      <c r="P108" s="127"/>
      <c r="Q108" s="127"/>
      <c r="R108" s="127"/>
      <c r="S108" s="127"/>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2026-06-02T18:37:46Z</dcterms:modified>
</cp:coreProperties>
</file>