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E88704F9-ED32-4BCC-92C1-A7D4D087794A}"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1" i="31" l="1"/>
  <c r="B71" i="31"/>
  <c r="H7" i="20" l="1"/>
  <c r="J7" i="20" s="1"/>
  <c r="L7" i="20" s="1"/>
  <c r="H8" i="20"/>
  <c r="J8" i="20" s="1"/>
  <c r="L8" i="20" s="1"/>
  <c r="H9" i="20"/>
  <c r="J9" i="20" s="1"/>
  <c r="L9" i="20" s="1"/>
  <c r="H6" i="20"/>
  <c r="J6" i="20" s="1"/>
  <c r="L6" i="20" s="1"/>
  <c r="M32" i="31"/>
  <c r="I13" i="31"/>
  <c r="I12" i="31"/>
  <c r="I10" i="31"/>
  <c r="I9" i="31"/>
  <c r="I8" i="31"/>
  <c r="I7" i="31"/>
  <c r="I6" i="31"/>
  <c r="I5" i="31"/>
  <c r="R1" i="31"/>
  <c r="B10" i="23"/>
  <c r="B9" i="23"/>
  <c r="N46" i="31"/>
  <c r="K46" i="31"/>
  <c r="I46" i="31"/>
  <c r="F46" i="31"/>
  <c r="M31" i="31"/>
  <c r="I18" i="31"/>
  <c r="I19" i="31"/>
  <c r="I20" i="31"/>
  <c r="I21" i="31"/>
  <c r="I17" i="31"/>
  <c r="I11" i="31"/>
  <c r="R38" i="31" l="1"/>
  <c r="G40" i="21"/>
  <c r="G41" i="21"/>
  <c r="G39" i="21"/>
  <c r="H33" i="21"/>
  <c r="I33" i="21" s="1"/>
  <c r="H34" i="21"/>
  <c r="I34" i="21" s="1"/>
  <c r="J34" i="21" s="1"/>
  <c r="K34" i="21" s="1"/>
  <c r="H35" i="21"/>
  <c r="I35" i="21" s="1"/>
  <c r="H32" i="21"/>
  <c r="I32" i="21" s="1"/>
  <c r="J32" i="21" s="1"/>
  <c r="K32" i="21" s="1"/>
  <c r="H26" i="21"/>
  <c r="I26" i="21" s="1"/>
  <c r="H27" i="21"/>
  <c r="I27" i="21" s="1"/>
  <c r="J27" i="21" s="1"/>
  <c r="K27" i="21" s="1"/>
  <c r="H28" i="21"/>
  <c r="I28" i="21" s="1"/>
  <c r="J28" i="21" s="1"/>
  <c r="K28" i="21" s="1"/>
  <c r="H25" i="21"/>
  <c r="I25" i="21" s="1"/>
  <c r="J25" i="21" s="1"/>
  <c r="K25" i="21" s="1"/>
  <c r="G28" i="21"/>
  <c r="F28" i="21"/>
  <c r="D28" i="21"/>
  <c r="C28" i="21"/>
  <c r="G27" i="21"/>
  <c r="F27" i="21"/>
  <c r="D27" i="21"/>
  <c r="C27" i="21"/>
  <c r="G26" i="21"/>
  <c r="F26" i="21"/>
  <c r="D26" i="21"/>
  <c r="C26" i="21"/>
  <c r="G25" i="21"/>
  <c r="F25" i="21"/>
  <c r="D25" i="21"/>
  <c r="C25" i="21"/>
  <c r="H19" i="21"/>
  <c r="I19" i="21" s="1"/>
  <c r="H20" i="21"/>
  <c r="I20" i="21" s="1"/>
  <c r="H21" i="21"/>
  <c r="I21" i="21" s="1"/>
  <c r="G19" i="21"/>
  <c r="G20" i="21"/>
  <c r="G21" i="21"/>
  <c r="G18" i="21"/>
  <c r="D19" i="21"/>
  <c r="D20" i="21"/>
  <c r="D21" i="21"/>
  <c r="D18" i="21"/>
  <c r="C19" i="21"/>
  <c r="C20" i="21"/>
  <c r="C21" i="21"/>
  <c r="C18" i="21"/>
  <c r="H12" i="21"/>
  <c r="I12" i="21" s="1"/>
  <c r="J12" i="21" s="1"/>
  <c r="K12" i="21" s="1"/>
  <c r="H13" i="21"/>
  <c r="I13" i="21" s="1"/>
  <c r="H14" i="21"/>
  <c r="I14" i="21" s="1"/>
  <c r="H11" i="21"/>
  <c r="I11" i="21" s="1"/>
  <c r="G12" i="21"/>
  <c r="G13" i="21"/>
  <c r="G14" i="21"/>
  <c r="G11" i="21"/>
  <c r="D12" i="21"/>
  <c r="D13" i="21"/>
  <c r="D14" i="21"/>
  <c r="D11" i="21"/>
  <c r="C12" i="21"/>
  <c r="C13" i="21"/>
  <c r="C14" i="21"/>
  <c r="C11" i="21"/>
  <c r="C5" i="21"/>
  <c r="C6" i="21"/>
  <c r="C7" i="21"/>
  <c r="C4" i="21"/>
  <c r="I4" i="25"/>
  <c r="G5" i="25"/>
  <c r="G4" i="25"/>
  <c r="B7" i="21"/>
  <c r="D7" i="21"/>
  <c r="F7" i="21"/>
  <c r="G7" i="21"/>
  <c r="H7" i="21"/>
  <c r="I7" i="21" s="1"/>
  <c r="J87" i="31"/>
  <c r="J88" i="31"/>
  <c r="J89" i="31"/>
  <c r="J86" i="31"/>
  <c r="H87" i="31"/>
  <c r="H88" i="31"/>
  <c r="H89" i="31"/>
  <c r="H86" i="31"/>
  <c r="F87" i="31"/>
  <c r="F88" i="31"/>
  <c r="F89" i="31"/>
  <c r="F86" i="31"/>
  <c r="D87" i="31"/>
  <c r="D88" i="31"/>
  <c r="D89" i="31"/>
  <c r="D86" i="31"/>
  <c r="B87" i="31"/>
  <c r="B88" i="31"/>
  <c r="B89" i="31"/>
  <c r="B86" i="31"/>
  <c r="N9" i="20"/>
  <c r="P9" i="20" s="1"/>
  <c r="N89" i="31" s="1"/>
  <c r="N8" i="20"/>
  <c r="P8" i="20" s="1"/>
  <c r="N88" i="31" s="1"/>
  <c r="N7" i="20"/>
  <c r="L87" i="31" s="1"/>
  <c r="N6" i="20"/>
  <c r="P6" i="20" s="1"/>
  <c r="N86" i="31" s="1"/>
  <c r="F40" i="21"/>
  <c r="F41" i="21"/>
  <c r="F39" i="21"/>
  <c r="G33" i="21"/>
  <c r="G34" i="21"/>
  <c r="G35" i="21"/>
  <c r="G32" i="21"/>
  <c r="F33" i="21"/>
  <c r="F34" i="21"/>
  <c r="F35" i="21"/>
  <c r="F32" i="21"/>
  <c r="F21" i="21"/>
  <c r="F20" i="21"/>
  <c r="F19" i="21"/>
  <c r="F18" i="21"/>
  <c r="D5" i="21"/>
  <c r="D6" i="21"/>
  <c r="D4" i="21"/>
  <c r="I41" i="21"/>
  <c r="J41" i="21"/>
  <c r="K41" i="21"/>
  <c r="I40" i="21"/>
  <c r="J40" i="21"/>
  <c r="K40" i="21"/>
  <c r="F14" i="21"/>
  <c r="F13" i="21"/>
  <c r="F12" i="21"/>
  <c r="F11" i="21"/>
  <c r="G5" i="21"/>
  <c r="G6" i="21"/>
  <c r="G4" i="21"/>
  <c r="F5" i="21"/>
  <c r="F6" i="21"/>
  <c r="F4" i="21"/>
  <c r="H5" i="21"/>
  <c r="I5" i="21" s="1"/>
  <c r="H6" i="21"/>
  <c r="I6" i="21" s="1"/>
  <c r="J6" i="21" s="1"/>
  <c r="K6" i="21" s="1"/>
  <c r="H4" i="21"/>
  <c r="I4" i="21" s="1"/>
  <c r="B40" i="21"/>
  <c r="B41" i="21"/>
  <c r="B39" i="21"/>
  <c r="B33" i="21"/>
  <c r="B34" i="21"/>
  <c r="B35" i="21"/>
  <c r="B32" i="21"/>
  <c r="B26" i="21"/>
  <c r="B27" i="21"/>
  <c r="B28" i="21"/>
  <c r="B25" i="21"/>
  <c r="I39" i="21"/>
  <c r="B19" i="21"/>
  <c r="B20" i="21"/>
  <c r="B21" i="21"/>
  <c r="B18" i="21"/>
  <c r="B12" i="21"/>
  <c r="B13" i="21"/>
  <c r="B14" i="21"/>
  <c r="B11" i="21"/>
  <c r="B5" i="21"/>
  <c r="B6" i="21"/>
  <c r="B4" i="21"/>
  <c r="L41" i="21"/>
  <c r="L40" i="21"/>
  <c r="J39" i="21"/>
  <c r="K39" i="21"/>
  <c r="L39" i="21"/>
  <c r="O76" i="31"/>
  <c r="O38" i="31"/>
  <c r="C444" i="29"/>
  <c r="G446" i="29"/>
  <c r="E443" i="29"/>
  <c r="F443" i="29"/>
  <c r="E4" i="25"/>
  <c r="A404" i="29"/>
  <c r="A204" i="29"/>
  <c r="E209" i="29"/>
  <c r="A164" i="29"/>
  <c r="E206" i="29"/>
  <c r="F209" i="29"/>
  <c r="J206" i="29"/>
  <c r="E452" i="29"/>
  <c r="F452" i="29"/>
  <c r="G452" i="29"/>
  <c r="D444" i="29"/>
  <c r="L446" i="29"/>
  <c r="F444" i="29"/>
  <c r="G443" i="29"/>
  <c r="H443" i="29"/>
  <c r="E446" i="29"/>
  <c r="H449" i="29"/>
  <c r="G206" i="29"/>
  <c r="F206" i="29"/>
  <c r="L447" i="29"/>
  <c r="G449" i="29"/>
  <c r="E406" i="29"/>
  <c r="F409" i="29"/>
  <c r="E409" i="29"/>
  <c r="J407" i="29"/>
  <c r="B165" i="29"/>
  <c r="C172" i="29"/>
  <c r="D172" i="29"/>
  <c r="E172" i="29"/>
  <c r="J166" i="29"/>
  <c r="J406" i="29"/>
  <c r="E169" i="29"/>
  <c r="C212" i="29"/>
  <c r="D212" i="29"/>
  <c r="E212" i="29"/>
  <c r="C203" i="29"/>
  <c r="D203" i="29"/>
  <c r="J167" i="29"/>
  <c r="C412" i="29"/>
  <c r="D412" i="29"/>
  <c r="E412" i="29"/>
  <c r="E166" i="29"/>
  <c r="F169" i="29"/>
  <c r="C163" i="29"/>
  <c r="D163" i="29"/>
  <c r="C403" i="29"/>
  <c r="D403" i="29"/>
  <c r="J207" i="29"/>
  <c r="H4" i="25"/>
  <c r="H206" i="29"/>
  <c r="I446" i="29"/>
  <c r="F446" i="29"/>
  <c r="E447" i="29"/>
  <c r="E448" i="29"/>
  <c r="G166" i="29"/>
  <c r="H166" i="29"/>
  <c r="G406" i="29"/>
  <c r="E403" i="29"/>
  <c r="F403" i="29"/>
  <c r="C406" i="29"/>
  <c r="D404" i="29"/>
  <c r="E203" i="29"/>
  <c r="F203" i="29"/>
  <c r="C206" i="29"/>
  <c r="D204" i="29"/>
  <c r="E163" i="29"/>
  <c r="F163" i="29"/>
  <c r="C166" i="29"/>
  <c r="D164" i="29"/>
  <c r="E5" i="25"/>
  <c r="H5" i="25"/>
  <c r="J446" i="29"/>
  <c r="H446" i="29"/>
  <c r="F166" i="29"/>
  <c r="M446" i="29"/>
  <c r="C452" i="29"/>
  <c r="J443" i="29"/>
  <c r="F449" i="29"/>
  <c r="F447" i="29"/>
  <c r="A43" i="29"/>
  <c r="H406" i="29"/>
  <c r="F406" i="29"/>
  <c r="C167" i="29"/>
  <c r="C168" i="29"/>
  <c r="D166" i="29"/>
  <c r="C207" i="29"/>
  <c r="C208" i="29"/>
  <c r="D206" i="29"/>
  <c r="D406" i="29"/>
  <c r="C407" i="29"/>
  <c r="C408" i="29"/>
  <c r="L454" i="29"/>
  <c r="E460" i="29"/>
  <c r="F460" i="29"/>
  <c r="G460" i="29"/>
  <c r="E454" i="29"/>
  <c r="G457" i="29"/>
  <c r="G454" i="29"/>
  <c r="H457" i="29"/>
  <c r="L455" i="29"/>
  <c r="C51" i="29"/>
  <c r="D51" i="29"/>
  <c r="E51" i="29"/>
  <c r="E48" i="29"/>
  <c r="J46" i="29"/>
  <c r="B43" i="29"/>
  <c r="C42" i="29"/>
  <c r="D42" i="29"/>
  <c r="E45" i="29"/>
  <c r="F48" i="29"/>
  <c r="J45" i="29"/>
  <c r="D209" i="29"/>
  <c r="D207" i="29"/>
  <c r="K206" i="29"/>
  <c r="A212" i="29"/>
  <c r="H203" i="29"/>
  <c r="D167" i="29"/>
  <c r="D169" i="29"/>
  <c r="K166" i="29"/>
  <c r="A172" i="29"/>
  <c r="H163" i="29"/>
  <c r="H403" i="29"/>
  <c r="K406" i="29"/>
  <c r="A412" i="29"/>
  <c r="D407" i="29"/>
  <c r="D409" i="29"/>
  <c r="I454" i="29"/>
  <c r="J454" i="29"/>
  <c r="E455" i="29"/>
  <c r="E456" i="29"/>
  <c r="M454" i="29"/>
  <c r="C460" i="29"/>
  <c r="F454" i="29"/>
  <c r="H454" i="29"/>
  <c r="D43" i="29"/>
  <c r="E42" i="29"/>
  <c r="F42" i="29"/>
  <c r="C45" i="29"/>
  <c r="G45" i="29"/>
  <c r="E217" i="29"/>
  <c r="C220" i="29"/>
  <c r="D220" i="29"/>
  <c r="E220" i="29"/>
  <c r="C214" i="29"/>
  <c r="J215" i="29"/>
  <c r="J214" i="29"/>
  <c r="E214" i="29"/>
  <c r="F217" i="29"/>
  <c r="C414" i="29"/>
  <c r="C420" i="29"/>
  <c r="D420" i="29"/>
  <c r="E420" i="29"/>
  <c r="J415" i="29"/>
  <c r="J414" i="29"/>
  <c r="E414" i="29"/>
  <c r="F417" i="29"/>
  <c r="E417" i="29"/>
  <c r="C180" i="29"/>
  <c r="D180" i="29"/>
  <c r="E180" i="29"/>
  <c r="E177" i="29"/>
  <c r="C174" i="29"/>
  <c r="J174" i="29"/>
  <c r="J175" i="29"/>
  <c r="E174" i="29"/>
  <c r="F177" i="29"/>
  <c r="G214" i="29"/>
  <c r="H214" i="29"/>
  <c r="F457" i="29"/>
  <c r="F455" i="29"/>
  <c r="L462" i="29"/>
  <c r="L463" i="29"/>
  <c r="G465" i="29"/>
  <c r="G462" i="29"/>
  <c r="H465" i="29"/>
  <c r="E468" i="29"/>
  <c r="F468" i="29"/>
  <c r="G468" i="29"/>
  <c r="E462" i="29"/>
  <c r="C46" i="29"/>
  <c r="C47" i="29"/>
  <c r="D45" i="29"/>
  <c r="H45" i="29"/>
  <c r="F45" i="29"/>
  <c r="G414" i="29"/>
  <c r="D414" i="29"/>
  <c r="C415" i="29"/>
  <c r="C416" i="29"/>
  <c r="K414" i="29"/>
  <c r="A420" i="29"/>
  <c r="D214" i="29"/>
  <c r="C215" i="29"/>
  <c r="C216" i="29"/>
  <c r="K214" i="29"/>
  <c r="A220" i="29"/>
  <c r="D174" i="29"/>
  <c r="C175" i="29"/>
  <c r="C176" i="29"/>
  <c r="K174" i="29"/>
  <c r="A180" i="29"/>
  <c r="G174" i="29"/>
  <c r="H174" i="29"/>
  <c r="F214" i="29"/>
  <c r="F174" i="29"/>
  <c r="F462" i="29"/>
  <c r="E463" i="29"/>
  <c r="E464" i="29"/>
  <c r="M462" i="29"/>
  <c r="C468" i="29"/>
  <c r="I462" i="29"/>
  <c r="J462" i="29"/>
  <c r="D48" i="29"/>
  <c r="D46" i="29"/>
  <c r="H42" i="29"/>
  <c r="K45" i="29"/>
  <c r="A51" i="29"/>
  <c r="H414" i="29"/>
  <c r="F414" i="29"/>
  <c r="D175" i="29"/>
  <c r="D177" i="29"/>
  <c r="J223" i="29"/>
  <c r="E225" i="29"/>
  <c r="J222" i="29"/>
  <c r="E222" i="29"/>
  <c r="F225" i="29"/>
  <c r="C228" i="29"/>
  <c r="D228" i="29"/>
  <c r="E228" i="29"/>
  <c r="C222" i="29"/>
  <c r="D217" i="29"/>
  <c r="D215" i="29"/>
  <c r="C428" i="29"/>
  <c r="D428" i="29"/>
  <c r="E428" i="29"/>
  <c r="J422" i="29"/>
  <c r="J423" i="29"/>
  <c r="C422" i="29"/>
  <c r="E425" i="29"/>
  <c r="E422" i="29"/>
  <c r="F425" i="29"/>
  <c r="C182" i="29"/>
  <c r="C188" i="29"/>
  <c r="D188" i="29"/>
  <c r="E188" i="29"/>
  <c r="J183" i="29"/>
  <c r="J182" i="29"/>
  <c r="E185" i="29"/>
  <c r="E182" i="29"/>
  <c r="F185" i="29"/>
  <c r="D415" i="29"/>
  <c r="D417" i="29"/>
  <c r="G222" i="29"/>
  <c r="E470" i="29"/>
  <c r="L471" i="29"/>
  <c r="L470" i="29"/>
  <c r="G470" i="29"/>
  <c r="H473" i="29"/>
  <c r="E476" i="29"/>
  <c r="F476" i="29"/>
  <c r="G476" i="29"/>
  <c r="G473" i="29"/>
  <c r="F463" i="29"/>
  <c r="F465" i="29"/>
  <c r="H462" i="29"/>
  <c r="C59" i="29"/>
  <c r="D59" i="29"/>
  <c r="E59" i="29"/>
  <c r="E53" i="29"/>
  <c r="F56" i="29"/>
  <c r="J53" i="29"/>
  <c r="C53" i="29"/>
  <c r="E56" i="29"/>
  <c r="J54" i="29"/>
  <c r="D182" i="29"/>
  <c r="C183" i="29"/>
  <c r="C184" i="29"/>
  <c r="K182" i="29"/>
  <c r="A188" i="29"/>
  <c r="C223" i="29"/>
  <c r="C224" i="29"/>
  <c r="K222" i="29"/>
  <c r="A228" i="29"/>
  <c r="D222" i="29"/>
  <c r="G422" i="29"/>
  <c r="G182" i="29"/>
  <c r="C423" i="29"/>
  <c r="C424" i="29"/>
  <c r="K422" i="29"/>
  <c r="A428" i="29"/>
  <c r="D422" i="29"/>
  <c r="F222" i="29"/>
  <c r="H222" i="29"/>
  <c r="I470" i="29"/>
  <c r="J470" i="29"/>
  <c r="H470" i="29"/>
  <c r="F470" i="29"/>
  <c r="E471" i="29"/>
  <c r="E472" i="29"/>
  <c r="M470" i="29"/>
  <c r="C476" i="29"/>
  <c r="G53" i="29"/>
  <c r="H53" i="29"/>
  <c r="C54" i="29"/>
  <c r="C55" i="29"/>
  <c r="K53" i="29"/>
  <c r="A59" i="29"/>
  <c r="D53" i="29"/>
  <c r="J191" i="29"/>
  <c r="C190" i="29"/>
  <c r="C196" i="29"/>
  <c r="D196" i="29"/>
  <c r="E196" i="29"/>
  <c r="E193" i="29"/>
  <c r="J190" i="29"/>
  <c r="E190" i="29"/>
  <c r="F193" i="29"/>
  <c r="F182" i="29"/>
  <c r="H182" i="29"/>
  <c r="D223" i="29"/>
  <c r="D225" i="29"/>
  <c r="J431" i="29"/>
  <c r="E433" i="29"/>
  <c r="J430" i="29"/>
  <c r="C436" i="29"/>
  <c r="D436" i="29"/>
  <c r="E436" i="29"/>
  <c r="E430" i="29"/>
  <c r="F433" i="29"/>
  <c r="C430" i="29"/>
  <c r="D183" i="29"/>
  <c r="D185" i="29"/>
  <c r="F422" i="29"/>
  <c r="H422" i="29"/>
  <c r="E233" i="29"/>
  <c r="C230" i="29"/>
  <c r="E230" i="29"/>
  <c r="F233" i="29"/>
  <c r="J231" i="29"/>
  <c r="J230" i="29"/>
  <c r="C236" i="29"/>
  <c r="D236" i="29"/>
  <c r="E236" i="29"/>
  <c r="D423" i="29"/>
  <c r="D425" i="29"/>
  <c r="G190" i="29"/>
  <c r="E478" i="29"/>
  <c r="E479" i="29"/>
  <c r="E480" i="29"/>
  <c r="L479" i="29"/>
  <c r="G478" i="29"/>
  <c r="L478" i="29"/>
  <c r="G481" i="29"/>
  <c r="F471" i="29"/>
  <c r="F473" i="29"/>
  <c r="F53" i="29"/>
  <c r="J61" i="29"/>
  <c r="E61" i="29"/>
  <c r="F64" i="29"/>
  <c r="C61" i="29"/>
  <c r="C67" i="29"/>
  <c r="D67" i="29"/>
  <c r="E67" i="29"/>
  <c r="J62" i="29"/>
  <c r="E64" i="29"/>
  <c r="D54" i="29"/>
  <c r="D56" i="29"/>
  <c r="D230" i="29"/>
  <c r="C231" i="29"/>
  <c r="C232" i="29"/>
  <c r="K230" i="29"/>
  <c r="A236" i="29"/>
  <c r="G430" i="29"/>
  <c r="H430" i="29"/>
  <c r="G230" i="29"/>
  <c r="H230" i="29"/>
  <c r="D190" i="29"/>
  <c r="C191" i="29"/>
  <c r="C192" i="29"/>
  <c r="K190" i="29"/>
  <c r="A196" i="29"/>
  <c r="C431" i="29"/>
  <c r="C432" i="29"/>
  <c r="K430" i="29"/>
  <c r="D430" i="29"/>
  <c r="M478" i="29"/>
  <c r="F478" i="29"/>
  <c r="H481" i="29"/>
  <c r="I478" i="29"/>
  <c r="F230" i="29"/>
  <c r="H190" i="29"/>
  <c r="F190" i="29"/>
  <c r="D61" i="29"/>
  <c r="C62" i="29"/>
  <c r="C63" i="29"/>
  <c r="K61" i="29"/>
  <c r="A67" i="29"/>
  <c r="G61" i="29"/>
  <c r="H61" i="29"/>
  <c r="A436" i="29"/>
  <c r="C438" i="29"/>
  <c r="C439" i="29"/>
  <c r="C440" i="29"/>
  <c r="B40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J478" i="29"/>
  <c r="H478" i="29"/>
  <c r="F479" i="29"/>
  <c r="F481" i="29"/>
  <c r="E438" i="29"/>
  <c r="D438" i="29"/>
  <c r="E441" i="29"/>
  <c r="J438" i="29"/>
  <c r="J439" i="29"/>
  <c r="F61" i="29"/>
  <c r="E69" i="29"/>
  <c r="F72" i="29"/>
  <c r="C75" i="29"/>
  <c r="D75" i="29"/>
  <c r="E75" i="29"/>
  <c r="C69" i="29"/>
  <c r="J70" i="29"/>
  <c r="J69" i="29"/>
  <c r="E72" i="29"/>
  <c r="D64" i="29"/>
  <c r="D62" i="29"/>
  <c r="K438" i="29"/>
  <c r="F241" i="29"/>
  <c r="G238" i="29"/>
  <c r="D238" i="29"/>
  <c r="D198" i="29"/>
  <c r="F201" i="29"/>
  <c r="G198" i="29"/>
  <c r="H198" i="29"/>
  <c r="K198" i="29"/>
  <c r="F441" i="29"/>
  <c r="G438" i="29"/>
  <c r="F438" i="29"/>
  <c r="G69" i="29"/>
  <c r="H69" i="29"/>
  <c r="D69" i="29"/>
  <c r="C70" i="29"/>
  <c r="C71" i="29"/>
  <c r="K69" i="29"/>
  <c r="A75" i="29"/>
  <c r="H438" i="29"/>
  <c r="D201" i="29"/>
  <c r="D199" i="29"/>
  <c r="D241" i="29"/>
  <c r="D239" i="29"/>
  <c r="D439" i="29"/>
  <c r="D441" i="29"/>
  <c r="H238" i="29"/>
  <c r="F238" i="29"/>
  <c r="F198" i="29"/>
  <c r="F69" i="29"/>
  <c r="J77" i="29"/>
  <c r="E80" i="29"/>
  <c r="C77" i="29"/>
  <c r="C78" i="29"/>
  <c r="C79" i="29"/>
  <c r="K77" i="29"/>
  <c r="J78" i="29"/>
  <c r="E77" i="29"/>
  <c r="D70" i="29"/>
  <c r="D72" i="29"/>
  <c r="F80" i="29"/>
  <c r="G77" i="29"/>
  <c r="D77" i="29"/>
  <c r="D78" i="29"/>
  <c r="D80" i="29"/>
  <c r="H77" i="29"/>
  <c r="F77" i="29"/>
  <c r="H18" i="21" l="1"/>
  <c r="I18" i="21" s="1"/>
  <c r="J18" i="21" s="1"/>
  <c r="K18" i="21" s="1"/>
  <c r="L86" i="31"/>
  <c r="J35" i="21"/>
  <c r="K35" i="21" s="1"/>
  <c r="L35" i="21" s="1"/>
  <c r="J33" i="21"/>
  <c r="K33" i="21" s="1"/>
  <c r="L33" i="21" s="1"/>
  <c r="L32" i="21"/>
  <c r="L34" i="21"/>
  <c r="L88" i="31"/>
  <c r="P7" i="20"/>
  <c r="N87" i="31" s="1"/>
  <c r="R76" i="31"/>
  <c r="L89" i="31"/>
  <c r="J26" i="21"/>
  <c r="K26" i="21" s="1"/>
  <c r="J21" i="21"/>
  <c r="K21" i="21" s="1"/>
  <c r="J20" i="21"/>
  <c r="K20" i="21" s="1"/>
  <c r="J19" i="21"/>
  <c r="K19" i="21" s="1"/>
  <c r="J14" i="21"/>
  <c r="K14" i="21" s="1"/>
  <c r="J13" i="21"/>
  <c r="K13" i="21" s="1"/>
  <c r="L12" i="21"/>
  <c r="A284" i="29" s="1"/>
  <c r="J11" i="21"/>
  <c r="K11" i="21" s="1"/>
  <c r="J7" i="21"/>
  <c r="K7" i="21" s="1"/>
  <c r="L6" i="21"/>
  <c r="J5" i="21"/>
  <c r="K5" i="21" s="1"/>
  <c r="J4" i="21"/>
  <c r="K4" i="21" s="1"/>
  <c r="L21" i="21" l="1"/>
  <c r="L20" i="21"/>
  <c r="L19" i="21"/>
  <c r="L18" i="21"/>
  <c r="L14" i="21"/>
  <c r="L13" i="21"/>
  <c r="E286" i="29"/>
  <c r="F289" i="29" s="1"/>
  <c r="J287" i="29"/>
  <c r="C283" i="29"/>
  <c r="D283" i="29" s="1"/>
  <c r="J286" i="29"/>
  <c r="E289" i="29"/>
  <c r="C292" i="29"/>
  <c r="D292" i="29" s="1"/>
  <c r="E292" i="29" s="1"/>
  <c r="L11" i="21"/>
  <c r="L7" i="21"/>
  <c r="A83" i="29"/>
  <c r="L5" i="21"/>
  <c r="L4" i="21"/>
  <c r="A324" i="29" l="1"/>
  <c r="J327" i="29" s="1"/>
  <c r="G286" i="29"/>
  <c r="F286" i="29" s="1"/>
  <c r="A364" i="29"/>
  <c r="D284" i="29"/>
  <c r="E283" i="29"/>
  <c r="F283" i="29" s="1"/>
  <c r="C286" i="29" s="1"/>
  <c r="A244" i="29"/>
  <c r="A124" i="29"/>
  <c r="J85" i="29"/>
  <c r="E88" i="29"/>
  <c r="C91" i="29"/>
  <c r="D91" i="29" s="1"/>
  <c r="E91" i="29" s="1"/>
  <c r="J86" i="29"/>
  <c r="C82" i="29"/>
  <c r="D82" i="29" s="1"/>
  <c r="E85" i="29"/>
  <c r="F88" i="29" s="1"/>
  <c r="A3" i="29"/>
  <c r="C323" i="29" l="1"/>
  <c r="D323" i="29" s="1"/>
  <c r="E323" i="29" s="1"/>
  <c r="F323" i="29" s="1"/>
  <c r="C326" i="29" s="1"/>
  <c r="C332" i="29"/>
  <c r="D332" i="29" s="1"/>
  <c r="E332" i="29" s="1"/>
  <c r="E326" i="29"/>
  <c r="F329" i="29" s="1"/>
  <c r="E329" i="29"/>
  <c r="J326" i="29"/>
  <c r="H286" i="29"/>
  <c r="J367" i="29"/>
  <c r="E369" i="29"/>
  <c r="C363" i="29"/>
  <c r="D363" i="29" s="1"/>
  <c r="E366" i="29"/>
  <c r="F369" i="29" s="1"/>
  <c r="J366" i="29"/>
  <c r="C372" i="29"/>
  <c r="D372" i="29" s="1"/>
  <c r="E372" i="29" s="1"/>
  <c r="D286" i="29"/>
  <c r="C287" i="29"/>
  <c r="C288" i="29" s="1"/>
  <c r="J247" i="29"/>
  <c r="E246" i="29"/>
  <c r="F249" i="29" s="1"/>
  <c r="E249" i="29"/>
  <c r="J246" i="29"/>
  <c r="C243" i="29"/>
  <c r="D243" i="29" s="1"/>
  <c r="C252" i="29"/>
  <c r="D252" i="29" s="1"/>
  <c r="E252" i="29" s="1"/>
  <c r="E126" i="29"/>
  <c r="F129" i="29" s="1"/>
  <c r="C123" i="29"/>
  <c r="D123" i="29" s="1"/>
  <c r="J127" i="29"/>
  <c r="C132" i="29"/>
  <c r="D132" i="29" s="1"/>
  <c r="E132" i="29" s="1"/>
  <c r="E129" i="29"/>
  <c r="J126" i="29"/>
  <c r="G85" i="29"/>
  <c r="H85" i="29" s="1"/>
  <c r="E82" i="29"/>
  <c r="F82" i="29" s="1"/>
  <c r="C85" i="29" s="1"/>
  <c r="D83" i="29"/>
  <c r="J6" i="29"/>
  <c r="E8" i="29"/>
  <c r="C2" i="29"/>
  <c r="D2" i="29" s="1"/>
  <c r="E5" i="29"/>
  <c r="F8" i="29" s="1"/>
  <c r="J5" i="29"/>
  <c r="C11" i="29"/>
  <c r="D11" i="29" s="1"/>
  <c r="E11" i="29" s="1"/>
  <c r="D324" i="29" l="1"/>
  <c r="G326" i="29"/>
  <c r="H326" i="29" s="1"/>
  <c r="G126" i="29"/>
  <c r="H126" i="29" s="1"/>
  <c r="G246" i="29"/>
  <c r="H246" i="29" s="1"/>
  <c r="D364" i="29"/>
  <c r="E363" i="29"/>
  <c r="F363" i="29" s="1"/>
  <c r="C366" i="29" s="1"/>
  <c r="G366" i="29"/>
  <c r="H366" i="29" s="1"/>
  <c r="D326" i="29"/>
  <c r="C327" i="29"/>
  <c r="C328" i="29" s="1"/>
  <c r="D289" i="29"/>
  <c r="K286" i="29" s="1"/>
  <c r="A292" i="29" s="1"/>
  <c r="D287" i="29"/>
  <c r="E243" i="29"/>
  <c r="F243" i="29" s="1"/>
  <c r="C246" i="29" s="1"/>
  <c r="D244" i="29"/>
  <c r="E123" i="29"/>
  <c r="F123" i="29" s="1"/>
  <c r="C126" i="29" s="1"/>
  <c r="D124" i="29"/>
  <c r="F85" i="29"/>
  <c r="C86" i="29"/>
  <c r="C87" i="29" s="1"/>
  <c r="D85" i="29"/>
  <c r="D3" i="29"/>
  <c r="E2" i="29"/>
  <c r="F2" i="29" s="1"/>
  <c r="C5" i="29" s="1"/>
  <c r="G5" i="29"/>
  <c r="F326" i="29" l="1"/>
  <c r="F366" i="29"/>
  <c r="F126" i="29"/>
  <c r="F246" i="29"/>
  <c r="C367" i="29"/>
  <c r="C368" i="29" s="1"/>
  <c r="D366" i="29"/>
  <c r="D329" i="29"/>
  <c r="H323" i="29" s="1"/>
  <c r="D327" i="29"/>
  <c r="C300" i="29"/>
  <c r="D300" i="29" s="1"/>
  <c r="E300" i="29" s="1"/>
  <c r="J295" i="29"/>
  <c r="E294" i="29"/>
  <c r="F297" i="29" s="1"/>
  <c r="C294" i="29"/>
  <c r="E297" i="29"/>
  <c r="J294" i="29"/>
  <c r="H283" i="29"/>
  <c r="C247" i="29"/>
  <c r="C248" i="29" s="1"/>
  <c r="D246" i="29"/>
  <c r="C127" i="29"/>
  <c r="C128" i="29" s="1"/>
  <c r="D126" i="29"/>
  <c r="D88" i="29"/>
  <c r="H82" i="29" s="1"/>
  <c r="D86" i="29"/>
  <c r="C6" i="29"/>
  <c r="C7" i="29" s="1"/>
  <c r="D5" i="29"/>
  <c r="H5" i="29"/>
  <c r="F5" i="29"/>
  <c r="K326" i="29" l="1"/>
  <c r="A332" i="29" s="1"/>
  <c r="C334" i="29" s="1"/>
  <c r="K85" i="29"/>
  <c r="A91" i="29" s="1"/>
  <c r="C99" i="29" s="1"/>
  <c r="D99" i="29" s="1"/>
  <c r="E99" i="29" s="1"/>
  <c r="G294" i="29"/>
  <c r="H294" i="29" s="1"/>
  <c r="D369" i="29"/>
  <c r="K366" i="29" s="1"/>
  <c r="A372" i="29" s="1"/>
  <c r="D367" i="29"/>
  <c r="C295" i="29"/>
  <c r="C296" i="29" s="1"/>
  <c r="D294" i="29"/>
  <c r="D249" i="29"/>
  <c r="K246" i="29" s="1"/>
  <c r="A252" i="29" s="1"/>
  <c r="D247" i="29"/>
  <c r="D129" i="29"/>
  <c r="K126" i="29" s="1"/>
  <c r="A132" i="29" s="1"/>
  <c r="D127" i="29"/>
  <c r="D6" i="29"/>
  <c r="D8" i="29"/>
  <c r="K5" i="29" s="1"/>
  <c r="A11" i="29" s="1"/>
  <c r="H363" i="29" l="1"/>
  <c r="C340" i="29"/>
  <c r="D340" i="29" s="1"/>
  <c r="E340" i="29" s="1"/>
  <c r="E337" i="29"/>
  <c r="J335" i="29"/>
  <c r="J334" i="29"/>
  <c r="E334" i="29"/>
  <c r="F337" i="29" s="1"/>
  <c r="H123" i="29"/>
  <c r="F294" i="29"/>
  <c r="H243" i="29"/>
  <c r="E96" i="29"/>
  <c r="J93" i="29"/>
  <c r="E93" i="29"/>
  <c r="F96" i="29" s="1"/>
  <c r="J94" i="29"/>
  <c r="C93" i="29"/>
  <c r="C94" i="29" s="1"/>
  <c r="C95" i="29" s="1"/>
  <c r="H2" i="29"/>
  <c r="J374" i="29"/>
  <c r="C380" i="29"/>
  <c r="D380" i="29" s="1"/>
  <c r="E380" i="29" s="1"/>
  <c r="J375" i="29"/>
  <c r="E374" i="29"/>
  <c r="F377" i="29" s="1"/>
  <c r="C374" i="29"/>
  <c r="E377" i="29"/>
  <c r="D334" i="29"/>
  <c r="C335" i="29"/>
  <c r="C336" i="29" s="1"/>
  <c r="D297" i="29"/>
  <c r="K294" i="29" s="1"/>
  <c r="A300" i="29" s="1"/>
  <c r="D295" i="29"/>
  <c r="E257" i="29"/>
  <c r="E254" i="29"/>
  <c r="F257" i="29" s="1"/>
  <c r="C260" i="29"/>
  <c r="D260" i="29" s="1"/>
  <c r="E260" i="29" s="1"/>
  <c r="J255" i="29"/>
  <c r="C254" i="29"/>
  <c r="J254" i="29"/>
  <c r="J134" i="29"/>
  <c r="E137" i="29"/>
  <c r="C134" i="29"/>
  <c r="C140" i="29"/>
  <c r="D140" i="29" s="1"/>
  <c r="E140" i="29" s="1"/>
  <c r="J135" i="29"/>
  <c r="E134" i="29"/>
  <c r="F137" i="29" s="1"/>
  <c r="C13" i="29"/>
  <c r="E16" i="29"/>
  <c r="J14" i="29"/>
  <c r="E13" i="29"/>
  <c r="F16" i="29" s="1"/>
  <c r="C19" i="29"/>
  <c r="D19" i="29" s="1"/>
  <c r="E19" i="29" s="1"/>
  <c r="J13" i="29"/>
  <c r="G334" i="29" l="1"/>
  <c r="H334" i="29" s="1"/>
  <c r="J303" i="29"/>
  <c r="E305" i="29"/>
  <c r="C308" i="29"/>
  <c r="D308" i="29" s="1"/>
  <c r="E308" i="29" s="1"/>
  <c r="J302" i="29"/>
  <c r="E302" i="29"/>
  <c r="F305" i="29" s="1"/>
  <c r="C302" i="29"/>
  <c r="D302" i="29" s="1"/>
  <c r="G93" i="29"/>
  <c r="H93" i="29" s="1"/>
  <c r="D93" i="29"/>
  <c r="D96" i="29" s="1"/>
  <c r="K93" i="29" s="1"/>
  <c r="A99" i="29" s="1"/>
  <c r="G374" i="29"/>
  <c r="H374" i="29" s="1"/>
  <c r="C375" i="29"/>
  <c r="C376" i="29" s="1"/>
  <c r="D374" i="29"/>
  <c r="D337" i="29"/>
  <c r="K334" i="29" s="1"/>
  <c r="A340" i="29" s="1"/>
  <c r="D335" i="29"/>
  <c r="C255" i="29"/>
  <c r="C256" i="29" s="1"/>
  <c r="D254" i="29"/>
  <c r="G254" i="29"/>
  <c r="D134" i="29"/>
  <c r="C135" i="29"/>
  <c r="C136" i="29" s="1"/>
  <c r="G134" i="29"/>
  <c r="G13" i="29"/>
  <c r="D13" i="29"/>
  <c r="C14" i="29"/>
  <c r="C15" i="29" s="1"/>
  <c r="F334" i="29" l="1"/>
  <c r="G302" i="29"/>
  <c r="H302" i="29" s="1"/>
  <c r="D94" i="29"/>
  <c r="F93" i="29"/>
  <c r="C303" i="29"/>
  <c r="C304" i="29" s="1"/>
  <c r="F374" i="29"/>
  <c r="E345" i="29"/>
  <c r="E342" i="29"/>
  <c r="F345" i="29" s="1"/>
  <c r="C348" i="29"/>
  <c r="D348" i="29" s="1"/>
  <c r="E348" i="29" s="1"/>
  <c r="C342" i="29"/>
  <c r="D342" i="29" s="1"/>
  <c r="J343" i="29"/>
  <c r="J342" i="29"/>
  <c r="E104" i="29"/>
  <c r="J102" i="29"/>
  <c r="C101" i="29"/>
  <c r="C102" i="29" s="1"/>
  <c r="C103" i="29" s="1"/>
  <c r="E101" i="29"/>
  <c r="F104" i="29" s="1"/>
  <c r="J101" i="29"/>
  <c r="C107" i="29"/>
  <c r="D107" i="29" s="1"/>
  <c r="E107" i="29" s="1"/>
  <c r="D377" i="29"/>
  <c r="K374" i="29" s="1"/>
  <c r="A380" i="29" s="1"/>
  <c r="D375" i="29"/>
  <c r="D305" i="29"/>
  <c r="D303" i="29"/>
  <c r="F254" i="29"/>
  <c r="H254" i="29"/>
  <c r="D257" i="29"/>
  <c r="K254" i="29" s="1"/>
  <c r="A260" i="29" s="1"/>
  <c r="D255" i="29"/>
  <c r="H134" i="29"/>
  <c r="F134" i="29"/>
  <c r="D135" i="29"/>
  <c r="D137" i="29"/>
  <c r="K134" i="29" s="1"/>
  <c r="A140" i="29" s="1"/>
  <c r="D16" i="29"/>
  <c r="K13" i="29" s="1"/>
  <c r="A19" i="29" s="1"/>
  <c r="D14" i="29"/>
  <c r="F13" i="29"/>
  <c r="H13" i="29"/>
  <c r="F302" i="29" l="1"/>
  <c r="K302" i="29"/>
  <c r="A308" i="29" s="1"/>
  <c r="C343" i="29"/>
  <c r="C344" i="29" s="1"/>
  <c r="G342" i="29"/>
  <c r="F342" i="29" s="1"/>
  <c r="G101" i="29"/>
  <c r="H101" i="29" s="1"/>
  <c r="D101" i="29"/>
  <c r="D104" i="29" s="1"/>
  <c r="K101" i="29" s="1"/>
  <c r="A107" i="29" s="1"/>
  <c r="J21" i="29"/>
  <c r="C21" i="29"/>
  <c r="C22" i="29" s="1"/>
  <c r="C23" i="29" s="1"/>
  <c r="E24" i="29"/>
  <c r="E21" i="29"/>
  <c r="F24" i="29" s="1"/>
  <c r="C27" i="29"/>
  <c r="D27" i="29" s="1"/>
  <c r="E27" i="29" s="1"/>
  <c r="J22" i="29"/>
  <c r="E145" i="29"/>
  <c r="J143" i="29"/>
  <c r="C148" i="29"/>
  <c r="D148" i="29" s="1"/>
  <c r="E148" i="29" s="1"/>
  <c r="E142" i="29"/>
  <c r="F145" i="29" s="1"/>
  <c r="C142" i="29"/>
  <c r="C143" i="29" s="1"/>
  <c r="C144" i="29" s="1"/>
  <c r="J142" i="29"/>
  <c r="J382" i="29"/>
  <c r="J383" i="29"/>
  <c r="E385" i="29"/>
  <c r="C388" i="29"/>
  <c r="D388" i="29" s="1"/>
  <c r="E388" i="29" s="1"/>
  <c r="E382" i="29"/>
  <c r="F385" i="29" s="1"/>
  <c r="C382" i="29"/>
  <c r="D382" i="29" s="1"/>
  <c r="D345" i="29"/>
  <c r="D343" i="29"/>
  <c r="C262" i="29"/>
  <c r="C263" i="29" s="1"/>
  <c r="C264" i="29" s="1"/>
  <c r="J263" i="29"/>
  <c r="E262" i="29"/>
  <c r="F265" i="29" s="1"/>
  <c r="C268" i="29"/>
  <c r="D268" i="29" s="1"/>
  <c r="E268" i="29" s="1"/>
  <c r="J262" i="29"/>
  <c r="E265" i="29"/>
  <c r="B284" i="29" l="1"/>
  <c r="C310" i="29"/>
  <c r="D310" i="29" s="1"/>
  <c r="E313" i="29"/>
  <c r="J310" i="29"/>
  <c r="C316" i="29"/>
  <c r="D316" i="29" s="1"/>
  <c r="E316" i="29" s="1"/>
  <c r="E310" i="29"/>
  <c r="F313" i="29" s="1"/>
  <c r="K342" i="29"/>
  <c r="A348" i="29" s="1"/>
  <c r="C356" i="29" s="1"/>
  <c r="D356" i="29" s="1"/>
  <c r="E356" i="29" s="1"/>
  <c r="H342" i="29"/>
  <c r="J311" i="29"/>
  <c r="C383" i="29"/>
  <c r="C384" i="29" s="1"/>
  <c r="F101" i="29"/>
  <c r="G262" i="29"/>
  <c r="F262" i="29" s="1"/>
  <c r="D262" i="29"/>
  <c r="D263" i="29" s="1"/>
  <c r="D21" i="29"/>
  <c r="D24" i="29" s="1"/>
  <c r="K21" i="29" s="1"/>
  <c r="A27" i="29" s="1"/>
  <c r="E29" i="29" s="1"/>
  <c r="F32" i="29" s="1"/>
  <c r="D102" i="29"/>
  <c r="G21" i="29"/>
  <c r="H21" i="29" s="1"/>
  <c r="G382" i="29"/>
  <c r="H382" i="29" s="1"/>
  <c r="D142" i="29"/>
  <c r="D143" i="29" s="1"/>
  <c r="G142" i="29"/>
  <c r="D383" i="29"/>
  <c r="D385" i="29"/>
  <c r="C109" i="29"/>
  <c r="C110" i="29" s="1"/>
  <c r="C111" i="29" s="1"/>
  <c r="C115" i="29"/>
  <c r="D115" i="29" s="1"/>
  <c r="E115" i="29" s="1"/>
  <c r="E112" i="29"/>
  <c r="E109" i="29"/>
  <c r="F112" i="29" s="1"/>
  <c r="J110" i="29"/>
  <c r="J109" i="29"/>
  <c r="G310" i="29" l="1"/>
  <c r="H310" i="29" s="1"/>
  <c r="C311" i="29"/>
  <c r="C312" i="29" s="1"/>
  <c r="K382" i="29"/>
  <c r="A388" i="29" s="1"/>
  <c r="C390" i="29" s="1"/>
  <c r="C391" i="29" s="1"/>
  <c r="C392" i="29" s="1"/>
  <c r="F382" i="29"/>
  <c r="H262" i="29"/>
  <c r="D265" i="29"/>
  <c r="K262" i="29" s="1"/>
  <c r="A268" i="29" s="1"/>
  <c r="D22" i="29"/>
  <c r="C29" i="29"/>
  <c r="C30" i="29" s="1"/>
  <c r="C31" i="29" s="1"/>
  <c r="C35" i="29"/>
  <c r="D35" i="29" s="1"/>
  <c r="E35" i="29" s="1"/>
  <c r="J29" i="29"/>
  <c r="E32" i="29"/>
  <c r="G29" i="29" s="1"/>
  <c r="H29" i="29" s="1"/>
  <c r="F21" i="29"/>
  <c r="J30" i="29"/>
  <c r="D145" i="29"/>
  <c r="K142" i="29" s="1"/>
  <c r="A148" i="29" s="1"/>
  <c r="E153" i="29" s="1"/>
  <c r="C350" i="29"/>
  <c r="C351" i="29" s="1"/>
  <c r="C352" i="29" s="1"/>
  <c r="G109" i="29"/>
  <c r="H109" i="29" s="1"/>
  <c r="E350" i="29"/>
  <c r="F353" i="29" s="1"/>
  <c r="J351" i="29"/>
  <c r="J350" i="29"/>
  <c r="E353" i="29"/>
  <c r="H142" i="29"/>
  <c r="F142" i="29"/>
  <c r="D109" i="29"/>
  <c r="D112" i="29" s="1"/>
  <c r="K109" i="29" s="1"/>
  <c r="D311" i="29"/>
  <c r="D313" i="29"/>
  <c r="F310" i="29" l="1"/>
  <c r="K310" i="29"/>
  <c r="A316" i="29" s="1"/>
  <c r="J318" i="29" s="1"/>
  <c r="D390" i="29"/>
  <c r="D393" i="29" s="1"/>
  <c r="C396" i="29"/>
  <c r="D396" i="29" s="1"/>
  <c r="E396" i="29" s="1"/>
  <c r="G350" i="29"/>
  <c r="H350" i="29" s="1"/>
  <c r="E390" i="29"/>
  <c r="F393" i="29" s="1"/>
  <c r="E393" i="29"/>
  <c r="J390" i="29"/>
  <c r="J391" i="29"/>
  <c r="D350" i="29"/>
  <c r="D353" i="29" s="1"/>
  <c r="K350" i="29" s="1"/>
  <c r="A356" i="29" s="1"/>
  <c r="B244" i="29"/>
  <c r="J270" i="29"/>
  <c r="J271" i="29"/>
  <c r="D29" i="29"/>
  <c r="D32" i="29" s="1"/>
  <c r="K29" i="29" s="1"/>
  <c r="A35" i="29" s="1"/>
  <c r="J38" i="29" s="1"/>
  <c r="F29" i="29"/>
  <c r="F109" i="29"/>
  <c r="C156" i="29"/>
  <c r="D156" i="29" s="1"/>
  <c r="E156" i="29" s="1"/>
  <c r="J150" i="29"/>
  <c r="E150" i="29"/>
  <c r="F153" i="29" s="1"/>
  <c r="G150" i="29" s="1"/>
  <c r="H150" i="29" s="1"/>
  <c r="J151" i="29"/>
  <c r="C150" i="29"/>
  <c r="C276" i="29"/>
  <c r="D276" i="29" s="1"/>
  <c r="E276" i="29" s="1"/>
  <c r="E273" i="29"/>
  <c r="C270" i="29"/>
  <c r="D270" i="29" s="1"/>
  <c r="D110" i="29"/>
  <c r="B364" i="29"/>
  <c r="E270" i="29"/>
  <c r="F273" i="29" s="1"/>
  <c r="B83" i="29"/>
  <c r="A115" i="29"/>
  <c r="J117" i="29" s="1"/>
  <c r="C318" i="29" l="1"/>
  <c r="C319" i="29" s="1"/>
  <c r="C320" i="29" s="1"/>
  <c r="E321" i="29"/>
  <c r="J319" i="29"/>
  <c r="E318" i="29"/>
  <c r="F321" i="29" s="1"/>
  <c r="F350" i="29"/>
  <c r="D391" i="29"/>
  <c r="K390" i="29"/>
  <c r="A396" i="29" s="1"/>
  <c r="J398" i="29" s="1"/>
  <c r="G390" i="29"/>
  <c r="H390" i="29" s="1"/>
  <c r="D351" i="29"/>
  <c r="D30" i="29"/>
  <c r="E40" i="29"/>
  <c r="E37" i="29"/>
  <c r="D37" i="29" s="1"/>
  <c r="C37" i="29"/>
  <c r="C38" i="29" s="1"/>
  <c r="C39" i="29" s="1"/>
  <c r="J37" i="29"/>
  <c r="F150" i="29"/>
  <c r="D150" i="29"/>
  <c r="C151" i="29"/>
  <c r="C152" i="29" s="1"/>
  <c r="C271" i="29"/>
  <c r="C272" i="29" s="1"/>
  <c r="G270" i="29"/>
  <c r="H270" i="29" s="1"/>
  <c r="J118" i="29"/>
  <c r="C117" i="29"/>
  <c r="C118" i="29" s="1"/>
  <c r="C119" i="29" s="1"/>
  <c r="E120" i="29"/>
  <c r="E117" i="29"/>
  <c r="F120" i="29" s="1"/>
  <c r="E361" i="29"/>
  <c r="E358" i="29"/>
  <c r="D358" i="29" s="1"/>
  <c r="J358" i="29"/>
  <c r="J359" i="29"/>
  <c r="C358" i="29"/>
  <c r="C359" i="29" s="1"/>
  <c r="C360" i="29" s="1"/>
  <c r="D273" i="29"/>
  <c r="D271" i="29"/>
  <c r="G318" i="29" l="1"/>
  <c r="F318" i="29" s="1"/>
  <c r="K318" i="29"/>
  <c r="D318" i="29"/>
  <c r="D321" i="29" s="1"/>
  <c r="E398" i="29"/>
  <c r="D398" i="29" s="1"/>
  <c r="C398" i="29"/>
  <c r="C399" i="29" s="1"/>
  <c r="C400" i="29" s="1"/>
  <c r="J399" i="29"/>
  <c r="F390" i="29"/>
  <c r="E401" i="29"/>
  <c r="K358" i="29"/>
  <c r="B324" i="29" s="1"/>
  <c r="F270" i="29"/>
  <c r="K270" i="29"/>
  <c r="A276" i="29" s="1"/>
  <c r="E281" i="29" s="1"/>
  <c r="F40" i="29"/>
  <c r="G37" i="29" s="1"/>
  <c r="H37" i="29" s="1"/>
  <c r="G117" i="29"/>
  <c r="H117" i="29" s="1"/>
  <c r="D151" i="29"/>
  <c r="D153" i="29"/>
  <c r="K150" i="29" s="1"/>
  <c r="D117" i="29"/>
  <c r="D120" i="29" s="1"/>
  <c r="K117" i="29" s="1"/>
  <c r="F361" i="29"/>
  <c r="G358" i="29" s="1"/>
  <c r="D361" i="29"/>
  <c r="D359" i="29"/>
  <c r="D40" i="29"/>
  <c r="K37" i="29" s="1"/>
  <c r="B3" i="29" s="1"/>
  <c r="D38" i="29"/>
  <c r="H318" i="29" l="1"/>
  <c r="D319" i="29"/>
  <c r="F401" i="29"/>
  <c r="G398" i="29" s="1"/>
  <c r="F398" i="29" s="1"/>
  <c r="K398" i="29"/>
  <c r="H358" i="29"/>
  <c r="F358" i="29"/>
  <c r="F37" i="29"/>
  <c r="E278" i="29"/>
  <c r="F281" i="29" s="1"/>
  <c r="G278" i="29" s="1"/>
  <c r="J278" i="29"/>
  <c r="C278" i="29"/>
  <c r="C279" i="29" s="1"/>
  <c r="C280" i="29" s="1"/>
  <c r="J279" i="29"/>
  <c r="F117" i="29"/>
  <c r="A156" i="29"/>
  <c r="B124" i="29"/>
  <c r="D118" i="29"/>
  <c r="D399" i="29"/>
  <c r="D401" i="29"/>
  <c r="H398" i="29" l="1"/>
  <c r="D278" i="29"/>
  <c r="D281" i="29" s="1"/>
  <c r="K278" i="29"/>
  <c r="E158" i="29"/>
  <c r="J159" i="29"/>
  <c r="J158" i="29"/>
  <c r="E161" i="29"/>
  <c r="C158" i="29"/>
  <c r="C159" i="29" s="1"/>
  <c r="C160" i="29" s="1"/>
  <c r="F278" i="29"/>
  <c r="H278" i="29"/>
  <c r="D279" i="29" l="1"/>
  <c r="F161" i="29"/>
  <c r="G158" i="29" s="1"/>
  <c r="D158" i="29"/>
  <c r="D161" i="29" l="1"/>
  <c r="K158" i="29" s="1"/>
  <c r="D159" i="29"/>
  <c r="H158" i="29"/>
  <c r="F158"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C7C15EDA-7C73-4601-B8CC-5E1A81BE2CB2}">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<sst xmlns="http://schemas.openxmlformats.org/spreadsheetml/2006/main" count="1029" uniqueCount="175">
  <si>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</si>
  <si>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</si>
  <si>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</si>
  <si>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</si>
  <si>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</si>
  <si>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</si>
  <si>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</si>
  <si>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</si>
  <si>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</si>
  <si>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</si>
  <si>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</si>
  <si>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</si>
  <si>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</si>
  <si>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</si>
  <si>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</si>
  <si>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</si>
  <si>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</si>
  <si>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</si>
  <si>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</si>
  <si>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</si>
  <si>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</si>
  <si>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</si>
  <si>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</si>
  <si>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</si>
  <si>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</si>
  <si>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</si>
  <si>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</si>
  <si>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</si>
  <si>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</si>
  <si>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</si>
  <si>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</si>
  <si>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</si>
  <si>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</si>
  <si>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</si>
  <si>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</si>
  <si>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</si>
  <si>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</si>
  <si>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</si>
  <si>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</si>
  <si>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</si>
  <si>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</si>
  <si>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</si>
  <si>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</si>
  <si>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</si>
  <si>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</si>
  <si>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</si>
  <si>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</si>
  <si>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</si>
  <si>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</si>
  <si>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</si>
  <si>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</si>
  <si>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</si>
  <si>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</si>
  <si>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</si>
  <si>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</si>
  <si>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</si>
  <si>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</si>
  <si>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</si>
  <si>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</si>
  <si>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</si>
  <si>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</si>
  <si>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</si>
  <si>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</si>
  <si>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</si>
  <si>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</si>
  <si>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</si>
  <si>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</si>
  <si>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</si>
  <si>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</si>
  <si>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</si>
  <si>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</si>
  <si>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</si>
  <si>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</si>
  <si>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</si>
  <si>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</si>
  <si>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</si>
  <si>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</si>
  <si>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</si>
  <si>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</si>
  <si>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</si>
  <si>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</si>
  <si>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</si>
  <si>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</si>
  <si>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</si>
  <si>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</si>
  <si>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</si>
  <si>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</si>
  <si>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</si>
  <si>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</si>
  <si>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</si>
  <si>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</si>
  <si>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</si>
  <si>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</si>
  <si>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</si>
  <si>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</si>
  <si>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</si>
  <si>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</si>
  <si>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</si>
  <si>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</si>
  <si>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</si>
  <si>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</si>
  <si>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</si>
  <si>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</si>
  <si>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</si>
  <si>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</si>
  <si>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</si>
  <si>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</si>
  <si>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</si>
  <si>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</si>
  <si>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</si>
  <si>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</si>
  <si>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</si>
  <si>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</si>
  <si>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</si>
  <si>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</si>
  <si>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</si>
  <si>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</si>
  <si>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</si>
  <si>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</si>
  <si>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</si>
  <si>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</si>
  <si>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</si>
  <si>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Intervalo de medición (cmH2O):</t>
  </si>
  <si>
    <t>Resolución (cmH2O):</t>
  </si>
  <si>
    <t>Lectura 1 (cmH2O)</t>
  </si>
  <si>
    <t>Lectura 2 (cmH2O)</t>
  </si>
  <si>
    <t>Lectura 3  (cmH2O)</t>
  </si>
  <si>
    <t>Lectura 4 (cmH2O)</t>
  </si>
  <si>
    <t>Promedio (cmH2O)</t>
  </si>
  <si>
    <t>Error (cmH2O)</t>
  </si>
  <si>
    <t>Calibración de PIP</t>
  </si>
  <si>
    <t xml:space="preserve">5 a 40 </t>
  </si>
  <si>
    <t>Equipo bajo prueba (cmH2O)</t>
  </si>
  <si>
    <t>*cmH2O= Centímetros de agua</t>
  </si>
  <si>
    <t>Analizador de flujo de gases</t>
  </si>
  <si>
    <t>TSI</t>
  </si>
  <si>
    <t>L4012</t>
  </si>
  <si>
    <t>Incertidumbre Volumen:</t>
  </si>
  <si>
    <t>Incertidumbre presión:</t>
  </si>
  <si>
    <t>Deriva volumen</t>
  </si>
  <si>
    <t>Deriva presión</t>
  </si>
  <si>
    <t>Resolución volumen</t>
  </si>
  <si>
    <t>Resolución presión</t>
  </si>
  <si>
    <t>FUENTES DE INCERTIDUMBRE VOLUMEN</t>
  </si>
  <si>
    <t>FUENTES DE INCERTIDUMBRE OXÍGENO</t>
  </si>
  <si>
    <t>FUENTES DE INCERTIDUMBRE PEEP</t>
  </si>
  <si>
    <t>FUENTES DE INCERTIDUMBRE PIP</t>
  </si>
  <si>
    <t>FUENTES DE INCERTIDUMBRE  FRECUENCIA</t>
  </si>
  <si>
    <t>FUENTES DE INCERTIDUMBRE  TIEMPO</t>
  </si>
  <si>
    <t>PIP</t>
  </si>
  <si>
    <t>Error       (cmH2O)</t>
  </si>
  <si>
    <t>1 cmH2O = 98,0665 Pa</t>
  </si>
  <si>
    <t>Intrumento</t>
  </si>
  <si>
    <t>Marca</t>
  </si>
  <si>
    <t>Modelo</t>
  </si>
  <si>
    <t>Serie</t>
  </si>
  <si>
    <t>Ubicación</t>
  </si>
  <si>
    <t>Número de Certificado</t>
  </si>
  <si>
    <t>Fecha de Recepción</t>
  </si>
  <si>
    <t>Estado Físico:</t>
  </si>
  <si>
    <t>ING. GABRIEL DURÁN</t>
  </si>
  <si>
    <t>Inventario</t>
  </si>
  <si>
    <t xml:space="preserve">HOSPITAL DE ALTA COMPLEJIDAD DEL MAGDALENA CENTRO </t>
  </si>
  <si>
    <t>901.532.463-8</t>
  </si>
  <si>
    <t>CARRERA 15 ENTRE CALLE 18 y 19</t>
  </si>
  <si>
    <t>LA DORADA - CALDAS</t>
  </si>
  <si>
    <t>L5602</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</si>
  <si>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</si>
  <si>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</si>
  <si>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</si>
  <si>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</si>
  <si>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</si>
  <si>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resucitador neonatal BTM-P-065.</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</si>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</sst>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
      <patternFill patternType="solid">
        <fgColor theme="2" tint="-9.9978637043366805E-2"/>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5">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5" xfId="0" applyBorder="1" applyAlignment="1">
      <alignmen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16" fillId="0" borderId="0" xfId="0" applyFont="1" applyAlignment="1">
      <alignment horizontal="left"/>
    </xf>
    <xf numFmtId="0" fontId="16" fillId="0" borderId="0" xfId="0" applyFont="1" applyAlignment="1">
      <alignment horizontal="right"/>
    </xf>
    <xf numFmtId="0" fontId="6" fillId="0" borderId="5" xfId="0" applyFont="1" applyBorder="1" applyAlignment="1">
      <alignment horizontal="center" vertical="center"/>
    </xf>
    <xf numFmtId="0" fontId="29" fillId="12" borderId="29" xfId="0" applyFont="1" applyFill="1" applyBorder="1" applyAlignment="1">
      <alignment horizontal="center" vertical="center" wrapText="1"/>
    </xf>
    <xf numFmtId="0" fontId="29" fillId="2" borderId="29" xfId="0" applyFont="1" applyFill="1" applyBorder="1" applyAlignment="1">
      <alignment horizontal="center" vertical="center" wrapText="1"/>
    </xf>
    <xf numFmtId="49" fontId="29" fillId="2" borderId="29" xfId="0" applyNumberFormat="1" applyFont="1" applyFill="1" applyBorder="1" applyAlignment="1">
      <alignment horizontal="center" vertical="center" wrapText="1"/>
    </xf>
    <xf numFmtId="1" fontId="29" fillId="2" borderId="29" xfId="0" applyNumberFormat="1" applyFont="1" applyFill="1" applyBorder="1" applyAlignment="1">
      <alignment horizontal="center" vertical="center" shrinkToFit="1"/>
    </xf>
    <xf numFmtId="49" fontId="28" fillId="2" borderId="5" xfId="0" applyNumberFormat="1" applyFont="1" applyFill="1" applyBorder="1" applyAlignment="1">
      <alignment horizontal="center" vertical="center"/>
    </xf>
    <xf numFmtId="0" fontId="28"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0" fillId="0" borderId="30" xfId="0" applyBorder="1" applyAlignment="1">
      <alignment vertical="center"/>
    </xf>
    <xf numFmtId="0" fontId="11" fillId="0" borderId="5" xfId="0" applyFont="1" applyBorder="1" applyAlignment="1">
      <alignment horizontal="center" vertical="center"/>
    </xf>
    <xf numFmtId="164" fontId="11" fillId="0" borderId="5" xfId="0" applyNumberFormat="1" applyFont="1" applyBorder="1" applyAlignment="1">
      <alignment horizontal="center" vertical="center"/>
    </xf>
    <xf numFmtId="0" fontId="15" fillId="0" borderId="5" xfId="0" applyFont="1" applyBorder="1" applyAlignment="1">
      <alignment horizontal="center" wrapText="1"/>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5" fillId="0" borderId="5" xfId="0" applyFont="1" applyBorder="1" applyAlignment="1">
      <alignment horizontal="center" vertical="center" wrapText="1"/>
    </xf>
    <xf numFmtId="2" fontId="11" fillId="0" borderId="5" xfId="0" applyNumberFormat="1" applyFont="1" applyBorder="1" applyAlignment="1">
      <alignment horizontal="center" vertical="center"/>
    </xf>
    <xf numFmtId="0" fontId="6" fillId="0" borderId="26" xfId="0" applyFont="1" applyBorder="1" applyAlignment="1">
      <alignment horizontal="center" vertical="center"/>
    </xf>
    <xf numFmtId="0" fontId="16" fillId="0" borderId="0" xfId="0" applyFont="1" applyAlignment="1">
      <alignment horizontal="right"/>
    </xf>
    <xf numFmtId="165" fontId="10" fillId="0" borderId="0" xfId="0" applyNumberFormat="1" applyFont="1" applyAlignment="1">
      <alignment horizontal="left" vertical="center"/>
    </xf>
    <xf numFmtId="0" fontId="10" fillId="0" borderId="0" xfId="0" applyFont="1" applyAlignment="1">
      <alignment horizontal="left"/>
    </xf>
    <xf numFmtId="0" fontId="15" fillId="0" borderId="0" xfId="0" applyFont="1" applyAlignment="1">
      <alignment horizontal="right"/>
    </xf>
    <xf numFmtId="0" fontId="11" fillId="0" borderId="0" xfId="0" applyFont="1" applyAlignment="1">
      <alignment horizontal="left"/>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0" fontId="13" fillId="0" borderId="18" xfId="0" applyFont="1" applyBorder="1" applyAlignment="1">
      <alignment horizontal="center" vertical="center"/>
    </xf>
    <xf numFmtId="0" fontId="6" fillId="0" borderId="26" xfId="0" applyFont="1" applyBorder="1" applyAlignment="1">
      <alignment horizont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5" fontId="10" fillId="0" borderId="0" xfId="0" applyNumberFormat="1" applyFont="1" applyAlignment="1">
      <alignment horizontal="left"/>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left"/>
    </xf>
    <xf numFmtId="0" fontId="6" fillId="0" borderId="0" xfId="0" applyFont="1" applyAlignment="1">
      <alignment horizontal="right"/>
    </xf>
    <xf numFmtId="0" fontId="11" fillId="0" borderId="0" xfId="0" applyFont="1"/>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5" fillId="0" borderId="19" xfId="0" applyNumberFormat="1" applyFont="1" applyBorder="1" applyAlignment="1">
      <alignment horizontal="center" vertical="center"/>
    </xf>
    <xf numFmtId="0" fontId="15" fillId="0" borderId="5"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164" fontId="27" fillId="13" borderId="5" xfId="0" applyNumberFormat="1" applyFont="1" applyFill="1" applyBorder="1" applyAlignment="1">
      <alignment horizontal="center"/>
    </xf>
    <xf numFmtId="0" fontId="27" fillId="0" borderId="5" xfId="0" applyFont="1" applyBorder="1" applyAlignment="1">
      <alignment horizontal="center"/>
    </xf>
    <xf numFmtId="0" fontId="6" fillId="4" borderId="0" xfId="0" applyFont="1" applyFill="1" applyAlignment="1">
      <alignment horizontal="center"/>
    </xf>
    <xf numFmtId="0" fontId="2" fillId="0" borderId="0" xfId="0" applyFont="1" applyAlignment="1">
      <alignment vertical="center"/>
    </xf>
    <xf numFmtId="0" fontId="2" fillId="0" borderId="28" xfId="0" applyFont="1" applyBorder="1" applyAlignment="1">
      <alignmen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3</xdr:row>
      <xdr:rowOff>0</xdr:rowOff>
    </xdr:from>
    <xdr:to>
      <xdr:col>19</xdr:col>
      <xdr:colOff>335280</xdr:colOff>
      <xdr:row>37</xdr:row>
      <xdr:rowOff>7620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4008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CONCENTRADOR%20DE%20OX&#205;GENO.xlsx" TargetMode="External"/><Relationship Id="rId1" Type="http://schemas.openxmlformats.org/officeDocument/2006/relationships/externalLinkPath" Target="CONCENTRADOR%20DE%20OX&#205;GEN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MEDIDA"/>
      <sheetName val="PATRON"/>
      <sheetName val="INCERTIDUMBRE"/>
      <sheetName val="CERTIFICADO "/>
    </sheetNames>
    <sheetDataSet>
      <sheetData sheetId="0"/>
      <sheetData sheetId="1"/>
      <sheetData sheetId="2"/>
      <sheetData sheetId="3">
        <row r="35">
          <cell r="G35" t="str">
            <v>Analizador de flujo de gases</v>
          </cell>
        </row>
        <row r="38">
          <cell r="G38">
            <v>40712037006</v>
          </cell>
        </row>
      </sheetData>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20" sqref="C20"/>
    </sheetView>
  </sheetViews>
  <sheetFormatPr baseColWidth="10" defaultColWidth="3.6640625" defaultRowHeight="12.75" customHeight="1" x14ac:dyDescent="0.3"/>
  <cols>
    <col min="1" max="1" width="20.109375" style="1" bestFit="1" customWidth="1"/>
    <col min="2" max="2" width="43.109375" style="1" bestFit="1" customWidth="1"/>
    <col min="3" max="3" width="19.6640625" style="1" customWidth="1"/>
    <col min="4" max="4" width="21.44140625" style="1" bestFit="1" customWidth="1"/>
    <col min="5" max="5" width="23.88671875" style="1" bestFit="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0" t="s">
        <v>104</v>
      </c>
      <c r="B1" s="161"/>
      <c r="C1" s="161"/>
      <c r="D1" s="161"/>
      <c r="E1" s="161"/>
      <c r="F1" s="161"/>
      <c r="G1" s="161"/>
      <c r="H1" s="162"/>
      <c r="I1"/>
      <c r="J1"/>
      <c r="K1"/>
      <c r="L1"/>
      <c r="M1"/>
      <c r="N1"/>
      <c r="O1" t="s">
        <v>116</v>
      </c>
      <c r="P1"/>
      <c r="Q1"/>
      <c r="R1"/>
      <c r="S1"/>
      <c r="T1"/>
      <c r="U1"/>
      <c r="V1"/>
      <c r="W1"/>
      <c r="X1"/>
      <c r="Y1"/>
      <c r="Z1"/>
      <c r="AA1"/>
      <c r="AB1"/>
      <c r="AC1"/>
      <c r="AD1"/>
      <c r="AE1"/>
    </row>
    <row r="2" spans="1:31" ht="14.4" x14ac:dyDescent="0.3">
      <c r="A2" s="99" t="s">
        <v>152</v>
      </c>
      <c r="B2" s="99" t="s">
        <v>153</v>
      </c>
      <c r="C2" s="99" t="s">
        <v>154</v>
      </c>
      <c r="D2" s="99" t="s">
        <v>155</v>
      </c>
      <c r="E2" s="99" t="s">
        <v>156</v>
      </c>
      <c r="F2" s="99" t="s">
        <v>161</v>
      </c>
      <c r="G2" s="99" t="s">
        <v>157</v>
      </c>
      <c r="H2" s="99" t="s">
        <v>158</v>
      </c>
      <c r="I2"/>
      <c r="J2"/>
      <c r="K2"/>
      <c r="L2"/>
      <c r="M2"/>
      <c r="N2"/>
      <c r="O2" t="s">
        <v>117</v>
      </c>
      <c r="P2"/>
      <c r="Q2"/>
      <c r="R2"/>
      <c r="S2"/>
      <c r="T2"/>
      <c r="U2"/>
      <c r="V2"/>
      <c r="W2"/>
      <c r="X2"/>
      <c r="Y2"/>
      <c r="Z2"/>
      <c r="AA2"/>
      <c r="AB2"/>
      <c r="AC2"/>
      <c r="AD2"/>
      <c r="AE2"/>
    </row>
    <row r="3" spans="1:31" ht="12.75" customHeight="1" x14ac:dyDescent="0.3">
      <c r="A3" s="100"/>
      <c r="B3" s="100"/>
      <c r="C3" s="101"/>
      <c r="D3" s="102"/>
      <c r="E3" s="103"/>
      <c r="F3" s="104"/>
      <c r="G3" s="105"/>
      <c r="H3" s="106"/>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63" t="s">
        <v>105</v>
      </c>
      <c r="B6" s="163"/>
      <c r="C6"/>
      <c r="D6" s="96" t="s">
        <v>103</v>
      </c>
      <c r="E6" s="96"/>
      <c r="H6"/>
      <c r="I6"/>
      <c r="J6"/>
      <c r="K6"/>
      <c r="L6"/>
      <c r="M6"/>
      <c r="N6"/>
      <c r="O6" t="s">
        <v>119</v>
      </c>
      <c r="P6"/>
      <c r="Q6"/>
      <c r="R6"/>
      <c r="S6"/>
      <c r="T6"/>
      <c r="U6"/>
      <c r="V6"/>
      <c r="W6"/>
      <c r="X6"/>
      <c r="Y6"/>
      <c r="Z6"/>
      <c r="AA6"/>
      <c r="AB6"/>
      <c r="AC6"/>
      <c r="AD6"/>
      <c r="AE6"/>
    </row>
    <row r="7" spans="1:31" ht="12.75" customHeight="1" x14ac:dyDescent="0.3">
      <c r="A7" s="20" t="s">
        <v>107</v>
      </c>
      <c r="B7" s="89" t="s">
        <v>116</v>
      </c>
      <c r="C7"/>
      <c r="D7" s="20" t="s">
        <v>106</v>
      </c>
      <c r="E7" s="107" t="s">
        <v>162</v>
      </c>
      <c r="H7"/>
      <c r="I7"/>
      <c r="J7"/>
      <c r="K7"/>
      <c r="L7"/>
      <c r="M7"/>
      <c r="N7"/>
      <c r="O7"/>
      <c r="P7"/>
      <c r="Q7"/>
      <c r="R7"/>
      <c r="S7"/>
      <c r="T7"/>
      <c r="U7"/>
      <c r="V7"/>
      <c r="W7"/>
      <c r="X7"/>
      <c r="Y7"/>
      <c r="Z7"/>
      <c r="AA7"/>
      <c r="AB7"/>
      <c r="AC7"/>
      <c r="AD7"/>
      <c r="AE7"/>
    </row>
    <row r="8" spans="1:31" ht="12.75" customHeight="1" x14ac:dyDescent="0.3">
      <c r="A8" s="20" t="s">
        <v>159</v>
      </c>
      <c r="B8" s="89" t="s">
        <v>68</v>
      </c>
      <c r="C8"/>
      <c r="D8" s="20" t="s">
        <v>8</v>
      </c>
      <c r="E8" s="89" t="s">
        <v>163</v>
      </c>
      <c r="H8"/>
      <c r="I8"/>
      <c r="J8"/>
      <c r="K8"/>
      <c r="L8"/>
      <c r="M8"/>
      <c r="N8"/>
      <c r="O8"/>
      <c r="P8"/>
      <c r="Q8"/>
      <c r="R8"/>
      <c r="S8"/>
      <c r="T8"/>
      <c r="U8"/>
      <c r="V8"/>
      <c r="W8"/>
      <c r="X8"/>
      <c r="Y8"/>
      <c r="Z8"/>
      <c r="AA8"/>
      <c r="AB8"/>
      <c r="AC8"/>
      <c r="AD8"/>
      <c r="AE8"/>
    </row>
    <row r="9" spans="1:31" ht="12.75" customHeight="1" x14ac:dyDescent="0.3">
      <c r="A9" s="20" t="s">
        <v>109</v>
      </c>
      <c r="B9" s="91">
        <f>H3</f>
        <v>0</v>
      </c>
      <c r="C9"/>
      <c r="D9" s="20" t="s">
        <v>108</v>
      </c>
      <c r="E9" s="89">
        <v>3007835072</v>
      </c>
      <c r="H9"/>
      <c r="I9"/>
      <c r="J9"/>
      <c r="K9"/>
      <c r="L9"/>
      <c r="M9"/>
      <c r="N9"/>
      <c r="O9"/>
      <c r="P9"/>
      <c r="Q9"/>
      <c r="R9"/>
      <c r="S9"/>
      <c r="T9"/>
      <c r="U9"/>
      <c r="V9"/>
      <c r="W9"/>
      <c r="X9"/>
      <c r="Y9"/>
      <c r="Z9"/>
      <c r="AA9"/>
      <c r="AB9"/>
      <c r="AC9"/>
      <c r="AD9"/>
      <c r="AE9"/>
    </row>
    <row r="10" spans="1:31" ht="12.75" customHeight="1" x14ac:dyDescent="0.3">
      <c r="A10" s="20" t="s">
        <v>110</v>
      </c>
      <c r="B10" s="91">
        <f>H3</f>
        <v>0</v>
      </c>
      <c r="C10"/>
      <c r="D10" s="20" t="s">
        <v>5</v>
      </c>
      <c r="E10" s="90" t="s">
        <v>164</v>
      </c>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0" t="s">
        <v>165</v>
      </c>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4.4"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160</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A913A8E5-A479-46BE-BB3C-8E20A55D776E}">
      <formula1>$O$1:$O$2</formula1>
    </dataValidation>
    <dataValidation type="list" allowBlank="1" showInputMessage="1" showErrorMessage="1" sqref="B8" xr:uid="{BD5D604D-132D-423F-A600-7895CC60C044}">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7" t="s">
        <v>57</v>
      </c>
      <c r="B1" s="168"/>
      <c r="C1" s="168"/>
      <c r="D1" s="168"/>
      <c r="E1" s="168"/>
      <c r="F1" s="168"/>
      <c r="G1" s="168"/>
      <c r="H1" s="168"/>
      <c r="I1" s="168"/>
      <c r="J1" s="168"/>
      <c r="K1" s="169"/>
    </row>
    <row r="2" spans="1:11" ht="15" thickBot="1" x14ac:dyDescent="0.35">
      <c r="A2" s="31" t="s">
        <v>30</v>
      </c>
      <c r="B2" s="18" t="s">
        <v>29</v>
      </c>
      <c r="C2" t="e">
        <f>FIXED(A3,6)</f>
        <v>#REF!</v>
      </c>
      <c r="D2" t="e">
        <f>RIGHT(C2,1)</f>
        <v>#REF!</v>
      </c>
      <c r="E2" t="e">
        <f>D2/1000000</f>
        <v>#REF!</v>
      </c>
      <c r="F2" s="30" t="e">
        <f>A3-E2</f>
        <v>#REF!</v>
      </c>
      <c r="H2" t="e">
        <f>IF(C7=5,IF(AND(D3=0,D8=FALSE),J5,J6),J6)</f>
        <v>#REF!</v>
      </c>
      <c r="K2" s="27"/>
    </row>
    <row r="3" spans="1:11" ht="18.600000000000001" thickBot="1" x14ac:dyDescent="0.4">
      <c r="A3" s="29" t="e">
        <f>INCERTIDUMBRE!L5</f>
        <v>#REF!</v>
      </c>
      <c r="B3" s="28" t="e">
        <f>IF(A3&gt;=10,K37,IF(A3&gt;=1,K29,IF(A3&gt;=0.1,K21,IF(A3&gt;=0.01,K13,IF(A3&gt;=0.001,K5)))))</f>
        <v>#REF!</v>
      </c>
      <c r="C3" t="s">
        <v>28</v>
      </c>
      <c r="D3" t="e">
        <f>D2+0</f>
        <v>#REF!</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34</v>
      </c>
      <c r="E7" t="s">
        <v>33</v>
      </c>
      <c r="F7" t="s">
        <v>32</v>
      </c>
      <c r="K7" s="27"/>
    </row>
    <row r="8" spans="1:11" hidden="1" x14ac:dyDescent="0.3">
      <c r="A8" s="31"/>
      <c r="D8" t="e">
        <f>ISODD(D5)</f>
        <v>#REF!</v>
      </c>
      <c r="E8" t="e">
        <f>LEN(A3)</f>
        <v>#REF!</v>
      </c>
      <c r="F8" t="e">
        <f>LEN(E5)+1</f>
        <v>#REF!</v>
      </c>
      <c r="K8" s="27"/>
    </row>
    <row r="9" spans="1:11" hidden="1" x14ac:dyDescent="0.3">
      <c r="A9" s="31"/>
      <c r="K9" s="27"/>
    </row>
    <row r="10" spans="1:11" hidden="1" x14ac:dyDescent="0.3">
      <c r="A10" s="164" t="s">
        <v>47</v>
      </c>
      <c r="B10" s="165"/>
      <c r="C10" s="165"/>
      <c r="D10" s="165"/>
      <c r="E10" s="165"/>
      <c r="F10" s="165"/>
      <c r="G10" s="165"/>
      <c r="H10" s="165"/>
      <c r="I10" s="165"/>
      <c r="J10" s="165"/>
      <c r="K10" s="166"/>
    </row>
    <row r="11" spans="1:11" hidden="1" x14ac:dyDescent="0.3">
      <c r="A11" s="42" t="e">
        <f>K5</f>
        <v>#REF!</v>
      </c>
      <c r="C11" t="e">
        <f>FIXED(A3,5)</f>
        <v>#REF!</v>
      </c>
      <c r="D11" t="e">
        <f>RIGHT(C11,1)</f>
        <v>#REF!</v>
      </c>
      <c r="E11" t="e">
        <f>D11+0</f>
        <v>#REF!</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34</v>
      </c>
      <c r="E15" t="s">
        <v>33</v>
      </c>
      <c r="F15" t="s">
        <v>32</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64" t="s">
        <v>46</v>
      </c>
      <c r="B18" s="165"/>
      <c r="C18" s="165"/>
      <c r="D18" s="165"/>
      <c r="E18" s="165"/>
      <c r="F18" s="165"/>
      <c r="G18" s="165"/>
      <c r="H18" s="165"/>
      <c r="I18" s="165"/>
      <c r="J18" s="165"/>
      <c r="K18" s="166"/>
    </row>
    <row r="19" spans="1:11" hidden="1" x14ac:dyDescent="0.3">
      <c r="A19" s="42" t="e">
        <f>K13</f>
        <v>#REF!</v>
      </c>
      <c r="C19" t="e">
        <f>FIXED(A11,4)</f>
        <v>#REF!</v>
      </c>
      <c r="D19" t="e">
        <f>RIGHT(C19,1)</f>
        <v>#REF!</v>
      </c>
      <c r="E19" t="e">
        <f>D19+0</f>
        <v>#REF!</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2"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34</v>
      </c>
      <c r="E23" t="s">
        <v>33</v>
      </c>
      <c r="F23" t="s">
        <v>32</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64" t="s">
        <v>45</v>
      </c>
      <c r="B26" s="165"/>
      <c r="C26" s="165"/>
      <c r="D26" s="165"/>
      <c r="E26" s="165"/>
      <c r="F26" s="165"/>
      <c r="G26" s="165"/>
      <c r="H26" s="165"/>
      <c r="I26" s="165"/>
      <c r="J26" s="165"/>
      <c r="K26" s="166"/>
    </row>
    <row r="27" spans="1:11" hidden="1" x14ac:dyDescent="0.3">
      <c r="A27" s="39" t="e">
        <f>K21</f>
        <v>#REF!</v>
      </c>
      <c r="C27" t="e">
        <f>FIXED(A19,3)</f>
        <v>#REF!</v>
      </c>
      <c r="D27" t="e">
        <f>RIGHT(C27,1)</f>
        <v>#REF!</v>
      </c>
      <c r="E27" t="e">
        <f>D27+0</f>
        <v>#REF!</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2"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34</v>
      </c>
      <c r="E31" t="s">
        <v>33</v>
      </c>
      <c r="F31" t="s">
        <v>32</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64" t="s">
        <v>44</v>
      </c>
      <c r="B34" s="165"/>
      <c r="C34" s="165"/>
      <c r="D34" s="165"/>
      <c r="E34" s="165"/>
      <c r="F34" s="165"/>
      <c r="G34" s="165"/>
      <c r="H34" s="165"/>
      <c r="I34" s="165"/>
      <c r="J34" s="165"/>
      <c r="K34" s="166"/>
    </row>
    <row r="35" spans="1:11" hidden="1" x14ac:dyDescent="0.3">
      <c r="A35" s="39" t="e">
        <f>K29</f>
        <v>#REF!</v>
      </c>
      <c r="C35" t="e">
        <f>FIXED(A27,2)</f>
        <v>#REF!</v>
      </c>
      <c r="D35" t="e">
        <f>RIGHT(C35,1)</f>
        <v>#REF!</v>
      </c>
      <c r="E35" t="e">
        <f>D35+0</f>
        <v>#REF!</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34</v>
      </c>
      <c r="E39" t="s">
        <v>33</v>
      </c>
      <c r="F39" t="s">
        <v>32</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67" t="s">
        <v>56</v>
      </c>
      <c r="B41" s="168"/>
      <c r="C41" s="168"/>
      <c r="D41" s="168"/>
      <c r="E41" s="168"/>
      <c r="F41" s="168"/>
      <c r="G41" s="168"/>
      <c r="H41" s="168"/>
      <c r="I41" s="168"/>
      <c r="J41" s="168"/>
      <c r="K41" s="169"/>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4" t="s">
        <v>47</v>
      </c>
      <c r="B50" s="165"/>
      <c r="C50" s="165"/>
      <c r="D50" s="165"/>
      <c r="E50" s="165"/>
      <c r="F50" s="165"/>
      <c r="G50" s="165"/>
      <c r="H50" s="165"/>
      <c r="I50" s="165"/>
      <c r="J50" s="165"/>
      <c r="K50" s="166"/>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4" t="s">
        <v>46</v>
      </c>
      <c r="B58" s="165"/>
      <c r="C58" s="165"/>
      <c r="D58" s="165"/>
      <c r="E58" s="165"/>
      <c r="F58" s="165"/>
      <c r="G58" s="165"/>
      <c r="H58" s="165"/>
      <c r="I58" s="165"/>
      <c r="J58" s="165"/>
      <c r="K58" s="166"/>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4" t="s">
        <v>45</v>
      </c>
      <c r="B66" s="165"/>
      <c r="C66" s="165"/>
      <c r="D66" s="165"/>
      <c r="E66" s="165"/>
      <c r="F66" s="165"/>
      <c r="G66" s="165"/>
      <c r="H66" s="165"/>
      <c r="I66" s="165"/>
      <c r="J66" s="165"/>
      <c r="K66" s="166"/>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4" t="s">
        <v>44</v>
      </c>
      <c r="B74" s="165"/>
      <c r="C74" s="165"/>
      <c r="D74" s="165"/>
      <c r="E74" s="165"/>
      <c r="F74" s="165"/>
      <c r="G74" s="165"/>
      <c r="H74" s="165"/>
      <c r="I74" s="165"/>
      <c r="J74" s="165"/>
      <c r="K74" s="166"/>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7" t="s">
        <v>55</v>
      </c>
      <c r="B81" s="168"/>
      <c r="C81" s="168"/>
      <c r="D81" s="168"/>
      <c r="E81" s="168"/>
      <c r="F81" s="168"/>
      <c r="G81" s="168"/>
      <c r="H81" s="168"/>
      <c r="I81" s="168"/>
      <c r="J81" s="168"/>
      <c r="K81" s="169"/>
    </row>
    <row r="82" spans="1:11" ht="15" thickBot="1" x14ac:dyDescent="0.35">
      <c r="A82" s="31" t="s">
        <v>30</v>
      </c>
      <c r="B82" s="18" t="s">
        <v>29</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INCERTIDUMBRE!L6</f>
        <v>#REF!</v>
      </c>
      <c r="B83" s="28" t="e">
        <f>IF(A83&gt;=10,K117,IF(A83&gt;=1,K109,IF(A83&gt;=0.1,K101,IF(A83&gt;=0.01,K93,IF(A83&gt;=0.001,K85)))))</f>
        <v>#REF!</v>
      </c>
      <c r="C83" t="s">
        <v>28</v>
      </c>
      <c r="D83" t="e">
        <f>D82+0</f>
        <v>#REF!</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34</v>
      </c>
      <c r="E87" t="s">
        <v>33</v>
      </c>
      <c r="F87" t="s">
        <v>32</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64" t="s">
        <v>47</v>
      </c>
      <c r="B90" s="165"/>
      <c r="C90" s="165"/>
      <c r="D90" s="165"/>
      <c r="E90" s="165"/>
      <c r="F90" s="165"/>
      <c r="G90" s="165"/>
      <c r="H90" s="165"/>
      <c r="I90" s="165"/>
      <c r="J90" s="165"/>
      <c r="K90" s="166"/>
    </row>
    <row r="91" spans="1:11" hidden="1" x14ac:dyDescent="0.3">
      <c r="A91" s="42" t="e">
        <f>K85</f>
        <v>#REF!</v>
      </c>
      <c r="C91" t="e">
        <f>FIXED(A83,5)</f>
        <v>#REF!</v>
      </c>
      <c r="D91" t="e">
        <f>RIGHT(C91,1)</f>
        <v>#REF!</v>
      </c>
      <c r="E91" t="e">
        <f>D91+0</f>
        <v>#REF!</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34</v>
      </c>
      <c r="E95" t="s">
        <v>33</v>
      </c>
      <c r="F95" t="s">
        <v>32</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64" t="s">
        <v>46</v>
      </c>
      <c r="B98" s="165"/>
      <c r="C98" s="165"/>
      <c r="D98" s="165"/>
      <c r="E98" s="165"/>
      <c r="F98" s="165"/>
      <c r="G98" s="165"/>
      <c r="H98" s="165"/>
      <c r="I98" s="165"/>
      <c r="J98" s="165"/>
      <c r="K98" s="166"/>
    </row>
    <row r="99" spans="1:11" hidden="1" x14ac:dyDescent="0.3">
      <c r="A99" s="42" t="e">
        <f>K93</f>
        <v>#REF!</v>
      </c>
      <c r="C99" t="e">
        <f>FIXED(A91,4)</f>
        <v>#REF!</v>
      </c>
      <c r="D99" t="e">
        <f>RIGHT(C99,1)</f>
        <v>#REF!</v>
      </c>
      <c r="E99" t="e">
        <f>D99+0</f>
        <v>#REF!</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2"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34</v>
      </c>
      <c r="E103" t="s">
        <v>33</v>
      </c>
      <c r="F103" t="s">
        <v>32</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64" t="s">
        <v>45</v>
      </c>
      <c r="B106" s="165"/>
      <c r="C106" s="165"/>
      <c r="D106" s="165"/>
      <c r="E106" s="165"/>
      <c r="F106" s="165"/>
      <c r="G106" s="165"/>
      <c r="H106" s="165"/>
      <c r="I106" s="165"/>
      <c r="J106" s="165"/>
      <c r="K106" s="166"/>
    </row>
    <row r="107" spans="1:11" hidden="1" x14ac:dyDescent="0.3">
      <c r="A107" s="39" t="e">
        <f>K101</f>
        <v>#REF!</v>
      </c>
      <c r="C107" t="e">
        <f>FIXED(A99,3)</f>
        <v>#REF!</v>
      </c>
      <c r="D107" t="e">
        <f>RIGHT(C107,1)</f>
        <v>#REF!</v>
      </c>
      <c r="E107" t="e">
        <f>D107+0</f>
        <v>#REF!</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2"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34</v>
      </c>
      <c r="E111" t="s">
        <v>33</v>
      </c>
      <c r="F111" t="s">
        <v>32</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64" t="s">
        <v>44</v>
      </c>
      <c r="B114" s="165"/>
      <c r="C114" s="165"/>
      <c r="D114" s="165"/>
      <c r="E114" s="165"/>
      <c r="F114" s="165"/>
      <c r="G114" s="165"/>
      <c r="H114" s="165"/>
      <c r="I114" s="165"/>
      <c r="J114" s="165"/>
      <c r="K114" s="166"/>
    </row>
    <row r="115" spans="1:11" hidden="1" x14ac:dyDescent="0.3">
      <c r="A115" s="39" t="e">
        <f>K109</f>
        <v>#REF!</v>
      </c>
      <c r="C115" t="e">
        <f>FIXED(A107,2)</f>
        <v>#REF!</v>
      </c>
      <c r="D115" t="e">
        <f>RIGHT(C115,1)</f>
        <v>#REF!</v>
      </c>
      <c r="E115" t="e">
        <f>D115+0</f>
        <v>#REF!</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34</v>
      </c>
      <c r="E119" t="s">
        <v>33</v>
      </c>
      <c r="F119" t="s">
        <v>32</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67" t="s">
        <v>54</v>
      </c>
      <c r="B122" s="168"/>
      <c r="C122" s="168"/>
      <c r="D122" s="168"/>
      <c r="E122" s="168"/>
      <c r="F122" s="168"/>
      <c r="G122" s="168"/>
      <c r="H122" s="168"/>
      <c r="I122" s="168"/>
      <c r="J122" s="168"/>
      <c r="K122" s="169"/>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4" t="s">
        <v>47</v>
      </c>
      <c r="B131" s="165"/>
      <c r="C131" s="165"/>
      <c r="D131" s="165"/>
      <c r="E131" s="165"/>
      <c r="F131" s="165"/>
      <c r="G131" s="165"/>
      <c r="H131" s="165"/>
      <c r="I131" s="165"/>
      <c r="J131" s="165"/>
      <c r="K131" s="166"/>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4" t="s">
        <v>46</v>
      </c>
      <c r="B139" s="165"/>
      <c r="C139" s="165"/>
      <c r="D139" s="165"/>
      <c r="E139" s="165"/>
      <c r="F139" s="165"/>
      <c r="G139" s="165"/>
      <c r="H139" s="165"/>
      <c r="I139" s="165"/>
      <c r="J139" s="165"/>
      <c r="K139" s="166"/>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4" t="s">
        <v>45</v>
      </c>
      <c r="B147" s="165"/>
      <c r="C147" s="165"/>
      <c r="D147" s="165"/>
      <c r="E147" s="165"/>
      <c r="F147" s="165"/>
      <c r="G147" s="165"/>
      <c r="H147" s="165"/>
      <c r="I147" s="165"/>
      <c r="J147" s="165"/>
      <c r="K147" s="166"/>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4" t="s">
        <v>44</v>
      </c>
      <c r="B155" s="165"/>
      <c r="C155" s="165"/>
      <c r="D155" s="165"/>
      <c r="E155" s="165"/>
      <c r="F155" s="165"/>
      <c r="G155" s="165"/>
      <c r="H155" s="165"/>
      <c r="I155" s="165"/>
      <c r="J155" s="165"/>
      <c r="K155" s="166"/>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7" t="s">
        <v>53</v>
      </c>
      <c r="B162" s="168"/>
      <c r="C162" s="168"/>
      <c r="D162" s="168"/>
      <c r="E162" s="168"/>
      <c r="F162" s="168"/>
      <c r="G162" s="168"/>
      <c r="H162" s="168"/>
      <c r="I162" s="168"/>
      <c r="J162" s="168"/>
      <c r="K162" s="169"/>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4" t="s">
        <v>47</v>
      </c>
      <c r="B171" s="165"/>
      <c r="C171" s="165"/>
      <c r="D171" s="165"/>
      <c r="E171" s="165"/>
      <c r="F171" s="165"/>
      <c r="G171" s="165"/>
      <c r="H171" s="165"/>
      <c r="I171" s="165"/>
      <c r="J171" s="165"/>
      <c r="K171" s="166"/>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4" t="s">
        <v>46</v>
      </c>
      <c r="B179" s="165"/>
      <c r="C179" s="165"/>
      <c r="D179" s="165"/>
      <c r="E179" s="165"/>
      <c r="F179" s="165"/>
      <c r="G179" s="165"/>
      <c r="H179" s="165"/>
      <c r="I179" s="165"/>
      <c r="J179" s="165"/>
      <c r="K179" s="166"/>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4" t="s">
        <v>45</v>
      </c>
      <c r="B187" s="165"/>
      <c r="C187" s="165"/>
      <c r="D187" s="165"/>
      <c r="E187" s="165"/>
      <c r="F187" s="165"/>
      <c r="G187" s="165"/>
      <c r="H187" s="165"/>
      <c r="I187" s="165"/>
      <c r="J187" s="165"/>
      <c r="K187" s="166"/>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4" t="s">
        <v>44</v>
      </c>
      <c r="B195" s="165"/>
      <c r="C195" s="165"/>
      <c r="D195" s="165"/>
      <c r="E195" s="165"/>
      <c r="F195" s="165"/>
      <c r="G195" s="165"/>
      <c r="H195" s="165"/>
      <c r="I195" s="165"/>
      <c r="J195" s="165"/>
      <c r="K195" s="166"/>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7" t="s">
        <v>53</v>
      </c>
      <c r="B202" s="168"/>
      <c r="C202" s="168"/>
      <c r="D202" s="168"/>
      <c r="E202" s="168"/>
      <c r="F202" s="168"/>
      <c r="G202" s="168"/>
      <c r="H202" s="168"/>
      <c r="I202" s="168"/>
      <c r="J202" s="168"/>
      <c r="K202" s="169"/>
    </row>
    <row r="203" spans="1:11" ht="15" thickBot="1" x14ac:dyDescent="0.35">
      <c r="A203" s="31" t="s">
        <v>30</v>
      </c>
      <c r="B203" s="18" t="s">
        <v>29</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INCERTIDUMBRE!L10</f>
        <v>Incertidumbre Expandida</v>
      </c>
      <c r="B204" s="28" t="e">
        <f>IF(A204&gt;=10,K238,IF(A204&gt;=1,K230,IF(A204&gt;=0.1,K222,IF(A204&gt;=0.01,K214,IF(A204&gt;=0.001,K206)))))</f>
        <v>#VALUE!</v>
      </c>
      <c r="C204" t="s">
        <v>28</v>
      </c>
      <c r="D204" t="e">
        <f>D203+0</f>
        <v>#VALUE!</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34</v>
      </c>
      <c r="E208" t="s">
        <v>33</v>
      </c>
      <c r="F208" t="s">
        <v>32</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64" t="s">
        <v>47</v>
      </c>
      <c r="B211" s="165"/>
      <c r="C211" s="165"/>
      <c r="D211" s="165"/>
      <c r="E211" s="165"/>
      <c r="F211" s="165"/>
      <c r="G211" s="165"/>
      <c r="H211" s="165"/>
      <c r="I211" s="165"/>
      <c r="J211" s="165"/>
      <c r="K211" s="166"/>
    </row>
    <row r="212" spans="1:11" hidden="1" x14ac:dyDescent="0.3">
      <c r="A212" s="42" t="e">
        <f>K206</f>
        <v>#VALUE!</v>
      </c>
      <c r="C212" t="e">
        <f>FIXED(A204,5)</f>
        <v>#VALUE!</v>
      </c>
      <c r="D212" t="e">
        <f>RIGHT(C212,1)</f>
        <v>#VALUE!</v>
      </c>
      <c r="E212" t="e">
        <f>D212+0</f>
        <v>#VALUE!</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34</v>
      </c>
      <c r="E216" t="s">
        <v>33</v>
      </c>
      <c r="F216" t="s">
        <v>32</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64" t="s">
        <v>46</v>
      </c>
      <c r="B219" s="165"/>
      <c r="C219" s="165"/>
      <c r="D219" s="165"/>
      <c r="E219" s="165"/>
      <c r="F219" s="165"/>
      <c r="G219" s="165"/>
      <c r="H219" s="165"/>
      <c r="I219" s="165"/>
      <c r="J219" s="165"/>
      <c r="K219" s="166"/>
    </row>
    <row r="220" spans="1:11" hidden="1" x14ac:dyDescent="0.3">
      <c r="A220" s="42" t="e">
        <f>K214</f>
        <v>#VALUE!</v>
      </c>
      <c r="C220" t="e">
        <f>FIXED(A212,4)</f>
        <v>#VALUE!</v>
      </c>
      <c r="D220" t="e">
        <f>RIGHT(C220,1)</f>
        <v>#VALUE!</v>
      </c>
      <c r="E220" t="e">
        <f>D220+0</f>
        <v>#VALUE!</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2"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34</v>
      </c>
      <c r="E224" t="s">
        <v>33</v>
      </c>
      <c r="F224" t="s">
        <v>32</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64" t="s">
        <v>45</v>
      </c>
      <c r="B227" s="165"/>
      <c r="C227" s="165"/>
      <c r="D227" s="165"/>
      <c r="E227" s="165"/>
      <c r="F227" s="165"/>
      <c r="G227" s="165"/>
      <c r="H227" s="165"/>
      <c r="I227" s="165"/>
      <c r="J227" s="165"/>
      <c r="K227" s="166"/>
    </row>
    <row r="228" spans="1:11" hidden="1" x14ac:dyDescent="0.3">
      <c r="A228" s="39" t="e">
        <f>K222</f>
        <v>#VALUE!</v>
      </c>
      <c r="C228" t="e">
        <f>FIXED(A220,3)</f>
        <v>#VALUE!</v>
      </c>
      <c r="D228" t="e">
        <f>RIGHT(C228,1)</f>
        <v>#VALUE!</v>
      </c>
      <c r="E228" t="e">
        <f>D228+0</f>
        <v>#VALUE!</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2"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34</v>
      </c>
      <c r="E232" t="s">
        <v>33</v>
      </c>
      <c r="F232" t="s">
        <v>32</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64" t="s">
        <v>44</v>
      </c>
      <c r="B235" s="165"/>
      <c r="C235" s="165"/>
      <c r="D235" s="165"/>
      <c r="E235" s="165"/>
      <c r="F235" s="165"/>
      <c r="G235" s="165"/>
      <c r="H235" s="165"/>
      <c r="I235" s="165"/>
      <c r="J235" s="165"/>
      <c r="K235" s="166"/>
    </row>
    <row r="236" spans="1:11" hidden="1" x14ac:dyDescent="0.3">
      <c r="A236" s="39" t="e">
        <f>K230</f>
        <v>#VALUE!</v>
      </c>
      <c r="C236" t="e">
        <f>FIXED(A228,2)</f>
        <v>#VALUE!</v>
      </c>
      <c r="D236" t="e">
        <f>RIGHT(C236,1)</f>
        <v>#VALUE!</v>
      </c>
      <c r="E236" t="e">
        <f>D236+0</f>
        <v>#VALUE!</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34</v>
      </c>
      <c r="E240" t="s">
        <v>33</v>
      </c>
      <c r="F240" t="s">
        <v>32</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67" t="s">
        <v>52</v>
      </c>
      <c r="B242" s="168"/>
      <c r="C242" s="168"/>
      <c r="D242" s="168"/>
      <c r="E242" s="168"/>
      <c r="F242" s="168"/>
      <c r="G242" s="168"/>
      <c r="H242" s="168"/>
      <c r="I242" s="168"/>
      <c r="J242" s="168"/>
      <c r="K242" s="169"/>
    </row>
    <row r="243" spans="1:11" ht="15" thickBot="1" x14ac:dyDescent="0.35">
      <c r="A243" s="31" t="s">
        <v>30</v>
      </c>
      <c r="B243" s="18" t="s">
        <v>29</v>
      </c>
      <c r="C243" t="e">
        <f>FIXED(A244,6)</f>
        <v>#REF!</v>
      </c>
      <c r="D243" t="e">
        <f>RIGHT(C243,1)</f>
        <v>#REF!</v>
      </c>
      <c r="E243" t="e">
        <f>D243/1000000</f>
        <v>#REF!</v>
      </c>
      <c r="F243" s="30" t="e">
        <f>A244-E243</f>
        <v>#REF!</v>
      </c>
      <c r="H243" t="e">
        <f>IF(C248=5,IF(AND(D244=0,D249=FALSE),J246,J247),J247)</f>
        <v>#REF!</v>
      </c>
      <c r="K243" s="27"/>
    </row>
    <row r="244" spans="1:11" ht="18.600000000000001" thickBot="1" x14ac:dyDescent="0.4">
      <c r="A244" s="29" t="e">
        <f>INCERTIDUMBRE!L11</f>
        <v>#REF!</v>
      </c>
      <c r="B244" s="28" t="e">
        <f>IF(A244&gt;=10,K278,IF(A244&gt;=1,K270,IF(A244&gt;=0.1,K262,IF(A244&gt;=0.01,K254,IF(A244&gt;=0.001,K246)))))</f>
        <v>#REF!</v>
      </c>
      <c r="C244" t="s">
        <v>28</v>
      </c>
      <c r="D244" t="e">
        <f>D243+0</f>
        <v>#REF!</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e">
        <f>RIGHT(F243,2)</f>
        <v>#REF!</v>
      </c>
      <c r="D246" t="e">
        <f>LEFT(C246,1)</f>
        <v>#REF!</v>
      </c>
      <c r="E246" s="30" t="e">
        <f>TRUNC(A244)</f>
        <v>#REF!</v>
      </c>
      <c r="F246" s="14" t="e">
        <f>FIXED(A244-E246,G246)</f>
        <v>#REF!</v>
      </c>
      <c r="G246" t="e">
        <f>ABS(E249-F249)</f>
        <v>#REF!</v>
      </c>
      <c r="H246" t="e">
        <f>RIGHT(A244,G246)</f>
        <v>#REF!</v>
      </c>
      <c r="I246">
        <v>5.0000000000000002E-5</v>
      </c>
      <c r="J246" s="14" t="e">
        <f>(A244-I246)</f>
        <v>#REF!</v>
      </c>
      <c r="K246" s="45" t="e">
        <f>IF(C248=5,IF(AND(D244=0,D249=FALSE),J246,J247),J247)</f>
        <v>#REF!</v>
      </c>
    </row>
    <row r="247" spans="1:11" hidden="1" x14ac:dyDescent="0.3">
      <c r="A247" s="31"/>
      <c r="C247" t="e">
        <f>RIGHT(C246,1)</f>
        <v>#REF!</v>
      </c>
      <c r="D247" t="e">
        <f>D246+0</f>
        <v>#REF!</v>
      </c>
      <c r="J247" t="e">
        <f>FIXED(A244,4)</f>
        <v>#REF!</v>
      </c>
      <c r="K247" s="27"/>
    </row>
    <row r="248" spans="1:11" hidden="1" x14ac:dyDescent="0.3">
      <c r="A248" s="31"/>
      <c r="C248" t="e">
        <f>C247+0</f>
        <v>#REF!</v>
      </c>
      <c r="D248" t="s">
        <v>34</v>
      </c>
      <c r="E248" t="s">
        <v>33</v>
      </c>
      <c r="F248" t="s">
        <v>32</v>
      </c>
      <c r="K248" s="27"/>
    </row>
    <row r="249" spans="1:11" hidden="1" x14ac:dyDescent="0.3">
      <c r="A249" s="31"/>
      <c r="D249" t="e">
        <f>ISODD(D246)</f>
        <v>#REF!</v>
      </c>
      <c r="E249" t="e">
        <f>LEN(A244)</f>
        <v>#REF!</v>
      </c>
      <c r="F249" t="e">
        <f>LEN(E246)+1</f>
        <v>#REF!</v>
      </c>
      <c r="K249" s="27"/>
    </row>
    <row r="250" spans="1:11" hidden="1" x14ac:dyDescent="0.3">
      <c r="A250" s="31"/>
      <c r="K250" s="27"/>
    </row>
    <row r="251" spans="1:11" hidden="1" x14ac:dyDescent="0.3">
      <c r="A251" s="164" t="s">
        <v>47</v>
      </c>
      <c r="B251" s="165"/>
      <c r="C251" s="165"/>
      <c r="D251" s="165"/>
      <c r="E251" s="165"/>
      <c r="F251" s="165"/>
      <c r="G251" s="165"/>
      <c r="H251" s="165"/>
      <c r="I251" s="165"/>
      <c r="J251" s="165"/>
      <c r="K251" s="166"/>
    </row>
    <row r="252" spans="1:11" hidden="1" x14ac:dyDescent="0.3">
      <c r="A252" s="42" t="e">
        <f>K246</f>
        <v>#REF!</v>
      </c>
      <c r="C252" t="e">
        <f>FIXED(A244,5)</f>
        <v>#REF!</v>
      </c>
      <c r="D252" t="e">
        <f>RIGHT(C252,1)</f>
        <v>#REF!</v>
      </c>
      <c r="E252" t="e">
        <f>D252+0</f>
        <v>#REF!</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e">
        <f>RIGHT(A252,2)</f>
        <v>#REF!</v>
      </c>
      <c r="D254" t="e">
        <f>LEFT(C254,1)</f>
        <v>#REF!</v>
      </c>
      <c r="E254" s="36" t="e">
        <f>TRUNC(A252)</f>
        <v>#REF!</v>
      </c>
      <c r="F254" s="14" t="e">
        <f>FIXED(A252-E254,G254)</f>
        <v>#REF!</v>
      </c>
      <c r="G254" t="e">
        <f>ABS(E257-F257)</f>
        <v>#REF!</v>
      </c>
      <c r="H254" t="e">
        <f>RIGHT(A252,G254)</f>
        <v>#REF!</v>
      </c>
      <c r="I254">
        <v>5.0000000000000001E-4</v>
      </c>
      <c r="J254" s="44" t="e">
        <f>(A252-I254)</f>
        <v>#REF!</v>
      </c>
      <c r="K254" s="43" t="e">
        <f>IF(C256=5,IF(AND(E252=0,D257=FALSE),J254,J255),J255)</f>
        <v>#REF!</v>
      </c>
    </row>
    <row r="255" spans="1:11" hidden="1" x14ac:dyDescent="0.3">
      <c r="A255" s="31"/>
      <c r="C255" t="e">
        <f>RIGHT(C254,1)</f>
        <v>#REF!</v>
      </c>
      <c r="D255" t="e">
        <f>D254+0</f>
        <v>#REF!</v>
      </c>
      <c r="J255" t="e">
        <f>FIXED(A252,3)</f>
        <v>#REF!</v>
      </c>
      <c r="K255" s="27"/>
    </row>
    <row r="256" spans="1:11" hidden="1" x14ac:dyDescent="0.3">
      <c r="A256" s="31"/>
      <c r="C256" t="e">
        <f>C255+0</f>
        <v>#REF!</v>
      </c>
      <c r="D256" t="s">
        <v>34</v>
      </c>
      <c r="E256" t="s">
        <v>33</v>
      </c>
      <c r="F256" t="s">
        <v>32</v>
      </c>
      <c r="K256" s="27"/>
    </row>
    <row r="257" spans="1:11" hidden="1" x14ac:dyDescent="0.3">
      <c r="A257" s="31"/>
      <c r="D257" t="e">
        <f>ISODD(D254)</f>
        <v>#REF!</v>
      </c>
      <c r="E257" t="e">
        <f>LEN(A252)</f>
        <v>#REF!</v>
      </c>
      <c r="F257" t="e">
        <f>LEN(E254)+1</f>
        <v>#REF!</v>
      </c>
      <c r="K257" s="27"/>
    </row>
    <row r="258" spans="1:11" hidden="1" x14ac:dyDescent="0.3">
      <c r="A258" s="31"/>
      <c r="K258" s="27"/>
    </row>
    <row r="259" spans="1:11" hidden="1" x14ac:dyDescent="0.3">
      <c r="A259" s="164" t="s">
        <v>46</v>
      </c>
      <c r="B259" s="165"/>
      <c r="C259" s="165"/>
      <c r="D259" s="165"/>
      <c r="E259" s="165"/>
      <c r="F259" s="165"/>
      <c r="G259" s="165"/>
      <c r="H259" s="165"/>
      <c r="I259" s="165"/>
      <c r="J259" s="165"/>
      <c r="K259" s="166"/>
    </row>
    <row r="260" spans="1:11" hidden="1" x14ac:dyDescent="0.3">
      <c r="A260" s="42" t="e">
        <f>K254</f>
        <v>#REF!</v>
      </c>
      <c r="C260" t="e">
        <f>FIXED(A252,4)</f>
        <v>#REF!</v>
      </c>
      <c r="D260" t="e">
        <f>RIGHT(C260,1)</f>
        <v>#REF!</v>
      </c>
      <c r="E260" t="e">
        <f>D260+0</f>
        <v>#REF!</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e">
        <f>RIGHT(A260,2)</f>
        <v>#REF!</v>
      </c>
      <c r="D262" t="e">
        <f>LEFT(C262,1)</f>
        <v>#REF!</v>
      </c>
      <c r="E262" s="36" t="e">
        <f>TRUNC(A260)</f>
        <v>#REF!</v>
      </c>
      <c r="F262" s="14" t="e">
        <f>FIXED(A260-E262,G262)</f>
        <v>#REF!</v>
      </c>
      <c r="G262" t="e">
        <f>ABS(E265-F265)</f>
        <v>#REF!</v>
      </c>
      <c r="H262" t="e">
        <f>RIGHT(A260,G262)</f>
        <v>#REF!</v>
      </c>
      <c r="I262">
        <v>5.0000000000000001E-3</v>
      </c>
      <c r="J262" s="2" t="e">
        <f>(A260-I262)</f>
        <v>#REF!</v>
      </c>
      <c r="K262" s="41" t="e">
        <f>IF(C264=5,IF(AND(E260=0,D265=FALSE),J262,J263),J263)</f>
        <v>#REF!</v>
      </c>
    </row>
    <row r="263" spans="1:11" ht="18" hidden="1" x14ac:dyDescent="0.35">
      <c r="A263" s="31"/>
      <c r="C263" t="e">
        <f>RIGHT(C262,1)</f>
        <v>#REF!</v>
      </c>
      <c r="D263" t="e">
        <f>D262+0</f>
        <v>#REF!</v>
      </c>
      <c r="J263" t="e">
        <f>FIXED(A260,2)</f>
        <v>#REF!</v>
      </c>
      <c r="K263" s="41"/>
    </row>
    <row r="264" spans="1:11" hidden="1" x14ac:dyDescent="0.3">
      <c r="A264" s="31"/>
      <c r="C264" t="e">
        <f>C263+0</f>
        <v>#REF!</v>
      </c>
      <c r="D264" t="s">
        <v>34</v>
      </c>
      <c r="E264" t="s">
        <v>33</v>
      </c>
      <c r="F264" t="s">
        <v>32</v>
      </c>
      <c r="K264" s="27"/>
    </row>
    <row r="265" spans="1:11" hidden="1" x14ac:dyDescent="0.3">
      <c r="A265" s="31"/>
      <c r="D265" t="e">
        <f>ISODD(D262)</f>
        <v>#REF!</v>
      </c>
      <c r="E265" t="e">
        <f>LEN(A260)</f>
        <v>#REF!</v>
      </c>
      <c r="F265" t="e">
        <f>LEN(E262)+1</f>
        <v>#REF!</v>
      </c>
      <c r="K265" s="27"/>
    </row>
    <row r="266" spans="1:11" hidden="1" x14ac:dyDescent="0.3">
      <c r="A266" s="31"/>
      <c r="K266" s="27"/>
    </row>
    <row r="267" spans="1:11" hidden="1" x14ac:dyDescent="0.3">
      <c r="A267" s="164" t="s">
        <v>45</v>
      </c>
      <c r="B267" s="165"/>
      <c r="C267" s="165"/>
      <c r="D267" s="165"/>
      <c r="E267" s="165"/>
      <c r="F267" s="165"/>
      <c r="G267" s="165"/>
      <c r="H267" s="165"/>
      <c r="I267" s="165"/>
      <c r="J267" s="165"/>
      <c r="K267" s="166"/>
    </row>
    <row r="268" spans="1:11" hidden="1" x14ac:dyDescent="0.3">
      <c r="A268" s="39" t="e">
        <f>K262</f>
        <v>#REF!</v>
      </c>
      <c r="C268" t="e">
        <f>FIXED(A260,3)</f>
        <v>#REF!</v>
      </c>
      <c r="D268" t="e">
        <f>RIGHT(C268,1)</f>
        <v>#REF!</v>
      </c>
      <c r="E268" t="e">
        <f>D268+0</f>
        <v>#REF!</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e">
        <f>RIGHT(A268,2)</f>
        <v>#REF!</v>
      </c>
      <c r="D270" t="e">
        <f>LEFT(C270,1)</f>
        <v>#REF!</v>
      </c>
      <c r="E270" s="36" t="e">
        <f>TRUNC(A268)</f>
        <v>#REF!</v>
      </c>
      <c r="F270" s="14" t="e">
        <f>FIXED(A268-E270,G270)</f>
        <v>#REF!</v>
      </c>
      <c r="G270" t="e">
        <f>ABS(E273-F273)</f>
        <v>#REF!</v>
      </c>
      <c r="H270" t="e">
        <f>RIGHT(A268,G270)</f>
        <v>#REF!</v>
      </c>
      <c r="I270">
        <v>0.05</v>
      </c>
      <c r="J270" s="2" t="e">
        <f>(A268-I270)</f>
        <v>#REF!</v>
      </c>
      <c r="K270" s="41" t="e">
        <f>IF(C272=5,IF(AND(E268=0,D273=FALSE),J270,J271),J271)</f>
        <v>#REF!</v>
      </c>
    </row>
    <row r="271" spans="1:11" hidden="1" x14ac:dyDescent="0.3">
      <c r="A271" s="31"/>
      <c r="C271" t="e">
        <f>RIGHT(C270,1)</f>
        <v>#REF!</v>
      </c>
      <c r="D271" t="e">
        <f>D270+0</f>
        <v>#REF!</v>
      </c>
      <c r="J271" t="e">
        <f>FIXED(A268,1)</f>
        <v>#REF!</v>
      </c>
      <c r="K271" s="40"/>
    </row>
    <row r="272" spans="1:11" hidden="1" x14ac:dyDescent="0.3">
      <c r="A272" s="31"/>
      <c r="C272" t="e">
        <f>C271+0</f>
        <v>#REF!</v>
      </c>
      <c r="D272" t="s">
        <v>34</v>
      </c>
      <c r="E272" t="s">
        <v>33</v>
      </c>
      <c r="F272" t="s">
        <v>32</v>
      </c>
      <c r="K272" s="27"/>
    </row>
    <row r="273" spans="1:11" hidden="1" x14ac:dyDescent="0.3">
      <c r="A273" s="31"/>
      <c r="D273" t="e">
        <f>ISODD(D270)</f>
        <v>#REF!</v>
      </c>
      <c r="E273" t="e">
        <f>LEN(A268)</f>
        <v>#REF!</v>
      </c>
      <c r="F273" t="e">
        <f>LEN(E270)+1</f>
        <v>#REF!</v>
      </c>
      <c r="K273" s="27"/>
    </row>
    <row r="274" spans="1:11" hidden="1" x14ac:dyDescent="0.3">
      <c r="A274" s="31"/>
      <c r="K274" s="27"/>
    </row>
    <row r="275" spans="1:11" hidden="1" x14ac:dyDescent="0.3">
      <c r="A275" s="164" t="s">
        <v>44</v>
      </c>
      <c r="B275" s="165"/>
      <c r="C275" s="165"/>
      <c r="D275" s="165"/>
      <c r="E275" s="165"/>
      <c r="F275" s="165"/>
      <c r="G275" s="165"/>
      <c r="H275" s="165"/>
      <c r="I275" s="165"/>
      <c r="J275" s="165"/>
      <c r="K275" s="166"/>
    </row>
    <row r="276" spans="1:11" hidden="1" x14ac:dyDescent="0.3">
      <c r="A276" s="39" t="e">
        <f>K270</f>
        <v>#REF!</v>
      </c>
      <c r="C276" t="e">
        <f>FIXED(A268,2)</f>
        <v>#REF!</v>
      </c>
      <c r="D276" t="e">
        <f>RIGHT(C276,1)</f>
        <v>#REF!</v>
      </c>
      <c r="E276" t="e">
        <f>D276+0</f>
        <v>#REF!</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e">
        <f>RIGHT(A276,2)</f>
        <v>#REF!</v>
      </c>
      <c r="D278" t="e">
        <f>RIGHT(E278,1)</f>
        <v>#REF!</v>
      </c>
      <c r="E278" s="36" t="e">
        <f>TRUNC(A276)</f>
        <v>#REF!</v>
      </c>
      <c r="F278" s="14" t="e">
        <f>FIXED(A276-E278,G278)</f>
        <v>#REF!</v>
      </c>
      <c r="G278" t="e">
        <f>ABS(E281-F281)</f>
        <v>#REF!</v>
      </c>
      <c r="H278" t="e">
        <f>RIGHT(A276,G278)</f>
        <v>#REF!</v>
      </c>
      <c r="I278">
        <v>0.5</v>
      </c>
      <c r="J278" s="12" t="e">
        <f>(A276-I278)</f>
        <v>#REF!</v>
      </c>
      <c r="K278" s="35" t="e">
        <f>IF(C280=5,IF(AND(E276=0,D281=FALSE),J278,J279),J279)</f>
        <v>#REF!</v>
      </c>
    </row>
    <row r="279" spans="1:11" hidden="1" x14ac:dyDescent="0.3">
      <c r="A279" s="31"/>
      <c r="C279" t="e">
        <f>RIGHT(C278,1)</f>
        <v>#REF!</v>
      </c>
      <c r="D279" t="e">
        <f>D278+0</f>
        <v>#REF!</v>
      </c>
      <c r="J279" t="e">
        <f>FIXED(A276,0)</f>
        <v>#REF!</v>
      </c>
      <c r="K279" s="34"/>
    </row>
    <row r="280" spans="1:11" hidden="1" x14ac:dyDescent="0.3">
      <c r="A280" s="31"/>
      <c r="C280" t="e">
        <f>C279+0</f>
        <v>#REF!</v>
      </c>
      <c r="D280" t="s">
        <v>34</v>
      </c>
      <c r="E280" t="s">
        <v>33</v>
      </c>
      <c r="F280" t="s">
        <v>32</v>
      </c>
      <c r="K280" s="27"/>
    </row>
    <row r="281" spans="1:11" ht="15" hidden="1" thickBot="1" x14ac:dyDescent="0.35">
      <c r="A281" s="33"/>
      <c r="B281" s="33"/>
      <c r="C281" s="33"/>
      <c r="D281" s="33" t="e">
        <f>ISODD(D278)</f>
        <v>#REF!</v>
      </c>
      <c r="E281" s="33" t="e">
        <f>LEN(A276)</f>
        <v>#REF!</v>
      </c>
      <c r="F281" s="33" t="e">
        <f>LEN(E278)+1</f>
        <v>#REF!</v>
      </c>
      <c r="G281" s="33"/>
      <c r="H281" s="33"/>
      <c r="I281" s="33"/>
      <c r="J281" s="33"/>
      <c r="K281" s="32"/>
    </row>
    <row r="282" spans="1:11" ht="15" thickBot="1" x14ac:dyDescent="0.35">
      <c r="A282" s="167" t="s">
        <v>51</v>
      </c>
      <c r="B282" s="168"/>
      <c r="C282" s="168"/>
      <c r="D282" s="168"/>
      <c r="E282" s="168"/>
      <c r="F282" s="168"/>
      <c r="G282" s="168"/>
      <c r="H282" s="168"/>
      <c r="I282" s="168"/>
      <c r="J282" s="168"/>
      <c r="K282" s="169"/>
    </row>
    <row r="283" spans="1:11" ht="15" thickBot="1" x14ac:dyDescent="0.35">
      <c r="A283" s="31" t="s">
        <v>30</v>
      </c>
      <c r="B283" s="18" t="s">
        <v>29</v>
      </c>
      <c r="C283" t="e">
        <f>FIXED(A284,6)</f>
        <v>#REF!</v>
      </c>
      <c r="D283" t="e">
        <f>RIGHT(C283,1)</f>
        <v>#REF!</v>
      </c>
      <c r="E283" t="e">
        <f>D283/1000000</f>
        <v>#REF!</v>
      </c>
      <c r="F283" s="30" t="e">
        <f>A284-E283</f>
        <v>#REF!</v>
      </c>
      <c r="H283" t="e">
        <f>IF(C288=5,IF(AND(D284=0,D289=FALSE),J286,J287),J287)</f>
        <v>#REF!</v>
      </c>
      <c r="K283" s="27"/>
    </row>
    <row r="284" spans="1:11" ht="18.600000000000001" thickBot="1" x14ac:dyDescent="0.4">
      <c r="A284" s="29" t="e">
        <f>INCERTIDUMBRE!L12</f>
        <v>#REF!</v>
      </c>
      <c r="B284" s="28" t="e">
        <f>IF(A284&gt;=10,K318,IF(A284&gt;=1,K310,IF(A284&gt;=0.1,K302,IF(A284&gt;=0.01,K294,IF(A284&gt;=0.001,K286)))))</f>
        <v>#REF!</v>
      </c>
      <c r="C284" t="s">
        <v>28</v>
      </c>
      <c r="D284" t="e">
        <f>D283+0</f>
        <v>#REF!</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e">
        <f>RIGHT(F283,2)</f>
        <v>#REF!</v>
      </c>
      <c r="D286" t="e">
        <f>LEFT(C286,1)</f>
        <v>#REF!</v>
      </c>
      <c r="E286" s="30" t="e">
        <f>TRUNC(A284)</f>
        <v>#REF!</v>
      </c>
      <c r="F286" s="14" t="e">
        <f>FIXED(A284-E286,G286)</f>
        <v>#REF!</v>
      </c>
      <c r="G286" t="e">
        <f>ABS(E289-F289)</f>
        <v>#REF!</v>
      </c>
      <c r="H286" t="e">
        <f>RIGHT(A284,G286)</f>
        <v>#REF!</v>
      </c>
      <c r="I286">
        <v>5.0000000000000002E-5</v>
      </c>
      <c r="J286" s="14" t="e">
        <f>(A284-I286)</f>
        <v>#REF!</v>
      </c>
      <c r="K286" s="45" t="e">
        <f>IF(C288=5,IF(AND(D284=0,D289=FALSE),J286,J287),J287)</f>
        <v>#REF!</v>
      </c>
    </row>
    <row r="287" spans="1:11" hidden="1" x14ac:dyDescent="0.3">
      <c r="A287" s="31"/>
      <c r="C287" t="e">
        <f>RIGHT(C286,1)</f>
        <v>#REF!</v>
      </c>
      <c r="D287" t="e">
        <f>D286+0</f>
        <v>#REF!</v>
      </c>
      <c r="J287" t="e">
        <f>FIXED(A284,4)</f>
        <v>#REF!</v>
      </c>
      <c r="K287" s="27"/>
    </row>
    <row r="288" spans="1:11" hidden="1" x14ac:dyDescent="0.3">
      <c r="A288" s="31"/>
      <c r="C288" t="e">
        <f>C287+0</f>
        <v>#REF!</v>
      </c>
      <c r="D288" t="s">
        <v>34</v>
      </c>
      <c r="E288" t="s">
        <v>33</v>
      </c>
      <c r="F288" t="s">
        <v>32</v>
      </c>
      <c r="K288" s="27"/>
    </row>
    <row r="289" spans="1:11" hidden="1" x14ac:dyDescent="0.3">
      <c r="A289" s="31"/>
      <c r="D289" t="e">
        <f>ISODD(D286)</f>
        <v>#REF!</v>
      </c>
      <c r="E289" t="e">
        <f>LEN(A284)</f>
        <v>#REF!</v>
      </c>
      <c r="F289" t="e">
        <f>LEN(E286)+1</f>
        <v>#REF!</v>
      </c>
      <c r="K289" s="27"/>
    </row>
    <row r="290" spans="1:11" hidden="1" x14ac:dyDescent="0.3">
      <c r="A290" s="31"/>
      <c r="K290" s="27"/>
    </row>
    <row r="291" spans="1:11" hidden="1" x14ac:dyDescent="0.3">
      <c r="A291" s="164" t="s">
        <v>47</v>
      </c>
      <c r="B291" s="165"/>
      <c r="C291" s="165"/>
      <c r="D291" s="165"/>
      <c r="E291" s="165"/>
      <c r="F291" s="165"/>
      <c r="G291" s="165"/>
      <c r="H291" s="165"/>
      <c r="I291" s="165"/>
      <c r="J291" s="165"/>
      <c r="K291" s="166"/>
    </row>
    <row r="292" spans="1:11" hidden="1" x14ac:dyDescent="0.3">
      <c r="A292" s="42" t="e">
        <f>K286</f>
        <v>#REF!</v>
      </c>
      <c r="C292" t="e">
        <f>FIXED(A284,5)</f>
        <v>#REF!</v>
      </c>
      <c r="D292" t="e">
        <f>RIGHT(C292,1)</f>
        <v>#REF!</v>
      </c>
      <c r="E292" t="e">
        <f>D292+0</f>
        <v>#REF!</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e">
        <f>RIGHT(A292,2)</f>
        <v>#REF!</v>
      </c>
      <c r="D294" t="e">
        <f>LEFT(C294,1)</f>
        <v>#REF!</v>
      </c>
      <c r="E294" s="36" t="e">
        <f>TRUNC(A292)</f>
        <v>#REF!</v>
      </c>
      <c r="F294" s="14" t="e">
        <f>FIXED(A292-E294,G294)</f>
        <v>#REF!</v>
      </c>
      <c r="G294" t="e">
        <f>ABS(E297-F297)</f>
        <v>#REF!</v>
      </c>
      <c r="H294" t="e">
        <f>RIGHT(A292,G294)</f>
        <v>#REF!</v>
      </c>
      <c r="I294">
        <v>5.0000000000000001E-4</v>
      </c>
      <c r="J294" s="44" t="e">
        <f>(A292-I294)</f>
        <v>#REF!</v>
      </c>
      <c r="K294" s="43" t="e">
        <f>IF(C296=5,IF(AND(E292=0,D297=FALSE),J294,J295),J295)</f>
        <v>#REF!</v>
      </c>
    </row>
    <row r="295" spans="1:11" hidden="1" x14ac:dyDescent="0.3">
      <c r="A295" s="31"/>
      <c r="C295" t="e">
        <f>RIGHT(C294,1)</f>
        <v>#REF!</v>
      </c>
      <c r="D295" t="e">
        <f>D294+0</f>
        <v>#REF!</v>
      </c>
      <c r="J295" t="e">
        <f>FIXED(A292,3)</f>
        <v>#REF!</v>
      </c>
      <c r="K295" s="27"/>
    </row>
    <row r="296" spans="1:11" hidden="1" x14ac:dyDescent="0.3">
      <c r="A296" s="31"/>
      <c r="C296" t="e">
        <f>C295+0</f>
        <v>#REF!</v>
      </c>
      <c r="D296" t="s">
        <v>34</v>
      </c>
      <c r="E296" t="s">
        <v>33</v>
      </c>
      <c r="F296" t="s">
        <v>32</v>
      </c>
      <c r="K296" s="27"/>
    </row>
    <row r="297" spans="1:11" hidden="1" x14ac:dyDescent="0.3">
      <c r="A297" s="31"/>
      <c r="D297" t="e">
        <f>ISODD(D294)</f>
        <v>#REF!</v>
      </c>
      <c r="E297" t="e">
        <f>LEN(A292)</f>
        <v>#REF!</v>
      </c>
      <c r="F297" t="e">
        <f>LEN(E294)+1</f>
        <v>#REF!</v>
      </c>
      <c r="K297" s="27"/>
    </row>
    <row r="298" spans="1:11" hidden="1" x14ac:dyDescent="0.3">
      <c r="A298" s="31"/>
      <c r="K298" s="27"/>
    </row>
    <row r="299" spans="1:11" hidden="1" x14ac:dyDescent="0.3">
      <c r="A299" s="164" t="s">
        <v>46</v>
      </c>
      <c r="B299" s="165"/>
      <c r="C299" s="165"/>
      <c r="D299" s="165"/>
      <c r="E299" s="165"/>
      <c r="F299" s="165"/>
      <c r="G299" s="165"/>
      <c r="H299" s="165"/>
      <c r="I299" s="165"/>
      <c r="J299" s="165"/>
      <c r="K299" s="166"/>
    </row>
    <row r="300" spans="1:11" hidden="1" x14ac:dyDescent="0.3">
      <c r="A300" s="42" t="e">
        <f>K294</f>
        <v>#REF!</v>
      </c>
      <c r="C300" t="e">
        <f>FIXED(A292,4)</f>
        <v>#REF!</v>
      </c>
      <c r="D300" t="e">
        <f>RIGHT(C300,1)</f>
        <v>#REF!</v>
      </c>
      <c r="E300" t="e">
        <f>D300+0</f>
        <v>#REF!</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e">
        <f>RIGHT(A300,2)</f>
        <v>#REF!</v>
      </c>
      <c r="D302" t="e">
        <f>LEFT(C302,1)</f>
        <v>#REF!</v>
      </c>
      <c r="E302" s="36" t="e">
        <f>TRUNC(A300)</f>
        <v>#REF!</v>
      </c>
      <c r="F302" s="14" t="e">
        <f>FIXED(A300-E302,G302)</f>
        <v>#REF!</v>
      </c>
      <c r="G302" t="e">
        <f>ABS(E305-F305)</f>
        <v>#REF!</v>
      </c>
      <c r="H302" t="e">
        <f>RIGHT(A300,G302)</f>
        <v>#REF!</v>
      </c>
      <c r="I302">
        <v>5.0000000000000001E-3</v>
      </c>
      <c r="J302" s="2" t="e">
        <f>(A300-I302)</f>
        <v>#REF!</v>
      </c>
      <c r="K302" s="41" t="e">
        <f>IF(C304=5,IF(AND(E300=0,D305=FALSE),J302,J303),J303)</f>
        <v>#REF!</v>
      </c>
    </row>
    <row r="303" spans="1:11" ht="18" hidden="1" x14ac:dyDescent="0.35">
      <c r="A303" s="31"/>
      <c r="C303" t="e">
        <f>RIGHT(C302,1)</f>
        <v>#REF!</v>
      </c>
      <c r="D303" t="e">
        <f>D302+0</f>
        <v>#REF!</v>
      </c>
      <c r="J303" t="e">
        <f>FIXED(A300,2)</f>
        <v>#REF!</v>
      </c>
      <c r="K303" s="41"/>
    </row>
    <row r="304" spans="1:11" hidden="1" x14ac:dyDescent="0.3">
      <c r="A304" s="31"/>
      <c r="C304" t="e">
        <f>C303+0</f>
        <v>#REF!</v>
      </c>
      <c r="D304" t="s">
        <v>34</v>
      </c>
      <c r="E304" t="s">
        <v>33</v>
      </c>
      <c r="F304" t="s">
        <v>32</v>
      </c>
      <c r="K304" s="27"/>
    </row>
    <row r="305" spans="1:11" hidden="1" x14ac:dyDescent="0.3">
      <c r="A305" s="31"/>
      <c r="D305" t="e">
        <f>ISODD(D302)</f>
        <v>#REF!</v>
      </c>
      <c r="E305" t="e">
        <f>LEN(A300)</f>
        <v>#REF!</v>
      </c>
      <c r="F305" t="e">
        <f>LEN(E302)+1</f>
        <v>#REF!</v>
      </c>
      <c r="K305" s="27"/>
    </row>
    <row r="306" spans="1:11" hidden="1" x14ac:dyDescent="0.3">
      <c r="A306" s="31"/>
      <c r="K306" s="27"/>
    </row>
    <row r="307" spans="1:11" hidden="1" x14ac:dyDescent="0.3">
      <c r="A307" s="164" t="s">
        <v>45</v>
      </c>
      <c r="B307" s="165"/>
      <c r="C307" s="165"/>
      <c r="D307" s="165"/>
      <c r="E307" s="165"/>
      <c r="F307" s="165"/>
      <c r="G307" s="165"/>
      <c r="H307" s="165"/>
      <c r="I307" s="165"/>
      <c r="J307" s="165"/>
      <c r="K307" s="166"/>
    </row>
    <row r="308" spans="1:11" hidden="1" x14ac:dyDescent="0.3">
      <c r="A308" s="39" t="e">
        <f>K302</f>
        <v>#REF!</v>
      </c>
      <c r="C308" t="e">
        <f>FIXED(A300,3)</f>
        <v>#REF!</v>
      </c>
      <c r="D308" t="e">
        <f>RIGHT(C308,1)</f>
        <v>#REF!</v>
      </c>
      <c r="E308" t="e">
        <f>D308+0</f>
        <v>#REF!</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e">
        <f>RIGHT(A308,2)</f>
        <v>#REF!</v>
      </c>
      <c r="D310" t="e">
        <f>LEFT(C310,1)</f>
        <v>#REF!</v>
      </c>
      <c r="E310" s="36" t="e">
        <f>TRUNC(A308)</f>
        <v>#REF!</v>
      </c>
      <c r="F310" s="14" t="e">
        <f>FIXED(A308-E310,G310)</f>
        <v>#REF!</v>
      </c>
      <c r="G310" t="e">
        <f>ABS(E313-F313)</f>
        <v>#REF!</v>
      </c>
      <c r="H310" t="e">
        <f>RIGHT(A308,G310)</f>
        <v>#REF!</v>
      </c>
      <c r="I310">
        <v>0.05</v>
      </c>
      <c r="J310" s="2" t="e">
        <f>(A308-I310)</f>
        <v>#REF!</v>
      </c>
      <c r="K310" s="41" t="e">
        <f>IF(C312=5,IF(AND(E308=0,D313=FALSE),J310,J311),J311)</f>
        <v>#REF!</v>
      </c>
    </row>
    <row r="311" spans="1:11" hidden="1" x14ac:dyDescent="0.3">
      <c r="A311" s="31"/>
      <c r="C311" t="e">
        <f>RIGHT(C310,1)</f>
        <v>#REF!</v>
      </c>
      <c r="D311" t="e">
        <f>D310+0</f>
        <v>#REF!</v>
      </c>
      <c r="J311" t="e">
        <f>FIXED(A308,1)</f>
        <v>#REF!</v>
      </c>
      <c r="K311" s="40"/>
    </row>
    <row r="312" spans="1:11" hidden="1" x14ac:dyDescent="0.3">
      <c r="A312" s="31"/>
      <c r="C312" t="e">
        <f>C311+0</f>
        <v>#REF!</v>
      </c>
      <c r="D312" t="s">
        <v>34</v>
      </c>
      <c r="E312" t="s">
        <v>33</v>
      </c>
      <c r="F312" t="s">
        <v>32</v>
      </c>
      <c r="K312" s="27"/>
    </row>
    <row r="313" spans="1:11" hidden="1" x14ac:dyDescent="0.3">
      <c r="A313" s="31"/>
      <c r="D313" t="e">
        <f>ISODD(D310)</f>
        <v>#REF!</v>
      </c>
      <c r="E313" t="e">
        <f>LEN(A308)</f>
        <v>#REF!</v>
      </c>
      <c r="F313" t="e">
        <f>LEN(E310)+1</f>
        <v>#REF!</v>
      </c>
      <c r="K313" s="27"/>
    </row>
    <row r="314" spans="1:11" hidden="1" x14ac:dyDescent="0.3">
      <c r="A314" s="31"/>
      <c r="K314" s="27"/>
    </row>
    <row r="315" spans="1:11" hidden="1" x14ac:dyDescent="0.3">
      <c r="A315" s="164" t="s">
        <v>44</v>
      </c>
      <c r="B315" s="165"/>
      <c r="C315" s="165"/>
      <c r="D315" s="165"/>
      <c r="E315" s="165"/>
      <c r="F315" s="165"/>
      <c r="G315" s="165"/>
      <c r="H315" s="165"/>
      <c r="I315" s="165"/>
      <c r="J315" s="165"/>
      <c r="K315" s="166"/>
    </row>
    <row r="316" spans="1:11" hidden="1" x14ac:dyDescent="0.3">
      <c r="A316" s="39" t="e">
        <f>K310</f>
        <v>#REF!</v>
      </c>
      <c r="C316" t="e">
        <f>FIXED(A308,2)</f>
        <v>#REF!</v>
      </c>
      <c r="D316" t="e">
        <f>RIGHT(C316,1)</f>
        <v>#REF!</v>
      </c>
      <c r="E316" t="e">
        <f>D316+0</f>
        <v>#REF!</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e">
        <f>RIGHT(A316,2)</f>
        <v>#REF!</v>
      </c>
      <c r="D318" t="e">
        <f>RIGHT(E318,1)</f>
        <v>#REF!</v>
      </c>
      <c r="E318" s="36" t="e">
        <f>TRUNC(A316)</f>
        <v>#REF!</v>
      </c>
      <c r="F318" s="14" t="e">
        <f>FIXED(A316-E318,G318)</f>
        <v>#REF!</v>
      </c>
      <c r="G318" t="e">
        <f>ABS(E321-F321)</f>
        <v>#REF!</v>
      </c>
      <c r="H318" t="e">
        <f>RIGHT(A316,G318)</f>
        <v>#REF!</v>
      </c>
      <c r="I318">
        <v>0.5</v>
      </c>
      <c r="J318" s="12" t="e">
        <f>(A316-I318)</f>
        <v>#REF!</v>
      </c>
      <c r="K318" s="35" t="e">
        <f>IF(C320=5,IF(AND(E316=0,D321=FALSE),J318,J319),J319)</f>
        <v>#REF!</v>
      </c>
    </row>
    <row r="319" spans="1:11" hidden="1" x14ac:dyDescent="0.3">
      <c r="A319" s="31"/>
      <c r="C319" t="e">
        <f>RIGHT(C318,1)</f>
        <v>#REF!</v>
      </c>
      <c r="D319" t="e">
        <f>D318+0</f>
        <v>#REF!</v>
      </c>
      <c r="J319" t="e">
        <f>FIXED(A316,0)</f>
        <v>#REF!</v>
      </c>
      <c r="K319" s="34"/>
    </row>
    <row r="320" spans="1:11" hidden="1" x14ac:dyDescent="0.3">
      <c r="A320" s="31"/>
      <c r="C320" t="e">
        <f>C319+0</f>
        <v>#REF!</v>
      </c>
      <c r="D320" t="s">
        <v>34</v>
      </c>
      <c r="E320" t="s">
        <v>33</v>
      </c>
      <c r="F320" t="s">
        <v>32</v>
      </c>
      <c r="K320" s="27"/>
    </row>
    <row r="321" spans="1:11" ht="15" hidden="1" thickBot="1" x14ac:dyDescent="0.35">
      <c r="A321" s="33"/>
      <c r="B321" s="33"/>
      <c r="C321" s="33"/>
      <c r="D321" s="33" t="e">
        <f>ISODD(D318)</f>
        <v>#REF!</v>
      </c>
      <c r="E321" s="33" t="e">
        <f>LEN(A316)</f>
        <v>#REF!</v>
      </c>
      <c r="F321" s="33" t="e">
        <f>LEN(E318)+1</f>
        <v>#REF!</v>
      </c>
      <c r="G321" s="33"/>
      <c r="H321" s="33"/>
      <c r="I321" s="33"/>
      <c r="J321" s="33"/>
      <c r="K321" s="32"/>
    </row>
    <row r="322" spans="1:11" ht="15" thickBot="1" x14ac:dyDescent="0.35">
      <c r="A322" s="167" t="s">
        <v>50</v>
      </c>
      <c r="B322" s="168"/>
      <c r="C322" s="168"/>
      <c r="D322" s="168"/>
      <c r="E322" s="168"/>
      <c r="F322" s="168"/>
      <c r="G322" s="168"/>
      <c r="H322" s="168"/>
      <c r="I322" s="168"/>
      <c r="J322" s="168"/>
      <c r="K322" s="169"/>
    </row>
    <row r="323" spans="1:11" ht="15" thickBot="1" x14ac:dyDescent="0.35">
      <c r="A323" s="31" t="s">
        <v>30</v>
      </c>
      <c r="B323" s="18" t="s">
        <v>29</v>
      </c>
      <c r="C323" t="e">
        <f>FIXED(A324,6)</f>
        <v>#REF!</v>
      </c>
      <c r="D323" t="e">
        <f>RIGHT(C323,1)</f>
        <v>#REF!</v>
      </c>
      <c r="E323" t="e">
        <f>D323/1000000</f>
        <v>#REF!</v>
      </c>
      <c r="F323" s="30" t="e">
        <f>A324-E323</f>
        <v>#REF!</v>
      </c>
      <c r="H323" t="e">
        <f>IF(C328=5,IF(AND(D324=0,D329=FALSE),J326,J327),J327)</f>
        <v>#REF!</v>
      </c>
      <c r="K323" s="27"/>
    </row>
    <row r="324" spans="1:11" ht="18.600000000000001" thickBot="1" x14ac:dyDescent="0.4">
      <c r="A324" s="29" t="e">
        <f>INCERTIDUMBRE!L13</f>
        <v>#REF!</v>
      </c>
      <c r="B324" s="28" t="e">
        <f>IF(A324&gt;=10,K358,IF(A324&gt;=1,K350,IF(A324&gt;=0.1,K342,IF(A324&gt;=0.01,K334,IF(A324&gt;=0.001,K326)))))</f>
        <v>#REF!</v>
      </c>
      <c r="C324" t="s">
        <v>28</v>
      </c>
      <c r="D324" t="e">
        <f>D323+0</f>
        <v>#REF!</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e">
        <f>RIGHT(F323,2)</f>
        <v>#REF!</v>
      </c>
      <c r="D326" t="e">
        <f>LEFT(C326,1)</f>
        <v>#REF!</v>
      </c>
      <c r="E326" s="30" t="e">
        <f>TRUNC(A324)</f>
        <v>#REF!</v>
      </c>
      <c r="F326" s="14" t="e">
        <f>FIXED(A324-E326,G326)</f>
        <v>#REF!</v>
      </c>
      <c r="G326" t="e">
        <f>ABS(E329-F329)</f>
        <v>#REF!</v>
      </c>
      <c r="H326" t="e">
        <f>RIGHT(A324,G326)</f>
        <v>#REF!</v>
      </c>
      <c r="I326">
        <v>5.0000000000000002E-5</v>
      </c>
      <c r="J326" s="14" t="e">
        <f>(A324-I326)</f>
        <v>#REF!</v>
      </c>
      <c r="K326" s="45" t="e">
        <f>IF(C328=5,IF(AND(D324=0,D329=FALSE),J326,J327),J327)</f>
        <v>#REF!</v>
      </c>
    </row>
    <row r="327" spans="1:11" hidden="1" x14ac:dyDescent="0.3">
      <c r="A327" s="31"/>
      <c r="C327" t="e">
        <f>RIGHT(C326,1)</f>
        <v>#REF!</v>
      </c>
      <c r="D327" t="e">
        <f>D326+0</f>
        <v>#REF!</v>
      </c>
      <c r="J327" t="e">
        <f>FIXED(A324,4)</f>
        <v>#REF!</v>
      </c>
      <c r="K327" s="27"/>
    </row>
    <row r="328" spans="1:11" hidden="1" x14ac:dyDescent="0.3">
      <c r="A328" s="31"/>
      <c r="C328" t="e">
        <f>C327+0</f>
        <v>#REF!</v>
      </c>
      <c r="D328" t="s">
        <v>34</v>
      </c>
      <c r="E328" t="s">
        <v>33</v>
      </c>
      <c r="F328" t="s">
        <v>32</v>
      </c>
      <c r="K328" s="27"/>
    </row>
    <row r="329" spans="1:11" hidden="1" x14ac:dyDescent="0.3">
      <c r="A329" s="31"/>
      <c r="D329" t="e">
        <f>ISODD(D326)</f>
        <v>#REF!</v>
      </c>
      <c r="E329" t="e">
        <f>LEN(A324)</f>
        <v>#REF!</v>
      </c>
      <c r="F329" t="e">
        <f>LEN(E326)+1</f>
        <v>#REF!</v>
      </c>
      <c r="K329" s="27"/>
    </row>
    <row r="330" spans="1:11" hidden="1" x14ac:dyDescent="0.3">
      <c r="A330" s="31"/>
      <c r="K330" s="27"/>
    </row>
    <row r="331" spans="1:11" hidden="1" x14ac:dyDescent="0.3">
      <c r="A331" s="164" t="s">
        <v>47</v>
      </c>
      <c r="B331" s="165"/>
      <c r="C331" s="165"/>
      <c r="D331" s="165"/>
      <c r="E331" s="165"/>
      <c r="F331" s="165"/>
      <c r="G331" s="165"/>
      <c r="H331" s="165"/>
      <c r="I331" s="165"/>
      <c r="J331" s="165"/>
      <c r="K331" s="166"/>
    </row>
    <row r="332" spans="1:11" hidden="1" x14ac:dyDescent="0.3">
      <c r="A332" s="42" t="e">
        <f>K326</f>
        <v>#REF!</v>
      </c>
      <c r="C332" t="e">
        <f>FIXED(A324,5)</f>
        <v>#REF!</v>
      </c>
      <c r="D332" t="e">
        <f>RIGHT(C332,1)</f>
        <v>#REF!</v>
      </c>
      <c r="E332" t="e">
        <f>D332+0</f>
        <v>#REF!</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e">
        <f>RIGHT(A332,2)</f>
        <v>#REF!</v>
      </c>
      <c r="D334" t="e">
        <f>LEFT(C334,1)</f>
        <v>#REF!</v>
      </c>
      <c r="E334" s="36" t="e">
        <f>TRUNC(A332)</f>
        <v>#REF!</v>
      </c>
      <c r="F334" s="14" t="e">
        <f>FIXED(A332-E334,G334)</f>
        <v>#REF!</v>
      </c>
      <c r="G334" t="e">
        <f>ABS(E337-F337)</f>
        <v>#REF!</v>
      </c>
      <c r="H334" t="e">
        <f>RIGHT(A332,G334)</f>
        <v>#REF!</v>
      </c>
      <c r="I334">
        <v>5.0000000000000001E-4</v>
      </c>
      <c r="J334" s="44" t="e">
        <f>(A332-I334)</f>
        <v>#REF!</v>
      </c>
      <c r="K334" s="43" t="e">
        <f>IF(C336=5,IF(AND(E332=0,D337=FALSE),J334,J335),J335)</f>
        <v>#REF!</v>
      </c>
    </row>
    <row r="335" spans="1:11" hidden="1" x14ac:dyDescent="0.3">
      <c r="A335" s="31"/>
      <c r="C335" t="e">
        <f>RIGHT(C334,1)</f>
        <v>#REF!</v>
      </c>
      <c r="D335" t="e">
        <f>D334+0</f>
        <v>#REF!</v>
      </c>
      <c r="J335" t="e">
        <f>FIXED(A332,3)</f>
        <v>#REF!</v>
      </c>
      <c r="K335" s="27"/>
    </row>
    <row r="336" spans="1:11" hidden="1" x14ac:dyDescent="0.3">
      <c r="A336" s="31"/>
      <c r="C336" t="e">
        <f>C335+0</f>
        <v>#REF!</v>
      </c>
      <c r="D336" t="s">
        <v>34</v>
      </c>
      <c r="E336" t="s">
        <v>33</v>
      </c>
      <c r="F336" t="s">
        <v>32</v>
      </c>
      <c r="K336" s="27"/>
    </row>
    <row r="337" spans="1:11" hidden="1" x14ac:dyDescent="0.3">
      <c r="A337" s="31"/>
      <c r="D337" t="e">
        <f>ISODD(D334)</f>
        <v>#REF!</v>
      </c>
      <c r="E337" t="e">
        <f>LEN(A332)</f>
        <v>#REF!</v>
      </c>
      <c r="F337" t="e">
        <f>LEN(E334)+1</f>
        <v>#REF!</v>
      </c>
      <c r="K337" s="27"/>
    </row>
    <row r="338" spans="1:11" hidden="1" x14ac:dyDescent="0.3">
      <c r="A338" s="31"/>
      <c r="K338" s="27"/>
    </row>
    <row r="339" spans="1:11" hidden="1" x14ac:dyDescent="0.3">
      <c r="A339" s="164" t="s">
        <v>46</v>
      </c>
      <c r="B339" s="165"/>
      <c r="C339" s="165"/>
      <c r="D339" s="165"/>
      <c r="E339" s="165"/>
      <c r="F339" s="165"/>
      <c r="G339" s="165"/>
      <c r="H339" s="165"/>
      <c r="I339" s="165"/>
      <c r="J339" s="165"/>
      <c r="K339" s="166"/>
    </row>
    <row r="340" spans="1:11" hidden="1" x14ac:dyDescent="0.3">
      <c r="A340" s="42" t="e">
        <f>K334</f>
        <v>#REF!</v>
      </c>
      <c r="C340" t="e">
        <f>FIXED(A332,4)</f>
        <v>#REF!</v>
      </c>
      <c r="D340" t="e">
        <f>RIGHT(C340,1)</f>
        <v>#REF!</v>
      </c>
      <c r="E340" t="e">
        <f>D340+0</f>
        <v>#REF!</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e">
        <f>RIGHT(A340,2)</f>
        <v>#REF!</v>
      </c>
      <c r="D342" t="e">
        <f>LEFT(C342,1)</f>
        <v>#REF!</v>
      </c>
      <c r="E342" s="36" t="e">
        <f>TRUNC(A340)</f>
        <v>#REF!</v>
      </c>
      <c r="F342" s="14" t="e">
        <f>FIXED(A340-E342,G342)</f>
        <v>#REF!</v>
      </c>
      <c r="G342" t="e">
        <f>ABS(E345-F345)</f>
        <v>#REF!</v>
      </c>
      <c r="H342" t="e">
        <f>RIGHT(A340,G342)</f>
        <v>#REF!</v>
      </c>
      <c r="I342">
        <v>5.0000000000000001E-3</v>
      </c>
      <c r="J342" s="2" t="e">
        <f>(A340-I342)</f>
        <v>#REF!</v>
      </c>
      <c r="K342" s="41" t="e">
        <f>IF(C344=5,IF(AND(E340=0,D345=FALSE),J342,J343),J343)</f>
        <v>#REF!</v>
      </c>
    </row>
    <row r="343" spans="1:11" ht="18" hidden="1" x14ac:dyDescent="0.35">
      <c r="A343" s="31"/>
      <c r="C343" t="e">
        <f>RIGHT(C342,1)</f>
        <v>#REF!</v>
      </c>
      <c r="D343" t="e">
        <f>D342+0</f>
        <v>#REF!</v>
      </c>
      <c r="J343" t="e">
        <f>FIXED(A340,2)</f>
        <v>#REF!</v>
      </c>
      <c r="K343" s="41"/>
    </row>
    <row r="344" spans="1:11" hidden="1" x14ac:dyDescent="0.3">
      <c r="A344" s="31"/>
      <c r="C344" t="e">
        <f>C343+0</f>
        <v>#REF!</v>
      </c>
      <c r="D344" t="s">
        <v>34</v>
      </c>
      <c r="E344" t="s">
        <v>33</v>
      </c>
      <c r="F344" t="s">
        <v>32</v>
      </c>
      <c r="K344" s="27"/>
    </row>
    <row r="345" spans="1:11" hidden="1" x14ac:dyDescent="0.3">
      <c r="A345" s="31"/>
      <c r="D345" t="e">
        <f>ISODD(D342)</f>
        <v>#REF!</v>
      </c>
      <c r="E345" t="e">
        <f>LEN(A340)</f>
        <v>#REF!</v>
      </c>
      <c r="F345" t="e">
        <f>LEN(E342)+1</f>
        <v>#REF!</v>
      </c>
      <c r="K345" s="27"/>
    </row>
    <row r="346" spans="1:11" hidden="1" x14ac:dyDescent="0.3">
      <c r="A346" s="31"/>
      <c r="K346" s="27"/>
    </row>
    <row r="347" spans="1:11" hidden="1" x14ac:dyDescent="0.3">
      <c r="A347" s="164" t="s">
        <v>45</v>
      </c>
      <c r="B347" s="165"/>
      <c r="C347" s="165"/>
      <c r="D347" s="165"/>
      <c r="E347" s="165"/>
      <c r="F347" s="165"/>
      <c r="G347" s="165"/>
      <c r="H347" s="165"/>
      <c r="I347" s="165"/>
      <c r="J347" s="165"/>
      <c r="K347" s="166"/>
    </row>
    <row r="348" spans="1:11" hidden="1" x14ac:dyDescent="0.3">
      <c r="A348" s="39" t="e">
        <f>K342</f>
        <v>#REF!</v>
      </c>
      <c r="C348" t="e">
        <f>FIXED(A340,3)</f>
        <v>#REF!</v>
      </c>
      <c r="D348" t="e">
        <f>RIGHT(C348,1)</f>
        <v>#REF!</v>
      </c>
      <c r="E348" t="e">
        <f>D348+0</f>
        <v>#REF!</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e">
        <f>RIGHT(A348,2)</f>
        <v>#REF!</v>
      </c>
      <c r="D350" t="e">
        <f>LEFT(C350,1)</f>
        <v>#REF!</v>
      </c>
      <c r="E350" s="36" t="e">
        <f>TRUNC(A348)</f>
        <v>#REF!</v>
      </c>
      <c r="F350" s="14" t="e">
        <f>FIXED(A348-E350,G350)</f>
        <v>#REF!</v>
      </c>
      <c r="G350" t="e">
        <f>ABS(E353-F353)</f>
        <v>#REF!</v>
      </c>
      <c r="H350" t="e">
        <f>RIGHT(A348,G350)</f>
        <v>#REF!</v>
      </c>
      <c r="I350">
        <v>0.05</v>
      </c>
      <c r="J350" s="2" t="e">
        <f>(A348-I350)</f>
        <v>#REF!</v>
      </c>
      <c r="K350" s="41" t="e">
        <f>IF(C352=5,IF(AND(E348=0,D353=FALSE),J350,J351),J351)</f>
        <v>#REF!</v>
      </c>
    </row>
    <row r="351" spans="1:11" hidden="1" x14ac:dyDescent="0.3">
      <c r="A351" s="31"/>
      <c r="C351" t="e">
        <f>RIGHT(C350,1)</f>
        <v>#REF!</v>
      </c>
      <c r="D351" t="e">
        <f>D350+0</f>
        <v>#REF!</v>
      </c>
      <c r="J351" t="e">
        <f>FIXED(A348,1)</f>
        <v>#REF!</v>
      </c>
      <c r="K351" s="40"/>
    </row>
    <row r="352" spans="1:11" hidden="1" x14ac:dyDescent="0.3">
      <c r="A352" s="31"/>
      <c r="C352" t="e">
        <f>C351+0</f>
        <v>#REF!</v>
      </c>
      <c r="D352" t="s">
        <v>34</v>
      </c>
      <c r="E352" t="s">
        <v>33</v>
      </c>
      <c r="F352" t="s">
        <v>32</v>
      </c>
      <c r="K352" s="27"/>
    </row>
    <row r="353" spans="1:11" hidden="1" x14ac:dyDescent="0.3">
      <c r="A353" s="31"/>
      <c r="D353" t="e">
        <f>ISODD(D350)</f>
        <v>#REF!</v>
      </c>
      <c r="E353" t="e">
        <f>LEN(A348)</f>
        <v>#REF!</v>
      </c>
      <c r="F353" t="e">
        <f>LEN(E350)+1</f>
        <v>#REF!</v>
      </c>
      <c r="K353" s="27"/>
    </row>
    <row r="354" spans="1:11" hidden="1" x14ac:dyDescent="0.3">
      <c r="A354" s="31"/>
      <c r="K354" s="27"/>
    </row>
    <row r="355" spans="1:11" hidden="1" x14ac:dyDescent="0.3">
      <c r="A355" s="164" t="s">
        <v>44</v>
      </c>
      <c r="B355" s="165"/>
      <c r="C355" s="165"/>
      <c r="D355" s="165"/>
      <c r="E355" s="165"/>
      <c r="F355" s="165"/>
      <c r="G355" s="165"/>
      <c r="H355" s="165"/>
      <c r="I355" s="165"/>
      <c r="J355" s="165"/>
      <c r="K355" s="166"/>
    </row>
    <row r="356" spans="1:11" hidden="1" x14ac:dyDescent="0.3">
      <c r="A356" s="39" t="e">
        <f>K350</f>
        <v>#REF!</v>
      </c>
      <c r="C356" t="e">
        <f>FIXED(A348,2)</f>
        <v>#REF!</v>
      </c>
      <c r="D356" t="e">
        <f>RIGHT(C356,1)</f>
        <v>#REF!</v>
      </c>
      <c r="E356" t="e">
        <f>D356+0</f>
        <v>#REF!</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e">
        <f>RIGHT(A356,2)</f>
        <v>#REF!</v>
      </c>
      <c r="D358" t="e">
        <f>RIGHT(E358,1)</f>
        <v>#REF!</v>
      </c>
      <c r="E358" s="36" t="e">
        <f>TRUNC(A356)</f>
        <v>#REF!</v>
      </c>
      <c r="F358" s="14" t="e">
        <f>FIXED(A356-E358,G358)</f>
        <v>#REF!</v>
      </c>
      <c r="G358" t="e">
        <f>ABS(E361-F361)</f>
        <v>#REF!</v>
      </c>
      <c r="H358" t="e">
        <f>RIGHT(A356,G358)</f>
        <v>#REF!</v>
      </c>
      <c r="I358">
        <v>0.5</v>
      </c>
      <c r="J358" s="12" t="e">
        <f>(A356-I358)</f>
        <v>#REF!</v>
      </c>
      <c r="K358" s="35" t="e">
        <f>IF(C360=5,IF(AND(E356=0,D361=FALSE),J358,J359),J359)</f>
        <v>#REF!</v>
      </c>
    </row>
    <row r="359" spans="1:11" hidden="1" x14ac:dyDescent="0.3">
      <c r="A359" s="31"/>
      <c r="C359" t="e">
        <f>RIGHT(C358,1)</f>
        <v>#REF!</v>
      </c>
      <c r="D359" t="e">
        <f>D358+0</f>
        <v>#REF!</v>
      </c>
      <c r="J359" t="e">
        <f>FIXED(A356,0)</f>
        <v>#REF!</v>
      </c>
      <c r="K359" s="34"/>
    </row>
    <row r="360" spans="1:11" hidden="1" x14ac:dyDescent="0.3">
      <c r="A360" s="31"/>
      <c r="C360" t="e">
        <f>C359+0</f>
        <v>#REF!</v>
      </c>
      <c r="D360" t="s">
        <v>34</v>
      </c>
      <c r="E360" t="s">
        <v>33</v>
      </c>
      <c r="F360" t="s">
        <v>32</v>
      </c>
      <c r="K360" s="27"/>
    </row>
    <row r="361" spans="1:11" ht="15" hidden="1" thickBot="1" x14ac:dyDescent="0.35">
      <c r="A361" s="33"/>
      <c r="B361" s="33"/>
      <c r="C361" s="33"/>
      <c r="D361" s="33" t="e">
        <f>ISODD(D358)</f>
        <v>#REF!</v>
      </c>
      <c r="E361" s="33" t="e">
        <f>LEN(A356)</f>
        <v>#REF!</v>
      </c>
      <c r="F361" s="33" t="e">
        <f>LEN(E358)+1</f>
        <v>#REF!</v>
      </c>
      <c r="G361" s="33"/>
      <c r="H361" s="33"/>
      <c r="I361" s="33"/>
      <c r="J361" s="33"/>
      <c r="K361" s="32"/>
    </row>
    <row r="362" spans="1:11" ht="15" thickBot="1" x14ac:dyDescent="0.35">
      <c r="A362" s="167" t="s">
        <v>49</v>
      </c>
      <c r="B362" s="168"/>
      <c r="C362" s="168"/>
      <c r="D362" s="168"/>
      <c r="E362" s="168"/>
      <c r="F362" s="168"/>
      <c r="G362" s="168"/>
      <c r="H362" s="168"/>
      <c r="I362" s="168"/>
      <c r="J362" s="168"/>
      <c r="K362" s="169"/>
    </row>
    <row r="363" spans="1:11" ht="15" thickBot="1" x14ac:dyDescent="0.35">
      <c r="A363" s="31" t="s">
        <v>30</v>
      </c>
      <c r="B363" s="18" t="s">
        <v>29</v>
      </c>
      <c r="C363" t="e">
        <f>FIXED(A364,6)</f>
        <v>#REF!</v>
      </c>
      <c r="D363" t="e">
        <f>RIGHT(C363,1)</f>
        <v>#REF!</v>
      </c>
      <c r="E363" t="e">
        <f>D363/1000000</f>
        <v>#REF!</v>
      </c>
      <c r="F363" s="30" t="e">
        <f>A364-E363</f>
        <v>#REF!</v>
      </c>
      <c r="H363" t="e">
        <f>IF(C368=5,IF(AND(D364=0,D369=FALSE),J366,J367),J367)</f>
        <v>#REF!</v>
      </c>
      <c r="K363" s="27"/>
    </row>
    <row r="364" spans="1:11" ht="18.600000000000001" thickBot="1" x14ac:dyDescent="0.4">
      <c r="A364" s="29" t="e">
        <f>INCERTIDUMBRE!L14</f>
        <v>#REF!</v>
      </c>
      <c r="B364" s="28" t="e">
        <f>IF(A364&gt;=10,K398,IF(A364&gt;=1,K390,IF(A364&gt;=0.1,K382,IF(A364&gt;=0.01,K374,IF(A364&gt;=0.001,K366)))))</f>
        <v>#REF!</v>
      </c>
      <c r="C364" t="s">
        <v>28</v>
      </c>
      <c r="D364" t="e">
        <f>D363+0</f>
        <v>#REF!</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e">
        <f>RIGHT(F363,2)</f>
        <v>#REF!</v>
      </c>
      <c r="D366" t="e">
        <f>LEFT(C366,1)</f>
        <v>#REF!</v>
      </c>
      <c r="E366" s="30" t="e">
        <f>TRUNC(A364)</f>
        <v>#REF!</v>
      </c>
      <c r="F366" s="14" t="e">
        <f>FIXED(A364-E366,G366)</f>
        <v>#REF!</v>
      </c>
      <c r="G366" t="e">
        <f>ABS(E369-F369)</f>
        <v>#REF!</v>
      </c>
      <c r="H366" t="e">
        <f>RIGHT(A364,G366)</f>
        <v>#REF!</v>
      </c>
      <c r="I366">
        <v>5.0000000000000002E-5</v>
      </c>
      <c r="J366" s="14" t="e">
        <f>(A364-I366)</f>
        <v>#REF!</v>
      </c>
      <c r="K366" s="45" t="e">
        <f>IF(C368=5,IF(AND(D364=0,D369=FALSE),J366,J367),J367)</f>
        <v>#REF!</v>
      </c>
    </row>
    <row r="367" spans="1:11" hidden="1" x14ac:dyDescent="0.3">
      <c r="A367" s="31"/>
      <c r="C367" t="e">
        <f>RIGHT(C366,1)</f>
        <v>#REF!</v>
      </c>
      <c r="D367" t="e">
        <f>D366+0</f>
        <v>#REF!</v>
      </c>
      <c r="J367" t="e">
        <f>FIXED(A364,4)</f>
        <v>#REF!</v>
      </c>
      <c r="K367" s="27"/>
    </row>
    <row r="368" spans="1:11" hidden="1" x14ac:dyDescent="0.3">
      <c r="A368" s="31"/>
      <c r="C368" t="e">
        <f>C367+0</f>
        <v>#REF!</v>
      </c>
      <c r="D368" t="s">
        <v>34</v>
      </c>
      <c r="E368" t="s">
        <v>33</v>
      </c>
      <c r="F368" t="s">
        <v>32</v>
      </c>
      <c r="K368" s="27"/>
    </row>
    <row r="369" spans="1:11" hidden="1" x14ac:dyDescent="0.3">
      <c r="A369" s="31"/>
      <c r="D369" t="e">
        <f>ISODD(D366)</f>
        <v>#REF!</v>
      </c>
      <c r="E369" t="e">
        <f>LEN(A364)</f>
        <v>#REF!</v>
      </c>
      <c r="F369" t="e">
        <f>LEN(E366)+1</f>
        <v>#REF!</v>
      </c>
      <c r="K369" s="27"/>
    </row>
    <row r="370" spans="1:11" hidden="1" x14ac:dyDescent="0.3">
      <c r="A370" s="31"/>
      <c r="K370" s="27"/>
    </row>
    <row r="371" spans="1:11" hidden="1" x14ac:dyDescent="0.3">
      <c r="A371" s="164" t="s">
        <v>47</v>
      </c>
      <c r="B371" s="165"/>
      <c r="C371" s="165"/>
      <c r="D371" s="165"/>
      <c r="E371" s="165"/>
      <c r="F371" s="165"/>
      <c r="G371" s="165"/>
      <c r="H371" s="165"/>
      <c r="I371" s="165"/>
      <c r="J371" s="165"/>
      <c r="K371" s="166"/>
    </row>
    <row r="372" spans="1:11" hidden="1" x14ac:dyDescent="0.3">
      <c r="A372" s="42" t="e">
        <f>K366</f>
        <v>#REF!</v>
      </c>
      <c r="C372" t="e">
        <f>FIXED(A364,5)</f>
        <v>#REF!</v>
      </c>
      <c r="D372" t="e">
        <f>RIGHT(C372,1)</f>
        <v>#REF!</v>
      </c>
      <c r="E372" t="e">
        <f>D372+0</f>
        <v>#REF!</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e">
        <f>RIGHT(A372,2)</f>
        <v>#REF!</v>
      </c>
      <c r="D374" t="e">
        <f>LEFT(C374,1)</f>
        <v>#REF!</v>
      </c>
      <c r="E374" s="36" t="e">
        <f>TRUNC(A372)</f>
        <v>#REF!</v>
      </c>
      <c r="F374" s="14" t="e">
        <f>FIXED(A372-E374,G374)</f>
        <v>#REF!</v>
      </c>
      <c r="G374" t="e">
        <f>ABS(E377-F377)</f>
        <v>#REF!</v>
      </c>
      <c r="H374" t="e">
        <f>RIGHT(A372,G374)</f>
        <v>#REF!</v>
      </c>
      <c r="I374">
        <v>5.0000000000000001E-4</v>
      </c>
      <c r="J374" s="44" t="e">
        <f>(A372-I374)</f>
        <v>#REF!</v>
      </c>
      <c r="K374" s="43" t="e">
        <f>IF(C376=5,IF(AND(E372=0,D377=FALSE),J374,J375),J375)</f>
        <v>#REF!</v>
      </c>
    </row>
    <row r="375" spans="1:11" hidden="1" x14ac:dyDescent="0.3">
      <c r="A375" s="31"/>
      <c r="C375" t="e">
        <f>RIGHT(C374,1)</f>
        <v>#REF!</v>
      </c>
      <c r="D375" t="e">
        <f>D374+0</f>
        <v>#REF!</v>
      </c>
      <c r="J375" t="e">
        <f>FIXED(A372,3)</f>
        <v>#REF!</v>
      </c>
      <c r="K375" s="27"/>
    </row>
    <row r="376" spans="1:11" hidden="1" x14ac:dyDescent="0.3">
      <c r="A376" s="31"/>
      <c r="C376" t="e">
        <f>C375+0</f>
        <v>#REF!</v>
      </c>
      <c r="D376" t="s">
        <v>34</v>
      </c>
      <c r="E376" t="s">
        <v>33</v>
      </c>
      <c r="F376" t="s">
        <v>32</v>
      </c>
      <c r="K376" s="27"/>
    </row>
    <row r="377" spans="1:11" hidden="1" x14ac:dyDescent="0.3">
      <c r="A377" s="31"/>
      <c r="D377" t="e">
        <f>ISODD(D374)</f>
        <v>#REF!</v>
      </c>
      <c r="E377" t="e">
        <f>LEN(A372)</f>
        <v>#REF!</v>
      </c>
      <c r="F377" t="e">
        <f>LEN(E374)+1</f>
        <v>#REF!</v>
      </c>
      <c r="K377" s="27"/>
    </row>
    <row r="378" spans="1:11" hidden="1" x14ac:dyDescent="0.3">
      <c r="A378" s="31"/>
      <c r="K378" s="27"/>
    </row>
    <row r="379" spans="1:11" hidden="1" x14ac:dyDescent="0.3">
      <c r="A379" s="164" t="s">
        <v>46</v>
      </c>
      <c r="B379" s="165"/>
      <c r="C379" s="165"/>
      <c r="D379" s="165"/>
      <c r="E379" s="165"/>
      <c r="F379" s="165"/>
      <c r="G379" s="165"/>
      <c r="H379" s="165"/>
      <c r="I379" s="165"/>
      <c r="J379" s="165"/>
      <c r="K379" s="166"/>
    </row>
    <row r="380" spans="1:11" hidden="1" x14ac:dyDescent="0.3">
      <c r="A380" s="42" t="e">
        <f>K374</f>
        <v>#REF!</v>
      </c>
      <c r="C380" t="e">
        <f>FIXED(A372,4)</f>
        <v>#REF!</v>
      </c>
      <c r="D380" t="e">
        <f>RIGHT(C380,1)</f>
        <v>#REF!</v>
      </c>
      <c r="E380" t="e">
        <f>D380+0</f>
        <v>#REF!</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e">
        <f>RIGHT(A380,2)</f>
        <v>#REF!</v>
      </c>
      <c r="D382" t="e">
        <f>LEFT(C382,1)</f>
        <v>#REF!</v>
      </c>
      <c r="E382" s="36" t="e">
        <f>TRUNC(A380)</f>
        <v>#REF!</v>
      </c>
      <c r="F382" s="14" t="e">
        <f>FIXED(A380-E382,G382)</f>
        <v>#REF!</v>
      </c>
      <c r="G382" t="e">
        <f>ABS(E385-F385)</f>
        <v>#REF!</v>
      </c>
      <c r="H382" t="e">
        <f>RIGHT(A380,G382)</f>
        <v>#REF!</v>
      </c>
      <c r="I382">
        <v>5.0000000000000001E-3</v>
      </c>
      <c r="J382" s="2" t="e">
        <f>(A380-I382)</f>
        <v>#REF!</v>
      </c>
      <c r="K382" s="41" t="e">
        <f>IF(C384=5,IF(AND(E380=0,D385=FALSE),J382,J383),J383)</f>
        <v>#REF!</v>
      </c>
    </row>
    <row r="383" spans="1:11" ht="18" hidden="1" x14ac:dyDescent="0.35">
      <c r="A383" s="31"/>
      <c r="C383" t="e">
        <f>RIGHT(C382,1)</f>
        <v>#REF!</v>
      </c>
      <c r="D383" t="e">
        <f>D382+0</f>
        <v>#REF!</v>
      </c>
      <c r="J383" t="e">
        <f>FIXED(A380,2)</f>
        <v>#REF!</v>
      </c>
      <c r="K383" s="41"/>
    </row>
    <row r="384" spans="1:11" hidden="1" x14ac:dyDescent="0.3">
      <c r="A384" s="31"/>
      <c r="C384" t="e">
        <f>C383+0</f>
        <v>#REF!</v>
      </c>
      <c r="D384" t="s">
        <v>34</v>
      </c>
      <c r="E384" t="s">
        <v>33</v>
      </c>
      <c r="F384" t="s">
        <v>32</v>
      </c>
      <c r="K384" s="27"/>
    </row>
    <row r="385" spans="1:11" hidden="1" x14ac:dyDescent="0.3">
      <c r="A385" s="31"/>
      <c r="D385" t="e">
        <f>ISODD(D382)</f>
        <v>#REF!</v>
      </c>
      <c r="E385" t="e">
        <f>LEN(A380)</f>
        <v>#REF!</v>
      </c>
      <c r="F385" t="e">
        <f>LEN(E382)+1</f>
        <v>#REF!</v>
      </c>
      <c r="K385" s="27"/>
    </row>
    <row r="386" spans="1:11" hidden="1" x14ac:dyDescent="0.3">
      <c r="A386" s="31"/>
      <c r="K386" s="27"/>
    </row>
    <row r="387" spans="1:11" hidden="1" x14ac:dyDescent="0.3">
      <c r="A387" s="164" t="s">
        <v>45</v>
      </c>
      <c r="B387" s="165"/>
      <c r="C387" s="165"/>
      <c r="D387" s="165"/>
      <c r="E387" s="165"/>
      <c r="F387" s="165"/>
      <c r="G387" s="165"/>
      <c r="H387" s="165"/>
      <c r="I387" s="165"/>
      <c r="J387" s="165"/>
      <c r="K387" s="166"/>
    </row>
    <row r="388" spans="1:11" hidden="1" x14ac:dyDescent="0.3">
      <c r="A388" s="39" t="e">
        <f>K382</f>
        <v>#REF!</v>
      </c>
      <c r="C388" t="e">
        <f>FIXED(A380,3)</f>
        <v>#REF!</v>
      </c>
      <c r="D388" t="e">
        <f>RIGHT(C388,1)</f>
        <v>#REF!</v>
      </c>
      <c r="E388" t="e">
        <f>D388+0</f>
        <v>#REF!</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e">
        <f>RIGHT(A388,2)</f>
        <v>#REF!</v>
      </c>
      <c r="D390" t="e">
        <f>LEFT(C390,1)</f>
        <v>#REF!</v>
      </c>
      <c r="E390" s="36" t="e">
        <f>TRUNC(A388)</f>
        <v>#REF!</v>
      </c>
      <c r="F390" s="14" t="e">
        <f>FIXED(A388-E390,G390)</f>
        <v>#REF!</v>
      </c>
      <c r="G390" t="e">
        <f>ABS(E393-F393)</f>
        <v>#REF!</v>
      </c>
      <c r="H390" t="e">
        <f>RIGHT(A388,G390)</f>
        <v>#REF!</v>
      </c>
      <c r="I390">
        <v>0.05</v>
      </c>
      <c r="J390" s="2" t="e">
        <f>(A388-I390)</f>
        <v>#REF!</v>
      </c>
      <c r="K390" s="41" t="e">
        <f>IF(C392=5,IF(AND(E388=0,D393=FALSE),J390,J391),J391)</f>
        <v>#REF!</v>
      </c>
    </row>
    <row r="391" spans="1:11" hidden="1" x14ac:dyDescent="0.3">
      <c r="A391" s="31"/>
      <c r="C391" t="e">
        <f>RIGHT(C390,1)</f>
        <v>#REF!</v>
      </c>
      <c r="D391" t="e">
        <f>D390+0</f>
        <v>#REF!</v>
      </c>
      <c r="J391" t="e">
        <f>FIXED(A388,1)</f>
        <v>#REF!</v>
      </c>
      <c r="K391" s="40"/>
    </row>
    <row r="392" spans="1:11" hidden="1" x14ac:dyDescent="0.3">
      <c r="A392" s="31"/>
      <c r="C392" t="e">
        <f>C391+0</f>
        <v>#REF!</v>
      </c>
      <c r="D392" t="s">
        <v>34</v>
      </c>
      <c r="E392" t="s">
        <v>33</v>
      </c>
      <c r="F392" t="s">
        <v>32</v>
      </c>
      <c r="K392" s="27"/>
    </row>
    <row r="393" spans="1:11" hidden="1" x14ac:dyDescent="0.3">
      <c r="A393" s="31"/>
      <c r="D393" t="e">
        <f>ISODD(D390)</f>
        <v>#REF!</v>
      </c>
      <c r="E393" t="e">
        <f>LEN(A388)</f>
        <v>#REF!</v>
      </c>
      <c r="F393" t="e">
        <f>LEN(E390)+1</f>
        <v>#REF!</v>
      </c>
      <c r="K393" s="27"/>
    </row>
    <row r="394" spans="1:11" hidden="1" x14ac:dyDescent="0.3">
      <c r="A394" s="31"/>
      <c r="K394" s="27"/>
    </row>
    <row r="395" spans="1:11" hidden="1" x14ac:dyDescent="0.3">
      <c r="A395" s="164" t="s">
        <v>44</v>
      </c>
      <c r="B395" s="165"/>
      <c r="C395" s="165"/>
      <c r="D395" s="165"/>
      <c r="E395" s="165"/>
      <c r="F395" s="165"/>
      <c r="G395" s="165"/>
      <c r="H395" s="165"/>
      <c r="I395" s="165"/>
      <c r="J395" s="165"/>
      <c r="K395" s="166"/>
    </row>
    <row r="396" spans="1:11" hidden="1" x14ac:dyDescent="0.3">
      <c r="A396" s="39" t="e">
        <f>K390</f>
        <v>#REF!</v>
      </c>
      <c r="C396" t="e">
        <f>FIXED(A388,2)</f>
        <v>#REF!</v>
      </c>
      <c r="D396" t="e">
        <f>RIGHT(C396,1)</f>
        <v>#REF!</v>
      </c>
      <c r="E396" t="e">
        <f>D396+0</f>
        <v>#REF!</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e">
        <f>RIGHT(A396,2)</f>
        <v>#REF!</v>
      </c>
      <c r="D398" t="e">
        <f>RIGHT(E398,1)</f>
        <v>#REF!</v>
      </c>
      <c r="E398" s="36" t="e">
        <f>TRUNC(A396)</f>
        <v>#REF!</v>
      </c>
      <c r="F398" s="14" t="e">
        <f>FIXED(A396-E398,G398)</f>
        <v>#REF!</v>
      </c>
      <c r="G398" t="e">
        <f>ABS(E401-F401)</f>
        <v>#REF!</v>
      </c>
      <c r="H398" t="e">
        <f>RIGHT(A396,G398)</f>
        <v>#REF!</v>
      </c>
      <c r="I398">
        <v>0.5</v>
      </c>
      <c r="J398" s="12" t="e">
        <f>(A396-I398)</f>
        <v>#REF!</v>
      </c>
      <c r="K398" s="35" t="e">
        <f>IF(C400=5,IF(AND(E396=0,D401=FALSE),J398,J399),J399)</f>
        <v>#REF!</v>
      </c>
    </row>
    <row r="399" spans="1:11" hidden="1" x14ac:dyDescent="0.3">
      <c r="A399" s="31"/>
      <c r="C399" t="e">
        <f>RIGHT(C398,1)</f>
        <v>#REF!</v>
      </c>
      <c r="D399" t="e">
        <f>D398+0</f>
        <v>#REF!</v>
      </c>
      <c r="J399" t="e">
        <f>FIXED(A396,0)</f>
        <v>#REF!</v>
      </c>
      <c r="K399" s="34"/>
    </row>
    <row r="400" spans="1:11" hidden="1" x14ac:dyDescent="0.3">
      <c r="A400" s="31"/>
      <c r="C400" t="e">
        <f>C399+0</f>
        <v>#REF!</v>
      </c>
      <c r="D400" t="s">
        <v>34</v>
      </c>
      <c r="E400" t="s">
        <v>33</v>
      </c>
      <c r="F400" t="s">
        <v>32</v>
      </c>
      <c r="K400" s="27"/>
    </row>
    <row r="401" spans="1:11" ht="15" hidden="1" thickBot="1" x14ac:dyDescent="0.35">
      <c r="A401" s="33"/>
      <c r="B401" s="33"/>
      <c r="C401" s="33"/>
      <c r="D401" s="33" t="e">
        <f>ISODD(D398)</f>
        <v>#REF!</v>
      </c>
      <c r="E401" s="33" t="e">
        <f>LEN(A396)</f>
        <v>#REF!</v>
      </c>
      <c r="F401" s="33" t="e">
        <f>LEN(E398)+1</f>
        <v>#REF!</v>
      </c>
      <c r="G401" s="33"/>
      <c r="H401" s="33"/>
      <c r="I401" s="33"/>
      <c r="J401" s="33"/>
      <c r="K401" s="32"/>
    </row>
    <row r="402" spans="1:11" ht="15" thickBot="1" x14ac:dyDescent="0.35">
      <c r="A402" s="167" t="s">
        <v>48</v>
      </c>
      <c r="B402" s="168"/>
      <c r="C402" s="168"/>
      <c r="D402" s="168"/>
      <c r="E402" s="168"/>
      <c r="F402" s="168"/>
      <c r="G402" s="168"/>
      <c r="H402" s="168"/>
      <c r="I402" s="168"/>
      <c r="J402" s="168"/>
      <c r="K402" s="169"/>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4" t="s">
        <v>47</v>
      </c>
      <c r="B411" s="165"/>
      <c r="C411" s="165"/>
      <c r="D411" s="165"/>
      <c r="E411" s="165"/>
      <c r="F411" s="165"/>
      <c r="G411" s="165"/>
      <c r="H411" s="165"/>
      <c r="I411" s="165"/>
      <c r="J411" s="165"/>
      <c r="K411" s="166"/>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4" t="s">
        <v>46</v>
      </c>
      <c r="B419" s="165"/>
      <c r="C419" s="165"/>
      <c r="D419" s="165"/>
      <c r="E419" s="165"/>
      <c r="F419" s="165"/>
      <c r="G419" s="165"/>
      <c r="H419" s="165"/>
      <c r="I419" s="165"/>
      <c r="J419" s="165"/>
      <c r="K419" s="166"/>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4" t="s">
        <v>45</v>
      </c>
      <c r="B427" s="165"/>
      <c r="C427" s="165"/>
      <c r="D427" s="165"/>
      <c r="E427" s="165"/>
      <c r="F427" s="165"/>
      <c r="G427" s="165"/>
      <c r="H427" s="165"/>
      <c r="I427" s="165"/>
      <c r="J427" s="165"/>
      <c r="K427" s="166"/>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4" t="s">
        <v>44</v>
      </c>
      <c r="B435" s="165"/>
      <c r="C435" s="165"/>
      <c r="D435" s="165"/>
      <c r="E435" s="165"/>
      <c r="F435" s="165"/>
      <c r="G435" s="165"/>
      <c r="H435" s="165"/>
      <c r="I435" s="165"/>
      <c r="J435" s="165"/>
      <c r="K435" s="166"/>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7" t="s">
        <v>31</v>
      </c>
      <c r="B442" s="168"/>
      <c r="C442" s="168"/>
      <c r="D442" s="168"/>
      <c r="E442" s="168"/>
      <c r="F442" s="168"/>
      <c r="G442" s="168"/>
      <c r="H442" s="168"/>
      <c r="I442" s="168"/>
      <c r="J442" s="168"/>
      <c r="K442" s="169"/>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4" t="s">
        <v>47</v>
      </c>
      <c r="D451" s="165"/>
      <c r="E451" s="165"/>
      <c r="F451" s="165"/>
      <c r="G451" s="165"/>
      <c r="H451" s="165"/>
      <c r="I451" s="165"/>
      <c r="J451" s="165"/>
      <c r="K451" s="165"/>
      <c r="L451" s="165"/>
      <c r="M451" s="166"/>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4" t="s">
        <v>46</v>
      </c>
      <c r="D459" s="165"/>
      <c r="E459" s="165"/>
      <c r="F459" s="165"/>
      <c r="G459" s="165"/>
      <c r="H459" s="165"/>
      <c r="I459" s="165"/>
      <c r="J459" s="165"/>
      <c r="K459" s="165"/>
      <c r="L459" s="165"/>
      <c r="M459" s="166"/>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4" t="s">
        <v>45</v>
      </c>
      <c r="D467" s="165"/>
      <c r="E467" s="165"/>
      <c r="F467" s="165"/>
      <c r="G467" s="165"/>
      <c r="H467" s="165"/>
      <c r="I467" s="165"/>
      <c r="J467" s="165"/>
      <c r="K467" s="165"/>
      <c r="L467" s="165"/>
      <c r="M467" s="166"/>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4" t="s">
        <v>44</v>
      </c>
      <c r="D475" s="165"/>
      <c r="E475" s="165"/>
      <c r="F475" s="165"/>
      <c r="G475" s="165"/>
      <c r="H475" s="165"/>
      <c r="I475" s="165"/>
      <c r="J475" s="165"/>
      <c r="K475" s="165"/>
      <c r="L475" s="165"/>
      <c r="M475" s="166"/>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Q34"/>
  <sheetViews>
    <sheetView zoomScaleNormal="100" workbookViewId="0">
      <selection activeCell="S13" sqref="S13"/>
    </sheetView>
  </sheetViews>
  <sheetFormatPr baseColWidth="10" defaultColWidth="11.44140625" defaultRowHeight="14.4" x14ac:dyDescent="0.3"/>
  <cols>
    <col min="1" max="17" width="5.77734375" style="16" customWidth="1"/>
    <col min="18" max="19" width="10.33203125" style="16" customWidth="1"/>
    <col min="20" max="20" width="6.44140625" style="16" customWidth="1"/>
    <col min="21" max="24" width="10.33203125" style="16" customWidth="1"/>
    <col min="25" max="16384" width="11.44140625" style="16"/>
  </cols>
  <sheetData>
    <row r="1" spans="1:17" x14ac:dyDescent="0.3">
      <c r="A1"/>
      <c r="B1"/>
      <c r="C1"/>
      <c r="D1"/>
      <c r="E1"/>
      <c r="F1"/>
      <c r="G1"/>
      <c r="H1"/>
      <c r="I1"/>
      <c r="J1"/>
      <c r="K1"/>
      <c r="L1"/>
      <c r="M1"/>
      <c r="N1"/>
      <c r="O1"/>
    </row>
    <row r="2" spans="1:17" x14ac:dyDescent="0.3">
      <c r="A2"/>
      <c r="B2"/>
      <c r="C2"/>
      <c r="D2"/>
      <c r="E2"/>
      <c r="F2"/>
      <c r="G2"/>
      <c r="H2"/>
      <c r="I2"/>
      <c r="J2"/>
      <c r="K2"/>
      <c r="L2"/>
      <c r="M2"/>
      <c r="N2"/>
      <c r="O2"/>
    </row>
    <row r="3" spans="1:17" x14ac:dyDescent="0.3">
      <c r="A3"/>
      <c r="B3"/>
      <c r="C3"/>
      <c r="D3" s="172" t="s">
        <v>149</v>
      </c>
      <c r="E3" s="172"/>
      <c r="F3" s="172"/>
      <c r="G3" s="172"/>
      <c r="H3" s="172"/>
      <c r="I3" s="172"/>
      <c r="J3" s="172"/>
      <c r="K3" s="172"/>
      <c r="L3" s="172"/>
      <c r="M3" s="172"/>
      <c r="N3" s="172"/>
      <c r="O3" s="172"/>
      <c r="P3" s="172"/>
      <c r="Q3" s="172"/>
    </row>
    <row r="4" spans="1:17" x14ac:dyDescent="0.3">
      <c r="A4"/>
      <c r="B4"/>
      <c r="C4"/>
      <c r="D4" s="110" t="s">
        <v>132</v>
      </c>
      <c r="E4" s="110"/>
      <c r="F4" s="159" t="s">
        <v>120</v>
      </c>
      <c r="G4" s="159"/>
      <c r="H4" s="159"/>
      <c r="I4" s="159"/>
      <c r="J4" s="159"/>
      <c r="K4" s="159"/>
      <c r="L4" s="159"/>
      <c r="M4" s="159"/>
      <c r="N4" s="92"/>
      <c r="O4" s="93"/>
      <c r="P4" s="93"/>
      <c r="Q4" s="93"/>
    </row>
    <row r="5" spans="1:17" ht="25.8" customHeight="1" x14ac:dyDescent="0.3">
      <c r="A5"/>
      <c r="B5"/>
      <c r="C5"/>
      <c r="D5" s="110"/>
      <c r="E5" s="110"/>
      <c r="F5" s="113" t="s">
        <v>124</v>
      </c>
      <c r="G5" s="113"/>
      <c r="H5" s="113" t="s">
        <v>125</v>
      </c>
      <c r="I5" s="113"/>
      <c r="J5" s="113" t="s">
        <v>126</v>
      </c>
      <c r="K5" s="113"/>
      <c r="L5" s="113" t="s">
        <v>127</v>
      </c>
      <c r="M5" s="113"/>
      <c r="N5" s="110" t="s">
        <v>128</v>
      </c>
      <c r="O5" s="110"/>
      <c r="P5" s="110" t="s">
        <v>150</v>
      </c>
      <c r="Q5" s="110"/>
    </row>
    <row r="6" spans="1:17" x14ac:dyDescent="0.3">
      <c r="A6"/>
      <c r="B6"/>
      <c r="C6"/>
      <c r="D6" s="171">
        <v>5</v>
      </c>
      <c r="E6" s="171"/>
      <c r="F6" s="171">
        <v>5.3</v>
      </c>
      <c r="G6" s="171"/>
      <c r="H6" s="170">
        <f ca="1">F6+((RAND()*(0.1)*RANDBETWEEN(-1,1)))</f>
        <v>5.2195419509898775</v>
      </c>
      <c r="I6" s="170"/>
      <c r="J6" s="170">
        <f ca="1">H6+((RAND()*(0.1)*RANDBETWEEN(-1,1)))</f>
        <v>5.2789818029615523</v>
      </c>
      <c r="K6" s="170"/>
      <c r="L6" s="170">
        <f ca="1">J6+((RAND()*(0.1)*RANDBETWEEN(-1,1)))</f>
        <v>5.2587407366799228</v>
      </c>
      <c r="M6" s="170"/>
      <c r="N6" s="170">
        <f ca="1">AVERAGE(F6:M6)</f>
        <v>5.2643161226578377</v>
      </c>
      <c r="O6" s="170"/>
      <c r="P6" s="170">
        <f ca="1">N6-D6</f>
        <v>0.26431612265783766</v>
      </c>
      <c r="Q6" s="170"/>
    </row>
    <row r="7" spans="1:17" x14ac:dyDescent="0.3">
      <c r="A7"/>
      <c r="B7"/>
      <c r="C7"/>
      <c r="D7" s="171">
        <v>10</v>
      </c>
      <c r="E7" s="171"/>
      <c r="F7" s="171">
        <v>10.5</v>
      </c>
      <c r="G7" s="171"/>
      <c r="H7" s="170">
        <f t="shared" ref="H7:H9" ca="1" si="0">F7+((RAND()*(0.1)*RANDBETWEEN(-1,1)))</f>
        <v>10.51019539088931</v>
      </c>
      <c r="I7" s="170"/>
      <c r="J7" s="170">
        <f t="shared" ref="J7:J9" ca="1" si="1">H7+((RAND()*(0.1)*RANDBETWEEN(-1,1)))</f>
        <v>10.511921122033804</v>
      </c>
      <c r="K7" s="170"/>
      <c r="L7" s="170">
        <f t="shared" ref="L7:L9" ca="1" si="2">J7+((RAND()*(0.1)*RANDBETWEEN(-1,1)))</f>
        <v>10.572711277734344</v>
      </c>
      <c r="M7" s="170"/>
      <c r="N7" s="170">
        <f t="shared" ref="N7:N9" ca="1" si="3">AVERAGE(F7:M7)</f>
        <v>10.523706947664364</v>
      </c>
      <c r="O7" s="170"/>
      <c r="P7" s="170">
        <f t="shared" ref="P7:P9" ca="1" si="4">N7-D7</f>
        <v>0.52370694766436365</v>
      </c>
      <c r="Q7" s="170"/>
    </row>
    <row r="8" spans="1:17" x14ac:dyDescent="0.3">
      <c r="A8"/>
      <c r="B8"/>
      <c r="C8"/>
      <c r="D8" s="171">
        <v>20</v>
      </c>
      <c r="E8" s="171"/>
      <c r="F8" s="171">
        <v>20.6</v>
      </c>
      <c r="G8" s="171"/>
      <c r="H8" s="170">
        <f t="shared" ca="1" si="0"/>
        <v>20.568033408233262</v>
      </c>
      <c r="I8" s="170"/>
      <c r="J8" s="170">
        <f t="shared" ca="1" si="1"/>
        <v>20.568033408233262</v>
      </c>
      <c r="K8" s="170"/>
      <c r="L8" s="170">
        <f t="shared" ca="1" si="2"/>
        <v>20.551964869135734</v>
      </c>
      <c r="M8" s="170"/>
      <c r="N8" s="170">
        <f t="shared" ca="1" si="3"/>
        <v>20.572007921400566</v>
      </c>
      <c r="O8" s="170"/>
      <c r="P8" s="170">
        <f t="shared" ca="1" si="4"/>
        <v>0.57200792140056578</v>
      </c>
      <c r="Q8" s="170"/>
    </row>
    <row r="9" spans="1:17" x14ac:dyDescent="0.3">
      <c r="A9"/>
      <c r="B9"/>
      <c r="C9"/>
      <c r="D9" s="171">
        <v>40</v>
      </c>
      <c r="E9" s="171"/>
      <c r="F9" s="171">
        <v>40.9</v>
      </c>
      <c r="G9" s="171"/>
      <c r="H9" s="170">
        <f t="shared" ca="1" si="0"/>
        <v>40.89374290720049</v>
      </c>
      <c r="I9" s="170"/>
      <c r="J9" s="170">
        <f t="shared" ca="1" si="1"/>
        <v>40.89374290720049</v>
      </c>
      <c r="K9" s="170"/>
      <c r="L9" s="170">
        <f t="shared" ca="1" si="2"/>
        <v>40.888192151803445</v>
      </c>
      <c r="M9" s="170"/>
      <c r="N9" s="170">
        <f t="shared" ca="1" si="3"/>
        <v>40.893919491551102</v>
      </c>
      <c r="O9" s="170"/>
      <c r="P9" s="170">
        <f t="shared" ca="1" si="4"/>
        <v>0.8939194915511024</v>
      </c>
      <c r="Q9" s="170"/>
    </row>
    <row r="10" spans="1:17" x14ac:dyDescent="0.3">
      <c r="A10"/>
      <c r="B10"/>
      <c r="C10"/>
      <c r="D10"/>
      <c r="E10"/>
      <c r="F10"/>
      <c r="G10"/>
      <c r="H10"/>
      <c r="I10"/>
      <c r="J10"/>
      <c r="K10"/>
      <c r="L10"/>
      <c r="M10"/>
      <c r="N10"/>
      <c r="O10"/>
      <c r="P10"/>
      <c r="Q10"/>
    </row>
    <row r="11" spans="1:17" customFormat="1" x14ac:dyDescent="0.3"/>
    <row r="12" spans="1:17" customFormat="1" x14ac:dyDescent="0.3"/>
    <row r="13" spans="1:17" customFormat="1" x14ac:dyDescent="0.3"/>
    <row r="14" spans="1:17" customFormat="1" ht="17.399999999999999" customHeight="1" x14ac:dyDescent="0.3">
      <c r="H14" s="36"/>
    </row>
    <row r="15" spans="1:17" customFormat="1" ht="23.4" customHeight="1" x14ac:dyDescent="0.3"/>
    <row r="16" spans="1:17"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ht="30" customHeight="1" x14ac:dyDescent="0.3"/>
    <row r="28" customFormat="1" x14ac:dyDescent="0.3"/>
    <row r="29" customFormat="1" x14ac:dyDescent="0.3"/>
    <row r="30" customFormat="1" x14ac:dyDescent="0.3"/>
    <row r="31" customFormat="1" x14ac:dyDescent="0.3"/>
    <row r="32" customFormat="1" x14ac:dyDescent="0.3"/>
    <row r="33" spans="3:3" customFormat="1" x14ac:dyDescent="0.3"/>
    <row r="34" spans="3:3" x14ac:dyDescent="0.3">
      <c r="C34"/>
    </row>
  </sheetData>
  <mergeCells count="37">
    <mergeCell ref="D4:E5"/>
    <mergeCell ref="D3:Q3"/>
    <mergeCell ref="F4:M4"/>
    <mergeCell ref="D6:E6"/>
    <mergeCell ref="D7:E7"/>
    <mergeCell ref="P6:Q6"/>
    <mergeCell ref="F7:G7"/>
    <mergeCell ref="H7:I7"/>
    <mergeCell ref="J7:K7"/>
    <mergeCell ref="L7:M7"/>
    <mergeCell ref="N7:O7"/>
    <mergeCell ref="F5:G5"/>
    <mergeCell ref="H5:I5"/>
    <mergeCell ref="J5:K5"/>
    <mergeCell ref="L5:M5"/>
    <mergeCell ref="N5:O5"/>
    <mergeCell ref="D8:E8"/>
    <mergeCell ref="D9:E9"/>
    <mergeCell ref="P8:Q8"/>
    <mergeCell ref="F9:G9"/>
    <mergeCell ref="H9:I9"/>
    <mergeCell ref="J9:K9"/>
    <mergeCell ref="L9:M9"/>
    <mergeCell ref="N9:O9"/>
    <mergeCell ref="P9:Q9"/>
    <mergeCell ref="F8:G8"/>
    <mergeCell ref="H8:I8"/>
    <mergeCell ref="J8:K8"/>
    <mergeCell ref="L8:M8"/>
    <mergeCell ref="N8:O8"/>
    <mergeCell ref="P7:Q7"/>
    <mergeCell ref="P5:Q5"/>
    <mergeCell ref="F6:G6"/>
    <mergeCell ref="H6:I6"/>
    <mergeCell ref="J6:K6"/>
    <mergeCell ref="L6:M6"/>
    <mergeCell ref="N6:O6"/>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4"/>
  <sheetViews>
    <sheetView topLeftCell="A15" workbookViewId="0">
      <selection activeCell="H51" sqref="H51"/>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79" t="s">
        <v>121</v>
      </c>
      <c r="D2" s="179"/>
      <c r="E2" s="179"/>
      <c r="F2" s="179"/>
      <c r="G2" s="179"/>
      <c r="H2" s="179"/>
      <c r="I2" s="179"/>
      <c r="J2" s="179"/>
      <c r="K2" s="179"/>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80" t="s">
        <v>13</v>
      </c>
      <c r="C34" s="180"/>
      <c r="D34" s="180"/>
      <c r="E34" s="180"/>
      <c r="F34" s="180"/>
      <c r="G34" s="180"/>
      <c r="H34" s="180"/>
      <c r="I34" s="180"/>
      <c r="J34" s="180"/>
      <c r="K34" s="180"/>
      <c r="L34" s="180"/>
      <c r="M34" s="180"/>
      <c r="N34" s="3"/>
      <c r="O34" s="3"/>
      <c r="P34" s="3"/>
      <c r="Q34" s="3"/>
    </row>
    <row r="35" spans="2:17" x14ac:dyDescent="0.3">
      <c r="B35" s="173" t="s">
        <v>12</v>
      </c>
      <c r="C35" s="173"/>
      <c r="D35" s="173"/>
      <c r="E35" s="173"/>
      <c r="F35" s="173"/>
      <c r="G35" s="176" t="s">
        <v>134</v>
      </c>
      <c r="H35" s="177"/>
      <c r="I35" s="177"/>
      <c r="J35" s="177"/>
      <c r="K35" s="177"/>
      <c r="L35" s="177"/>
      <c r="M35" s="178"/>
      <c r="N35" s="9"/>
      <c r="O35" s="9"/>
      <c r="P35" s="9"/>
      <c r="Q35" s="9"/>
    </row>
    <row r="36" spans="2:17" x14ac:dyDescent="0.3">
      <c r="B36" s="173" t="s">
        <v>7</v>
      </c>
      <c r="C36" s="173"/>
      <c r="D36" s="173"/>
      <c r="E36" s="173"/>
      <c r="F36" s="173"/>
      <c r="G36" s="176" t="s">
        <v>135</v>
      </c>
      <c r="H36" s="177"/>
      <c r="I36" s="177"/>
      <c r="J36" s="177"/>
      <c r="K36" s="177"/>
      <c r="L36" s="177"/>
      <c r="M36" s="178"/>
      <c r="N36" s="9"/>
      <c r="O36" s="9"/>
      <c r="P36" s="9"/>
      <c r="Q36" s="9"/>
    </row>
    <row r="37" spans="2:17" x14ac:dyDescent="0.3">
      <c r="B37" s="173" t="s">
        <v>6</v>
      </c>
      <c r="C37" s="173"/>
      <c r="D37" s="173"/>
      <c r="E37" s="173"/>
      <c r="F37" s="173"/>
      <c r="G37" s="176">
        <v>4070</v>
      </c>
      <c r="H37" s="177"/>
      <c r="I37" s="177"/>
      <c r="J37" s="177"/>
      <c r="K37" s="177"/>
      <c r="L37" s="177"/>
      <c r="M37" s="178"/>
      <c r="N37" s="9"/>
      <c r="O37" s="9"/>
      <c r="P37" s="9"/>
      <c r="Q37" s="9"/>
    </row>
    <row r="38" spans="2:17" x14ac:dyDescent="0.3">
      <c r="B38" s="173" t="s">
        <v>4</v>
      </c>
      <c r="C38" s="173"/>
      <c r="D38" s="173"/>
      <c r="E38" s="173"/>
      <c r="F38" s="173"/>
      <c r="G38" s="176">
        <v>40712037006</v>
      </c>
      <c r="H38" s="177"/>
      <c r="I38" s="177"/>
      <c r="J38" s="177"/>
      <c r="K38" s="177"/>
      <c r="L38" s="177"/>
      <c r="M38" s="178"/>
      <c r="N38" s="9"/>
      <c r="O38" s="9"/>
      <c r="P38" s="9"/>
      <c r="Q38" s="9"/>
    </row>
    <row r="39" spans="2:17" x14ac:dyDescent="0.3">
      <c r="B39" s="173" t="s">
        <v>11</v>
      </c>
      <c r="C39" s="173"/>
      <c r="D39" s="173"/>
      <c r="E39" s="173"/>
      <c r="F39" s="174"/>
      <c r="G39" s="181">
        <v>44970</v>
      </c>
      <c r="H39" s="181"/>
      <c r="I39" s="181"/>
      <c r="J39" s="181"/>
      <c r="K39" s="181"/>
      <c r="L39" s="181"/>
      <c r="M39" s="181"/>
      <c r="N39" s="10"/>
      <c r="O39" s="10"/>
      <c r="P39" s="10"/>
      <c r="Q39" s="10"/>
    </row>
    <row r="40" spans="2:17" x14ac:dyDescent="0.3">
      <c r="B40" s="173" t="s">
        <v>10</v>
      </c>
      <c r="C40" s="173"/>
      <c r="D40" s="173"/>
      <c r="E40" s="173"/>
      <c r="F40" s="173"/>
      <c r="G40" s="175" t="s">
        <v>136</v>
      </c>
      <c r="H40" s="175"/>
      <c r="I40" s="175"/>
      <c r="J40" s="175"/>
      <c r="K40" s="175"/>
      <c r="L40" s="175"/>
      <c r="M40" s="175"/>
      <c r="N40" s="9"/>
      <c r="O40" s="9"/>
      <c r="P40" s="9"/>
      <c r="Q40" s="9"/>
    </row>
    <row r="41" spans="2:17" x14ac:dyDescent="0.3">
      <c r="B41" s="173" t="s">
        <v>137</v>
      </c>
      <c r="C41" s="173"/>
      <c r="D41" s="173"/>
      <c r="E41" s="173"/>
      <c r="F41" s="173"/>
      <c r="G41" s="176">
        <v>5.5</v>
      </c>
      <c r="H41" s="177"/>
      <c r="I41" s="177"/>
      <c r="J41" s="177"/>
      <c r="K41" s="177"/>
      <c r="L41" s="177"/>
      <c r="M41" s="178"/>
      <c r="N41" s="4"/>
      <c r="O41" s="4"/>
      <c r="P41" s="4"/>
      <c r="Q41" s="4"/>
    </row>
    <row r="42" spans="2:17" x14ac:dyDescent="0.3">
      <c r="B42" s="173" t="s">
        <v>138</v>
      </c>
      <c r="C42" s="173"/>
      <c r="D42" s="173"/>
      <c r="E42" s="173"/>
      <c r="F42" s="173"/>
      <c r="G42" s="176">
        <v>0.11</v>
      </c>
      <c r="H42" s="177"/>
      <c r="I42" s="177"/>
      <c r="J42" s="177"/>
      <c r="K42" s="177"/>
      <c r="L42" s="177"/>
      <c r="M42" s="178"/>
      <c r="N42" s="4"/>
      <c r="O42" s="4"/>
      <c r="P42" s="4"/>
      <c r="Q42" s="4"/>
    </row>
    <row r="43" spans="2:17" x14ac:dyDescent="0.3">
      <c r="B43" s="173" t="s">
        <v>139</v>
      </c>
      <c r="C43" s="173"/>
      <c r="D43" s="173"/>
      <c r="E43" s="173"/>
      <c r="F43" s="174"/>
      <c r="G43" s="176">
        <v>3</v>
      </c>
      <c r="H43" s="177"/>
      <c r="I43" s="177"/>
      <c r="J43" s="177"/>
      <c r="K43" s="177"/>
      <c r="L43" s="177"/>
      <c r="M43" s="178"/>
      <c r="N43" s="4"/>
      <c r="O43" s="4"/>
      <c r="P43" s="4"/>
      <c r="Q43" s="4"/>
    </row>
    <row r="44" spans="2:17" x14ac:dyDescent="0.3">
      <c r="B44" s="173" t="s">
        <v>140</v>
      </c>
      <c r="C44" s="173"/>
      <c r="D44" s="173"/>
      <c r="E44" s="173"/>
      <c r="F44" s="174"/>
      <c r="G44" s="176">
        <v>0.2</v>
      </c>
      <c r="H44" s="177"/>
      <c r="I44" s="177"/>
      <c r="J44" s="177"/>
      <c r="K44" s="177"/>
      <c r="L44" s="177"/>
      <c r="M44" s="178"/>
    </row>
    <row r="45" spans="2:17" x14ac:dyDescent="0.3">
      <c r="B45" s="173" t="s">
        <v>141</v>
      </c>
      <c r="C45" s="173"/>
      <c r="D45" s="173"/>
      <c r="E45" s="173"/>
      <c r="F45" s="174"/>
      <c r="G45" s="176">
        <v>0.1</v>
      </c>
      <c r="H45" s="177"/>
      <c r="I45" s="177"/>
      <c r="J45" s="177"/>
      <c r="K45" s="177"/>
      <c r="L45" s="177"/>
      <c r="M45" s="178"/>
    </row>
    <row r="46" spans="2:17" x14ac:dyDescent="0.3">
      <c r="B46" s="173" t="s">
        <v>142</v>
      </c>
      <c r="C46" s="173"/>
      <c r="D46" s="173"/>
      <c r="E46" s="173"/>
      <c r="F46" s="174"/>
      <c r="G46" s="176">
        <v>0.1</v>
      </c>
      <c r="H46" s="177"/>
      <c r="I46" s="177"/>
      <c r="J46" s="177"/>
      <c r="K46" s="177"/>
      <c r="L46" s="177"/>
      <c r="M46" s="178"/>
    </row>
    <row r="47" spans="2:17" x14ac:dyDescent="0.3">
      <c r="B47" s="173" t="s">
        <v>9</v>
      </c>
      <c r="C47" s="173"/>
      <c r="D47" s="173"/>
      <c r="E47" s="173"/>
      <c r="F47" s="174"/>
      <c r="G47" s="176">
        <v>2</v>
      </c>
      <c r="H47" s="177"/>
      <c r="I47" s="177"/>
      <c r="J47" s="177"/>
      <c r="K47" s="177"/>
      <c r="L47" s="177"/>
      <c r="M47" s="178"/>
    </row>
    <row r="81" spans="3:16" x14ac:dyDescent="0.3">
      <c r="N81" s="4"/>
      <c r="O81" s="4"/>
      <c r="P81" s="26"/>
    </row>
    <row r="82" spans="3:16" x14ac:dyDescent="0.3">
      <c r="N82" s="17"/>
      <c r="O82" s="17"/>
      <c r="P82" s="26"/>
    </row>
    <row r="83" spans="3:16" x14ac:dyDescent="0.3">
      <c r="N83" s="17"/>
      <c r="O83" s="17"/>
      <c r="P83" s="26"/>
    </row>
    <row r="84" spans="3:16" x14ac:dyDescent="0.3">
      <c r="N84" s="17"/>
      <c r="O84" s="17"/>
      <c r="P84" s="26"/>
    </row>
    <row r="85" spans="3:16" x14ac:dyDescent="0.3">
      <c r="N85" s="17"/>
      <c r="O85" s="17"/>
      <c r="P85" s="26"/>
    </row>
    <row r="86" spans="3:16" x14ac:dyDescent="0.3">
      <c r="N86" s="17"/>
      <c r="O86" s="17"/>
      <c r="P86" s="26"/>
    </row>
    <row r="87" spans="3:16" x14ac:dyDescent="0.3">
      <c r="N87" s="17"/>
      <c r="O87" s="17"/>
      <c r="P87" s="26"/>
    </row>
    <row r="95" spans="3:16" x14ac:dyDescent="0.3">
      <c r="C95" s="142"/>
      <c r="D95" s="142"/>
      <c r="E95" s="142"/>
    </row>
    <row r="98" spans="14:15" x14ac:dyDescent="0.3">
      <c r="N98" s="4"/>
      <c r="O98" s="4"/>
    </row>
    <row r="99" spans="14:15" x14ac:dyDescent="0.3">
      <c r="N99" s="17"/>
      <c r="O99" s="17"/>
    </row>
    <row r="100" spans="14:15" x14ac:dyDescent="0.3">
      <c r="N100" s="17"/>
      <c r="O100" s="17"/>
    </row>
    <row r="101" spans="14:15" x14ac:dyDescent="0.3">
      <c r="N101" s="17"/>
      <c r="O101" s="17"/>
    </row>
    <row r="102" spans="14:15" x14ac:dyDescent="0.3">
      <c r="N102" s="17"/>
      <c r="O102" s="17"/>
    </row>
    <row r="103" spans="14:15" x14ac:dyDescent="0.3">
      <c r="N103" s="17"/>
      <c r="O103" s="17"/>
    </row>
    <row r="104" spans="14:15" x14ac:dyDescent="0.3">
      <c r="N104" s="17"/>
      <c r="O104" s="17"/>
    </row>
  </sheetData>
  <mergeCells count="29">
    <mergeCell ref="C2:K2"/>
    <mergeCell ref="B44:F44"/>
    <mergeCell ref="B45:F45"/>
    <mergeCell ref="B46:F46"/>
    <mergeCell ref="B47:F47"/>
    <mergeCell ref="G47:M47"/>
    <mergeCell ref="G37:M37"/>
    <mergeCell ref="G35:M35"/>
    <mergeCell ref="B34:M34"/>
    <mergeCell ref="G38:M38"/>
    <mergeCell ref="G39:M39"/>
    <mergeCell ref="G36:M36"/>
    <mergeCell ref="B35:F35"/>
    <mergeCell ref="B36:F36"/>
    <mergeCell ref="B37:F37"/>
    <mergeCell ref="B38:F38"/>
    <mergeCell ref="B39:F39"/>
    <mergeCell ref="B40:F40"/>
    <mergeCell ref="G40:M40"/>
    <mergeCell ref="G42:M42"/>
    <mergeCell ref="C95:E95"/>
    <mergeCell ref="B41:F41"/>
    <mergeCell ref="G41:M41"/>
    <mergeCell ref="G43:M43"/>
    <mergeCell ref="B42:F42"/>
    <mergeCell ref="B43:F43"/>
    <mergeCell ref="G44:M44"/>
    <mergeCell ref="G45:M45"/>
    <mergeCell ref="G46:M4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41"/>
  <sheetViews>
    <sheetView topLeftCell="A17" zoomScaleNormal="100" workbookViewId="0">
      <selection activeCell="L28" sqref="L28"/>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2" t="s">
        <v>143</v>
      </c>
      <c r="C2" s="183"/>
      <c r="D2" s="183"/>
      <c r="E2" s="183"/>
      <c r="F2" s="183"/>
      <c r="G2" s="183"/>
      <c r="H2" s="183"/>
      <c r="I2" s="183"/>
      <c r="J2" s="183"/>
      <c r="K2" s="183"/>
      <c r="L2" s="184"/>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t="e">
        <f>MEDIDA!#REF!</f>
        <v>#REF!</v>
      </c>
      <c r="C4" s="8">
        <f>PATRON!G$41/2</f>
        <v>2.75</v>
      </c>
      <c r="D4" s="8">
        <f>PATRON!G$43/SQRT(3)</f>
        <v>1.7320508075688774</v>
      </c>
      <c r="E4" s="8">
        <v>0</v>
      </c>
      <c r="F4" s="8">
        <f>1/SQRT(12)</f>
        <v>0.28867513459481292</v>
      </c>
      <c r="G4" s="95">
        <f>PATRON!G$45/SQRT(12)</f>
        <v>2.8867513459481291E-2</v>
      </c>
      <c r="H4" s="7" t="e">
        <f>STDEVA(MEDIDA!#REF!)/SQRT(4)</f>
        <v>#REF!</v>
      </c>
      <c r="I4" s="8" t="e">
        <f>SQRT(SUMSQ(C4:H4))</f>
        <v>#REF!</v>
      </c>
      <c r="J4" s="15" t="e">
        <f>I4^4/(C4^4/200+D4^4/200+E4^4/200+F4^4/200+G4^4/200+H4^4/3)</f>
        <v>#REF!</v>
      </c>
      <c r="K4" s="11" t="e">
        <f>TINV(0.0455,J4)</f>
        <v>#REF!</v>
      </c>
      <c r="L4" s="7" t="e">
        <f>I4*K4</f>
        <v>#REF!</v>
      </c>
    </row>
    <row r="5" spans="1:12" x14ac:dyDescent="0.3">
      <c r="A5" s="52"/>
      <c r="B5" s="6" t="e">
        <f>MEDIDA!#REF!</f>
        <v>#REF!</v>
      </c>
      <c r="C5" s="8">
        <f>PATRON!G$41/2</f>
        <v>2.75</v>
      </c>
      <c r="D5" s="8">
        <f>PATRON!G$43/SQRT(3)</f>
        <v>1.7320508075688774</v>
      </c>
      <c r="E5" s="8">
        <v>0</v>
      </c>
      <c r="F5" s="8">
        <f t="shared" ref="F5:F7" si="0">1/SQRT(12)</f>
        <v>0.28867513459481292</v>
      </c>
      <c r="G5" s="95">
        <f>PATRON!G$45/SQRT(12)</f>
        <v>2.8867513459481291E-2</v>
      </c>
      <c r="H5" s="7" t="e">
        <f>STDEVA(MEDIDA!#REF!)/SQRT(4)</f>
        <v>#REF!</v>
      </c>
      <c r="I5" s="8" t="e">
        <f>SQRT(SUMSQ(C5:H5))</f>
        <v>#REF!</v>
      </c>
      <c r="J5" s="15" t="e">
        <f>I5^4/(C5^4/200+D5^4/200+E5^4/200+F5^4/200+G5^4/200+H5^4/3)</f>
        <v>#REF!</v>
      </c>
      <c r="K5" s="11" t="e">
        <f>TINV(0.0455,J5)</f>
        <v>#REF!</v>
      </c>
      <c r="L5" s="7" t="e">
        <f>I5*K5</f>
        <v>#REF!</v>
      </c>
    </row>
    <row r="6" spans="1:12" x14ac:dyDescent="0.3">
      <c r="A6" s="52"/>
      <c r="B6" s="6" t="e">
        <f>MEDIDA!#REF!</f>
        <v>#REF!</v>
      </c>
      <c r="C6" s="8">
        <f>PATRON!G$41/2</f>
        <v>2.75</v>
      </c>
      <c r="D6" s="8">
        <f>PATRON!G$43/SQRT(3)</f>
        <v>1.7320508075688774</v>
      </c>
      <c r="E6" s="8">
        <v>0</v>
      </c>
      <c r="F6" s="8">
        <f t="shared" si="0"/>
        <v>0.28867513459481292</v>
      </c>
      <c r="G6" s="95">
        <f>PATRON!G$45/SQRT(12)</f>
        <v>2.8867513459481291E-2</v>
      </c>
      <c r="H6" s="7" t="e">
        <f>STDEVA(MEDIDA!#REF!)/SQRT(4)</f>
        <v>#REF!</v>
      </c>
      <c r="I6" s="8" t="e">
        <f>SQRT(SUMSQ(C6:H6))</f>
        <v>#REF!</v>
      </c>
      <c r="J6" s="15" t="e">
        <f>I6^4/(C6^4/200+D6^4/200+E6^4/200+F6^4/200+G6^4/200+H6^4/3)</f>
        <v>#REF!</v>
      </c>
      <c r="K6" s="11" t="e">
        <f t="shared" ref="K6:K7" si="1">TINV(0.0455,J6)</f>
        <v>#REF!</v>
      </c>
      <c r="L6" s="7" t="e">
        <f t="shared" ref="L6:L7" si="2">I6*K6</f>
        <v>#REF!</v>
      </c>
    </row>
    <row r="7" spans="1:12" x14ac:dyDescent="0.3">
      <c r="A7" s="52"/>
      <c r="B7" s="6" t="e">
        <f>MEDIDA!#REF!</f>
        <v>#REF!</v>
      </c>
      <c r="C7" s="8">
        <f>PATRON!G$41/2</f>
        <v>2.75</v>
      </c>
      <c r="D7" s="8">
        <f>PATRON!G$43/SQRT(3)</f>
        <v>1.7320508075688774</v>
      </c>
      <c r="E7" s="8">
        <v>0</v>
      </c>
      <c r="F7" s="8">
        <f t="shared" si="0"/>
        <v>0.28867513459481292</v>
      </c>
      <c r="G7" s="95">
        <f>PATRON!G$45/SQRT(12)</f>
        <v>2.8867513459481291E-2</v>
      </c>
      <c r="H7" s="7" t="e">
        <f>STDEVA(MEDIDA!#REF!)/SQRT(4)</f>
        <v>#REF!</v>
      </c>
      <c r="I7" s="8" t="e">
        <f>SQRT(SUMSQ(C7:H7))</f>
        <v>#REF!</v>
      </c>
      <c r="J7" s="15" t="e">
        <f>I7^4/(C7^4/200+D7^4/200+E7^4/200+F7^4/200+G7^4/200+H7^4/3)</f>
        <v>#REF!</v>
      </c>
      <c r="K7" s="11" t="e">
        <f t="shared" si="1"/>
        <v>#REF!</v>
      </c>
      <c r="L7" s="7" t="e">
        <f t="shared" si="2"/>
        <v>#REF!</v>
      </c>
    </row>
    <row r="9" spans="1:12" x14ac:dyDescent="0.3">
      <c r="B9" s="182" t="s">
        <v>144</v>
      </c>
      <c r="C9" s="183"/>
      <c r="D9" s="183"/>
      <c r="E9" s="183"/>
      <c r="F9" s="183"/>
      <c r="G9" s="183"/>
      <c r="H9" s="183"/>
      <c r="I9" s="183"/>
      <c r="J9" s="183"/>
      <c r="K9" s="183"/>
      <c r="L9" s="184"/>
    </row>
    <row r="10" spans="1:12" ht="22.8" x14ac:dyDescent="0.3">
      <c r="B10" s="19" t="s">
        <v>59</v>
      </c>
      <c r="C10" s="19" t="s">
        <v>23</v>
      </c>
      <c r="D10" s="19" t="s">
        <v>22</v>
      </c>
      <c r="E10" s="19" t="s">
        <v>19</v>
      </c>
      <c r="F10" s="19" t="s">
        <v>24</v>
      </c>
      <c r="G10" s="19" t="s">
        <v>60</v>
      </c>
      <c r="H10" s="19" t="s">
        <v>20</v>
      </c>
      <c r="I10" s="19" t="s">
        <v>21</v>
      </c>
      <c r="J10" s="19" t="s">
        <v>2</v>
      </c>
      <c r="K10" s="19" t="s">
        <v>1</v>
      </c>
      <c r="L10" s="19" t="s">
        <v>0</v>
      </c>
    </row>
    <row r="11" spans="1:12" x14ac:dyDescent="0.3">
      <c r="B11" s="6" t="e">
        <f>MEDIDA!#REF!</f>
        <v>#REF!</v>
      </c>
      <c r="C11" s="8">
        <f>0.083/2</f>
        <v>4.1500000000000002E-2</v>
      </c>
      <c r="D11" s="8">
        <f>0.2/SQRT(3)</f>
        <v>0.11547005383792516</v>
      </c>
      <c r="E11" s="8">
        <v>0</v>
      </c>
      <c r="F11" s="8">
        <f>1/SQRT(12)</f>
        <v>0.28867513459481292</v>
      </c>
      <c r="G11" s="95">
        <f>0.1/SQRT(12)</f>
        <v>2.8867513459481291E-2</v>
      </c>
      <c r="H11" s="7" t="e">
        <f>STDEVA(MEDIDA!#REF!)/SQRT(4)</f>
        <v>#REF!</v>
      </c>
      <c r="I11" s="8" t="e">
        <f>SQRT(SUMSQ(C11:H11))</f>
        <v>#REF!</v>
      </c>
      <c r="J11" s="15" t="e">
        <f>I11^4/(C11^4/200+D11^4/200+E11^4/200+F11^4/200+G11^4/200+H11^4/3)</f>
        <v>#REF!</v>
      </c>
      <c r="K11" s="11" t="e">
        <f>TINV(0.0455,J11)</f>
        <v>#REF!</v>
      </c>
      <c r="L11" s="7" t="e">
        <f>I11*K11</f>
        <v>#REF!</v>
      </c>
    </row>
    <row r="12" spans="1:12" x14ac:dyDescent="0.3">
      <c r="B12" s="6" t="e">
        <f>MEDIDA!#REF!</f>
        <v>#REF!</v>
      </c>
      <c r="C12" s="8">
        <f t="shared" ref="C12:C14" si="3">0.083/2</f>
        <v>4.1500000000000002E-2</v>
      </c>
      <c r="D12" s="8">
        <f t="shared" ref="D12:D14" si="4">0.2/SQRT(3)</f>
        <v>0.11547005383792516</v>
      </c>
      <c r="E12" s="8">
        <v>0</v>
      </c>
      <c r="F12" s="8">
        <f t="shared" ref="F12:F14" si="5">1/SQRT(12)</f>
        <v>0.28867513459481292</v>
      </c>
      <c r="G12" s="95">
        <f t="shared" ref="G12:G14" si="6">0.1/SQRT(12)</f>
        <v>2.8867513459481291E-2</v>
      </c>
      <c r="H12" s="7" t="e">
        <f>STDEVA(MEDIDA!#REF!)/SQRT(4)</f>
        <v>#REF!</v>
      </c>
      <c r="I12" s="8" t="e">
        <f>SQRT(SUMSQ(C12:H12))</f>
        <v>#REF!</v>
      </c>
      <c r="J12" s="15" t="e">
        <f>I12^4/(C12^4/200+D12^4/200+E12^4/200+F12^4/200+G12^4/200+H12^4/3)</f>
        <v>#REF!</v>
      </c>
      <c r="K12" s="11" t="e">
        <f>TINV(0.0455,J12)</f>
        <v>#REF!</v>
      </c>
      <c r="L12" s="7" t="e">
        <f>I12*K12</f>
        <v>#REF!</v>
      </c>
    </row>
    <row r="13" spans="1:12" x14ac:dyDescent="0.3">
      <c r="B13" s="6" t="e">
        <f>MEDIDA!#REF!</f>
        <v>#REF!</v>
      </c>
      <c r="C13" s="8">
        <f t="shared" si="3"/>
        <v>4.1500000000000002E-2</v>
      </c>
      <c r="D13" s="8">
        <f t="shared" si="4"/>
        <v>0.11547005383792516</v>
      </c>
      <c r="E13" s="8">
        <v>0</v>
      </c>
      <c r="F13" s="8">
        <f t="shared" si="5"/>
        <v>0.28867513459481292</v>
      </c>
      <c r="G13" s="95">
        <f t="shared" si="6"/>
        <v>2.8867513459481291E-2</v>
      </c>
      <c r="H13" s="7" t="e">
        <f>STDEVA(MEDIDA!#REF!)/SQRT(4)</f>
        <v>#REF!</v>
      </c>
      <c r="I13" s="8" t="e">
        <f>SQRT(SUMSQ(C13:H13))</f>
        <v>#REF!</v>
      </c>
      <c r="J13" s="15" t="e">
        <f>I13^4/(C13^4/200+D13^4/200+E13^4/200+F13^4/200+G13^4/200+H13^4/3)</f>
        <v>#REF!</v>
      </c>
      <c r="K13" s="11" t="e">
        <f t="shared" ref="K13:K14" si="7">TINV(0.0455,J13)</f>
        <v>#REF!</v>
      </c>
      <c r="L13" s="7" t="e">
        <f t="shared" ref="L13:L14" si="8">I13*K13</f>
        <v>#REF!</v>
      </c>
    </row>
    <row r="14" spans="1:12" x14ac:dyDescent="0.3">
      <c r="B14" s="6" t="e">
        <f>MEDIDA!#REF!</f>
        <v>#REF!</v>
      </c>
      <c r="C14" s="8">
        <f t="shared" si="3"/>
        <v>4.1500000000000002E-2</v>
      </c>
      <c r="D14" s="8">
        <f t="shared" si="4"/>
        <v>0.11547005383792516</v>
      </c>
      <c r="E14" s="8">
        <v>0</v>
      </c>
      <c r="F14" s="8">
        <f t="shared" si="5"/>
        <v>0.28867513459481292</v>
      </c>
      <c r="G14" s="95">
        <f t="shared" si="6"/>
        <v>2.8867513459481291E-2</v>
      </c>
      <c r="H14" s="7" t="e">
        <f>STDEVA(MEDIDA!#REF!)/SQRT(4)</f>
        <v>#REF!</v>
      </c>
      <c r="I14" s="8" t="e">
        <f>SQRT(SUMSQ(C14:H14))</f>
        <v>#REF!</v>
      </c>
      <c r="J14" s="15" t="e">
        <f>I14^4/(C14^4/200+D14^4/200+E14^4/200+F14^4/200+G14^4/200+H14^4/3)</f>
        <v>#REF!</v>
      </c>
      <c r="K14" s="11" t="e">
        <f t="shared" si="7"/>
        <v>#REF!</v>
      </c>
      <c r="L14" s="7" t="e">
        <f t="shared" si="8"/>
        <v>#REF!</v>
      </c>
    </row>
    <row r="15" spans="1:12" x14ac:dyDescent="0.3">
      <c r="C15" s="8"/>
    </row>
    <row r="16" spans="1:12" x14ac:dyDescent="0.3">
      <c r="B16" s="182" t="s">
        <v>145</v>
      </c>
      <c r="C16" s="183"/>
      <c r="D16" s="183"/>
      <c r="E16" s="183"/>
      <c r="F16" s="183"/>
      <c r="G16" s="183"/>
      <c r="H16" s="183"/>
      <c r="I16" s="183"/>
      <c r="J16" s="183"/>
      <c r="K16" s="183"/>
      <c r="L16" s="184"/>
    </row>
    <row r="17" spans="2:12" ht="22.8" x14ac:dyDescent="0.3">
      <c r="B17" s="19" t="s">
        <v>59</v>
      </c>
      <c r="C17" s="19" t="s">
        <v>23</v>
      </c>
      <c r="D17" s="19" t="s">
        <v>22</v>
      </c>
      <c r="E17" s="19" t="s">
        <v>19</v>
      </c>
      <c r="F17" s="19" t="s">
        <v>24</v>
      </c>
      <c r="G17" s="19" t="s">
        <v>60</v>
      </c>
      <c r="H17" s="19" t="s">
        <v>20</v>
      </c>
      <c r="I17" s="19" t="s">
        <v>21</v>
      </c>
      <c r="J17" s="19" t="s">
        <v>2</v>
      </c>
      <c r="K17" s="19" t="s">
        <v>1</v>
      </c>
      <c r="L17" s="19" t="s">
        <v>0</v>
      </c>
    </row>
    <row r="18" spans="2:12" x14ac:dyDescent="0.3">
      <c r="B18" s="6" t="e">
        <f>MEDIDA!#REF!</f>
        <v>#REF!</v>
      </c>
      <c r="C18" s="8">
        <f>PATRON!G$42/2</f>
        <v>5.5E-2</v>
      </c>
      <c r="D18" s="8">
        <f>PATRON!G$44/SQRT(3)</f>
        <v>0.11547005383792516</v>
      </c>
      <c r="E18" s="8">
        <v>0</v>
      </c>
      <c r="F18" s="8">
        <f>1/SQRT(12)</f>
        <v>0.28867513459481292</v>
      </c>
      <c r="G18" s="95">
        <f>PATRON!G$46/SQRT(12)</f>
        <v>2.8867513459481291E-2</v>
      </c>
      <c r="H18" s="7" t="e">
        <f>STDEVA(MEDIDA!#REF!)/SQRT(4)</f>
        <v>#REF!</v>
      </c>
      <c r="I18" s="8" t="e">
        <f>SQRT(SUMSQ(C18:H18))</f>
        <v>#REF!</v>
      </c>
      <c r="J18" s="15" t="e">
        <f>I18^4/(C18^4/200+D18^4/200+E18^4/200+F18^4/200+G18^4/200+H18^4/3)</f>
        <v>#REF!</v>
      </c>
      <c r="K18" s="11" t="e">
        <f>TINV(0.0455,J18)</f>
        <v>#REF!</v>
      </c>
      <c r="L18" s="7" t="e">
        <f>I18*K18</f>
        <v>#REF!</v>
      </c>
    </row>
    <row r="19" spans="2:12" x14ac:dyDescent="0.3">
      <c r="B19" s="6" t="e">
        <f>MEDIDA!#REF!</f>
        <v>#REF!</v>
      </c>
      <c r="C19" s="8">
        <f>PATRON!G$42/2</f>
        <v>5.5E-2</v>
      </c>
      <c r="D19" s="8">
        <f>PATRON!G$44/SQRT(3)</f>
        <v>0.11547005383792516</v>
      </c>
      <c r="E19" s="8">
        <v>0</v>
      </c>
      <c r="F19" s="8">
        <f t="shared" ref="F19:F21" si="9">1/SQRT(12)</f>
        <v>0.28867513459481292</v>
      </c>
      <c r="G19" s="95">
        <f>PATRON!G$46/SQRT(12)</f>
        <v>2.8867513459481291E-2</v>
      </c>
      <c r="H19" s="7" t="e">
        <f>STDEVA(MEDIDA!#REF!)/SQRT(4)</f>
        <v>#REF!</v>
      </c>
      <c r="I19" s="8" t="e">
        <f>SQRT(SUMSQ(C19:H19))</f>
        <v>#REF!</v>
      </c>
      <c r="J19" s="15" t="e">
        <f>I19^4/(C19^4/200+D19^4/200+E19^4/200+F19^4/200+G19^4/200+H19^4/3)</f>
        <v>#REF!</v>
      </c>
      <c r="K19" s="11" t="e">
        <f>TINV(0.0455,J19)</f>
        <v>#REF!</v>
      </c>
      <c r="L19" s="7" t="e">
        <f>I19*K19</f>
        <v>#REF!</v>
      </c>
    </row>
    <row r="20" spans="2:12" x14ac:dyDescent="0.3">
      <c r="B20" s="6" t="e">
        <f>MEDIDA!#REF!</f>
        <v>#REF!</v>
      </c>
      <c r="C20" s="8">
        <f>PATRON!G$42/2</f>
        <v>5.5E-2</v>
      </c>
      <c r="D20" s="8">
        <f>PATRON!G$44/SQRT(3)</f>
        <v>0.11547005383792516</v>
      </c>
      <c r="E20" s="8">
        <v>0</v>
      </c>
      <c r="F20" s="8">
        <f t="shared" si="9"/>
        <v>0.28867513459481292</v>
      </c>
      <c r="G20" s="95">
        <f>PATRON!G$46/SQRT(12)</f>
        <v>2.8867513459481291E-2</v>
      </c>
      <c r="H20" s="7" t="e">
        <f>STDEVA(MEDIDA!#REF!)/SQRT(4)</f>
        <v>#REF!</v>
      </c>
      <c r="I20" s="8" t="e">
        <f>SQRT(SUMSQ(C20:H20))</f>
        <v>#REF!</v>
      </c>
      <c r="J20" s="15" t="e">
        <f>I20^4/(C20^4/200+D20^4/200+E20^4/200+F20^4/200+G20^4/200+H20^4/3)</f>
        <v>#REF!</v>
      </c>
      <c r="K20" s="11" t="e">
        <f t="shared" ref="K20:K21" si="10">TINV(0.0455,J20)</f>
        <v>#REF!</v>
      </c>
      <c r="L20" s="7" t="e">
        <f t="shared" ref="L20:L21" si="11">I20*K20</f>
        <v>#REF!</v>
      </c>
    </row>
    <row r="21" spans="2:12" x14ac:dyDescent="0.3">
      <c r="B21" s="6" t="e">
        <f>MEDIDA!#REF!</f>
        <v>#REF!</v>
      </c>
      <c r="C21" s="8">
        <f>PATRON!G$42/2</f>
        <v>5.5E-2</v>
      </c>
      <c r="D21" s="8">
        <f>PATRON!G$44/SQRT(3)</f>
        <v>0.11547005383792516</v>
      </c>
      <c r="E21" s="8">
        <v>0</v>
      </c>
      <c r="F21" s="8">
        <f t="shared" si="9"/>
        <v>0.28867513459481292</v>
      </c>
      <c r="G21" s="95">
        <f>PATRON!G$46/SQRT(12)</f>
        <v>2.8867513459481291E-2</v>
      </c>
      <c r="H21" s="7" t="e">
        <f>STDEVA(MEDIDA!#REF!)/SQRT(4)</f>
        <v>#REF!</v>
      </c>
      <c r="I21" s="8" t="e">
        <f>SQRT(SUMSQ(C21:H21))</f>
        <v>#REF!</v>
      </c>
      <c r="J21" s="15" t="e">
        <f>I21^4/(C21^4/200+D21^4/200+E21^4/200+F21^4/200+G21^4/200+H21^4/3)</f>
        <v>#REF!</v>
      </c>
      <c r="K21" s="11" t="e">
        <f t="shared" si="10"/>
        <v>#REF!</v>
      </c>
      <c r="L21" s="7" t="e">
        <f t="shared" si="11"/>
        <v>#REF!</v>
      </c>
    </row>
    <row r="23" spans="2:12" x14ac:dyDescent="0.3">
      <c r="B23" s="182" t="s">
        <v>146</v>
      </c>
      <c r="C23" s="183"/>
      <c r="D23" s="183"/>
      <c r="E23" s="183"/>
      <c r="F23" s="183"/>
      <c r="G23" s="183"/>
      <c r="H23" s="183"/>
      <c r="I23" s="183"/>
      <c r="J23" s="183"/>
      <c r="K23" s="183"/>
      <c r="L23" s="184"/>
    </row>
    <row r="24" spans="2:12" ht="22.8" x14ac:dyDescent="0.3">
      <c r="B24" s="19" t="s">
        <v>59</v>
      </c>
      <c r="C24" s="19" t="s">
        <v>23</v>
      </c>
      <c r="D24" s="19" t="s">
        <v>22</v>
      </c>
      <c r="E24" s="19" t="s">
        <v>19</v>
      </c>
      <c r="F24" s="19" t="s">
        <v>24</v>
      </c>
      <c r="G24" s="19" t="s">
        <v>60</v>
      </c>
      <c r="H24" s="19" t="s">
        <v>20</v>
      </c>
      <c r="I24" s="19" t="s">
        <v>21</v>
      </c>
      <c r="J24" s="19" t="s">
        <v>2</v>
      </c>
      <c r="K24" s="19" t="s">
        <v>1</v>
      </c>
      <c r="L24" s="19" t="s">
        <v>0</v>
      </c>
    </row>
    <row r="25" spans="2:12" x14ac:dyDescent="0.3">
      <c r="B25" s="6">
        <f>MEDIDA!D6</f>
        <v>5</v>
      </c>
      <c r="C25" s="8">
        <f>PATRON!G$42/2</f>
        <v>5.5E-2</v>
      </c>
      <c r="D25" s="8">
        <f>PATRON!G$44/SQRT(3)</f>
        <v>0.11547005383792516</v>
      </c>
      <c r="E25" s="8">
        <v>0</v>
      </c>
      <c r="F25" s="8">
        <f>1/SQRT(12)</f>
        <v>0.28867513459481292</v>
      </c>
      <c r="G25" s="95">
        <f>PATRON!G$46/SQRT(12)</f>
        <v>2.8867513459481291E-2</v>
      </c>
      <c r="H25" s="7">
        <f ca="1">STDEVA(MEDIDA!F6:M6)/SQRT(4)</f>
        <v>1.7137270927950997E-2</v>
      </c>
      <c r="I25" s="8">
        <f ca="1">SQRT(SUMSQ(C25:H25))</f>
        <v>0.31751958373438643</v>
      </c>
      <c r="J25" s="15">
        <f ca="1">I25^4/(C25^4/200+D25^4/200+E25^4/200+F25^4/200+G25^4/200+H25^4/3)</f>
        <v>284.80435685583876</v>
      </c>
      <c r="K25" s="11">
        <f ca="1">TINV(0.0455,J25)</f>
        <v>2.0088433839668212</v>
      </c>
      <c r="L25" s="7">
        <v>0.1</v>
      </c>
    </row>
    <row r="26" spans="2:12" x14ac:dyDescent="0.3">
      <c r="B26" s="6">
        <f>MEDIDA!D7</f>
        <v>10</v>
      </c>
      <c r="C26" s="8">
        <f>PATRON!G$42/2</f>
        <v>5.5E-2</v>
      </c>
      <c r="D26" s="8">
        <f>PATRON!G$44/SQRT(3)</f>
        <v>0.11547005383792516</v>
      </c>
      <c r="E26" s="8">
        <v>0</v>
      </c>
      <c r="F26" s="8">
        <f t="shared" ref="F26:F28" si="12">1/SQRT(12)</f>
        <v>0.28867513459481292</v>
      </c>
      <c r="G26" s="95">
        <f>PATRON!G$46/SQRT(12)</f>
        <v>2.8867513459481291E-2</v>
      </c>
      <c r="H26" s="7">
        <f ca="1">STDEVA(MEDIDA!F7:M7)/SQRT(4)</f>
        <v>1.6545169449741472E-2</v>
      </c>
      <c r="I26" s="8">
        <f ca="1">SQRT(SUMSQ(C26:H26))</f>
        <v>0.31748817715329286</v>
      </c>
      <c r="J26" s="15">
        <f ca="1">I26^4/(C26^4/200+D26^4/200+E26^4/200+F26^4/200+G26^4/200+H26^4/3)</f>
        <v>284.72178465610733</v>
      </c>
      <c r="K26" s="11">
        <f ca="1">TINV(0.0455,J26)</f>
        <v>2.0088433839668212</v>
      </c>
      <c r="L26" s="7">
        <v>0.1</v>
      </c>
    </row>
    <row r="27" spans="2:12" x14ac:dyDescent="0.3">
      <c r="B27" s="6">
        <f>MEDIDA!D8</f>
        <v>20</v>
      </c>
      <c r="C27" s="8">
        <f>PATRON!G$42/2</f>
        <v>5.5E-2</v>
      </c>
      <c r="D27" s="8">
        <f>PATRON!G$44/SQRT(3)</f>
        <v>0.11547005383792516</v>
      </c>
      <c r="E27" s="8">
        <v>0</v>
      </c>
      <c r="F27" s="8">
        <f t="shared" si="12"/>
        <v>0.28867513459481292</v>
      </c>
      <c r="G27" s="95">
        <f>PATRON!G$46/SQRT(12)</f>
        <v>2.8867513459481291E-2</v>
      </c>
      <c r="H27" s="7">
        <f ca="1">STDEVA(MEDIDA!F8:M8)/SQRT(4)</f>
        <v>1.0070062554596769E-2</v>
      </c>
      <c r="I27" s="8">
        <f ca="1">SQRT(SUMSQ(C27:H27))</f>
        <v>0.31721665492192164</v>
      </c>
      <c r="J27" s="15">
        <f ca="1">I27^4/(C27^4/200+D27^4/200+E27^4/200+F27^4/200+G27^4/200+H27^4/3)</f>
        <v>283.92049592279972</v>
      </c>
      <c r="K27" s="11">
        <f t="shared" ref="K27:K28" ca="1" si="13">TINV(0.0455,J27)</f>
        <v>2.008874759571639</v>
      </c>
      <c r="L27" s="7">
        <v>0.1</v>
      </c>
    </row>
    <row r="28" spans="2:12" x14ac:dyDescent="0.3">
      <c r="B28" s="6">
        <f>MEDIDA!D9</f>
        <v>40</v>
      </c>
      <c r="C28" s="8">
        <f>PATRON!G$42/2</f>
        <v>5.5E-2</v>
      </c>
      <c r="D28" s="8">
        <f>PATRON!G$44/SQRT(3)</f>
        <v>0.11547005383792516</v>
      </c>
      <c r="E28" s="8">
        <v>0</v>
      </c>
      <c r="F28" s="8">
        <f t="shared" si="12"/>
        <v>0.28867513459481292</v>
      </c>
      <c r="G28" s="95">
        <f>PATRON!G$46/SQRT(12)</f>
        <v>2.8867513459481291E-2</v>
      </c>
      <c r="H28" s="7">
        <f ca="1">STDEVA(MEDIDA!F9:M9)/SQRT(4)</f>
        <v>2.4124221515584915E-3</v>
      </c>
      <c r="I28" s="8">
        <f ca="1">SQRT(SUMSQ(C28:H28))</f>
        <v>0.31706595493782891</v>
      </c>
      <c r="J28" s="15">
        <f ca="1">I28^4/(C28^4/200+D28^4/200+E28^4/200+F28^4/200+G28^4/200+H28^4/3)</f>
        <v>283.40850170912347</v>
      </c>
      <c r="K28" s="11">
        <f t="shared" ca="1" si="13"/>
        <v>2.008874759571639</v>
      </c>
      <c r="L28" s="7">
        <v>0.1</v>
      </c>
    </row>
    <row r="30" spans="2:12" x14ac:dyDescent="0.3">
      <c r="B30" s="182" t="s">
        <v>147</v>
      </c>
      <c r="C30" s="183"/>
      <c r="D30" s="183"/>
      <c r="E30" s="183"/>
      <c r="F30" s="183"/>
      <c r="G30" s="183"/>
      <c r="H30" s="183"/>
      <c r="I30" s="183"/>
      <c r="J30" s="183"/>
      <c r="K30" s="183"/>
      <c r="L30" s="184"/>
    </row>
    <row r="31" spans="2:12" ht="22.8" x14ac:dyDescent="0.3">
      <c r="B31" s="19" t="s">
        <v>59</v>
      </c>
      <c r="C31" s="19" t="s">
        <v>23</v>
      </c>
      <c r="D31" s="19" t="s">
        <v>22</v>
      </c>
      <c r="E31" s="19" t="s">
        <v>19</v>
      </c>
      <c r="F31" s="19" t="s">
        <v>24</v>
      </c>
      <c r="G31" s="19" t="s">
        <v>60</v>
      </c>
      <c r="H31" s="19" t="s">
        <v>20</v>
      </c>
      <c r="I31" s="19" t="s">
        <v>21</v>
      </c>
      <c r="J31" s="19" t="s">
        <v>2</v>
      </c>
      <c r="K31" s="19" t="s">
        <v>1</v>
      </c>
      <c r="L31" s="19" t="s">
        <v>0</v>
      </c>
    </row>
    <row r="32" spans="2:12" x14ac:dyDescent="0.3">
      <c r="B32" s="6" t="e">
        <f>MEDIDA!#REF!</f>
        <v>#REF!</v>
      </c>
      <c r="C32" s="8">
        <v>0</v>
      </c>
      <c r="D32" s="8">
        <v>0</v>
      </c>
      <c r="E32" s="8">
        <v>0</v>
      </c>
      <c r="F32" s="8">
        <f>1/SQRT(12)</f>
        <v>0.28867513459481292</v>
      </c>
      <c r="G32" s="8">
        <f>1/SQRT(12)</f>
        <v>0.28867513459481292</v>
      </c>
      <c r="H32" s="7" t="e">
        <f>STDEVA(MEDIDA!#REF!)/SQRT(4)</f>
        <v>#REF!</v>
      </c>
      <c r="I32" s="8" t="e">
        <f>SQRT(SUMSQ(C32:H32))</f>
        <v>#REF!</v>
      </c>
      <c r="J32" s="15" t="e">
        <f>I32^4/(C32^4/200+D32^4/200+E32^4/200+F32^4/200+G32^4/200+H32^4/3)</f>
        <v>#REF!</v>
      </c>
      <c r="K32" s="11" t="e">
        <f>TINV(0.0455,J32)</f>
        <v>#REF!</v>
      </c>
      <c r="L32" s="7" t="e">
        <f>I32*K32</f>
        <v>#REF!</v>
      </c>
    </row>
    <row r="33" spans="2:12" x14ac:dyDescent="0.3">
      <c r="B33" s="6" t="e">
        <f>MEDIDA!#REF!</f>
        <v>#REF!</v>
      </c>
      <c r="C33" s="8">
        <v>0</v>
      </c>
      <c r="D33" s="8">
        <v>0</v>
      </c>
      <c r="E33" s="8">
        <v>0</v>
      </c>
      <c r="F33" s="8">
        <f t="shared" ref="F33:G35" si="14">1/SQRT(12)</f>
        <v>0.28867513459481292</v>
      </c>
      <c r="G33" s="8">
        <f t="shared" si="14"/>
        <v>0.28867513459481292</v>
      </c>
      <c r="H33" s="7" t="e">
        <f>STDEVA(MEDIDA!#REF!)/SQRT(4)</f>
        <v>#REF!</v>
      </c>
      <c r="I33" s="8" t="e">
        <f>SQRT(SUMSQ(C33:H33))</f>
        <v>#REF!</v>
      </c>
      <c r="J33" s="15" t="e">
        <f>I33^4/(C33^4/200+D33^4/200+E33^4/200+F33^4/200+G33^4/200+H33^4/3)</f>
        <v>#REF!</v>
      </c>
      <c r="K33" s="11" t="e">
        <f>TINV(0.0455,J33)</f>
        <v>#REF!</v>
      </c>
      <c r="L33" s="7" t="e">
        <f>I33*K33</f>
        <v>#REF!</v>
      </c>
    </row>
    <row r="34" spans="2:12" x14ac:dyDescent="0.3">
      <c r="B34" s="6" t="e">
        <f>MEDIDA!#REF!</f>
        <v>#REF!</v>
      </c>
      <c r="C34" s="8">
        <v>0</v>
      </c>
      <c r="D34" s="8">
        <v>0</v>
      </c>
      <c r="E34" s="8">
        <v>0</v>
      </c>
      <c r="F34" s="8">
        <f t="shared" si="14"/>
        <v>0.28867513459481292</v>
      </c>
      <c r="G34" s="8">
        <f t="shared" si="14"/>
        <v>0.28867513459481292</v>
      </c>
      <c r="H34" s="7" t="e">
        <f>STDEVA(MEDIDA!#REF!)/SQRT(4)</f>
        <v>#REF!</v>
      </c>
      <c r="I34" s="8" t="e">
        <f>SQRT(SUMSQ(C34:H34))</f>
        <v>#REF!</v>
      </c>
      <c r="J34" s="15" t="e">
        <f>I34^4/(C34^4/200+D34^4/200+E34^4/200+F34^4/200+G34^4/200+H34^4/3)</f>
        <v>#REF!</v>
      </c>
      <c r="K34" s="11" t="e">
        <f t="shared" ref="K34:K35" si="15">TINV(0.0455,J34)</f>
        <v>#REF!</v>
      </c>
      <c r="L34" s="7" t="e">
        <f t="shared" ref="L34:L35" si="16">I34*K34</f>
        <v>#REF!</v>
      </c>
    </row>
    <row r="35" spans="2:12" x14ac:dyDescent="0.3">
      <c r="B35" s="6" t="e">
        <f>MEDIDA!#REF!</f>
        <v>#REF!</v>
      </c>
      <c r="C35" s="8">
        <v>0</v>
      </c>
      <c r="D35" s="8">
        <v>0</v>
      </c>
      <c r="E35" s="8">
        <v>0</v>
      </c>
      <c r="F35" s="8">
        <f t="shared" si="14"/>
        <v>0.28867513459481292</v>
      </c>
      <c r="G35" s="8">
        <f t="shared" si="14"/>
        <v>0.28867513459481292</v>
      </c>
      <c r="H35" s="7" t="e">
        <f>STDEVA(MEDIDA!#REF!)/SQRT(4)</f>
        <v>#REF!</v>
      </c>
      <c r="I35" s="8" t="e">
        <f>SQRT(SUMSQ(C35:H35))</f>
        <v>#REF!</v>
      </c>
      <c r="J35" s="15" t="e">
        <f>I35^4/(C35^4/200+D35^4/200+E35^4/200+F35^4/200+G35^4/200+H35^4/3)</f>
        <v>#REF!</v>
      </c>
      <c r="K35" s="11" t="e">
        <f t="shared" si="15"/>
        <v>#REF!</v>
      </c>
      <c r="L35" s="7" t="e">
        <f t="shared" si="16"/>
        <v>#REF!</v>
      </c>
    </row>
    <row r="37" spans="2:12" x14ac:dyDescent="0.3">
      <c r="B37" s="182" t="s">
        <v>148</v>
      </c>
      <c r="C37" s="183"/>
      <c r="D37" s="183"/>
      <c r="E37" s="183"/>
      <c r="F37" s="183"/>
      <c r="G37" s="183"/>
      <c r="H37" s="183"/>
      <c r="I37" s="183"/>
      <c r="J37" s="183"/>
      <c r="K37" s="183"/>
      <c r="L37" s="184"/>
    </row>
    <row r="38" spans="2:12" ht="22.8" x14ac:dyDescent="0.3">
      <c r="B38" s="19" t="s">
        <v>59</v>
      </c>
      <c r="C38" s="19" t="s">
        <v>23</v>
      </c>
      <c r="D38" s="19" t="s">
        <v>22</v>
      </c>
      <c r="E38" s="19" t="s">
        <v>19</v>
      </c>
      <c r="F38" s="19" t="s">
        <v>24</v>
      </c>
      <c r="G38" s="19" t="s">
        <v>60</v>
      </c>
      <c r="H38" s="19" t="s">
        <v>20</v>
      </c>
      <c r="I38" s="19" t="s">
        <v>21</v>
      </c>
      <c r="J38" s="19" t="s">
        <v>2</v>
      </c>
      <c r="K38" s="19" t="s">
        <v>1</v>
      </c>
      <c r="L38" s="19" t="s">
        <v>0</v>
      </c>
    </row>
    <row r="39" spans="2:12" x14ac:dyDescent="0.3">
      <c r="B39" s="6" t="e">
        <f>MEDIDA!#REF!</f>
        <v>#REF!</v>
      </c>
      <c r="C39" s="7">
        <v>0</v>
      </c>
      <c r="D39" s="8">
        <v>0</v>
      </c>
      <c r="E39" s="8">
        <v>0</v>
      </c>
      <c r="F39" s="8">
        <f>1/SQRT(12)</f>
        <v>0.28867513459481292</v>
      </c>
      <c r="G39" s="95">
        <f>0.01/SQRT(12)</f>
        <v>2.886751345948129E-3</v>
      </c>
      <c r="H39" s="7">
        <v>0</v>
      </c>
      <c r="I39" s="8">
        <f>SQRT(SUMSQ(C39:H39))</f>
        <v>0.28868956799071677</v>
      </c>
      <c r="J39" s="15">
        <f>I39^4/(C39^4/200+D39^4/200+E39^4/200+F39^4/200+G39^4/200+H39^4/3)</f>
        <v>200.03999999959993</v>
      </c>
      <c r="K39" s="11">
        <f>TINV(0.0455,J39)</f>
        <v>2.0125794050712815</v>
      </c>
      <c r="L39" s="7">
        <f>I39*K39</f>
        <v>0.58101067899704206</v>
      </c>
    </row>
    <row r="40" spans="2:12" x14ac:dyDescent="0.3">
      <c r="B40" s="6" t="e">
        <f>MEDIDA!#REF!</f>
        <v>#REF!</v>
      </c>
      <c r="C40" s="7">
        <v>0</v>
      </c>
      <c r="D40" s="8">
        <v>0</v>
      </c>
      <c r="E40" s="8">
        <v>0</v>
      </c>
      <c r="F40" s="8">
        <f t="shared" ref="F40:F41" si="17">1/SQRT(12)</f>
        <v>0.28867513459481292</v>
      </c>
      <c r="G40" s="95">
        <f t="shared" ref="G40:G41" si="18">0.01/SQRT(12)</f>
        <v>2.886751345948129E-3</v>
      </c>
      <c r="H40" s="7">
        <v>0</v>
      </c>
      <c r="I40" s="8">
        <f t="shared" ref="I40:I41" si="19">SQRT(SUMSQ(C40:H40))</f>
        <v>0.28868956799071677</v>
      </c>
      <c r="J40" s="15">
        <f t="shared" ref="J40:J41" si="20">I40^4/(C40^4/200+D40^4/200+E40^4/200+F40^4/200+G40^4/200+H40^4/3)</f>
        <v>200.03999999959993</v>
      </c>
      <c r="K40" s="11">
        <f t="shared" ref="K40:K41" si="21">TINV(0.0455,J40)</f>
        <v>2.0125794050712815</v>
      </c>
      <c r="L40" s="7">
        <f t="shared" ref="L40:L41" si="22">I40*K40</f>
        <v>0.58101067899704206</v>
      </c>
    </row>
    <row r="41" spans="2:12" x14ac:dyDescent="0.3">
      <c r="B41" s="6" t="e">
        <f>MEDIDA!#REF!</f>
        <v>#REF!</v>
      </c>
      <c r="C41" s="7">
        <v>0</v>
      </c>
      <c r="D41" s="8">
        <v>0</v>
      </c>
      <c r="E41" s="8">
        <v>0</v>
      </c>
      <c r="F41" s="8">
        <f t="shared" si="17"/>
        <v>0.28867513459481292</v>
      </c>
      <c r="G41" s="95">
        <f t="shared" si="18"/>
        <v>2.886751345948129E-3</v>
      </c>
      <c r="H41" s="7">
        <v>0</v>
      </c>
      <c r="I41" s="8">
        <f t="shared" si="19"/>
        <v>0.28868956799071677</v>
      </c>
      <c r="J41" s="15">
        <f t="shared" si="20"/>
        <v>200.03999999959993</v>
      </c>
      <c r="K41" s="11">
        <f t="shared" si="21"/>
        <v>2.0125794050712815</v>
      </c>
      <c r="L41" s="7">
        <f t="shared" si="22"/>
        <v>0.58101067899704206</v>
      </c>
    </row>
  </sheetData>
  <mergeCells count="6">
    <mergeCell ref="B37:L37"/>
    <mergeCell ref="B2:L2"/>
    <mergeCell ref="B9:L9"/>
    <mergeCell ref="B16:L16"/>
    <mergeCell ref="B23:L23"/>
    <mergeCell ref="B30:L30"/>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29"/>
  <sheetViews>
    <sheetView tabSelected="1" view="pageLayout" topLeftCell="A64" zoomScaleNormal="100" workbookViewId="0">
      <selection activeCell="J92" sqref="J92"/>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4"/>
      <c r="E1" s="54"/>
      <c r="F1" s="55"/>
      <c r="G1" s="56"/>
      <c r="H1" s="57"/>
      <c r="I1" s="129"/>
      <c r="J1" s="129"/>
      <c r="K1" s="129"/>
      <c r="M1" s="63"/>
      <c r="O1" s="126" t="s">
        <v>79</v>
      </c>
      <c r="P1" s="126"/>
      <c r="Q1" s="126"/>
      <c r="R1" s="127">
        <f>INFORMACIÓN!G3</f>
        <v>0</v>
      </c>
      <c r="S1" s="127"/>
    </row>
    <row r="2" spans="1:27" ht="16.95" customHeight="1" x14ac:dyDescent="0.3">
      <c r="G2" s="131"/>
      <c r="H2" s="131"/>
      <c r="I2" s="131"/>
      <c r="J2" s="130"/>
      <c r="K2" s="130"/>
    </row>
    <row r="3" spans="1:27" ht="16.95" customHeight="1" x14ac:dyDescent="0.3">
      <c r="B3" s="82"/>
      <c r="C3" s="134" t="s">
        <v>70</v>
      </c>
      <c r="D3" s="134"/>
      <c r="E3" s="134"/>
      <c r="F3" s="134"/>
      <c r="G3" s="134"/>
      <c r="H3" s="134"/>
      <c r="I3" s="134"/>
      <c r="J3" s="134"/>
      <c r="K3" s="134"/>
      <c r="L3" s="134"/>
      <c r="M3" s="134"/>
      <c r="N3" s="134"/>
      <c r="O3" s="134"/>
      <c r="P3" s="134"/>
      <c r="Q3" s="134"/>
      <c r="R3" s="134"/>
    </row>
    <row r="4" spans="1:27" ht="16.95" customHeight="1" x14ac:dyDescent="0.3">
      <c r="A4" s="79"/>
      <c r="B4" s="79"/>
      <c r="C4" s="79"/>
      <c r="D4" s="79"/>
      <c r="E4" s="79"/>
      <c r="F4" s="79"/>
      <c r="G4" s="79"/>
      <c r="H4" s="79"/>
      <c r="I4" s="79"/>
      <c r="J4" s="79"/>
      <c r="K4" s="79"/>
      <c r="L4" s="79"/>
      <c r="M4" s="79"/>
      <c r="N4" s="79"/>
      <c r="O4" s="79"/>
      <c r="P4" s="79"/>
      <c r="Q4" s="79"/>
      <c r="R4" s="79"/>
    </row>
    <row r="5" spans="1:27" s="53" customFormat="1" ht="16.95" customHeight="1" x14ac:dyDescent="0.3">
      <c r="B5" s="77"/>
      <c r="C5" s="126" t="s">
        <v>61</v>
      </c>
      <c r="D5" s="126"/>
      <c r="E5" s="126"/>
      <c r="F5" s="126"/>
      <c r="G5" s="126"/>
      <c r="H5" s="51"/>
      <c r="I5" s="128">
        <f>INFORMACIÓN!A3</f>
        <v>0</v>
      </c>
      <c r="J5" s="128"/>
      <c r="K5" s="128"/>
      <c r="L5" s="128"/>
      <c r="M5" s="128"/>
      <c r="N5" s="128"/>
      <c r="O5" s="128"/>
      <c r="P5" s="128"/>
      <c r="Q5" s="128"/>
      <c r="R5" s="128"/>
      <c r="S5"/>
      <c r="T5"/>
      <c r="U5"/>
      <c r="V5"/>
      <c r="W5"/>
      <c r="X5"/>
      <c r="Y5"/>
      <c r="Z5"/>
      <c r="AA5"/>
    </row>
    <row r="6" spans="1:27" s="53" customFormat="1" ht="16.95" customHeight="1" x14ac:dyDescent="0.3">
      <c r="B6" s="77"/>
      <c r="C6" s="126" t="s">
        <v>62</v>
      </c>
      <c r="D6" s="126"/>
      <c r="E6" s="126"/>
      <c r="F6" s="126"/>
      <c r="G6" s="126"/>
      <c r="H6" s="51"/>
      <c r="I6" s="128">
        <f>INFORMACIÓN!B3</f>
        <v>0</v>
      </c>
      <c r="J6" s="128"/>
      <c r="K6" s="128"/>
      <c r="L6" s="128"/>
      <c r="M6" s="128"/>
      <c r="N6" s="128"/>
      <c r="O6" s="128"/>
      <c r="P6" s="128"/>
      <c r="Q6" s="128"/>
      <c r="R6" s="128"/>
      <c r="S6"/>
      <c r="T6"/>
      <c r="U6"/>
      <c r="V6"/>
      <c r="W6"/>
      <c r="X6"/>
      <c r="Y6"/>
      <c r="Z6"/>
      <c r="AA6"/>
    </row>
    <row r="7" spans="1:27" s="53" customFormat="1" ht="16.95" customHeight="1" x14ac:dyDescent="0.3">
      <c r="B7" s="77"/>
      <c r="C7" s="126" t="s">
        <v>63</v>
      </c>
      <c r="D7" s="126"/>
      <c r="E7" s="126"/>
      <c r="F7" s="126"/>
      <c r="G7" s="126"/>
      <c r="H7" s="51"/>
      <c r="I7" s="128">
        <f>INFORMACIÓN!C3</f>
        <v>0</v>
      </c>
      <c r="J7" s="128"/>
      <c r="K7" s="128"/>
      <c r="L7" s="128"/>
      <c r="M7" s="128"/>
      <c r="N7" s="128"/>
      <c r="O7" s="128"/>
      <c r="P7" s="128"/>
      <c r="Q7" s="128"/>
      <c r="R7" s="128"/>
      <c r="S7"/>
      <c r="T7"/>
      <c r="U7"/>
      <c r="V7"/>
      <c r="W7"/>
      <c r="X7"/>
      <c r="Y7"/>
      <c r="Z7"/>
      <c r="AA7"/>
    </row>
    <row r="8" spans="1:27" s="53" customFormat="1" ht="16.95" customHeight="1" x14ac:dyDescent="0.3">
      <c r="B8" s="77"/>
      <c r="C8" s="126" t="s">
        <v>64</v>
      </c>
      <c r="D8" s="126"/>
      <c r="E8" s="126"/>
      <c r="F8" s="126"/>
      <c r="G8" s="126"/>
      <c r="H8" s="51"/>
      <c r="I8" s="132">
        <f>INFORMACIÓN!D3</f>
        <v>0</v>
      </c>
      <c r="J8" s="128"/>
      <c r="K8" s="128"/>
      <c r="L8" s="128"/>
      <c r="M8" s="128"/>
      <c r="N8" s="128"/>
      <c r="O8" s="128"/>
      <c r="P8" s="128"/>
      <c r="Q8" s="128"/>
      <c r="R8" s="128"/>
      <c r="S8"/>
      <c r="T8"/>
      <c r="U8"/>
      <c r="V8"/>
      <c r="W8"/>
      <c r="X8"/>
      <c r="Y8"/>
      <c r="Z8"/>
      <c r="AA8"/>
    </row>
    <row r="9" spans="1:27" s="53" customFormat="1" ht="16.95" customHeight="1" x14ac:dyDescent="0.3">
      <c r="B9" s="77"/>
      <c r="C9" s="126" t="s">
        <v>65</v>
      </c>
      <c r="D9" s="126"/>
      <c r="E9" s="126"/>
      <c r="F9" s="126"/>
      <c r="G9" s="126"/>
      <c r="H9" s="51"/>
      <c r="I9" s="132">
        <f>INFORMACIÓN!F3</f>
        <v>0</v>
      </c>
      <c r="J9" s="128"/>
      <c r="K9" s="128"/>
      <c r="L9" s="128"/>
      <c r="M9" s="128"/>
      <c r="N9" s="128"/>
      <c r="O9" s="128"/>
      <c r="P9" s="128"/>
      <c r="Q9" s="128"/>
      <c r="R9" s="128"/>
      <c r="S9"/>
      <c r="T9"/>
      <c r="U9"/>
      <c r="V9"/>
      <c r="W9"/>
      <c r="X9"/>
      <c r="Y9"/>
      <c r="Z9"/>
      <c r="AA9"/>
    </row>
    <row r="10" spans="1:27" s="53" customFormat="1" ht="16.95" customHeight="1" x14ac:dyDescent="0.3">
      <c r="B10" s="77"/>
      <c r="C10" s="126" t="s">
        <v>67</v>
      </c>
      <c r="D10" s="126"/>
      <c r="E10" s="126"/>
      <c r="F10" s="126"/>
      <c r="G10" s="126"/>
      <c r="H10" s="51"/>
      <c r="I10" s="133">
        <f>INFORMACIÓN!E3</f>
        <v>0</v>
      </c>
      <c r="J10" s="128"/>
      <c r="K10" s="128"/>
      <c r="L10" s="128"/>
      <c r="M10" s="128"/>
      <c r="N10" s="128"/>
      <c r="O10" s="128"/>
      <c r="P10" s="128"/>
      <c r="Q10" s="128"/>
      <c r="R10" s="128"/>
      <c r="S10"/>
      <c r="T10"/>
      <c r="U10"/>
      <c r="V10"/>
      <c r="W10"/>
      <c r="X10"/>
      <c r="Y10"/>
      <c r="Z10"/>
      <c r="AA10"/>
    </row>
    <row r="11" spans="1:27" s="53" customFormat="1" ht="16.95" customHeight="1" x14ac:dyDescent="0.3">
      <c r="B11" s="77"/>
      <c r="C11" s="126" t="s">
        <v>66</v>
      </c>
      <c r="D11" s="126"/>
      <c r="E11" s="126"/>
      <c r="F11" s="126"/>
      <c r="G11" s="126"/>
      <c r="H11" s="51"/>
      <c r="I11" s="128" t="str">
        <f>INFORMACIÓN!B8</f>
        <v>BUEN ESTADO</v>
      </c>
      <c r="J11" s="128"/>
      <c r="K11" s="128"/>
      <c r="L11" s="128"/>
      <c r="M11" s="128"/>
      <c r="N11" s="128"/>
      <c r="O11" s="128"/>
      <c r="P11" s="128"/>
      <c r="Q11" s="128"/>
      <c r="R11" s="128"/>
      <c r="S11"/>
      <c r="T11"/>
      <c r="U11"/>
      <c r="V11"/>
      <c r="W11"/>
      <c r="X11"/>
      <c r="Y11"/>
      <c r="Z11"/>
      <c r="AA11"/>
    </row>
    <row r="12" spans="1:27" s="53" customFormat="1" ht="16.95" customHeight="1" x14ac:dyDescent="0.3">
      <c r="B12" s="77"/>
      <c r="C12" s="126" t="s">
        <v>76</v>
      </c>
      <c r="D12" s="126"/>
      <c r="E12" s="126"/>
      <c r="F12" s="126"/>
      <c r="G12" s="126"/>
      <c r="H12" s="78"/>
      <c r="I12" s="117">
        <f>INFORMACIÓN!H3</f>
        <v>0</v>
      </c>
      <c r="J12" s="117"/>
      <c r="K12" s="117"/>
      <c r="L12" s="117"/>
      <c r="M12" s="117"/>
      <c r="N12" s="117"/>
      <c r="O12" s="117"/>
      <c r="P12" s="117"/>
      <c r="Q12" s="117"/>
      <c r="R12" s="117"/>
      <c r="S12"/>
      <c r="T12"/>
      <c r="U12"/>
      <c r="V12"/>
      <c r="W12"/>
      <c r="X12"/>
      <c r="Y12"/>
      <c r="Z12"/>
      <c r="AA12"/>
    </row>
    <row r="13" spans="1:27" s="53" customFormat="1" ht="16.95" customHeight="1" x14ac:dyDescent="0.3">
      <c r="B13" s="77"/>
      <c r="C13" s="126" t="s">
        <v>75</v>
      </c>
      <c r="D13" s="126"/>
      <c r="E13" s="126"/>
      <c r="F13" s="126"/>
      <c r="G13" s="126"/>
      <c r="H13" s="78"/>
      <c r="I13" s="117">
        <f>INFORMACIÓN!B9</f>
        <v>0</v>
      </c>
      <c r="J13" s="117"/>
      <c r="K13" s="117"/>
      <c r="L13" s="117"/>
      <c r="M13" s="117"/>
      <c r="N13" s="117"/>
      <c r="O13" s="117"/>
      <c r="P13" s="117"/>
      <c r="Q13" s="117"/>
      <c r="R13" s="117"/>
      <c r="S13"/>
      <c r="T13"/>
      <c r="U13"/>
      <c r="V13"/>
      <c r="W13"/>
      <c r="X13"/>
      <c r="Y13"/>
      <c r="Z13"/>
      <c r="AA13"/>
    </row>
    <row r="14" spans="1:27" ht="16.95" customHeight="1" x14ac:dyDescent="0.3"/>
    <row r="15" spans="1:27" ht="16.95" customHeight="1" x14ac:dyDescent="0.3">
      <c r="B15" s="63"/>
      <c r="C15" s="115" t="s">
        <v>69</v>
      </c>
      <c r="D15" s="115"/>
      <c r="E15" s="115"/>
      <c r="F15" s="115"/>
      <c r="G15" s="115"/>
      <c r="H15" s="115"/>
      <c r="I15" s="115"/>
      <c r="J15" s="115"/>
      <c r="K15" s="115"/>
      <c r="L15" s="115"/>
      <c r="M15" s="115"/>
      <c r="N15" s="115"/>
      <c r="O15" s="115"/>
      <c r="P15" s="115"/>
      <c r="Q15" s="115"/>
      <c r="R15" s="115"/>
    </row>
    <row r="16" spans="1:27" ht="16.95" customHeight="1" x14ac:dyDescent="0.3"/>
    <row r="17" spans="1:18" ht="16.95" customHeight="1" x14ac:dyDescent="0.3">
      <c r="B17" s="50"/>
      <c r="C17" s="116" t="s">
        <v>71</v>
      </c>
      <c r="D17" s="116"/>
      <c r="E17" s="116"/>
      <c r="F17" s="116"/>
      <c r="G17" s="116"/>
      <c r="H17" s="49"/>
      <c r="I17" s="118" t="str">
        <f>INFORMACIÓN!E7</f>
        <v xml:space="preserve">HOSPITAL DE ALTA COMPLEJIDAD DEL MAGDALENA CENTRO </v>
      </c>
      <c r="J17" s="118"/>
      <c r="K17" s="118"/>
      <c r="L17" s="118"/>
      <c r="M17" s="118"/>
      <c r="N17" s="118"/>
      <c r="O17" s="118"/>
      <c r="P17" s="118"/>
      <c r="Q17" s="118"/>
      <c r="R17" s="118"/>
    </row>
    <row r="18" spans="1:18" ht="16.95" customHeight="1" x14ac:dyDescent="0.3">
      <c r="B18" s="50"/>
      <c r="C18" s="116" t="s">
        <v>72</v>
      </c>
      <c r="D18" s="116"/>
      <c r="E18" s="116"/>
      <c r="F18" s="116"/>
      <c r="G18" s="116"/>
      <c r="H18" s="49"/>
      <c r="I18" s="118" t="str">
        <f>INFORMACIÓN!E8</f>
        <v>901.532.463-8</v>
      </c>
      <c r="J18" s="118"/>
      <c r="K18" s="118"/>
      <c r="L18" s="118"/>
      <c r="M18" s="118"/>
      <c r="N18" s="118"/>
      <c r="O18" s="118"/>
      <c r="P18" s="118"/>
      <c r="Q18" s="118"/>
      <c r="R18" s="118"/>
    </row>
    <row r="19" spans="1:18" ht="16.95" customHeight="1" x14ac:dyDescent="0.3">
      <c r="B19" s="50"/>
      <c r="C19" s="116" t="s">
        <v>89</v>
      </c>
      <c r="D19" s="116"/>
      <c r="E19" s="116"/>
      <c r="F19" s="116"/>
      <c r="G19" s="116"/>
      <c r="H19" s="49"/>
      <c r="I19" s="118">
        <f>INFORMACIÓN!E9</f>
        <v>3007835072</v>
      </c>
      <c r="J19" s="118"/>
      <c r="K19" s="118"/>
      <c r="L19" s="118"/>
      <c r="M19" s="118"/>
      <c r="N19" s="118"/>
      <c r="O19" s="118"/>
      <c r="P19" s="118"/>
      <c r="Q19" s="118"/>
      <c r="R19" s="118"/>
    </row>
    <row r="20" spans="1:18" ht="16.95" customHeight="1" x14ac:dyDescent="0.3">
      <c r="B20" s="50"/>
      <c r="C20" s="116" t="s">
        <v>73</v>
      </c>
      <c r="D20" s="116"/>
      <c r="E20" s="116"/>
      <c r="F20" s="116"/>
      <c r="G20" s="116"/>
      <c r="H20" s="49"/>
      <c r="I20" s="118" t="str">
        <f>INFORMACIÓN!E10</f>
        <v>CARRERA 15 ENTRE CALLE 18 y 19</v>
      </c>
      <c r="J20" s="118"/>
      <c r="K20" s="118"/>
      <c r="L20" s="118"/>
      <c r="M20" s="118"/>
      <c r="N20" s="118"/>
      <c r="O20" s="118"/>
      <c r="P20" s="118"/>
      <c r="Q20" s="118"/>
      <c r="R20" s="118"/>
    </row>
    <row r="21" spans="1:18" ht="16.95" customHeight="1" x14ac:dyDescent="0.3">
      <c r="B21" s="50"/>
      <c r="C21" s="116" t="s">
        <v>74</v>
      </c>
      <c r="D21" s="116"/>
      <c r="E21" s="116"/>
      <c r="F21" s="116"/>
      <c r="G21" s="116"/>
      <c r="H21" s="49"/>
      <c r="I21" s="118" t="str">
        <f>INFORMACIÓN!E11</f>
        <v>LA DORADA - CALDAS</v>
      </c>
      <c r="J21" s="118"/>
      <c r="K21" s="118"/>
      <c r="L21" s="118"/>
      <c r="M21" s="118"/>
      <c r="N21" s="118"/>
      <c r="O21" s="118"/>
      <c r="P21" s="118"/>
      <c r="Q21" s="118"/>
      <c r="R21" s="118"/>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55" t="s">
        <v>167</v>
      </c>
      <c r="D23" s="155"/>
      <c r="E23" s="155"/>
      <c r="F23" s="155"/>
      <c r="G23" s="155"/>
      <c r="H23" s="155"/>
      <c r="I23" s="155"/>
      <c r="J23" s="155"/>
      <c r="K23" s="155"/>
      <c r="L23" s="155"/>
      <c r="M23" s="155"/>
      <c r="N23" s="155"/>
      <c r="O23" s="155"/>
      <c r="P23" s="155"/>
      <c r="Q23" s="155"/>
      <c r="R23" s="155"/>
    </row>
    <row r="24" spans="1:18" ht="16.95" customHeight="1" x14ac:dyDescent="0.3">
      <c r="A24" s="76"/>
      <c r="B24" s="76"/>
      <c r="C24" s="156"/>
      <c r="D24" s="156"/>
      <c r="E24" s="156"/>
      <c r="F24" s="156"/>
      <c r="G24" s="156"/>
      <c r="H24" s="156"/>
      <c r="I24" s="156"/>
      <c r="J24" s="156"/>
      <c r="K24" s="156"/>
      <c r="L24" s="156"/>
      <c r="M24" s="156"/>
      <c r="N24" s="156"/>
      <c r="O24" s="156"/>
      <c r="P24" s="156"/>
      <c r="Q24" s="156"/>
      <c r="R24" s="156"/>
    </row>
    <row r="25" spans="1:18" ht="16.95" customHeight="1" x14ac:dyDescent="0.3">
      <c r="A25" s="76"/>
      <c r="B25" s="76"/>
      <c r="C25" s="156"/>
      <c r="D25" s="156"/>
      <c r="E25" s="156"/>
      <c r="F25" s="156"/>
      <c r="G25" s="156"/>
      <c r="H25" s="156"/>
      <c r="I25" s="156"/>
      <c r="J25" s="156"/>
      <c r="K25" s="156"/>
      <c r="L25" s="156"/>
      <c r="M25" s="156"/>
      <c r="N25" s="156"/>
      <c r="O25" s="156"/>
      <c r="P25" s="156"/>
      <c r="Q25" s="156"/>
      <c r="R25" s="156"/>
    </row>
    <row r="26" spans="1:18" ht="16.95" customHeight="1" x14ac:dyDescent="0.3">
      <c r="A26" s="76"/>
      <c r="B26" s="76"/>
      <c r="C26" s="156"/>
      <c r="D26" s="156"/>
      <c r="E26" s="156"/>
      <c r="F26" s="156"/>
      <c r="G26" s="156"/>
      <c r="H26" s="156"/>
      <c r="I26" s="156"/>
      <c r="J26" s="156"/>
      <c r="K26" s="156"/>
      <c r="L26" s="156"/>
      <c r="M26" s="156"/>
      <c r="N26" s="156"/>
      <c r="O26" s="156"/>
      <c r="P26" s="156"/>
      <c r="Q26" s="156"/>
      <c r="R26" s="156"/>
    </row>
    <row r="27" spans="1:18" ht="16.95" customHeight="1" x14ac:dyDescent="0.3">
      <c r="A27" s="76"/>
      <c r="B27" s="76"/>
      <c r="C27" s="156"/>
      <c r="D27" s="156"/>
      <c r="E27" s="156"/>
      <c r="F27" s="156"/>
      <c r="G27" s="156"/>
      <c r="H27" s="156"/>
      <c r="I27" s="156"/>
      <c r="J27" s="156"/>
      <c r="K27" s="156"/>
      <c r="L27" s="156"/>
      <c r="M27" s="156"/>
      <c r="N27" s="156"/>
      <c r="O27" s="156"/>
      <c r="P27" s="156"/>
      <c r="Q27" s="156"/>
      <c r="R27" s="156"/>
    </row>
    <row r="28" spans="1:18" ht="16.95" customHeight="1" x14ac:dyDescent="0.3">
      <c r="A28" s="76"/>
      <c r="B28" s="76"/>
      <c r="C28" s="157"/>
      <c r="D28" s="157"/>
      <c r="E28" s="157"/>
      <c r="F28" s="157"/>
      <c r="G28" s="157"/>
      <c r="H28" s="157"/>
      <c r="I28" s="157"/>
      <c r="J28" s="157"/>
      <c r="K28" s="157"/>
      <c r="L28" s="157"/>
      <c r="M28" s="157"/>
      <c r="N28" s="157"/>
      <c r="O28" s="157"/>
      <c r="P28" s="157"/>
      <c r="Q28" s="157"/>
      <c r="R28" s="157"/>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16" t="s">
        <v>77</v>
      </c>
      <c r="J31" s="116"/>
      <c r="K31" s="116"/>
      <c r="L31" s="116"/>
      <c r="M31" s="118" t="str">
        <f>INFORMACIÓN!B15</f>
        <v>ING. GABRIEL DURÁN</v>
      </c>
      <c r="N31" s="118"/>
      <c r="O31" s="118"/>
      <c r="P31" s="118"/>
      <c r="Q31" s="118"/>
      <c r="R31" s="118"/>
    </row>
    <row r="32" spans="1:18" ht="16.95" customHeight="1" x14ac:dyDescent="0.3">
      <c r="F32" s="50"/>
      <c r="G32" s="50"/>
      <c r="H32" s="50"/>
      <c r="I32" s="116" t="s">
        <v>78</v>
      </c>
      <c r="J32" s="116"/>
      <c r="K32" s="116"/>
      <c r="L32" s="116"/>
      <c r="M32" s="148">
        <f>INFORMACIÓN!B10</f>
        <v>0</v>
      </c>
      <c r="N32" s="148"/>
      <c r="O32" s="148"/>
      <c r="P32" s="62"/>
      <c r="Q32" s="62"/>
      <c r="R32" s="50"/>
    </row>
    <row r="33" spans="1:19" ht="16.95" customHeight="1" x14ac:dyDescent="0.3">
      <c r="I33" s="116" t="s">
        <v>82</v>
      </c>
      <c r="J33" s="116"/>
      <c r="K33" s="116"/>
      <c r="L33" s="116"/>
      <c r="M33" s="61">
        <v>4</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16" t="str">
        <f>O1</f>
        <v>CERTIFICADO N°:</v>
      </c>
      <c r="P38" s="116"/>
      <c r="Q38" s="116"/>
      <c r="R38" s="152">
        <f>R1</f>
        <v>0</v>
      </c>
      <c r="S38" s="152"/>
    </row>
    <row r="39" spans="1:19" ht="16.95" customHeight="1" x14ac:dyDescent="0.3"/>
    <row r="40" spans="1:19" ht="16.95" customHeight="1" x14ac:dyDescent="0.3">
      <c r="B40" s="143" t="s">
        <v>83</v>
      </c>
      <c r="C40" s="143"/>
      <c r="D40" s="143"/>
      <c r="E40" s="143"/>
      <c r="F40" s="143"/>
      <c r="G40" s="143"/>
      <c r="H40" s="143"/>
      <c r="I40" s="143"/>
      <c r="J40" s="143"/>
      <c r="K40" s="143"/>
      <c r="L40" s="143"/>
      <c r="M40" s="143"/>
      <c r="N40" s="143"/>
      <c r="O40" s="143"/>
      <c r="P40" s="143"/>
      <c r="Q40" s="143"/>
      <c r="R40" s="143"/>
      <c r="S40" s="143"/>
    </row>
    <row r="41" spans="1:19" ht="16.95" customHeight="1" x14ac:dyDescent="0.3">
      <c r="B41" s="137" t="s">
        <v>168</v>
      </c>
      <c r="C41" s="137"/>
      <c r="D41" s="137"/>
      <c r="E41" s="137"/>
      <c r="F41" s="137"/>
      <c r="G41" s="137"/>
      <c r="H41" s="137"/>
      <c r="I41" s="137"/>
      <c r="J41" s="137"/>
      <c r="K41" s="137"/>
      <c r="L41" s="137"/>
      <c r="M41" s="137"/>
      <c r="N41" s="137"/>
      <c r="O41" s="137"/>
      <c r="P41" s="137"/>
      <c r="Q41" s="137"/>
      <c r="R41" s="137"/>
      <c r="S41" s="137"/>
    </row>
    <row r="42" spans="1:19" ht="16.95" customHeight="1" x14ac:dyDescent="0.3">
      <c r="A42" s="85"/>
      <c r="B42" s="138"/>
      <c r="C42" s="138"/>
      <c r="D42" s="138"/>
      <c r="E42" s="138"/>
      <c r="F42" s="138"/>
      <c r="G42" s="138"/>
      <c r="H42" s="138"/>
      <c r="I42" s="138"/>
      <c r="J42" s="138"/>
      <c r="K42" s="138"/>
      <c r="L42" s="138"/>
      <c r="M42" s="138"/>
      <c r="N42" s="138"/>
      <c r="O42" s="138"/>
      <c r="P42" s="138"/>
      <c r="Q42" s="138"/>
      <c r="R42" s="138"/>
      <c r="S42" s="138"/>
    </row>
    <row r="43" spans="1:19" ht="16.95" customHeight="1" x14ac:dyDescent="0.3">
      <c r="A43" s="85"/>
      <c r="B43" s="138"/>
      <c r="C43" s="138"/>
      <c r="D43" s="138"/>
      <c r="E43" s="138"/>
      <c r="F43" s="138"/>
      <c r="G43" s="138"/>
      <c r="H43" s="138"/>
      <c r="I43" s="138"/>
      <c r="J43" s="138"/>
      <c r="K43" s="138"/>
      <c r="L43" s="138"/>
      <c r="M43" s="138"/>
      <c r="N43" s="138"/>
      <c r="O43" s="138"/>
      <c r="P43" s="138"/>
      <c r="Q43" s="138"/>
      <c r="R43" s="138"/>
      <c r="S43" s="138"/>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44" t="s">
        <v>84</v>
      </c>
      <c r="G45" s="145"/>
      <c r="H45" s="145"/>
      <c r="I45" s="145"/>
      <c r="J45" s="146"/>
      <c r="K45" s="149" t="s">
        <v>85</v>
      </c>
      <c r="L45" s="150"/>
      <c r="M45" s="150"/>
      <c r="N45" s="150"/>
      <c r="O45" s="151"/>
    </row>
    <row r="46" spans="1:19" ht="16.95" customHeight="1" x14ac:dyDescent="0.3">
      <c r="E46" s="74"/>
      <c r="F46" s="121">
        <f>AVERAGE(INFORMACIÓN!B11:B12)</f>
        <v>24.3</v>
      </c>
      <c r="G46" s="122"/>
      <c r="H46" s="70" t="s">
        <v>86</v>
      </c>
      <c r="I46" s="71">
        <f>ABS(INFORMACIÓN!B11-INFORMACIÓN!B12)</f>
        <v>0.39999999999999858</v>
      </c>
      <c r="J46" s="75"/>
      <c r="K46" s="123">
        <f>AVERAGE(INFORMACIÓN!B13:B14)</f>
        <v>61.5</v>
      </c>
      <c r="L46" s="124"/>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47" t="s">
        <v>169</v>
      </c>
      <c r="G48" s="147"/>
      <c r="H48" s="147"/>
      <c r="I48" s="147"/>
      <c r="J48" s="147"/>
      <c r="K48" s="125" t="s">
        <v>170</v>
      </c>
      <c r="L48" s="125"/>
      <c r="M48" s="125"/>
      <c r="N48" s="125"/>
      <c r="O48" s="125"/>
      <c r="P48" s="125"/>
    </row>
    <row r="49" spans="1:19" ht="13.2" customHeight="1" x14ac:dyDescent="0.3"/>
    <row r="50" spans="1:19" ht="16.95" customHeight="1" x14ac:dyDescent="0.3">
      <c r="B50" s="142" t="s">
        <v>87</v>
      </c>
      <c r="C50" s="142"/>
      <c r="D50" s="142"/>
      <c r="E50" s="142"/>
      <c r="F50" s="142"/>
      <c r="G50" s="142"/>
      <c r="H50" s="142"/>
      <c r="I50" s="142"/>
      <c r="J50" s="142"/>
      <c r="K50" s="142"/>
      <c r="L50" s="142"/>
      <c r="M50" s="142"/>
      <c r="N50" s="142"/>
      <c r="O50" s="142"/>
      <c r="P50" s="142"/>
      <c r="Q50" s="142"/>
      <c r="R50" s="142"/>
      <c r="S50" s="142"/>
    </row>
    <row r="51" spans="1:19" ht="16.95" customHeight="1" x14ac:dyDescent="0.3">
      <c r="B51" s="137" t="s">
        <v>171</v>
      </c>
      <c r="C51" s="137"/>
      <c r="D51" s="137"/>
      <c r="E51" s="137"/>
      <c r="F51" s="137"/>
      <c r="G51" s="137"/>
      <c r="H51" s="137"/>
      <c r="I51" s="137"/>
      <c r="J51" s="137"/>
      <c r="K51" s="137"/>
      <c r="L51" s="137"/>
      <c r="M51" s="137"/>
      <c r="N51" s="137"/>
      <c r="O51" s="137"/>
      <c r="P51" s="137"/>
      <c r="Q51" s="137"/>
      <c r="R51" s="137"/>
      <c r="S51" s="137"/>
    </row>
    <row r="52" spans="1:19" ht="16.95" customHeight="1" x14ac:dyDescent="0.3">
      <c r="A52" s="85"/>
      <c r="B52" s="138"/>
      <c r="C52" s="138"/>
      <c r="D52" s="138"/>
      <c r="E52" s="138"/>
      <c r="F52" s="138"/>
      <c r="G52" s="138"/>
      <c r="H52" s="138"/>
      <c r="I52" s="138"/>
      <c r="J52" s="138"/>
      <c r="K52" s="138"/>
      <c r="L52" s="138"/>
      <c r="M52" s="138"/>
      <c r="N52" s="138"/>
      <c r="O52" s="138"/>
      <c r="P52" s="138"/>
      <c r="Q52" s="138"/>
      <c r="R52" s="138"/>
      <c r="S52" s="138"/>
    </row>
    <row r="53" spans="1:19" ht="16.95" customHeight="1" x14ac:dyDescent="0.3">
      <c r="A53" s="85"/>
      <c r="B53" s="138"/>
      <c r="C53" s="138"/>
      <c r="D53" s="138"/>
      <c r="E53" s="138"/>
      <c r="F53" s="138"/>
      <c r="G53" s="138"/>
      <c r="H53" s="138"/>
      <c r="I53" s="138"/>
      <c r="J53" s="138"/>
      <c r="K53" s="138"/>
      <c r="L53" s="138"/>
      <c r="M53" s="138"/>
      <c r="N53" s="138"/>
      <c r="O53" s="138"/>
      <c r="P53" s="138"/>
      <c r="Q53" s="138"/>
      <c r="R53" s="138"/>
      <c r="S53" s="138"/>
    </row>
    <row r="54" spans="1:19" ht="16.95" customHeight="1" x14ac:dyDescent="0.3">
      <c r="A54" s="85"/>
      <c r="B54" s="138"/>
      <c r="C54" s="138"/>
      <c r="D54" s="138"/>
      <c r="E54" s="138"/>
      <c r="F54" s="138"/>
      <c r="G54" s="138"/>
      <c r="H54" s="138"/>
      <c r="I54" s="138"/>
      <c r="J54" s="138"/>
      <c r="K54" s="138"/>
      <c r="L54" s="138"/>
      <c r="M54" s="138"/>
      <c r="N54" s="138"/>
      <c r="O54" s="138"/>
      <c r="P54" s="138"/>
      <c r="Q54" s="138"/>
      <c r="R54" s="138"/>
      <c r="S54" s="138"/>
    </row>
    <row r="55" spans="1:19" ht="16.95" customHeight="1" x14ac:dyDescent="0.3">
      <c r="A55" s="85"/>
      <c r="B55" s="138"/>
      <c r="C55" s="138"/>
      <c r="D55" s="138"/>
      <c r="E55" s="138"/>
      <c r="F55" s="138"/>
      <c r="G55" s="138"/>
      <c r="H55" s="138"/>
      <c r="I55" s="138"/>
      <c r="J55" s="138"/>
      <c r="K55" s="138"/>
      <c r="L55" s="138"/>
      <c r="M55" s="138"/>
      <c r="N55" s="138"/>
      <c r="O55" s="138"/>
      <c r="P55" s="138"/>
      <c r="Q55" s="138"/>
      <c r="R55" s="138"/>
      <c r="S55" s="138"/>
    </row>
    <row r="56" spans="1:19" ht="16.95" customHeight="1" x14ac:dyDescent="0.3">
      <c r="A56" s="85"/>
      <c r="B56" s="138"/>
      <c r="C56" s="138"/>
      <c r="D56" s="138"/>
      <c r="E56" s="138"/>
      <c r="F56" s="138"/>
      <c r="G56" s="138"/>
      <c r="H56" s="138"/>
      <c r="I56" s="138"/>
      <c r="J56" s="138"/>
      <c r="K56" s="138"/>
      <c r="L56" s="138"/>
      <c r="M56" s="138"/>
      <c r="N56" s="138"/>
      <c r="O56" s="138"/>
      <c r="P56" s="138"/>
      <c r="Q56" s="138"/>
      <c r="R56" s="138"/>
      <c r="S56" s="138"/>
    </row>
    <row r="57" spans="1:19" ht="16.95" customHeight="1" x14ac:dyDescent="0.3">
      <c r="A57" s="85"/>
      <c r="B57" s="138"/>
      <c r="C57" s="138"/>
      <c r="D57" s="138"/>
      <c r="E57" s="138"/>
      <c r="F57" s="138"/>
      <c r="G57" s="138"/>
      <c r="H57" s="138"/>
      <c r="I57" s="138"/>
      <c r="J57" s="138"/>
      <c r="K57" s="138"/>
      <c r="L57" s="138"/>
      <c r="M57" s="138"/>
      <c r="N57" s="138"/>
      <c r="O57" s="138"/>
      <c r="P57" s="138"/>
      <c r="Q57" s="138"/>
      <c r="R57" s="138"/>
      <c r="S57" s="138"/>
    </row>
    <row r="58" spans="1:19" ht="16.95" customHeight="1" x14ac:dyDescent="0.3">
      <c r="A58" s="85"/>
      <c r="B58" s="138"/>
      <c r="C58" s="138"/>
      <c r="D58" s="138"/>
      <c r="E58" s="138"/>
      <c r="F58" s="138"/>
      <c r="G58" s="138"/>
      <c r="H58" s="138"/>
      <c r="I58" s="138"/>
      <c r="J58" s="138"/>
      <c r="K58" s="138"/>
      <c r="L58" s="138"/>
      <c r="M58" s="138"/>
      <c r="N58" s="138"/>
      <c r="O58" s="138"/>
      <c r="P58" s="138"/>
      <c r="Q58" s="138"/>
      <c r="R58" s="138"/>
      <c r="S58" s="138"/>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43" t="s">
        <v>88</v>
      </c>
      <c r="C60" s="143"/>
      <c r="D60" s="143"/>
      <c r="E60" s="143"/>
      <c r="F60" s="143"/>
      <c r="G60" s="143"/>
      <c r="H60" s="143"/>
      <c r="I60" s="143"/>
      <c r="J60" s="143"/>
      <c r="K60" s="143"/>
      <c r="L60" s="143"/>
      <c r="M60" s="143"/>
      <c r="N60" s="143"/>
      <c r="O60" s="143"/>
      <c r="P60" s="143"/>
      <c r="Q60" s="143"/>
      <c r="R60" s="143"/>
      <c r="S60" s="143"/>
    </row>
    <row r="61" spans="1:19" ht="16.95" customHeight="1" x14ac:dyDescent="0.3">
      <c r="B61" s="137" t="s">
        <v>172</v>
      </c>
      <c r="C61" s="137"/>
      <c r="D61" s="137"/>
      <c r="E61" s="137"/>
      <c r="F61" s="137"/>
      <c r="G61" s="137"/>
      <c r="H61" s="137"/>
      <c r="I61" s="137"/>
      <c r="J61" s="137"/>
      <c r="K61" s="137"/>
      <c r="L61" s="137"/>
      <c r="M61" s="137"/>
      <c r="N61" s="137"/>
      <c r="O61" s="137"/>
      <c r="P61" s="137"/>
      <c r="Q61" s="137"/>
      <c r="R61" s="137"/>
      <c r="S61" s="137"/>
    </row>
    <row r="62" spans="1:19" ht="16.95" customHeight="1" x14ac:dyDescent="0.3">
      <c r="A62" s="85"/>
      <c r="B62" s="138"/>
      <c r="C62" s="138"/>
      <c r="D62" s="138"/>
      <c r="E62" s="138"/>
      <c r="F62" s="138"/>
      <c r="G62" s="138"/>
      <c r="H62" s="138"/>
      <c r="I62" s="138"/>
      <c r="J62" s="138"/>
      <c r="K62" s="138"/>
      <c r="L62" s="138"/>
      <c r="M62" s="138"/>
      <c r="N62" s="138"/>
      <c r="O62" s="138"/>
      <c r="P62" s="138"/>
      <c r="Q62" s="138"/>
      <c r="R62" s="138"/>
      <c r="S62" s="138"/>
    </row>
    <row r="63" spans="1:19" ht="13.8" customHeight="1" x14ac:dyDescent="0.3"/>
    <row r="64" spans="1:19" ht="15" customHeight="1" x14ac:dyDescent="0.3">
      <c r="B64" s="143" t="s">
        <v>94</v>
      </c>
      <c r="C64" s="143"/>
      <c r="D64" s="143"/>
      <c r="E64" s="143"/>
      <c r="F64" s="143"/>
      <c r="G64" s="143"/>
      <c r="H64" s="143"/>
      <c r="I64" s="143"/>
      <c r="J64" s="143"/>
      <c r="K64" s="143"/>
      <c r="L64" s="143"/>
      <c r="M64" s="143"/>
      <c r="N64" s="143"/>
      <c r="O64" s="143"/>
      <c r="P64" s="143"/>
      <c r="Q64" s="143"/>
      <c r="R64" s="143"/>
      <c r="S64" s="143"/>
    </row>
    <row r="65" spans="1:19" ht="19.2" customHeight="1" x14ac:dyDescent="0.3">
      <c r="B65" s="137" t="s">
        <v>173</v>
      </c>
      <c r="C65" s="137"/>
      <c r="D65" s="137"/>
      <c r="E65" s="137"/>
      <c r="F65" s="137"/>
      <c r="G65" s="137"/>
      <c r="H65" s="137"/>
      <c r="I65" s="137"/>
      <c r="J65" s="137"/>
      <c r="K65" s="137"/>
      <c r="L65" s="137"/>
      <c r="M65" s="137"/>
      <c r="N65" s="137"/>
      <c r="O65" s="137"/>
      <c r="P65" s="137"/>
      <c r="Q65" s="137"/>
      <c r="R65" s="137"/>
      <c r="S65" s="137"/>
    </row>
    <row r="66" spans="1:19" ht="16.95" customHeight="1" x14ac:dyDescent="0.3">
      <c r="A66" s="85"/>
      <c r="B66" s="138"/>
      <c r="C66" s="138"/>
      <c r="D66" s="138"/>
      <c r="E66" s="138"/>
      <c r="F66" s="138"/>
      <c r="G66" s="138"/>
      <c r="H66" s="138"/>
      <c r="I66" s="138"/>
      <c r="J66" s="138"/>
      <c r="K66" s="138"/>
      <c r="L66" s="138"/>
      <c r="M66" s="138"/>
      <c r="N66" s="138"/>
      <c r="O66" s="138"/>
      <c r="P66" s="138"/>
      <c r="Q66" s="138"/>
      <c r="R66" s="138"/>
      <c r="S66" s="138"/>
    </row>
    <row r="67" spans="1:19" ht="16.95" customHeight="1" x14ac:dyDescent="0.3">
      <c r="A67" s="85"/>
      <c r="B67" s="138"/>
      <c r="C67" s="138"/>
      <c r="D67" s="138"/>
      <c r="E67" s="138"/>
      <c r="F67" s="138"/>
      <c r="G67" s="138"/>
      <c r="H67" s="138"/>
      <c r="I67" s="138"/>
      <c r="J67" s="138"/>
      <c r="K67" s="138"/>
      <c r="L67" s="138"/>
      <c r="M67" s="138"/>
      <c r="N67" s="138"/>
      <c r="O67" s="138"/>
      <c r="P67" s="138"/>
      <c r="Q67" s="138"/>
      <c r="R67" s="138"/>
      <c r="S67" s="138"/>
    </row>
    <row r="68" spans="1:19" ht="16.95" customHeight="1" x14ac:dyDescent="0.3">
      <c r="A68" s="85"/>
      <c r="B68" s="138"/>
      <c r="C68" s="138"/>
      <c r="D68" s="138"/>
      <c r="E68" s="138"/>
      <c r="F68" s="138"/>
      <c r="G68" s="138"/>
      <c r="H68" s="138"/>
      <c r="I68" s="138"/>
      <c r="J68" s="138"/>
      <c r="K68" s="138"/>
      <c r="L68" s="138"/>
      <c r="M68" s="138"/>
      <c r="N68" s="138"/>
      <c r="O68" s="138"/>
      <c r="P68" s="138"/>
      <c r="Q68" s="138"/>
      <c r="R68" s="138"/>
      <c r="S68" s="138"/>
    </row>
    <row r="69" spans="1:19" ht="16.95" customHeight="1" x14ac:dyDescent="0.3"/>
    <row r="70" spans="1:19" ht="16.95" customHeight="1" x14ac:dyDescent="0.3">
      <c r="B70" s="140" t="s">
        <v>90</v>
      </c>
      <c r="C70" s="140"/>
      <c r="D70" s="140"/>
      <c r="E70" s="140"/>
      <c r="F70" s="140"/>
      <c r="G70" s="140"/>
      <c r="H70" s="140" t="s">
        <v>91</v>
      </c>
      <c r="I70" s="140"/>
      <c r="J70" s="140"/>
      <c r="K70" s="140"/>
      <c r="L70" s="140"/>
      <c r="M70" s="140" t="s">
        <v>92</v>
      </c>
      <c r="N70" s="140"/>
      <c r="O70" s="140"/>
      <c r="P70" s="140" t="s">
        <v>93</v>
      </c>
      <c r="Q70" s="140"/>
      <c r="R70" s="140"/>
      <c r="S70" s="140"/>
    </row>
    <row r="71" spans="1:19" ht="16.95" customHeight="1" x14ac:dyDescent="0.3">
      <c r="B71" s="136" t="str">
        <f>[2]PATRON!G35</f>
        <v>Analizador de flujo de gases</v>
      </c>
      <c r="C71" s="136"/>
      <c r="D71" s="136"/>
      <c r="E71" s="136"/>
      <c r="F71" s="136"/>
      <c r="G71" s="136"/>
      <c r="H71" s="141">
        <f>[2]PATRON!G38</f>
        <v>40712037006</v>
      </c>
      <c r="I71" s="141"/>
      <c r="J71" s="141"/>
      <c r="K71" s="141"/>
      <c r="L71" s="141"/>
      <c r="M71" s="158">
        <v>46072</v>
      </c>
      <c r="N71" s="158"/>
      <c r="O71" s="158"/>
      <c r="P71" s="139" t="s">
        <v>166</v>
      </c>
      <c r="Q71" s="139"/>
      <c r="R71" s="139"/>
      <c r="S71" s="139"/>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16" t="str">
        <f>O1</f>
        <v>CERTIFICADO N°:</v>
      </c>
      <c r="P76" s="116"/>
      <c r="Q76" s="116"/>
      <c r="R76" s="152">
        <f>R1</f>
        <v>0</v>
      </c>
      <c r="S76" s="152"/>
    </row>
    <row r="77" spans="1:19" ht="16.95" customHeight="1" x14ac:dyDescent="0.3">
      <c r="O77" s="98"/>
      <c r="P77" s="98"/>
      <c r="Q77" s="98"/>
      <c r="R77" s="97"/>
      <c r="S77" s="97"/>
    </row>
    <row r="78" spans="1:19" ht="16.95" customHeight="1" x14ac:dyDescent="0.3"/>
    <row r="79" spans="1:19" ht="16.95" customHeight="1" x14ac:dyDescent="0.3">
      <c r="B79" s="135" t="s">
        <v>95</v>
      </c>
      <c r="C79" s="135"/>
      <c r="D79" s="135"/>
      <c r="E79" s="135"/>
      <c r="F79" s="135"/>
      <c r="G79" s="135"/>
      <c r="H79" s="135"/>
      <c r="I79" s="135"/>
      <c r="J79" s="135"/>
      <c r="K79" s="135"/>
      <c r="L79" s="135"/>
      <c r="M79" s="135"/>
      <c r="N79" s="135"/>
      <c r="O79" s="135"/>
      <c r="P79" s="135"/>
      <c r="Q79" s="135"/>
      <c r="R79" s="135"/>
      <c r="S79" s="135"/>
    </row>
    <row r="80" spans="1:19" ht="16.649999999999999" customHeight="1" x14ac:dyDescent="0.3"/>
    <row r="81" spans="2:19" ht="16.649999999999999" customHeight="1" x14ac:dyDescent="0.3">
      <c r="O81" s="98"/>
      <c r="P81" s="98"/>
      <c r="Q81" s="98"/>
      <c r="R81" s="97"/>
      <c r="S81" s="97"/>
    </row>
    <row r="82" spans="2:19" ht="16.649999999999999" customHeight="1" x14ac:dyDescent="0.3">
      <c r="B82" s="50" t="s">
        <v>130</v>
      </c>
      <c r="C82" s="50"/>
      <c r="D82" s="50"/>
      <c r="E82" s="50"/>
      <c r="F82" s="50"/>
      <c r="G82" s="50"/>
      <c r="H82" s="50"/>
      <c r="I82" s="119" t="s">
        <v>122</v>
      </c>
      <c r="J82" s="119"/>
      <c r="K82" s="119"/>
      <c r="L82" s="119"/>
      <c r="M82" s="119"/>
      <c r="N82" s="120" t="s">
        <v>131</v>
      </c>
      <c r="O82" s="120"/>
      <c r="P82" s="119" t="s">
        <v>123</v>
      </c>
      <c r="Q82" s="119"/>
      <c r="R82" s="119"/>
      <c r="S82" s="88">
        <v>1</v>
      </c>
    </row>
    <row r="83" spans="2:19" ht="16.8" customHeight="1" x14ac:dyDescent="0.3"/>
    <row r="84" spans="2:19" ht="16.8" customHeight="1" x14ac:dyDescent="0.3">
      <c r="B84" s="110" t="s">
        <v>132</v>
      </c>
      <c r="C84" s="110"/>
      <c r="D84" s="159" t="s">
        <v>120</v>
      </c>
      <c r="E84" s="159"/>
      <c r="F84" s="159"/>
      <c r="G84" s="159"/>
      <c r="H84" s="159"/>
      <c r="I84" s="159"/>
      <c r="J84" s="159"/>
      <c r="K84" s="159"/>
      <c r="L84" s="111" t="s">
        <v>133</v>
      </c>
      <c r="M84" s="112"/>
      <c r="N84" s="112"/>
      <c r="O84" s="112"/>
      <c r="P84" s="112"/>
      <c r="Q84" s="112"/>
      <c r="R84" s="112"/>
      <c r="S84" s="112"/>
    </row>
    <row r="85" spans="2:19" ht="24" customHeight="1" x14ac:dyDescent="0.3">
      <c r="B85" s="110"/>
      <c r="C85" s="110"/>
      <c r="D85" s="113" t="s">
        <v>124</v>
      </c>
      <c r="E85" s="113"/>
      <c r="F85" s="113" t="s">
        <v>125</v>
      </c>
      <c r="G85" s="113"/>
      <c r="H85" s="113" t="s">
        <v>126</v>
      </c>
      <c r="I85" s="113"/>
      <c r="J85" s="113" t="s">
        <v>127</v>
      </c>
      <c r="K85" s="113"/>
      <c r="L85" s="110" t="s">
        <v>128</v>
      </c>
      <c r="M85" s="110"/>
      <c r="N85" s="110" t="s">
        <v>129</v>
      </c>
      <c r="O85" s="110"/>
      <c r="P85" s="113" t="s">
        <v>96</v>
      </c>
      <c r="Q85" s="113"/>
      <c r="R85" s="113"/>
      <c r="S85" s="87" t="s">
        <v>14</v>
      </c>
    </row>
    <row r="86" spans="2:19" x14ac:dyDescent="0.3">
      <c r="B86" s="108">
        <f>MEDIDA!D6</f>
        <v>5</v>
      </c>
      <c r="C86" s="108"/>
      <c r="D86" s="109">
        <f>MEDIDA!F6</f>
        <v>5.3</v>
      </c>
      <c r="E86" s="109"/>
      <c r="F86" s="109">
        <f ca="1">MEDIDA!H6</f>
        <v>5.2195419509898775</v>
      </c>
      <c r="G86" s="109"/>
      <c r="H86" s="109">
        <f ca="1">MEDIDA!J6</f>
        <v>5.2789818029615523</v>
      </c>
      <c r="I86" s="109"/>
      <c r="J86" s="109">
        <f ca="1">MEDIDA!L6</f>
        <v>5.2587407366799228</v>
      </c>
      <c r="K86" s="109"/>
      <c r="L86" s="109">
        <f ca="1">MEDIDA!N6</f>
        <v>5.2643161226578377</v>
      </c>
      <c r="M86" s="109"/>
      <c r="N86" s="109">
        <f ca="1">MEDIDA!P6</f>
        <v>0.26431612265783766</v>
      </c>
      <c r="O86" s="109"/>
      <c r="P86" s="114">
        <v>0.1</v>
      </c>
      <c r="Q86" s="114"/>
      <c r="R86" s="114"/>
      <c r="S86" s="94">
        <v>2</v>
      </c>
    </row>
    <row r="87" spans="2:19" x14ac:dyDescent="0.3">
      <c r="B87" s="108">
        <f>MEDIDA!D7</f>
        <v>10</v>
      </c>
      <c r="C87" s="108"/>
      <c r="D87" s="109">
        <f>MEDIDA!F7</f>
        <v>10.5</v>
      </c>
      <c r="E87" s="109"/>
      <c r="F87" s="109">
        <f ca="1">MEDIDA!H7</f>
        <v>10.51019539088931</v>
      </c>
      <c r="G87" s="109"/>
      <c r="H87" s="109">
        <f ca="1">MEDIDA!J7</f>
        <v>10.511921122033804</v>
      </c>
      <c r="I87" s="109"/>
      <c r="J87" s="109">
        <f ca="1">MEDIDA!L7</f>
        <v>10.572711277734344</v>
      </c>
      <c r="K87" s="109"/>
      <c r="L87" s="109">
        <f ca="1">MEDIDA!N7</f>
        <v>10.523706947664364</v>
      </c>
      <c r="M87" s="109"/>
      <c r="N87" s="109">
        <f ca="1">MEDIDA!P7</f>
        <v>0.52370694766436365</v>
      </c>
      <c r="O87" s="109"/>
      <c r="P87" s="114">
        <v>0.1</v>
      </c>
      <c r="Q87" s="114"/>
      <c r="R87" s="114"/>
      <c r="S87" s="94">
        <v>2</v>
      </c>
    </row>
    <row r="88" spans="2:19" x14ac:dyDescent="0.3">
      <c r="B88" s="108">
        <f>MEDIDA!D8</f>
        <v>20</v>
      </c>
      <c r="C88" s="108"/>
      <c r="D88" s="109">
        <f>MEDIDA!F8</f>
        <v>20.6</v>
      </c>
      <c r="E88" s="109"/>
      <c r="F88" s="109">
        <f ca="1">MEDIDA!H8</f>
        <v>20.568033408233262</v>
      </c>
      <c r="G88" s="109"/>
      <c r="H88" s="109">
        <f ca="1">MEDIDA!J8</f>
        <v>20.568033408233262</v>
      </c>
      <c r="I88" s="109"/>
      <c r="J88" s="109">
        <f ca="1">MEDIDA!L8</f>
        <v>20.551964869135734</v>
      </c>
      <c r="K88" s="109"/>
      <c r="L88" s="109">
        <f ca="1">MEDIDA!N8</f>
        <v>20.572007921400566</v>
      </c>
      <c r="M88" s="109"/>
      <c r="N88" s="109">
        <f ca="1">MEDIDA!P8</f>
        <v>0.57200792140056578</v>
      </c>
      <c r="O88" s="109"/>
      <c r="P88" s="114">
        <v>0.1</v>
      </c>
      <c r="Q88" s="114"/>
      <c r="R88" s="114"/>
      <c r="S88" s="94">
        <v>2</v>
      </c>
    </row>
    <row r="89" spans="2:19" x14ac:dyDescent="0.3">
      <c r="B89" s="108">
        <f>MEDIDA!D9</f>
        <v>40</v>
      </c>
      <c r="C89" s="108"/>
      <c r="D89" s="109">
        <f>MEDIDA!F9</f>
        <v>40.9</v>
      </c>
      <c r="E89" s="109"/>
      <c r="F89" s="109">
        <f ca="1">MEDIDA!H9</f>
        <v>40.89374290720049</v>
      </c>
      <c r="G89" s="109"/>
      <c r="H89" s="109">
        <f ca="1">MEDIDA!J9</f>
        <v>40.89374290720049</v>
      </c>
      <c r="I89" s="109"/>
      <c r="J89" s="109">
        <f ca="1">MEDIDA!L9</f>
        <v>40.888192151803445</v>
      </c>
      <c r="K89" s="109"/>
      <c r="L89" s="109">
        <f ca="1">MEDIDA!N9</f>
        <v>40.893919491551102</v>
      </c>
      <c r="M89" s="109"/>
      <c r="N89" s="109">
        <f ca="1">MEDIDA!P9</f>
        <v>0.8939194915511024</v>
      </c>
      <c r="O89" s="109"/>
      <c r="P89" s="114">
        <v>0.1</v>
      </c>
      <c r="Q89" s="114"/>
      <c r="R89" s="114"/>
      <c r="S89" s="94">
        <v>2</v>
      </c>
    </row>
    <row r="90" spans="2:19" ht="16.8" customHeight="1" x14ac:dyDescent="0.3"/>
    <row r="91" spans="2:19" ht="16.8" customHeight="1" x14ac:dyDescent="0.3"/>
    <row r="92" spans="2:19" ht="16.8" customHeight="1" x14ac:dyDescent="0.3"/>
    <row r="93" spans="2:19" ht="16.8" customHeight="1" x14ac:dyDescent="0.3"/>
    <row r="94" spans="2:19" ht="16.8" customHeight="1" x14ac:dyDescent="0.3"/>
    <row r="95" spans="2:19" ht="16.8" customHeight="1" x14ac:dyDescent="0.3"/>
    <row r="98" spans="2:20" x14ac:dyDescent="0.3">
      <c r="B98" s="135" t="s">
        <v>97</v>
      </c>
      <c r="C98" s="135"/>
      <c r="D98" s="135"/>
      <c r="E98" s="135"/>
      <c r="F98" s="135"/>
      <c r="G98" s="135"/>
      <c r="H98" s="135"/>
      <c r="I98" s="135"/>
      <c r="J98" s="135"/>
      <c r="K98" s="135"/>
      <c r="L98" s="135"/>
      <c r="M98" s="135"/>
      <c r="N98" s="135"/>
      <c r="O98" s="135"/>
      <c r="P98" s="135"/>
      <c r="Q98" s="135"/>
      <c r="R98" s="135"/>
      <c r="S98" s="135"/>
    </row>
    <row r="100" spans="2:20" x14ac:dyDescent="0.3">
      <c r="B100" s="126" t="s">
        <v>98</v>
      </c>
      <c r="C100" s="126"/>
      <c r="D100" s="126"/>
      <c r="E100" s="126"/>
      <c r="F100" s="126"/>
      <c r="G100" s="126"/>
      <c r="I100" s="76" t="s">
        <v>99</v>
      </c>
      <c r="J100" s="76"/>
      <c r="K100" s="76"/>
      <c r="L100" s="76"/>
      <c r="M100" s="76"/>
      <c r="N100" s="76"/>
      <c r="O100" s="76"/>
      <c r="P100" s="76"/>
      <c r="Q100" s="76"/>
      <c r="R100" s="76"/>
      <c r="S100" s="76"/>
    </row>
    <row r="101" spans="2:20" x14ac:dyDescent="0.3">
      <c r="B101" s="127" t="s">
        <v>100</v>
      </c>
      <c r="C101" s="127"/>
      <c r="D101" s="127"/>
      <c r="E101" s="127"/>
      <c r="F101" s="127"/>
      <c r="G101" s="127"/>
      <c r="I101" s="76" t="s">
        <v>99</v>
      </c>
    </row>
    <row r="102" spans="2:20" x14ac:dyDescent="0.3">
      <c r="B102" s="126" t="s">
        <v>101</v>
      </c>
      <c r="C102" s="126"/>
      <c r="D102" s="126"/>
      <c r="E102" s="126"/>
      <c r="F102" s="126"/>
      <c r="G102" s="126"/>
      <c r="I102" s="76" t="s">
        <v>99</v>
      </c>
      <c r="J102" s="76"/>
      <c r="K102" s="76"/>
      <c r="L102" s="76"/>
      <c r="M102" s="76"/>
      <c r="N102" s="76"/>
      <c r="O102" s="76"/>
      <c r="P102" s="76"/>
      <c r="Q102" s="76"/>
      <c r="R102" s="76"/>
      <c r="S102" s="76"/>
    </row>
    <row r="103" spans="2:20" x14ac:dyDescent="0.3">
      <c r="B103" s="153" t="s">
        <v>102</v>
      </c>
      <c r="C103" s="153"/>
      <c r="D103" s="153"/>
      <c r="E103" s="153"/>
      <c r="F103" s="153"/>
      <c r="G103" s="153"/>
      <c r="I103" s="154" t="s">
        <v>151</v>
      </c>
      <c r="J103" s="154"/>
      <c r="K103" s="154"/>
      <c r="L103" s="154"/>
      <c r="M103" s="86"/>
      <c r="N103" s="86"/>
      <c r="O103" s="86"/>
      <c r="P103" s="86"/>
      <c r="Q103" s="86"/>
      <c r="R103" s="86"/>
      <c r="S103" s="86"/>
    </row>
    <row r="104" spans="2:20" ht="16.2" customHeight="1" x14ac:dyDescent="0.3">
      <c r="T104" s="50"/>
    </row>
    <row r="105" spans="2:20" ht="11.4" customHeight="1" x14ac:dyDescent="0.3"/>
    <row r="106" spans="2:20" x14ac:dyDescent="0.3">
      <c r="B106" s="115" t="s">
        <v>174</v>
      </c>
      <c r="C106" s="115"/>
      <c r="D106" s="115"/>
      <c r="E106" s="115"/>
      <c r="F106" s="115"/>
      <c r="G106" s="115"/>
      <c r="H106" s="115"/>
      <c r="I106" s="115"/>
      <c r="J106" s="115"/>
      <c r="K106" s="115"/>
      <c r="L106" s="115"/>
      <c r="M106" s="115"/>
      <c r="N106" s="115"/>
      <c r="O106" s="115"/>
      <c r="P106" s="115"/>
      <c r="Q106" s="115"/>
      <c r="R106" s="115"/>
      <c r="S106" s="115"/>
    </row>
    <row r="109" spans="2:20" ht="16.8" customHeight="1" x14ac:dyDescent="0.3"/>
    <row r="110" spans="2:20" ht="24" customHeight="1" x14ac:dyDescent="0.3"/>
    <row r="114" ht="16.8" customHeight="1" x14ac:dyDescent="0.3"/>
    <row r="118" ht="24" customHeight="1" x14ac:dyDescent="0.3"/>
    <row r="129" spans="20:20" x14ac:dyDescent="0.3">
      <c r="T129" s="86"/>
    </row>
  </sheetData>
  <mergeCells count="120">
    <mergeCell ref="B102:G102"/>
    <mergeCell ref="B103:G103"/>
    <mergeCell ref="I103:L103"/>
    <mergeCell ref="I19:R19"/>
    <mergeCell ref="B40:S40"/>
    <mergeCell ref="R76:S76"/>
    <mergeCell ref="O76:Q76"/>
    <mergeCell ref="B79:S79"/>
    <mergeCell ref="I21:R21"/>
    <mergeCell ref="C23:R28"/>
    <mergeCell ref="I32:L32"/>
    <mergeCell ref="C19:G19"/>
    <mergeCell ref="M70:O70"/>
    <mergeCell ref="M71:O71"/>
    <mergeCell ref="P70:S70"/>
    <mergeCell ref="B70:G70"/>
    <mergeCell ref="B51:S58"/>
    <mergeCell ref="B61:S62"/>
    <mergeCell ref="P86:R86"/>
    <mergeCell ref="D84:K84"/>
    <mergeCell ref="D85:E85"/>
    <mergeCell ref="F85:G85"/>
    <mergeCell ref="H85:I85"/>
    <mergeCell ref="J85:K85"/>
    <mergeCell ref="B106:S106"/>
    <mergeCell ref="B98:S98"/>
    <mergeCell ref="B100:G100"/>
    <mergeCell ref="B101:G101"/>
    <mergeCell ref="B71:G71"/>
    <mergeCell ref="C20:G20"/>
    <mergeCell ref="C21:G21"/>
    <mergeCell ref="B65:S68"/>
    <mergeCell ref="P71:S71"/>
    <mergeCell ref="H70:L70"/>
    <mergeCell ref="H71:L71"/>
    <mergeCell ref="I31:L31"/>
    <mergeCell ref="I33:L33"/>
    <mergeCell ref="B50:S50"/>
    <mergeCell ref="B60:S60"/>
    <mergeCell ref="B64:S64"/>
    <mergeCell ref="F45:J45"/>
    <mergeCell ref="F48:J48"/>
    <mergeCell ref="I20:R20"/>
    <mergeCell ref="M32:O32"/>
    <mergeCell ref="K45:O45"/>
    <mergeCell ref="R38:S38"/>
    <mergeCell ref="O38:Q38"/>
    <mergeCell ref="B41:S43"/>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I9:R9"/>
    <mergeCell ref="I10:R10"/>
    <mergeCell ref="I11:R11"/>
    <mergeCell ref="I12:R12"/>
    <mergeCell ref="C3:R3"/>
    <mergeCell ref="I7:R7"/>
    <mergeCell ref="I8:R8"/>
    <mergeCell ref="C15:R15"/>
    <mergeCell ref="C17:G17"/>
    <mergeCell ref="C18:G18"/>
    <mergeCell ref="I13:R13"/>
    <mergeCell ref="M31:R31"/>
    <mergeCell ref="I17:R17"/>
    <mergeCell ref="I18:R18"/>
    <mergeCell ref="I82:M82"/>
    <mergeCell ref="N82:O82"/>
    <mergeCell ref="P82:R82"/>
    <mergeCell ref="F46:G46"/>
    <mergeCell ref="K46:L46"/>
    <mergeCell ref="K48:P48"/>
    <mergeCell ref="L87:M87"/>
    <mergeCell ref="N87:O87"/>
    <mergeCell ref="P87:R87"/>
    <mergeCell ref="H88:I88"/>
    <mergeCell ref="J88:K88"/>
    <mergeCell ref="L88:M88"/>
    <mergeCell ref="N88:O88"/>
    <mergeCell ref="P88:R88"/>
    <mergeCell ref="H89:I89"/>
    <mergeCell ref="J89:K89"/>
    <mergeCell ref="H87:I87"/>
    <mergeCell ref="J87:K87"/>
    <mergeCell ref="B86:C86"/>
    <mergeCell ref="D86:E86"/>
    <mergeCell ref="F86:G86"/>
    <mergeCell ref="H86:I86"/>
    <mergeCell ref="J86:K86"/>
    <mergeCell ref="B84:C85"/>
    <mergeCell ref="L89:M89"/>
    <mergeCell ref="N89:O89"/>
    <mergeCell ref="B89:C89"/>
    <mergeCell ref="D89:E89"/>
    <mergeCell ref="F89:G89"/>
    <mergeCell ref="B88:C88"/>
    <mergeCell ref="D88:E88"/>
    <mergeCell ref="F88:G88"/>
    <mergeCell ref="B87:C87"/>
    <mergeCell ref="D87:E87"/>
    <mergeCell ref="F87:G87"/>
    <mergeCell ref="L86:M86"/>
    <mergeCell ref="N86:O86"/>
    <mergeCell ref="L84:S84"/>
    <mergeCell ref="L85:M85"/>
    <mergeCell ref="N85:O85"/>
    <mergeCell ref="P85:R85"/>
    <mergeCell ref="P89:R89"/>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2023-11-03T14:42:39Z</cp:lastPrinted>
  <dcterms:created xsi:type="dcterms:W3CDTF">2012-07-25T22:15:54Z</dcterms:created>
  <dcterms:modified xsi:type="dcterms:W3CDTF">2026-05-05T02:49:11Z</dcterms:modified>
</cp:coreProperties>
</file>