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0AE8B8C-C4C0-45CA-AAA1-925B12E019A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J6" i="20" s="1"/>
  <c r="F6" i="20" l="1"/>
  <c r="H6" i="20"/>
  <c r="D7" i="20"/>
  <c r="D8" i="20" l="1"/>
  <c r="F7" i="20"/>
  <c r="H7" i="20"/>
  <c r="J7" i="20"/>
  <c r="N46" i="31"/>
  <c r="K46" i="31"/>
  <c r="I46" i="31"/>
  <c r="F46" i="31"/>
  <c r="M31" i="31"/>
  <c r="I18" i="31"/>
  <c r="I19" i="31"/>
  <c r="I20" i="31"/>
  <c r="I21" i="31"/>
  <c r="I17" i="31"/>
  <c r="I12" i="31"/>
  <c r="I11" i="31"/>
  <c r="I10" i="31"/>
  <c r="I9" i="31"/>
  <c r="I8" i="31"/>
  <c r="I7" i="31"/>
  <c r="I6" i="31"/>
  <c r="I5" i="31"/>
  <c r="R1" i="31"/>
  <c r="B10" i="23"/>
  <c r="M32" i="31" s="1"/>
  <c r="B9" i="23"/>
  <c r="I13" i="31" s="1"/>
  <c r="D9" i="20" l="1"/>
  <c r="F8" i="20"/>
  <c r="J8" i="20"/>
  <c r="H8" i="20"/>
  <c r="H84" i="31"/>
  <c r="F84" i="31"/>
  <c r="R38" i="31"/>
  <c r="H8" i="21"/>
  <c r="I8" i="21" s="1"/>
  <c r="B8" i="21"/>
  <c r="C8" i="21"/>
  <c r="D8" i="21"/>
  <c r="F8" i="21"/>
  <c r="G8" i="21"/>
  <c r="D84" i="31"/>
  <c r="B85" i="31"/>
  <c r="B86" i="31"/>
  <c r="B87"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H9" i="20" l="1"/>
  <c r="J9" i="20"/>
  <c r="F9" i="20"/>
  <c r="H4" i="21"/>
  <c r="I4" i="21" s="1"/>
  <c r="J4" i="21" s="1"/>
  <c r="K4" i="21" s="1"/>
  <c r="S84" i="31" s="1"/>
  <c r="J84" i="31"/>
  <c r="L6" i="20"/>
  <c r="L84" i="31" s="1"/>
  <c r="R76" i="31"/>
  <c r="J8" i="21"/>
  <c r="K8" i="21" s="1"/>
  <c r="N6" i="20" l="1"/>
  <c r="N84" i="31" s="1"/>
  <c r="L8" i="21"/>
  <c r="L4" i="21"/>
  <c r="P84" i="31" s="1"/>
  <c r="J86" i="31"/>
  <c r="J87" i="31"/>
  <c r="J85" i="31"/>
  <c r="H85" i="31"/>
  <c r="F86" i="31"/>
  <c r="H87" i="31"/>
  <c r="D85" i="31"/>
  <c r="H5" i="21" l="1"/>
  <c r="I5" i="21" s="1"/>
  <c r="L8" i="20"/>
  <c r="N8" i="20" s="1"/>
  <c r="N86" i="31" s="1"/>
  <c r="D86" i="31"/>
  <c r="L9" i="20"/>
  <c r="D87" i="31"/>
  <c r="L7" i="20"/>
  <c r="F85" i="31"/>
  <c r="H86" i="31" l="1"/>
  <c r="H6" i="21"/>
  <c r="I6" i="21" s="1"/>
  <c r="H7" i="21"/>
  <c r="I7" i="21" s="1"/>
  <c r="F87" i="31"/>
  <c r="L86" i="31"/>
  <c r="J5" i="21"/>
  <c r="K5" i="21" s="1"/>
  <c r="S85" i="31" s="1"/>
  <c r="N9" i="20"/>
  <c r="N87" i="31" s="1"/>
  <c r="L87" i="31"/>
  <c r="L85" i="31"/>
  <c r="N7" i="20"/>
  <c r="N85" i="31" s="1"/>
  <c r="L5" i="21" l="1"/>
  <c r="J7" i="21"/>
  <c r="K7" i="21" s="1"/>
  <c r="S87" i="31" s="1"/>
  <c r="J6" i="21"/>
  <c r="K6" i="21" s="1"/>
  <c r="S86" i="31" s="1"/>
  <c r="L7" i="21" l="1"/>
  <c r="L6" i="21"/>
  <c r="P85" i="31"/>
  <c r="A3" i="29"/>
  <c r="P86" i="31" l="1"/>
  <c r="A83" i="29"/>
  <c r="E5" i="29"/>
  <c r="F8" i="29" s="1"/>
  <c r="C11" i="29"/>
  <c r="D11" i="29" s="1"/>
  <c r="E11" i="29" s="1"/>
  <c r="J6" i="29"/>
  <c r="J5" i="29"/>
  <c r="C2" i="29"/>
  <c r="D2" i="29" s="1"/>
  <c r="E8" i="29"/>
  <c r="A124" i="29"/>
  <c r="P87" i="31"/>
  <c r="G5" i="29" l="1"/>
  <c r="H5" i="29" s="1"/>
  <c r="C91" i="29"/>
  <c r="D91" i="29" s="1"/>
  <c r="E91" i="29" s="1"/>
  <c r="E85" i="29"/>
  <c r="F88" i="29" s="1"/>
  <c r="C82" i="29"/>
  <c r="D82" i="29" s="1"/>
  <c r="J86" i="29"/>
  <c r="J85" i="29"/>
  <c r="E88" i="29"/>
  <c r="D3" i="29"/>
  <c r="E2" i="29"/>
  <c r="F2" i="29" s="1"/>
  <c r="C5" i="29" s="1"/>
  <c r="E126" i="29"/>
  <c r="F129" i="29" s="1"/>
  <c r="J126" i="29"/>
  <c r="C132" i="29"/>
  <c r="D132" i="29" s="1"/>
  <c r="E132" i="29" s="1"/>
  <c r="E129" i="29"/>
  <c r="C123" i="29"/>
  <c r="D123" i="29" s="1"/>
  <c r="J127" i="29"/>
  <c r="F5" i="29" l="1"/>
  <c r="D124" i="29"/>
  <c r="E123" i="29"/>
  <c r="F123" i="29" s="1"/>
  <c r="C126" i="29" s="1"/>
  <c r="G85" i="29"/>
  <c r="H85" i="29" s="1"/>
  <c r="G126" i="29"/>
  <c r="D83" i="29"/>
  <c r="E82" i="29"/>
  <c r="F82" i="29" s="1"/>
  <c r="C85" i="29" s="1"/>
  <c r="C6" i="29"/>
  <c r="C7" i="29" s="1"/>
  <c r="D5" i="29"/>
  <c r="D85" i="29" l="1"/>
  <c r="C86" i="29"/>
  <c r="C87" i="29" s="1"/>
  <c r="H126" i="29"/>
  <c r="F126" i="29"/>
  <c r="C127" i="29"/>
  <c r="C128" i="29" s="1"/>
  <c r="D126" i="29"/>
  <c r="D8" i="29"/>
  <c r="H2" i="29" s="1"/>
  <c r="D6" i="29"/>
  <c r="F85" i="29"/>
  <c r="K5" i="29" l="1"/>
  <c r="A11" i="29" s="1"/>
  <c r="C19" i="29" s="1"/>
  <c r="D19" i="29" s="1"/>
  <c r="E19" i="29" s="1"/>
  <c r="D129" i="29"/>
  <c r="H123" i="29" s="1"/>
  <c r="D127" i="29"/>
  <c r="D86" i="29"/>
  <c r="D88" i="29"/>
  <c r="H82" i="29" s="1"/>
  <c r="J13" i="29" l="1"/>
  <c r="C13" i="29"/>
  <c r="C14" i="29" s="1"/>
  <c r="C15" i="29" s="1"/>
  <c r="E16" i="29"/>
  <c r="J14" i="29"/>
  <c r="E13" i="29"/>
  <c r="F16" i="29" s="1"/>
  <c r="K126" i="29"/>
  <c r="A132" i="29" s="1"/>
  <c r="J135" i="29" s="1"/>
  <c r="K85" i="29"/>
  <c r="A91" i="29" s="1"/>
  <c r="C93" i="29" s="1"/>
  <c r="D13" i="29" l="1"/>
  <c r="D14" i="29" s="1"/>
  <c r="G13" i="29"/>
  <c r="H13" i="29" s="1"/>
  <c r="C140" i="29"/>
  <c r="D140" i="29" s="1"/>
  <c r="E140" i="29" s="1"/>
  <c r="J134" i="29"/>
  <c r="E137" i="29"/>
  <c r="E134" i="29"/>
  <c r="F137" i="29" s="1"/>
  <c r="C134" i="29"/>
  <c r="D134" i="29" s="1"/>
  <c r="E96" i="29"/>
  <c r="E93" i="29"/>
  <c r="F96" i="29" s="1"/>
  <c r="J94" i="29"/>
  <c r="J93" i="29"/>
  <c r="C99" i="29"/>
  <c r="D99" i="29" s="1"/>
  <c r="E99" i="29" s="1"/>
  <c r="D93" i="29"/>
  <c r="C94" i="29"/>
  <c r="C95" i="29" s="1"/>
  <c r="G93" i="29" l="1"/>
  <c r="H93" i="29" s="1"/>
  <c r="F13" i="29"/>
  <c r="D16" i="29"/>
  <c r="K13" i="29" s="1"/>
  <c r="A19" i="29" s="1"/>
  <c r="J22" i="29" s="1"/>
  <c r="C135" i="29"/>
  <c r="C136" i="29" s="1"/>
  <c r="G134" i="29"/>
  <c r="H134" i="29" s="1"/>
  <c r="D96" i="29"/>
  <c r="K93" i="29" s="1"/>
  <c r="A99" i="29" s="1"/>
  <c r="D94" i="29"/>
  <c r="D137" i="29"/>
  <c r="D135" i="29"/>
  <c r="F93" i="29" l="1"/>
  <c r="E21" i="29"/>
  <c r="F24" i="29" s="1"/>
  <c r="J21" i="29"/>
  <c r="C27" i="29"/>
  <c r="D27" i="29" s="1"/>
  <c r="E27" i="29" s="1"/>
  <c r="E24" i="29"/>
  <c r="C21" i="29"/>
  <c r="D21" i="29" s="1"/>
  <c r="D22" i="29" s="1"/>
  <c r="K134" i="29"/>
  <c r="A140" i="29" s="1"/>
  <c r="C142" i="29" s="1"/>
  <c r="F134" i="29"/>
  <c r="C107" i="29"/>
  <c r="D107" i="29" s="1"/>
  <c r="E107" i="29" s="1"/>
  <c r="J102" i="29"/>
  <c r="C101" i="29"/>
  <c r="C102" i="29" s="1"/>
  <c r="C103" i="29" s="1"/>
  <c r="E101" i="29"/>
  <c r="F104" i="29" s="1"/>
  <c r="J101" i="29"/>
  <c r="E104" i="29"/>
  <c r="D24" i="29" l="1"/>
  <c r="G21" i="29"/>
  <c r="C22" i="29"/>
  <c r="C23" i="29" s="1"/>
  <c r="J142" i="29"/>
  <c r="J143" i="29"/>
  <c r="E145" i="29"/>
  <c r="C148" i="29"/>
  <c r="D148" i="29" s="1"/>
  <c r="E148" i="29" s="1"/>
  <c r="E142" i="29"/>
  <c r="F145" i="29" s="1"/>
  <c r="C143" i="29"/>
  <c r="C144" i="29" s="1"/>
  <c r="D142" i="29"/>
  <c r="D145" i="29" s="1"/>
  <c r="G101" i="29"/>
  <c r="H101" i="29" s="1"/>
  <c r="D101" i="29"/>
  <c r="D102" i="29" s="1"/>
  <c r="K21" i="29" l="1"/>
  <c r="B3" i="29" s="1"/>
  <c r="G142" i="29"/>
  <c r="H21" i="29"/>
  <c r="F21" i="29"/>
  <c r="K142" i="29"/>
  <c r="A148" i="29" s="1"/>
  <c r="D143" i="29"/>
  <c r="F101" i="29"/>
  <c r="D104" i="29"/>
  <c r="K101" i="29" s="1"/>
  <c r="A27" i="29" l="1"/>
  <c r="J29" i="29" s="1"/>
  <c r="H142" i="29"/>
  <c r="F142" i="29"/>
  <c r="E32" i="29"/>
  <c r="C35" i="29"/>
  <c r="D35" i="29" s="1"/>
  <c r="E35" i="29" s="1"/>
  <c r="J30" i="29"/>
  <c r="E29" i="29"/>
  <c r="F32" i="29" s="1"/>
  <c r="B124" i="29"/>
  <c r="C29" i="29"/>
  <c r="C30" i="29" s="1"/>
  <c r="C31" i="29" s="1"/>
  <c r="B83" i="29"/>
  <c r="A107" i="29"/>
  <c r="C156" i="29"/>
  <c r="D156" i="29" s="1"/>
  <c r="E156" i="29" s="1"/>
  <c r="C150" i="29"/>
  <c r="J150" i="29"/>
  <c r="E153" i="29"/>
  <c r="J151" i="29"/>
  <c r="E150" i="29"/>
  <c r="F153" i="29" s="1"/>
  <c r="G29" i="29" l="1"/>
  <c r="H29" i="29" s="1"/>
  <c r="K29" i="29"/>
  <c r="A35" i="29" s="1"/>
  <c r="E40" i="29" s="1"/>
  <c r="D29" i="29"/>
  <c r="D32" i="29" s="1"/>
  <c r="E109" i="29"/>
  <c r="F112" i="29" s="1"/>
  <c r="C109" i="29"/>
  <c r="J110" i="29"/>
  <c r="C115" i="29"/>
  <c r="D115" i="29" s="1"/>
  <c r="E115" i="29" s="1"/>
  <c r="J109" i="29"/>
  <c r="E112" i="29"/>
  <c r="C151" i="29"/>
  <c r="C152" i="29" s="1"/>
  <c r="D150" i="29"/>
  <c r="G150" i="29"/>
  <c r="F29" i="29" l="1"/>
  <c r="J38" i="29"/>
  <c r="C37" i="29"/>
  <c r="C38" i="29" s="1"/>
  <c r="C39" i="29" s="1"/>
  <c r="E37" i="29"/>
  <c r="D37" i="29" s="1"/>
  <c r="D38" i="29" s="1"/>
  <c r="J37" i="29"/>
  <c r="D30" i="29"/>
  <c r="C110" i="29"/>
  <c r="C111" i="29" s="1"/>
  <c r="D109" i="29"/>
  <c r="G109" i="29"/>
  <c r="H150" i="29"/>
  <c r="F150" i="29"/>
  <c r="D151" i="29"/>
  <c r="D153" i="29"/>
  <c r="K150" i="29" s="1"/>
  <c r="A156" i="29" s="1"/>
  <c r="K37" i="29" l="1"/>
  <c r="F40" i="29"/>
  <c r="G37" i="29" s="1"/>
  <c r="H37" i="29" s="1"/>
  <c r="D40" i="29"/>
  <c r="F109" i="29"/>
  <c r="H109" i="29"/>
  <c r="D110" i="29"/>
  <c r="D112" i="29"/>
  <c r="K109" i="29" s="1"/>
  <c r="A115" i="29" s="1"/>
  <c r="J159" i="29"/>
  <c r="E161" i="29"/>
  <c r="C158" i="29"/>
  <c r="C159" i="29" s="1"/>
  <c r="C160" i="29" s="1"/>
  <c r="J158" i="29"/>
  <c r="E158" i="29"/>
  <c r="F161" i="29" s="1"/>
  <c r="F37" i="29" l="1"/>
  <c r="J117" i="29"/>
  <c r="E120" i="29"/>
  <c r="J118" i="29"/>
  <c r="C117" i="29"/>
  <c r="C118" i="29" s="1"/>
  <c r="C119" i="29" s="1"/>
  <c r="E117" i="29"/>
  <c r="G158" i="29"/>
  <c r="H158" i="29" s="1"/>
  <c r="K158" i="29"/>
  <c r="D158" i="29"/>
  <c r="D161" i="29" s="1"/>
  <c r="K117" i="29" l="1"/>
  <c r="D117" i="29"/>
  <c r="F120" i="29"/>
  <c r="G117" i="29" s="1"/>
  <c r="H117" i="29" s="1"/>
  <c r="F158" i="29"/>
  <c r="D159" i="29"/>
  <c r="F117" i="29" l="1"/>
  <c r="D120" i="29"/>
  <c r="D11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246DD8AB-351F-4725-BA45-056E99A88AE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<sst xmlns="http://schemas.openxmlformats.org/spreadsheetml/2006/main" count="963" uniqueCount="169">
  <si>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</si>
  <si>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</si>
  <si>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</si>
  <si>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</si>
  <si>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</si>
  <si>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</si>
  <si>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</si>
  <si>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</si>
  <si>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</si>
  <si>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</si>
  <si>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</si>
  <si>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</si>
  <si>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</si>
  <si>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</si>
  <si>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</si>
  <si>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</si>
  <si>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</si>
  <si>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</si>
  <si>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</si>
  <si>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</si>
  <si>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</si>
  <si>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</si>
  <si>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</si>
  <si>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</si>
  <si>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</si>
  <si>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</si>
  <si>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</si>
  <si>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</si>
  <si>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</si>
  <si>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</si>
  <si>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</si>
  <si>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</si>
  <si>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</si>
  <si>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</si>
  <si>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</si>
  <si>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</si>
  <si>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</si>
  <si>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</si>
  <si>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</si>
  <si>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</si>
  <si>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</si>
  <si>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</si>
  <si>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</si>
  <si>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</si>
  <si>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</si>
  <si>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</si>
  <si>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</si>
  <si>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</si>
  <si>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</si>
  <si>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</si>
  <si>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</si>
  <si>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</si>
  <si>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</si>
  <si>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</si>
  <si>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</si>
  <si>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</si>
  <si>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</si>
  <si>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</si>
  <si>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</si>
  <si>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</si>
  <si>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</si>
  <si>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</si>
  <si>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</si>
  <si>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</si>
  <si>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</si>
  <si>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</si>
  <si>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</si>
  <si>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</si>
  <si>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</si>
  <si>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</si>
  <si>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</si>
  <si>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</si>
  <si>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</si>
  <si>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</si>
  <si>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</si>
  <si>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</si>
  <si>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</si>
  <si>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</si>
  <si>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</si>
  <si>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</si>
  <si>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</si>
  <si>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</si>
  <si>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</si>
  <si>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</si>
  <si>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</si>
  <si>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</si>
  <si>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</si>
  <si>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</si>
  <si>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</si>
  <si>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</si>
  <si>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</si>
  <si>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</si>
  <si>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</si>
  <si>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</si>
  <si>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</si>
  <si>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</si>
  <si>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</si>
  <si>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</si>
  <si>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</si>
  <si>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</si>
  <si>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</si>
  <si>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</si>
  <si>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</si>
  <si>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</si>
  <si>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</si>
  <si>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</si>
  <si>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</si>
  <si>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</si>
  <si>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</si>
  <si>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</si>
  <si>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</si>
  <si>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</si>
  <si>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</si>
  <si>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</si>
  <si>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</si>
  <si>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</si>
  <si>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</si>
  <si>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</si>
  <si>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</si>
  <si>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</si>
  <si>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</si>
  <si>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</si>
  <si>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</si>
  <si>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</si>
  <si>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</si>
  <si>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Lectura 4 (Lpm)</t>
  </si>
  <si>
    <t>Flujo</t>
  </si>
  <si>
    <t>Equipo bajo prueba              (Lpm)</t>
  </si>
  <si>
    <t>Lectura 1         (Lpm)</t>
  </si>
  <si>
    <t>Lectura 2      (Lpm)</t>
  </si>
  <si>
    <t>Lectura 3         (Lpm)</t>
  </si>
  <si>
    <t>Promedio       (Lpm)</t>
  </si>
  <si>
    <t>Error         (Lpm)</t>
  </si>
  <si>
    <t>Incertidumbre flujo:</t>
  </si>
  <si>
    <t>Deriva flujo</t>
  </si>
  <si>
    <t>Resolución flujo</t>
  </si>
  <si>
    <t>N8201011-071</t>
  </si>
  <si>
    <t>Báscula Analítica</t>
  </si>
  <si>
    <t>Calibración de volumen</t>
  </si>
  <si>
    <t>Intervalo de medición (mL):</t>
  </si>
  <si>
    <t>Resolución (mL):</t>
  </si>
  <si>
    <t>*mL= Mililitros</t>
  </si>
  <si>
    <t>Equipo bajo prueba     (mL)</t>
  </si>
  <si>
    <t>Lectura 1 (mL)</t>
  </si>
  <si>
    <t>Lectura 2 (mL)</t>
  </si>
  <si>
    <t>Lectura 3  (mL)</t>
  </si>
  <si>
    <t>Lectura 4 (mL)</t>
  </si>
  <si>
    <t>Promedio (mL)</t>
  </si>
  <si>
    <t>Error           (mL)</t>
  </si>
  <si>
    <t>Intrumento</t>
  </si>
  <si>
    <t>Marca</t>
  </si>
  <si>
    <t>Modelo</t>
  </si>
  <si>
    <t>Serie</t>
  </si>
  <si>
    <t>Ubicación</t>
  </si>
  <si>
    <t>Inventario</t>
  </si>
  <si>
    <t>Número de Certificado</t>
  </si>
  <si>
    <t>Fecha de Recepción</t>
  </si>
  <si>
    <t>Estado Físico:</t>
  </si>
  <si>
    <t>ING. GABRIEL DURÁN</t>
  </si>
  <si>
    <t>10 a 40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</si>
  <si>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</si>
  <si>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</si>
  <si>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</si>
  <si>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</si>
  <si>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</si>
  <si>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bombas de infusión BTM-P-072.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</si>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</sst>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2"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2" fontId="27" fillId="13" borderId="5" xfId="0" applyNumberFormat="1" applyFont="1" applyFill="1" applyBorder="1" applyAlignment="1">
      <alignment horizontal="center"/>
    </xf>
    <xf numFmtId="0" fontId="6" fillId="4" borderId="0" xfId="0" applyFont="1" applyFill="1" applyAlignment="1">
      <alignment horizontal="center"/>
    </xf>
    <xf numFmtId="0" fontId="27" fillId="13" borderId="5" xfId="0" applyFont="1" applyFill="1" applyBorder="1" applyAlignment="1">
      <alignment horizontal="center"/>
    </xf>
    <xf numFmtId="0" fontId="15" fillId="0" borderId="5" xfId="0" applyFont="1" applyBorder="1" applyAlignment="1">
      <alignment horizontal="center" wrapText="1"/>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1"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5928426266465909"/>
          <c:w val="0.84337846530651561"/>
          <c:h val="0.73023556224750896"/>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10</c:v>
                </c:pt>
                <c:pt idx="1">
                  <c:v>20</c:v>
                </c:pt>
                <c:pt idx="2">
                  <c:v>30</c:v>
                </c:pt>
                <c:pt idx="3">
                  <c:v>40</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0.62548887544122644</c:v>
                  </c:pt>
                  <c:pt idx="1">
                    <c:v>0.62545292096854521</c:v>
                  </c:pt>
                  <c:pt idx="2">
                    <c:v>0.62540654307967625</c:v>
                  </c:pt>
                  <c:pt idx="3">
                    <c:v>0.62542012209752895</c:v>
                  </c:pt>
                  <c:pt idx="4">
                    <c:v>0</c:v>
                  </c:pt>
                </c:numCache>
              </c:numRef>
            </c:plus>
            <c:minus>
              <c:numRef>
                <c:f>INCERTIDUMBRE!$L$4:$L$8</c:f>
                <c:numCache>
                  <c:formatCode>General</c:formatCode>
                  <c:ptCount val="5"/>
                  <c:pt idx="0">
                    <c:v>0.62548887544122644</c:v>
                  </c:pt>
                  <c:pt idx="1">
                    <c:v>0.62545292096854521</c:v>
                  </c:pt>
                  <c:pt idx="2">
                    <c:v>0.62540654307967625</c:v>
                  </c:pt>
                  <c:pt idx="3">
                    <c:v>0.62542012209752895</c:v>
                  </c:pt>
                  <c:pt idx="4">
                    <c:v>0</c:v>
                  </c:pt>
                </c:numCache>
              </c:numRef>
            </c:minus>
            <c:spPr>
              <a:noFill/>
              <a:ln w="9525" cap="flat" cmpd="sng" algn="ctr">
                <a:solidFill>
                  <a:schemeClr val="accent2"/>
                </a:solidFill>
                <a:round/>
              </a:ln>
              <a:effectLst/>
            </c:spPr>
          </c:errBars>
          <c:xVal>
            <c:numRef>
              <c:f>MEDIDA!$B$6:$B$10</c:f>
              <c:numCache>
                <c:formatCode>General</c:formatCode>
                <c:ptCount val="5"/>
                <c:pt idx="0">
                  <c:v>10</c:v>
                </c:pt>
                <c:pt idx="1">
                  <c:v>20</c:v>
                </c:pt>
                <c:pt idx="2">
                  <c:v>30</c:v>
                </c:pt>
                <c:pt idx="3">
                  <c:v>40</c:v>
                </c:pt>
              </c:numCache>
            </c:numRef>
          </c:xVal>
          <c:yVal>
            <c:numRef>
              <c:f>MEDIDA!$N$6:$N$10</c:f>
              <c:numCache>
                <c:formatCode>0.00</c:formatCode>
                <c:ptCount val="5"/>
                <c:pt idx="0">
                  <c:v>-0.15977168566458388</c:v>
                </c:pt>
                <c:pt idx="1">
                  <c:v>-0.31936823418033455</c:v>
                </c:pt>
                <c:pt idx="2">
                  <c:v>-0.4886639105001791</c:v>
                </c:pt>
                <c:pt idx="3">
                  <c:v>-0.63632595662807034</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10</c:v>
                </c:pt>
                <c:pt idx="1">
                  <c:v>20</c:v>
                </c:pt>
                <c:pt idx="2">
                  <c:v>30</c:v>
                </c:pt>
                <c:pt idx="3">
                  <c:v>40</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(mL)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(mL)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7680" cy="7185660"/>
        </a:xfrm>
        <a:prstGeom prst="rect">
          <a:avLst/>
        </a:prstGeom>
      </xdr:spPr>
    </xdr:pic>
    <xdr:clientData/>
  </xdr:twoCellAnchor>
  <xdr:twoCellAnchor>
    <xdr:from>
      <xdr:col>1</xdr:col>
      <xdr:colOff>53340</xdr:colOff>
      <xdr:row>87</xdr:row>
      <xdr:rowOff>190500</xdr:rowOff>
    </xdr:from>
    <xdr:to>
      <xdr:col>18</xdr:col>
      <xdr:colOff>167640</xdr:colOff>
      <xdr:row>98</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7" sqref="E7:E11"/>
    </sheetView>
  </sheetViews>
  <sheetFormatPr baseColWidth="10" defaultColWidth="3.6640625" defaultRowHeight="12.75" customHeight="1" x14ac:dyDescent="0.3"/>
  <cols>
    <col min="1" max="1" width="29.21875" style="1" customWidth="1"/>
    <col min="2" max="2" width="51.6640625" style="1" bestFit="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31.664062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103</v>
      </c>
      <c r="B1" s="158"/>
      <c r="C1" s="158"/>
      <c r="D1" s="158"/>
      <c r="E1" s="158"/>
      <c r="F1" s="158"/>
      <c r="G1" s="158"/>
      <c r="H1" s="159"/>
      <c r="I1"/>
      <c r="J1"/>
      <c r="K1"/>
      <c r="L1"/>
      <c r="M1"/>
      <c r="N1"/>
      <c r="O1" t="s">
        <v>115</v>
      </c>
      <c r="P1"/>
      <c r="Q1"/>
      <c r="R1"/>
      <c r="S1"/>
      <c r="T1"/>
      <c r="U1"/>
      <c r="V1"/>
      <c r="W1"/>
      <c r="X1"/>
      <c r="Y1"/>
      <c r="Z1"/>
      <c r="AA1"/>
      <c r="AB1"/>
      <c r="AC1"/>
      <c r="AD1"/>
      <c r="AE1"/>
    </row>
    <row r="2" spans="1:31" ht="14.4" x14ac:dyDescent="0.3">
      <c r="A2" s="97" t="s">
        <v>149</v>
      </c>
      <c r="B2" s="97" t="s">
        <v>150</v>
      </c>
      <c r="C2" s="97" t="s">
        <v>151</v>
      </c>
      <c r="D2" s="97" t="s">
        <v>152</v>
      </c>
      <c r="E2" s="97" t="s">
        <v>153</v>
      </c>
      <c r="F2" s="97" t="s">
        <v>154</v>
      </c>
      <c r="G2" s="97" t="s">
        <v>155</v>
      </c>
      <c r="H2" s="97" t="s">
        <v>156</v>
      </c>
      <c r="I2"/>
      <c r="J2"/>
      <c r="K2"/>
      <c r="L2"/>
      <c r="M2"/>
      <c r="N2"/>
      <c r="O2" t="s">
        <v>116</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117</v>
      </c>
      <c r="P5"/>
      <c r="Q5"/>
      <c r="R5"/>
      <c r="S5"/>
      <c r="T5"/>
      <c r="U5"/>
      <c r="V5"/>
      <c r="W5"/>
      <c r="X5"/>
      <c r="Y5"/>
      <c r="Z5"/>
      <c r="AA5"/>
      <c r="AB5"/>
      <c r="AC5"/>
      <c r="AD5"/>
      <c r="AE5"/>
    </row>
    <row r="6" spans="1:31" ht="12.75" customHeight="1" x14ac:dyDescent="0.3">
      <c r="A6" s="160" t="s">
        <v>104</v>
      </c>
      <c r="B6" s="160"/>
      <c r="C6"/>
      <c r="D6" s="96" t="s">
        <v>102</v>
      </c>
      <c r="E6" s="96"/>
      <c r="H6"/>
      <c r="I6"/>
      <c r="J6"/>
      <c r="K6"/>
      <c r="L6"/>
      <c r="M6"/>
      <c r="N6"/>
      <c r="O6" t="s">
        <v>118</v>
      </c>
      <c r="P6"/>
      <c r="Q6"/>
      <c r="R6"/>
      <c r="S6"/>
      <c r="T6"/>
      <c r="U6"/>
      <c r="V6"/>
      <c r="W6"/>
      <c r="X6"/>
      <c r="Y6"/>
      <c r="Z6"/>
      <c r="AA6"/>
      <c r="AB6"/>
      <c r="AC6"/>
      <c r="AD6"/>
      <c r="AE6"/>
    </row>
    <row r="7" spans="1:31" ht="12.75" customHeight="1" x14ac:dyDescent="0.3">
      <c r="A7" s="20" t="s">
        <v>106</v>
      </c>
      <c r="B7" s="90" t="s">
        <v>115</v>
      </c>
      <c r="C7"/>
      <c r="D7" s="20" t="s">
        <v>105</v>
      </c>
      <c r="E7" s="105"/>
      <c r="H7"/>
      <c r="I7"/>
      <c r="J7"/>
      <c r="K7"/>
      <c r="L7"/>
      <c r="M7"/>
      <c r="N7"/>
      <c r="O7"/>
      <c r="P7"/>
      <c r="Q7"/>
      <c r="R7"/>
      <c r="S7"/>
      <c r="T7"/>
      <c r="U7"/>
      <c r="V7"/>
      <c r="W7"/>
      <c r="X7"/>
      <c r="Y7"/>
      <c r="Z7"/>
      <c r="AA7"/>
      <c r="AB7"/>
      <c r="AC7"/>
      <c r="AD7"/>
      <c r="AE7"/>
    </row>
    <row r="8" spans="1:31" ht="12.75" customHeight="1" x14ac:dyDescent="0.3">
      <c r="A8" s="20" t="s">
        <v>157</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108</v>
      </c>
      <c r="B9" s="91">
        <f>H3</f>
        <v>0</v>
      </c>
      <c r="C9"/>
      <c r="D9" s="20" t="s">
        <v>107</v>
      </c>
      <c r="E9" s="90"/>
      <c r="H9"/>
      <c r="I9"/>
      <c r="J9"/>
      <c r="K9"/>
      <c r="L9"/>
      <c r="M9"/>
      <c r="N9"/>
      <c r="O9"/>
      <c r="P9"/>
      <c r="Q9"/>
      <c r="R9"/>
      <c r="S9"/>
      <c r="T9"/>
      <c r="U9"/>
      <c r="V9"/>
      <c r="W9"/>
      <c r="X9"/>
      <c r="Y9"/>
      <c r="Z9"/>
      <c r="AA9"/>
      <c r="AB9"/>
      <c r="AC9"/>
      <c r="AD9"/>
      <c r="AE9"/>
    </row>
    <row r="10" spans="1:31" ht="12.75" customHeight="1" x14ac:dyDescent="0.3">
      <c r="A10" s="20" t="s">
        <v>109</v>
      </c>
      <c r="B10" s="91">
        <f>H3</f>
        <v>0</v>
      </c>
      <c r="C10"/>
      <c r="D10" s="20" t="s">
        <v>5</v>
      </c>
      <c r="E10" s="106"/>
      <c r="G10"/>
      <c r="H10"/>
      <c r="I10"/>
      <c r="J10"/>
      <c r="K10"/>
      <c r="L10"/>
      <c r="M10"/>
      <c r="N10"/>
      <c r="O10"/>
      <c r="P10"/>
      <c r="Q10"/>
      <c r="R10"/>
      <c r="S10"/>
      <c r="T10"/>
      <c r="U10"/>
      <c r="V10"/>
      <c r="W10"/>
      <c r="X10"/>
      <c r="Y10"/>
      <c r="Z10"/>
      <c r="AA10"/>
      <c r="AB10"/>
      <c r="AC10"/>
      <c r="AD10"/>
      <c r="AE10"/>
    </row>
    <row r="11" spans="1:31" ht="12.75" customHeight="1" x14ac:dyDescent="0.3">
      <c r="A11" s="20" t="s">
        <v>110</v>
      </c>
      <c r="B11" s="90">
        <v>24.1</v>
      </c>
      <c r="C11"/>
      <c r="D11" s="20" t="s">
        <v>3</v>
      </c>
      <c r="E11" s="106"/>
      <c r="G11"/>
      <c r="H11"/>
      <c r="I11"/>
      <c r="J11"/>
      <c r="K11"/>
      <c r="L11"/>
      <c r="M11"/>
      <c r="N11"/>
      <c r="O11"/>
      <c r="P11"/>
      <c r="Q11"/>
      <c r="R11"/>
      <c r="S11"/>
      <c r="T11"/>
      <c r="U11"/>
      <c r="V11"/>
      <c r="W11"/>
      <c r="X11"/>
      <c r="Y11"/>
      <c r="Z11"/>
      <c r="AA11"/>
      <c r="AB11"/>
      <c r="AC11"/>
      <c r="AD11"/>
      <c r="AE11"/>
    </row>
    <row r="12" spans="1:31" ht="12.75" customHeight="1" x14ac:dyDescent="0.3">
      <c r="A12" s="20" t="s">
        <v>111</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112</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113</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114</v>
      </c>
      <c r="B15" s="90" t="s">
        <v>158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4AD075A1-CB0E-4253-93EF-ED9E10954A71}">
      <formula1>$O$4:$O$6</formula1>
    </dataValidation>
    <dataValidation type="list" allowBlank="1" showInputMessage="1" showErrorMessage="1" sqref="B7" xr:uid="{779019F8-3432-4454-860D-ABEB959FDD2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 ca="1">FIXED(A3,6)</f>
        <v>0,625453</v>
      </c>
      <c r="D2" t="str">
        <f ca="1">RIGHT(C2,1)</f>
        <v>3</v>
      </c>
      <c r="E2">
        <f ca="1">D2/1000000</f>
        <v>3.0000000000000001E-6</v>
      </c>
      <c r="F2" s="30">
        <f ca="1">A3-E2</f>
        <v>0.62544992096854524</v>
      </c>
      <c r="H2" t="str">
        <f ca="1">IF(C7=5,IF(AND(D3=0,D8=FALSE),J5,J6),J6)</f>
        <v>0,6255</v>
      </c>
      <c r="K2" s="27"/>
    </row>
    <row r="3" spans="1:11" ht="18.600000000000001" thickBot="1" x14ac:dyDescent="0.4">
      <c r="A3" s="29">
        <f ca="1">INCERTIDUMBRE!L5</f>
        <v>0.62545292096854521</v>
      </c>
      <c r="B3" s="28" t="str">
        <f ca="1">IF(A3&gt;=10,K37,IF(A3&gt;=1,K29,IF(A3&gt;=0.1,K21,IF(A3&gt;=0.01,K13,IF(A3&gt;=0.001,K5)))))</f>
        <v>0,63</v>
      </c>
      <c r="C3" t="s">
        <v>28</v>
      </c>
      <c r="D3">
        <f ca="1">D2+0</f>
        <v>3</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45</v>
      </c>
      <c r="D5" t="str">
        <f ca="1">LEFT(C5,1)</f>
        <v>4</v>
      </c>
      <c r="E5" s="30">
        <f ca="1">TRUNC(A3)</f>
        <v>0</v>
      </c>
      <c r="F5" s="14" t="str">
        <f ca="1">FIXED(A3-E5,G5)</f>
        <v>0,625452920968545</v>
      </c>
      <c r="G5">
        <f ca="1">ABS(E8-F8)</f>
        <v>15</v>
      </c>
      <c r="H5" t="str">
        <f ca="1">RIGHT(A3,G5)</f>
        <v>625452920968545</v>
      </c>
      <c r="I5">
        <v>5.0000000000000002E-5</v>
      </c>
      <c r="J5" s="14">
        <f ca="1">(A3-I5)</f>
        <v>0.62540292096854522</v>
      </c>
      <c r="K5" s="45" t="str">
        <f ca="1">IF(C7=5,IF(AND(D3=0,D8=FALSE),J5,J6),J6)</f>
        <v>0,6255</v>
      </c>
    </row>
    <row r="6" spans="1:11" hidden="1" x14ac:dyDescent="0.3">
      <c r="A6" s="31"/>
      <c r="C6" t="str">
        <f ca="1">RIGHT(C5,1)</f>
        <v>5</v>
      </c>
      <c r="D6">
        <f ca="1">D5+0</f>
        <v>4</v>
      </c>
      <c r="J6" t="str">
        <f ca="1">FIXED(A3,4)</f>
        <v>0,6255</v>
      </c>
      <c r="K6" s="27"/>
    </row>
    <row r="7" spans="1:11" hidden="1" x14ac:dyDescent="0.3">
      <c r="A7" s="31"/>
      <c r="C7">
        <f ca="1">C6+0</f>
        <v>5</v>
      </c>
      <c r="D7" t="s">
        <v>34</v>
      </c>
      <c r="E7" t="s">
        <v>33</v>
      </c>
      <c r="F7" t="s">
        <v>32</v>
      </c>
      <c r="K7" s="27"/>
    </row>
    <row r="8" spans="1:11" hidden="1" x14ac:dyDescent="0.3">
      <c r="A8" s="31"/>
      <c r="D8" t="b">
        <f ca="1">ISODD(D5)</f>
        <v>0</v>
      </c>
      <c r="E8">
        <f ca="1">LEN(A3)</f>
        <v>17</v>
      </c>
      <c r="F8">
        <f ca="1">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 ca="1">K5</f>
        <v>0,6255</v>
      </c>
      <c r="C11" t="str">
        <f ca="1">FIXED(A3,5)</f>
        <v>0,62545</v>
      </c>
      <c r="D11" t="str">
        <f ca="1">RIGHT(C11,1)</f>
        <v>5</v>
      </c>
      <c r="E11">
        <f ca="1">D11+0</f>
        <v>5</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55</v>
      </c>
      <c r="D13" t="str">
        <f ca="1">LEFT(C13,1)</f>
        <v>5</v>
      </c>
      <c r="E13" s="36">
        <f ca="1">TRUNC(A11)</f>
        <v>0</v>
      </c>
      <c r="F13" s="14" t="str">
        <f ca="1">FIXED(A11-E13,G13)</f>
        <v>0,6255</v>
      </c>
      <c r="G13">
        <f ca="1">ABS(E16-F16)</f>
        <v>4</v>
      </c>
      <c r="H13" t="str">
        <f ca="1">RIGHT(A11,G13)</f>
        <v>6255</v>
      </c>
      <c r="I13">
        <v>5.0000000000000001E-4</v>
      </c>
      <c r="J13" s="44">
        <f ca="1">(A11-I13)</f>
        <v>0.625</v>
      </c>
      <c r="K13" s="43" t="str">
        <f ca="1">IF(C15=5,IF(AND(E11=0,D16=FALSE),J13,J14),J14)</f>
        <v>0,626</v>
      </c>
    </row>
    <row r="14" spans="1:11" hidden="1" x14ac:dyDescent="0.3">
      <c r="A14" s="31"/>
      <c r="C14" t="str">
        <f ca="1">RIGHT(C13,1)</f>
        <v>5</v>
      </c>
      <c r="D14">
        <f ca="1">D13+0</f>
        <v>5</v>
      </c>
      <c r="J14" t="str">
        <f ca="1">FIXED(A11,3)</f>
        <v>0,626</v>
      </c>
      <c r="K14" s="27"/>
    </row>
    <row r="15" spans="1:11" hidden="1" x14ac:dyDescent="0.3">
      <c r="A15" s="31"/>
      <c r="C15">
        <f ca="1">C14+0</f>
        <v>5</v>
      </c>
      <c r="D15" t="s">
        <v>34</v>
      </c>
      <c r="E15" t="s">
        <v>33</v>
      </c>
      <c r="F15" t="s">
        <v>32</v>
      </c>
      <c r="K15" s="27"/>
    </row>
    <row r="16" spans="1:11" hidden="1" x14ac:dyDescent="0.3">
      <c r="A16" s="31"/>
      <c r="D16" t="b">
        <f ca="1">ISODD(D13)</f>
        <v>1</v>
      </c>
      <c r="E16">
        <f ca="1">LEN(A11)</f>
        <v>6</v>
      </c>
      <c r="F16">
        <f ca="1">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 ca="1">K13</f>
        <v>0,626</v>
      </c>
      <c r="C19" t="str">
        <f ca="1">FIXED(A11,4)</f>
        <v>0,6255</v>
      </c>
      <c r="D19" t="str">
        <f ca="1">RIGHT(C19,1)</f>
        <v>5</v>
      </c>
      <c r="E19">
        <f ca="1">D19+0</f>
        <v>5</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26</v>
      </c>
      <c r="D21" t="str">
        <f ca="1">LEFT(C21,1)</f>
        <v>2</v>
      </c>
      <c r="E21" s="36">
        <f ca="1">TRUNC(A19)</f>
        <v>0</v>
      </c>
      <c r="F21" s="14" t="str">
        <f ca="1">FIXED(A19-E21,G21)</f>
        <v>0,626</v>
      </c>
      <c r="G21">
        <f ca="1">ABS(E24-F24)</f>
        <v>3</v>
      </c>
      <c r="H21" t="str">
        <f ca="1">RIGHT(A19,G21)</f>
        <v>626</v>
      </c>
      <c r="I21">
        <v>5.0000000000000001E-3</v>
      </c>
      <c r="J21" s="2">
        <f ca="1">(A19-I21)</f>
        <v>0.621</v>
      </c>
      <c r="K21" s="41" t="str">
        <f ca="1">IF(C23=5,IF(AND(E19=0,D24=FALSE),J21,J22),J22)</f>
        <v>0,63</v>
      </c>
    </row>
    <row r="22" spans="1:11" ht="18" hidden="1" x14ac:dyDescent="0.35">
      <c r="A22" s="31"/>
      <c r="C22" t="str">
        <f ca="1">RIGHT(C21,1)</f>
        <v>6</v>
      </c>
      <c r="D22">
        <f ca="1">D21+0</f>
        <v>2</v>
      </c>
      <c r="J22" t="str">
        <f ca="1">FIXED(A19,2)</f>
        <v>0,63</v>
      </c>
      <c r="K22" s="41"/>
    </row>
    <row r="23" spans="1:11" hidden="1" x14ac:dyDescent="0.3">
      <c r="A23" s="31"/>
      <c r="C23">
        <f ca="1">C22+0</f>
        <v>6</v>
      </c>
      <c r="D23" t="s">
        <v>34</v>
      </c>
      <c r="E23" t="s">
        <v>33</v>
      </c>
      <c r="F23" t="s">
        <v>32</v>
      </c>
      <c r="K23" s="27"/>
    </row>
    <row r="24" spans="1:11" hidden="1" x14ac:dyDescent="0.3">
      <c r="A24" s="31"/>
      <c r="D24" t="b">
        <f ca="1">ISODD(D21)</f>
        <v>0</v>
      </c>
      <c r="E24">
        <f ca="1">LEN(A19)</f>
        <v>5</v>
      </c>
      <c r="F24">
        <f ca="1">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 ca="1">K21</f>
        <v>0,63</v>
      </c>
      <c r="C27" t="str">
        <f ca="1">FIXED(A19,3)</f>
        <v>0,626</v>
      </c>
      <c r="D27" t="str">
        <f ca="1">RIGHT(C27,1)</f>
        <v>6</v>
      </c>
      <c r="E27">
        <f ca="1">D27+0</f>
        <v>6</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63</v>
      </c>
      <c r="D29" t="str">
        <f ca="1">LEFT(C29,1)</f>
        <v>6</v>
      </c>
      <c r="E29" s="36">
        <f ca="1">TRUNC(A27)</f>
        <v>0</v>
      </c>
      <c r="F29" s="14" t="str">
        <f ca="1">FIXED(A27-E29,G29)</f>
        <v>0,63</v>
      </c>
      <c r="G29">
        <f ca="1">ABS(E32-F32)</f>
        <v>2</v>
      </c>
      <c r="H29" t="str">
        <f ca="1">RIGHT(A27,G29)</f>
        <v>63</v>
      </c>
      <c r="I29">
        <v>0.05</v>
      </c>
      <c r="J29" s="2">
        <f ca="1">(A27-I29)</f>
        <v>0.57999999999999996</v>
      </c>
      <c r="K29" s="41" t="str">
        <f ca="1">IF(C31=5,IF(AND(E27=0,D32=FALSE),J29,J30),J30)</f>
        <v>0,6</v>
      </c>
    </row>
    <row r="30" spans="1:11" hidden="1" x14ac:dyDescent="0.3">
      <c r="A30" s="31"/>
      <c r="C30" t="str">
        <f ca="1">RIGHT(C29,1)</f>
        <v>3</v>
      </c>
      <c r="D30">
        <f ca="1">D29+0</f>
        <v>6</v>
      </c>
      <c r="J30" t="str">
        <f ca="1">FIXED(A27,1)</f>
        <v>0,6</v>
      </c>
      <c r="K30" s="40"/>
    </row>
    <row r="31" spans="1:11" hidden="1" x14ac:dyDescent="0.3">
      <c r="A31" s="31"/>
      <c r="C31">
        <f ca="1">C30+0</f>
        <v>3</v>
      </c>
      <c r="D31" t="s">
        <v>34</v>
      </c>
      <c r="E31" t="s">
        <v>33</v>
      </c>
      <c r="F31" t="s">
        <v>32</v>
      </c>
      <c r="K31" s="27"/>
    </row>
    <row r="32" spans="1:11" hidden="1" x14ac:dyDescent="0.3">
      <c r="A32" s="31"/>
      <c r="D32" t="b">
        <f ca="1">ISODD(D29)</f>
        <v>0</v>
      </c>
      <c r="E32">
        <f ca="1">LEN(A27)</f>
        <v>4</v>
      </c>
      <c r="F32">
        <f ca="1">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 ca="1">K29</f>
        <v>0,6</v>
      </c>
      <c r="C35" t="str">
        <f ca="1">FIXED(A27,2)</f>
        <v>0,63</v>
      </c>
      <c r="D35" t="str">
        <f ca="1">RIGHT(C35,1)</f>
        <v>3</v>
      </c>
      <c r="E35">
        <f ca="1">D35+0</f>
        <v>3</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,6</v>
      </c>
      <c r="D37" t="str">
        <f ca="1">RIGHT(E37,1)</f>
        <v>0</v>
      </c>
      <c r="E37" s="36">
        <f ca="1">TRUNC(A35)</f>
        <v>0</v>
      </c>
      <c r="F37" s="14" t="str">
        <f ca="1">FIXED(A35-E37,G37)</f>
        <v>0,6</v>
      </c>
      <c r="G37">
        <f ca="1">ABS(E40-F40)</f>
        <v>1</v>
      </c>
      <c r="H37" t="str">
        <f ca="1">RIGHT(A35,G37)</f>
        <v>6</v>
      </c>
      <c r="I37">
        <v>0.5</v>
      </c>
      <c r="J37" s="12">
        <f ca="1">(A35-I37)</f>
        <v>9.9999999999999978E-2</v>
      </c>
      <c r="K37" s="35" t="str">
        <f ca="1">IF(C39=5,IF(AND(E35=0,D40=FALSE),J37,J38),J38)</f>
        <v>1</v>
      </c>
    </row>
    <row r="38" spans="1:11" hidden="1" x14ac:dyDescent="0.3">
      <c r="A38" s="31"/>
      <c r="C38" t="str">
        <f ca="1">RIGHT(C37,1)</f>
        <v>6</v>
      </c>
      <c r="D38">
        <f ca="1">D37+0</f>
        <v>0</v>
      </c>
      <c r="J38" t="str">
        <f ca="1">FIXED(A35,0)</f>
        <v>1</v>
      </c>
      <c r="K38" s="34"/>
    </row>
    <row r="39" spans="1:11" hidden="1" x14ac:dyDescent="0.3">
      <c r="A39" s="31"/>
      <c r="C39">
        <f ca="1">C38+0</f>
        <v>6</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 ca="1">FIXED(A83,6)</f>
        <v>0,625407</v>
      </c>
      <c r="D82" t="str">
        <f ca="1">RIGHT(C82,1)</f>
        <v>7</v>
      </c>
      <c r="E82">
        <f ca="1">D82/1000000</f>
        <v>6.9999999999999999E-6</v>
      </c>
      <c r="F82" s="30">
        <f ca="1">A83-E82</f>
        <v>0.62539954307967627</v>
      </c>
      <c r="H82" t="str">
        <f ca="1">IF(C87=5,IF(AND(D83=0,D88=FALSE),J85,J86),J86)</f>
        <v>0,6254</v>
      </c>
      <c r="K82" s="27"/>
    </row>
    <row r="83" spans="1:11" ht="18.600000000000001" thickBot="1" x14ac:dyDescent="0.4">
      <c r="A83" s="29">
        <f ca="1">INCERTIDUMBRE!L6</f>
        <v>0.62540654307967625</v>
      </c>
      <c r="B83" s="28" t="str">
        <f ca="1">IF(A83&gt;=10,K117,IF(A83&gt;=1,K109,IF(A83&gt;=0.1,K101,IF(A83&gt;=0.01,K93,IF(A83&gt;=0.001,K85)))))</f>
        <v>0,63</v>
      </c>
      <c r="C83" t="s">
        <v>28</v>
      </c>
      <c r="D83">
        <f ca="1">D82+0</f>
        <v>7</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76</v>
      </c>
      <c r="D85" t="str">
        <f ca="1">LEFT(C85,1)</f>
        <v>7</v>
      </c>
      <c r="E85" s="30">
        <f ca="1">TRUNC(A83)</f>
        <v>0</v>
      </c>
      <c r="F85" s="14" t="str">
        <f ca="1">FIXED(A83-E85,G85)</f>
        <v>0,625406543079676</v>
      </c>
      <c r="G85">
        <f ca="1">ABS(E88-F88)</f>
        <v>15</v>
      </c>
      <c r="H85" t="str">
        <f ca="1">RIGHT(A83,G85)</f>
        <v>625406543079676</v>
      </c>
      <c r="I85">
        <v>5.0000000000000002E-5</v>
      </c>
      <c r="J85" s="14">
        <f ca="1">(A83-I85)</f>
        <v>0.62535654307967625</v>
      </c>
      <c r="K85" s="45" t="str">
        <f ca="1">IF(C87=5,IF(AND(D83=0,D88=FALSE),J85,J86),J86)</f>
        <v>0,6254</v>
      </c>
    </row>
    <row r="86" spans="1:11" hidden="1" x14ac:dyDescent="0.3">
      <c r="A86" s="31"/>
      <c r="C86" t="str">
        <f ca="1">RIGHT(C85,1)</f>
        <v>6</v>
      </c>
      <c r="D86">
        <f ca="1">D85+0</f>
        <v>7</v>
      </c>
      <c r="J86" t="str">
        <f ca="1">FIXED(A83,4)</f>
        <v>0,6254</v>
      </c>
      <c r="K86" s="27"/>
    </row>
    <row r="87" spans="1:11" hidden="1" x14ac:dyDescent="0.3">
      <c r="A87" s="31"/>
      <c r="C87">
        <f ca="1">C86+0</f>
        <v>6</v>
      </c>
      <c r="D87" t="s">
        <v>34</v>
      </c>
      <c r="E87" t="s">
        <v>33</v>
      </c>
      <c r="F87" t="s">
        <v>32</v>
      </c>
      <c r="K87" s="27"/>
    </row>
    <row r="88" spans="1:11" hidden="1" x14ac:dyDescent="0.3">
      <c r="A88" s="31"/>
      <c r="D88" t="b">
        <f ca="1">ISODD(D85)</f>
        <v>1</v>
      </c>
      <c r="E88">
        <f ca="1">LEN(A83)</f>
        <v>17</v>
      </c>
      <c r="F88">
        <f ca="1">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 ca="1">K85</f>
        <v>0,6254</v>
      </c>
      <c r="C91" t="str">
        <f ca="1">FIXED(A83,5)</f>
        <v>0,62541</v>
      </c>
      <c r="D91" t="str">
        <f ca="1">RIGHT(C91,1)</f>
        <v>1</v>
      </c>
      <c r="E91">
        <f ca="1">D91+0</f>
        <v>1</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54</v>
      </c>
      <c r="D93" t="str">
        <f ca="1">LEFT(C93,1)</f>
        <v>5</v>
      </c>
      <c r="E93" s="36">
        <f ca="1">TRUNC(A91)</f>
        <v>0</v>
      </c>
      <c r="F93" s="14" t="str">
        <f ca="1">FIXED(A91-E93,G93)</f>
        <v>0,6254</v>
      </c>
      <c r="G93">
        <f ca="1">ABS(E96-F96)</f>
        <v>4</v>
      </c>
      <c r="H93" t="str">
        <f ca="1">RIGHT(A91,G93)</f>
        <v>6254</v>
      </c>
      <c r="I93">
        <v>5.0000000000000001E-4</v>
      </c>
      <c r="J93" s="44">
        <f ca="1">(A91-I93)</f>
        <v>0.62490000000000001</v>
      </c>
      <c r="K93" s="43" t="str">
        <f ca="1">IF(C95=5,IF(AND(E91=0,D96=FALSE),J93,J94),J94)</f>
        <v>0,625</v>
      </c>
    </row>
    <row r="94" spans="1:11" hidden="1" x14ac:dyDescent="0.3">
      <c r="A94" s="31"/>
      <c r="C94" t="str">
        <f ca="1">RIGHT(C93,1)</f>
        <v>4</v>
      </c>
      <c r="D94">
        <f ca="1">D93+0</f>
        <v>5</v>
      </c>
      <c r="J94" t="str">
        <f ca="1">FIXED(A91,3)</f>
        <v>0,625</v>
      </c>
      <c r="K94" s="27"/>
    </row>
    <row r="95" spans="1:11" hidden="1" x14ac:dyDescent="0.3">
      <c r="A95" s="31"/>
      <c r="C95">
        <f ca="1">C94+0</f>
        <v>4</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 ca="1">K93</f>
        <v>0,625</v>
      </c>
      <c r="C99" t="str">
        <f ca="1">FIXED(A91,4)</f>
        <v>0,6254</v>
      </c>
      <c r="D99" t="str">
        <f ca="1">RIGHT(C99,1)</f>
        <v>4</v>
      </c>
      <c r="E99">
        <f ca="1">D99+0</f>
        <v>4</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25</v>
      </c>
      <c r="D101" t="str">
        <f ca="1">LEFT(C101,1)</f>
        <v>2</v>
      </c>
      <c r="E101" s="36">
        <f ca="1">TRUNC(A99)</f>
        <v>0</v>
      </c>
      <c r="F101" s="14" t="str">
        <f ca="1">FIXED(A99-E101,G101)</f>
        <v>0,625</v>
      </c>
      <c r="G101">
        <f ca="1">ABS(E104-F104)</f>
        <v>3</v>
      </c>
      <c r="H101" t="str">
        <f ca="1">RIGHT(A99,G101)</f>
        <v>625</v>
      </c>
      <c r="I101">
        <v>5.0000000000000001E-3</v>
      </c>
      <c r="J101" s="2">
        <f ca="1">(A99-I101)</f>
        <v>0.62</v>
      </c>
      <c r="K101" s="41" t="str">
        <f ca="1">IF(C103=5,IF(AND(E99=0,D104=FALSE),J101,J102),J102)</f>
        <v>0,63</v>
      </c>
    </row>
    <row r="102" spans="1:11" ht="18" hidden="1" x14ac:dyDescent="0.35">
      <c r="A102" s="31"/>
      <c r="C102" t="str">
        <f ca="1">RIGHT(C101,1)</f>
        <v>5</v>
      </c>
      <c r="D102">
        <f ca="1">D101+0</f>
        <v>2</v>
      </c>
      <c r="J102" t="str">
        <f ca="1">FIXED(A99,2)</f>
        <v>0,63</v>
      </c>
      <c r="K102" s="41"/>
    </row>
    <row r="103" spans="1:11" hidden="1" x14ac:dyDescent="0.3">
      <c r="A103" s="31"/>
      <c r="C103">
        <f ca="1">C102+0</f>
        <v>5</v>
      </c>
      <c r="D103" t="s">
        <v>34</v>
      </c>
      <c r="E103" t="s">
        <v>33</v>
      </c>
      <c r="F103" t="s">
        <v>32</v>
      </c>
      <c r="K103" s="27"/>
    </row>
    <row r="104" spans="1:11" hidden="1" x14ac:dyDescent="0.3">
      <c r="A104" s="31"/>
      <c r="D104" t="b">
        <f ca="1">ISODD(D101)</f>
        <v>0</v>
      </c>
      <c r="E104">
        <f ca="1">LEN(A99)</f>
        <v>5</v>
      </c>
      <c r="F104">
        <f ca="1">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 ca="1">K101</f>
        <v>0,63</v>
      </c>
      <c r="C107" t="str">
        <f ca="1">FIXED(A99,3)</f>
        <v>0,625</v>
      </c>
      <c r="D107" t="str">
        <f ca="1">RIGHT(C107,1)</f>
        <v>5</v>
      </c>
      <c r="E107">
        <f ca="1">D107+0</f>
        <v>5</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63</v>
      </c>
      <c r="D109" t="str">
        <f ca="1">LEFT(C109,1)</f>
        <v>6</v>
      </c>
      <c r="E109" s="36">
        <f ca="1">TRUNC(A107)</f>
        <v>0</v>
      </c>
      <c r="F109" s="14" t="str">
        <f ca="1">FIXED(A107-E109,G109)</f>
        <v>0,63</v>
      </c>
      <c r="G109">
        <f ca="1">ABS(E112-F112)</f>
        <v>2</v>
      </c>
      <c r="H109" t="str">
        <f ca="1">RIGHT(A107,G109)</f>
        <v>63</v>
      </c>
      <c r="I109">
        <v>0.05</v>
      </c>
      <c r="J109" s="2">
        <f ca="1">(A107-I109)</f>
        <v>0.57999999999999996</v>
      </c>
      <c r="K109" s="41" t="str">
        <f ca="1">IF(C111=5,IF(AND(E107=0,D112=FALSE),J109,J110),J110)</f>
        <v>0,6</v>
      </c>
    </row>
    <row r="110" spans="1:11" hidden="1" x14ac:dyDescent="0.3">
      <c r="A110" s="31"/>
      <c r="C110" t="str">
        <f ca="1">RIGHT(C109,1)</f>
        <v>3</v>
      </c>
      <c r="D110">
        <f ca="1">D109+0</f>
        <v>6</v>
      </c>
      <c r="J110" t="str">
        <f ca="1">FIXED(A107,1)</f>
        <v>0,6</v>
      </c>
      <c r="K110" s="40"/>
    </row>
    <row r="111" spans="1:11" hidden="1" x14ac:dyDescent="0.3">
      <c r="A111" s="31"/>
      <c r="C111">
        <f ca="1">C110+0</f>
        <v>3</v>
      </c>
      <c r="D111" t="s">
        <v>34</v>
      </c>
      <c r="E111" t="s">
        <v>33</v>
      </c>
      <c r="F111" t="s">
        <v>32</v>
      </c>
      <c r="K111" s="27"/>
    </row>
    <row r="112" spans="1:11" hidden="1" x14ac:dyDescent="0.3">
      <c r="A112" s="31"/>
      <c r="D112" t="b">
        <f ca="1">ISODD(D109)</f>
        <v>0</v>
      </c>
      <c r="E112">
        <f ca="1">LEN(A107)</f>
        <v>4</v>
      </c>
      <c r="F112">
        <f ca="1">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 ca="1">K109</f>
        <v>0,6</v>
      </c>
      <c r="C115" t="str">
        <f ca="1">FIXED(A107,2)</f>
        <v>0,63</v>
      </c>
      <c r="D115" t="str">
        <f ca="1">RIGHT(C115,1)</f>
        <v>3</v>
      </c>
      <c r="E115">
        <f ca="1">D115+0</f>
        <v>3</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,6</v>
      </c>
      <c r="D117" t="str">
        <f ca="1">RIGHT(E117,1)</f>
        <v>0</v>
      </c>
      <c r="E117" s="36">
        <f ca="1">TRUNC(A115)</f>
        <v>0</v>
      </c>
      <c r="F117" s="14" t="str">
        <f ca="1">FIXED(A115-E117,G117)</f>
        <v>0,6</v>
      </c>
      <c r="G117">
        <f ca="1">ABS(E120-F120)</f>
        <v>1</v>
      </c>
      <c r="H117" t="str">
        <f ca="1">RIGHT(A115,G117)</f>
        <v>6</v>
      </c>
      <c r="I117">
        <v>0.5</v>
      </c>
      <c r="J117" s="12">
        <f ca="1">(A115-I117)</f>
        <v>9.9999999999999978E-2</v>
      </c>
      <c r="K117" s="35" t="str">
        <f ca="1">IF(C119=5,IF(AND(E115=0,D120=FALSE),J117,J118),J118)</f>
        <v>1</v>
      </c>
    </row>
    <row r="118" spans="1:11" hidden="1" x14ac:dyDescent="0.3">
      <c r="A118" s="31"/>
      <c r="C118" t="str">
        <f ca="1">RIGHT(C117,1)</f>
        <v>6</v>
      </c>
      <c r="D118">
        <f ca="1">D117+0</f>
        <v>0</v>
      </c>
      <c r="J118" t="str">
        <f ca="1">FIXED(A115,0)</f>
        <v>1</v>
      </c>
      <c r="K118" s="34"/>
    </row>
    <row r="119" spans="1:11" hidden="1" x14ac:dyDescent="0.3">
      <c r="A119" s="31"/>
      <c r="C119">
        <f ca="1">C118+0</f>
        <v>6</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str">
        <f ca="1">FIXED(A124,6)</f>
        <v>0,625420</v>
      </c>
      <c r="D123" t="str">
        <f ca="1">RIGHT(C123,1)</f>
        <v>0</v>
      </c>
      <c r="E123">
        <f ca="1">D123/1000000</f>
        <v>0</v>
      </c>
      <c r="F123" s="30">
        <f ca="1">A124-E123</f>
        <v>0.62542012209752895</v>
      </c>
      <c r="H123" t="str">
        <f ca="1">IF(C128=5,IF(AND(D124=0,D129=FALSE),J126,J127),J127)</f>
        <v>0,6254</v>
      </c>
      <c r="K123" s="27"/>
    </row>
    <row r="124" spans="1:11" ht="18.600000000000001" thickBot="1" x14ac:dyDescent="0.4">
      <c r="A124" s="29">
        <f ca="1">INCERTIDUMBRE!L7</f>
        <v>0.62542012209752895</v>
      </c>
      <c r="B124" s="28" t="str">
        <f ca="1">IF(A124&gt;=10,K158,IF(A124&gt;=1,K150,IF(A124&gt;=0.1,K142,IF(A124&gt;=0.01,K134,IF(A124&gt;=0.001,K126)))))</f>
        <v>0,63</v>
      </c>
      <c r="C124" t="s">
        <v>28</v>
      </c>
      <c r="D124">
        <f ca="1">D123+0</f>
        <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 ca="1">RIGHT(F123,2)</f>
        <v>29</v>
      </c>
      <c r="D126" t="str">
        <f ca="1">LEFT(C126,1)</f>
        <v>2</v>
      </c>
      <c r="E126" s="30">
        <f ca="1">TRUNC(A124)</f>
        <v>0</v>
      </c>
      <c r="F126" s="14" t="str">
        <f ca="1">FIXED(A124-E126,G126)</f>
        <v>0,625420122097529</v>
      </c>
      <c r="G126">
        <f ca="1">ABS(E129-F129)</f>
        <v>15</v>
      </c>
      <c r="H126" t="str">
        <f ca="1">RIGHT(A124,G126)</f>
        <v>625420122097529</v>
      </c>
      <c r="I126">
        <v>5.0000000000000002E-5</v>
      </c>
      <c r="J126" s="14">
        <f ca="1">(A124-I126)</f>
        <v>0.62537012209752896</v>
      </c>
      <c r="K126" s="45" t="str">
        <f ca="1">IF(C128=5,IF(AND(D124=0,D129=FALSE),J126,J127),J127)</f>
        <v>0,6254</v>
      </c>
    </row>
    <row r="127" spans="1:11" hidden="1" x14ac:dyDescent="0.3">
      <c r="A127" s="31"/>
      <c r="C127" t="str">
        <f ca="1">RIGHT(C126,1)</f>
        <v>9</v>
      </c>
      <c r="D127">
        <f ca="1">D126+0</f>
        <v>2</v>
      </c>
      <c r="J127" t="str">
        <f ca="1">FIXED(A124,4)</f>
        <v>0,6254</v>
      </c>
      <c r="K127" s="27"/>
    </row>
    <row r="128" spans="1:11" hidden="1" x14ac:dyDescent="0.3">
      <c r="A128" s="31"/>
      <c r="C128">
        <f ca="1">C127+0</f>
        <v>9</v>
      </c>
      <c r="D128" t="s">
        <v>34</v>
      </c>
      <c r="E128" t="s">
        <v>33</v>
      </c>
      <c r="F128" t="s">
        <v>32</v>
      </c>
      <c r="K128" s="27"/>
    </row>
    <row r="129" spans="1:11" hidden="1" x14ac:dyDescent="0.3">
      <c r="A129" s="31"/>
      <c r="D129" t="b">
        <f ca="1">ISODD(D126)</f>
        <v>0</v>
      </c>
      <c r="E129">
        <f ca="1">LEN(A124)</f>
        <v>17</v>
      </c>
      <c r="F129">
        <f ca="1">LEN(E126)+1</f>
        <v>2</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str">
        <f ca="1">K126</f>
        <v>0,6254</v>
      </c>
      <c r="C132" t="str">
        <f ca="1">FIXED(A124,5)</f>
        <v>0,62542</v>
      </c>
      <c r="D132" t="str">
        <f ca="1">RIGHT(C132,1)</f>
        <v>2</v>
      </c>
      <c r="E132">
        <f ca="1">D132+0</f>
        <v>2</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 ca="1">RIGHT(A132,2)</f>
        <v>54</v>
      </c>
      <c r="D134" t="str">
        <f ca="1">LEFT(C134,1)</f>
        <v>5</v>
      </c>
      <c r="E134" s="36">
        <f ca="1">TRUNC(A132)</f>
        <v>0</v>
      </c>
      <c r="F134" s="14" t="str">
        <f ca="1">FIXED(A132-E134,G134)</f>
        <v>0,6254</v>
      </c>
      <c r="G134">
        <f ca="1">ABS(E137-F137)</f>
        <v>4</v>
      </c>
      <c r="H134" t="str">
        <f ca="1">RIGHT(A132,G134)</f>
        <v>6254</v>
      </c>
      <c r="I134">
        <v>5.0000000000000001E-4</v>
      </c>
      <c r="J134" s="44">
        <f ca="1">(A132-I134)</f>
        <v>0.62490000000000001</v>
      </c>
      <c r="K134" s="43" t="str">
        <f ca="1">IF(C136=5,IF(AND(E132=0,D137=FALSE),J134,J135),J135)</f>
        <v>0,625</v>
      </c>
    </row>
    <row r="135" spans="1:11" hidden="1" x14ac:dyDescent="0.3">
      <c r="A135" s="31"/>
      <c r="C135" t="str">
        <f ca="1">RIGHT(C134,1)</f>
        <v>4</v>
      </c>
      <c r="D135">
        <f ca="1">D134+0</f>
        <v>5</v>
      </c>
      <c r="J135" t="str">
        <f ca="1">FIXED(A132,3)</f>
        <v>0,625</v>
      </c>
      <c r="K135" s="27"/>
    </row>
    <row r="136" spans="1:11" hidden="1" x14ac:dyDescent="0.3">
      <c r="A136" s="31"/>
      <c r="C136">
        <f ca="1">C135+0</f>
        <v>4</v>
      </c>
      <c r="D136" t="s">
        <v>34</v>
      </c>
      <c r="E136" t="s">
        <v>33</v>
      </c>
      <c r="F136" t="s">
        <v>32</v>
      </c>
      <c r="K136" s="27"/>
    </row>
    <row r="137" spans="1:11" hidden="1" x14ac:dyDescent="0.3">
      <c r="A137" s="31"/>
      <c r="D137" t="b">
        <f ca="1">ISODD(D134)</f>
        <v>1</v>
      </c>
      <c r="E137">
        <f ca="1">LEN(A132)</f>
        <v>6</v>
      </c>
      <c r="F137">
        <f ca="1">LEN(E134)+1</f>
        <v>2</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str">
        <f ca="1">K134</f>
        <v>0,625</v>
      </c>
      <c r="C140" t="str">
        <f ca="1">FIXED(A132,4)</f>
        <v>0,6254</v>
      </c>
      <c r="D140" t="str">
        <f ca="1">RIGHT(C140,1)</f>
        <v>4</v>
      </c>
      <c r="E140">
        <f ca="1">D140+0</f>
        <v>4</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 ca="1">RIGHT(A140,2)</f>
        <v>25</v>
      </c>
      <c r="D142" t="str">
        <f ca="1">LEFT(C142,1)</f>
        <v>2</v>
      </c>
      <c r="E142" s="36">
        <f ca="1">TRUNC(A140)</f>
        <v>0</v>
      </c>
      <c r="F142" s="14" t="str">
        <f ca="1">FIXED(A140-E142,G142)</f>
        <v>0,625</v>
      </c>
      <c r="G142">
        <f ca="1">ABS(E145-F145)</f>
        <v>3</v>
      </c>
      <c r="H142" t="str">
        <f ca="1">RIGHT(A140,G142)</f>
        <v>625</v>
      </c>
      <c r="I142">
        <v>5.0000000000000001E-3</v>
      </c>
      <c r="J142" s="2">
        <f ca="1">(A140-I142)</f>
        <v>0.62</v>
      </c>
      <c r="K142" s="41" t="str">
        <f ca="1">IF(C144=5,IF(AND(E140=0,D145=FALSE),J142,J143),J143)</f>
        <v>0,63</v>
      </c>
    </row>
    <row r="143" spans="1:11" ht="18" hidden="1" x14ac:dyDescent="0.35">
      <c r="A143" s="31"/>
      <c r="C143" t="str">
        <f ca="1">RIGHT(C142,1)</f>
        <v>5</v>
      </c>
      <c r="D143">
        <f ca="1">D142+0</f>
        <v>2</v>
      </c>
      <c r="J143" t="str">
        <f ca="1">FIXED(A140,2)</f>
        <v>0,63</v>
      </c>
      <c r="K143" s="41"/>
    </row>
    <row r="144" spans="1:11" hidden="1" x14ac:dyDescent="0.3">
      <c r="A144" s="31"/>
      <c r="C144">
        <f ca="1">C143+0</f>
        <v>5</v>
      </c>
      <c r="D144" t="s">
        <v>34</v>
      </c>
      <c r="E144" t="s">
        <v>33</v>
      </c>
      <c r="F144" t="s">
        <v>32</v>
      </c>
      <c r="K144" s="27"/>
    </row>
    <row r="145" spans="1:11" hidden="1" x14ac:dyDescent="0.3">
      <c r="A145" s="31"/>
      <c r="D145" t="b">
        <f ca="1">ISODD(D142)</f>
        <v>0</v>
      </c>
      <c r="E145">
        <f ca="1">LEN(A140)</f>
        <v>5</v>
      </c>
      <c r="F145">
        <f ca="1">LEN(E142)+1</f>
        <v>2</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str">
        <f ca="1">K142</f>
        <v>0,63</v>
      </c>
      <c r="C148" t="str">
        <f ca="1">FIXED(A140,3)</f>
        <v>0,625</v>
      </c>
      <c r="D148" t="str">
        <f ca="1">RIGHT(C148,1)</f>
        <v>5</v>
      </c>
      <c r="E148">
        <f ca="1">D148+0</f>
        <v>5</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 ca="1">RIGHT(A148,2)</f>
        <v>63</v>
      </c>
      <c r="D150" t="str">
        <f ca="1">LEFT(C150,1)</f>
        <v>6</v>
      </c>
      <c r="E150" s="36">
        <f ca="1">TRUNC(A148)</f>
        <v>0</v>
      </c>
      <c r="F150" s="14" t="str">
        <f ca="1">FIXED(A148-E150,G150)</f>
        <v>0,63</v>
      </c>
      <c r="G150">
        <f ca="1">ABS(E153-F153)</f>
        <v>2</v>
      </c>
      <c r="H150" t="str">
        <f ca="1">RIGHT(A148,G150)</f>
        <v>63</v>
      </c>
      <c r="I150">
        <v>0.05</v>
      </c>
      <c r="J150" s="2">
        <f ca="1">(A148-I150)</f>
        <v>0.57999999999999996</v>
      </c>
      <c r="K150" s="41" t="str">
        <f ca="1">IF(C152=5,IF(AND(E148=0,D153=FALSE),J150,J151),J151)</f>
        <v>0,6</v>
      </c>
    </row>
    <row r="151" spans="1:11" hidden="1" x14ac:dyDescent="0.3">
      <c r="A151" s="31"/>
      <c r="C151" t="str">
        <f ca="1">RIGHT(C150,1)</f>
        <v>3</v>
      </c>
      <c r="D151">
        <f ca="1">D150+0</f>
        <v>6</v>
      </c>
      <c r="J151" t="str">
        <f ca="1">FIXED(A148,1)</f>
        <v>0,6</v>
      </c>
      <c r="K151" s="40"/>
    </row>
    <row r="152" spans="1:11" hidden="1" x14ac:dyDescent="0.3">
      <c r="A152" s="31"/>
      <c r="C152">
        <f ca="1">C151+0</f>
        <v>3</v>
      </c>
      <c r="D152" t="s">
        <v>34</v>
      </c>
      <c r="E152" t="s">
        <v>33</v>
      </c>
      <c r="F152" t="s">
        <v>32</v>
      </c>
      <c r="K152" s="27"/>
    </row>
    <row r="153" spans="1:11" hidden="1" x14ac:dyDescent="0.3">
      <c r="A153" s="31"/>
      <c r="D153" t="b">
        <f ca="1">ISODD(D150)</f>
        <v>0</v>
      </c>
      <c r="E153">
        <f ca="1">LEN(A148)</f>
        <v>4</v>
      </c>
      <c r="F153">
        <f ca="1">LEN(E150)+1</f>
        <v>2</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str">
        <f ca="1">K150</f>
        <v>0,6</v>
      </c>
      <c r="C156" t="str">
        <f ca="1">FIXED(A148,2)</f>
        <v>0,63</v>
      </c>
      <c r="D156" t="str">
        <f ca="1">RIGHT(C156,1)</f>
        <v>3</v>
      </c>
      <c r="E156">
        <f ca="1">D156+0</f>
        <v>3</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 ca="1">RIGHT(A156,2)</f>
        <v>,6</v>
      </c>
      <c r="D158" t="str">
        <f ca="1">RIGHT(E158,1)</f>
        <v>0</v>
      </c>
      <c r="E158" s="36">
        <f ca="1">TRUNC(A156)</f>
        <v>0</v>
      </c>
      <c r="F158" s="14" t="str">
        <f ca="1">FIXED(A156-E158,G158)</f>
        <v>0,6</v>
      </c>
      <c r="G158">
        <f ca="1">ABS(E161-F161)</f>
        <v>1</v>
      </c>
      <c r="H158" t="str">
        <f ca="1">RIGHT(A156,G158)</f>
        <v>6</v>
      </c>
      <c r="I158">
        <v>0.5</v>
      </c>
      <c r="J158" s="12">
        <f ca="1">(A156-I158)</f>
        <v>9.9999999999999978E-2</v>
      </c>
      <c r="K158" s="35" t="str">
        <f ca="1">IF(C160=5,IF(AND(E156=0,D161=FALSE),J158,J159),J159)</f>
        <v>1</v>
      </c>
    </row>
    <row r="159" spans="1:11" hidden="1" x14ac:dyDescent="0.3">
      <c r="A159" s="31"/>
      <c r="C159" t="str">
        <f ca="1">RIGHT(C158,1)</f>
        <v>6</v>
      </c>
      <c r="D159">
        <f ca="1">D158+0</f>
        <v>0</v>
      </c>
      <c r="J159" t="str">
        <f ca="1">FIXED(A156,0)</f>
        <v>1</v>
      </c>
      <c r="K159" s="34"/>
    </row>
    <row r="160" spans="1:11" hidden="1" x14ac:dyDescent="0.3">
      <c r="A160" s="31"/>
      <c r="C160">
        <f ca="1">C159+0</f>
        <v>6</v>
      </c>
      <c r="D160" t="s">
        <v>34</v>
      </c>
      <c r="E160" t="s">
        <v>33</v>
      </c>
      <c r="F160" t="s">
        <v>32</v>
      </c>
      <c r="K160" s="27"/>
    </row>
    <row r="161" spans="1:11" ht="15" hidden="1" thickBot="1" x14ac:dyDescent="0.35">
      <c r="A161" s="33"/>
      <c r="B161" s="33"/>
      <c r="C161" s="33"/>
      <c r="D161" s="33" t="b">
        <f ca="1">ISODD(D158)</f>
        <v>0</v>
      </c>
      <c r="E161" s="33">
        <f ca="1">LEN(A156)</f>
        <v>3</v>
      </c>
      <c r="F161" s="33">
        <f ca="1">LEN(E158)+1</f>
        <v>2</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D6" sqref="D6:E6"/>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126</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72" t="s">
        <v>127</v>
      </c>
      <c r="C4" s="172"/>
      <c r="D4" s="124" t="s">
        <v>119</v>
      </c>
      <c r="E4" s="124"/>
      <c r="F4" s="124"/>
      <c r="G4" s="124"/>
      <c r="H4" s="124"/>
      <c r="I4" s="124"/>
      <c r="J4" s="124"/>
      <c r="K4" s="124"/>
      <c r="L4" s="92"/>
      <c r="M4" s="93"/>
      <c r="N4" s="93"/>
      <c r="O4" s="93"/>
      <c r="P4"/>
      <c r="Q4"/>
      <c r="R4"/>
      <c r="S4"/>
      <c r="T4"/>
      <c r="U4"/>
      <c r="V4"/>
      <c r="W4"/>
      <c r="X4"/>
      <c r="Y4"/>
      <c r="Z4"/>
      <c r="AA4"/>
      <c r="AB4"/>
      <c r="AC4"/>
      <c r="AD4"/>
      <c r="AE4"/>
      <c r="AF4"/>
    </row>
    <row r="5" spans="1:32" ht="25.95" customHeight="1" x14ac:dyDescent="0.3">
      <c r="A5"/>
      <c r="B5" s="172"/>
      <c r="C5" s="172"/>
      <c r="D5" s="113" t="s">
        <v>128</v>
      </c>
      <c r="E5" s="113"/>
      <c r="F5" s="113" t="s">
        <v>129</v>
      </c>
      <c r="G5" s="113"/>
      <c r="H5" s="113" t="s">
        <v>130</v>
      </c>
      <c r="I5" s="113"/>
      <c r="J5" s="113" t="s">
        <v>125</v>
      </c>
      <c r="K5" s="113"/>
      <c r="L5" s="172" t="s">
        <v>131</v>
      </c>
      <c r="M5" s="172"/>
      <c r="N5" s="172" t="s">
        <v>132</v>
      </c>
      <c r="O5" s="172"/>
      <c r="P5"/>
      <c r="Q5"/>
      <c r="R5"/>
      <c r="S5"/>
      <c r="T5"/>
      <c r="U5"/>
      <c r="V5"/>
      <c r="W5"/>
      <c r="X5"/>
      <c r="Y5"/>
      <c r="Z5"/>
      <c r="AA5"/>
      <c r="AB5"/>
      <c r="AC5"/>
      <c r="AD5"/>
      <c r="AE5"/>
      <c r="AF5"/>
    </row>
    <row r="6" spans="1:32" x14ac:dyDescent="0.3">
      <c r="A6"/>
      <c r="B6" s="171">
        <v>10</v>
      </c>
      <c r="C6" s="171"/>
      <c r="D6" s="168">
        <f ca="1">9.8 + (10.2 - 9.8) * RAND()</f>
        <v>10.161377052230353</v>
      </c>
      <c r="E6" s="168"/>
      <c r="F6" s="169">
        <f ca="1">D6+((RAND()*(0.01)+0.007)*(RANDBETWEEN(-1,1)))</f>
        <v>10.144409049080242</v>
      </c>
      <c r="G6" s="169"/>
      <c r="H6" s="169">
        <f ca="1">D6+((RAND()*(0.01)+0.007)*(RANDBETWEEN(-1,1)))</f>
        <v>10.161377052230353</v>
      </c>
      <c r="I6" s="169"/>
      <c r="J6" s="169">
        <f ca="1">D6+((RAND()*(0.01)+0.007)*(RANDBETWEEN(-1,1)))</f>
        <v>10.171923589117389</v>
      </c>
      <c r="K6" s="169"/>
      <c r="L6" s="169">
        <f ca="1">AVERAGE(D6:K6)</f>
        <v>10.159771685664584</v>
      </c>
      <c r="M6" s="169"/>
      <c r="N6" s="169">
        <f ca="1">B6-L6</f>
        <v>-0.15977168566458388</v>
      </c>
      <c r="O6" s="169"/>
      <c r="P6"/>
      <c r="Q6"/>
      <c r="R6"/>
      <c r="S6"/>
      <c r="T6"/>
      <c r="U6"/>
      <c r="V6"/>
      <c r="W6"/>
      <c r="X6"/>
      <c r="Y6"/>
      <c r="Z6"/>
      <c r="AA6"/>
      <c r="AB6"/>
      <c r="AC6"/>
      <c r="AD6"/>
      <c r="AE6"/>
      <c r="AF6"/>
    </row>
    <row r="7" spans="1:32" x14ac:dyDescent="0.3">
      <c r="A7"/>
      <c r="B7" s="171">
        <v>20</v>
      </c>
      <c r="C7" s="171"/>
      <c r="D7" s="169">
        <f ca="1">(D6+B6)-(B6-D6)</f>
        <v>20.322754104460707</v>
      </c>
      <c r="E7" s="169"/>
      <c r="F7" s="169">
        <f t="shared" ref="F7:F9" ca="1" si="0">D7+((RAND()*(0.01)+0.007)*(RANDBETWEEN(-1,1)))</f>
        <v>20.309175533977871</v>
      </c>
      <c r="G7" s="169"/>
      <c r="H7" s="169">
        <f t="shared" ref="H7:H9" ca="1" si="1">D7+((RAND()*(0.01)+0.007)*(RANDBETWEEN(-1,1)))</f>
        <v>20.330409088180268</v>
      </c>
      <c r="I7" s="169"/>
      <c r="J7" s="169">
        <f t="shared" ref="J7:J9" ca="1" si="2">D7+((RAND()*(0.01)+0.007)*(RANDBETWEEN(-1,1)))</f>
        <v>20.315134210102489</v>
      </c>
      <c r="K7" s="169"/>
      <c r="L7" s="169">
        <f t="shared" ref="L7:L9" ca="1" si="3">AVERAGE(D7:K7)</f>
        <v>20.319368234180335</v>
      </c>
      <c r="M7" s="169"/>
      <c r="N7" s="169">
        <f t="shared" ref="N7:N9" ca="1" si="4">B7-L7</f>
        <v>-0.31936823418033455</v>
      </c>
      <c r="O7" s="169"/>
      <c r="P7"/>
      <c r="Q7"/>
      <c r="R7"/>
      <c r="S7"/>
      <c r="T7"/>
      <c r="U7"/>
      <c r="V7"/>
      <c r="W7"/>
      <c r="X7"/>
      <c r="Y7"/>
      <c r="Z7"/>
      <c r="AA7"/>
      <c r="AB7"/>
      <c r="AC7"/>
      <c r="AD7"/>
      <c r="AE7"/>
      <c r="AF7"/>
    </row>
    <row r="8" spans="1:32" x14ac:dyDescent="0.3">
      <c r="A8"/>
      <c r="B8" s="171">
        <v>30</v>
      </c>
      <c r="C8" s="171"/>
      <c r="D8" s="169">
        <f ca="1">(D7+B6)-(B6-D6)</f>
        <v>30.48413115669106</v>
      </c>
      <c r="E8" s="169"/>
      <c r="F8" s="169">
        <f t="shared" ca="1" si="0"/>
        <v>30.48413115669106</v>
      </c>
      <c r="G8" s="169"/>
      <c r="H8" s="169">
        <f t="shared" ca="1" si="1"/>
        <v>30.493750401108979</v>
      </c>
      <c r="I8" s="169"/>
      <c r="J8" s="169">
        <f t="shared" ca="1" si="2"/>
        <v>30.492642927509628</v>
      </c>
      <c r="K8" s="169"/>
      <c r="L8" s="169">
        <f t="shared" ca="1" si="3"/>
        <v>30.488663910500179</v>
      </c>
      <c r="M8" s="169"/>
      <c r="N8" s="169">
        <f t="shared" ca="1" si="4"/>
        <v>-0.4886639105001791</v>
      </c>
      <c r="O8" s="169"/>
      <c r="P8"/>
      <c r="Q8"/>
      <c r="R8"/>
      <c r="S8"/>
      <c r="T8"/>
      <c r="U8"/>
      <c r="V8"/>
      <c r="W8"/>
      <c r="X8"/>
      <c r="Y8"/>
      <c r="Z8"/>
      <c r="AA8"/>
      <c r="AB8"/>
      <c r="AC8"/>
      <c r="AD8"/>
      <c r="AE8"/>
      <c r="AF8"/>
    </row>
    <row r="9" spans="1:32" x14ac:dyDescent="0.3">
      <c r="A9"/>
      <c r="B9" s="171">
        <v>40</v>
      </c>
      <c r="C9" s="171"/>
      <c r="D9" s="169">
        <f ca="1">(D8+B6)-(B6-D6)</f>
        <v>40.645508208921413</v>
      </c>
      <c r="E9" s="169"/>
      <c r="F9" s="169">
        <f t="shared" ca="1" si="0"/>
        <v>40.6314623435836</v>
      </c>
      <c r="G9" s="169"/>
      <c r="H9" s="169">
        <f t="shared" ca="1" si="1"/>
        <v>40.636992815574914</v>
      </c>
      <c r="I9" s="169"/>
      <c r="J9" s="169">
        <f t="shared" ca="1" si="2"/>
        <v>40.631340458432362</v>
      </c>
      <c r="K9" s="169"/>
      <c r="L9" s="169">
        <f t="shared" ca="1" si="3"/>
        <v>40.63632595662807</v>
      </c>
      <c r="M9" s="169"/>
      <c r="N9" s="169">
        <f t="shared" ca="1" si="4"/>
        <v>-0.63632595662807034</v>
      </c>
      <c r="O9" s="169"/>
      <c r="P9"/>
      <c r="Q9"/>
      <c r="R9"/>
      <c r="S9"/>
      <c r="T9"/>
      <c r="U9"/>
      <c r="V9"/>
      <c r="W9"/>
      <c r="X9"/>
      <c r="Y9"/>
      <c r="Z9"/>
      <c r="AA9"/>
      <c r="AB9"/>
      <c r="AC9"/>
      <c r="AD9"/>
      <c r="AE9"/>
      <c r="AF9"/>
    </row>
    <row r="10" spans="1:32" x14ac:dyDescent="0.3">
      <c r="A10"/>
      <c r="B10" s="167"/>
      <c r="C10" s="167"/>
      <c r="D10" s="168"/>
      <c r="E10" s="168"/>
      <c r="F10" s="168"/>
      <c r="G10" s="168"/>
      <c r="H10" s="168"/>
      <c r="I10" s="168"/>
      <c r="J10" s="168"/>
      <c r="K10" s="168"/>
      <c r="L10" s="168"/>
      <c r="M10" s="168"/>
      <c r="N10" s="168"/>
      <c r="O10" s="168"/>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L5:M5"/>
    <mergeCell ref="N5:O5"/>
    <mergeCell ref="B6:C6"/>
    <mergeCell ref="D6:E6"/>
    <mergeCell ref="F6:G6"/>
    <mergeCell ref="H6:I6"/>
    <mergeCell ref="J6:K6"/>
    <mergeCell ref="B4:C5"/>
    <mergeCell ref="D4:K4"/>
    <mergeCell ref="D5:E5"/>
    <mergeCell ref="F5:G5"/>
    <mergeCell ref="H5:I5"/>
    <mergeCell ref="J5:K5"/>
    <mergeCell ref="N8:O8"/>
    <mergeCell ref="L6:M6"/>
    <mergeCell ref="N6:O6"/>
    <mergeCell ref="B7:C7"/>
    <mergeCell ref="D7:E7"/>
    <mergeCell ref="F7:G7"/>
    <mergeCell ref="H7:I7"/>
    <mergeCell ref="J7:K7"/>
    <mergeCell ref="L7:M7"/>
    <mergeCell ref="N7:O7"/>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B10:C10"/>
    <mergeCell ref="D10:E10"/>
    <mergeCell ref="F10:G10"/>
    <mergeCell ref="H10:I10"/>
    <mergeCell ref="J10:K10"/>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3" t="s">
        <v>120</v>
      </c>
      <c r="D2" s="173"/>
      <c r="E2" s="173"/>
      <c r="F2" s="173"/>
      <c r="G2" s="173"/>
      <c r="H2" s="173"/>
      <c r="I2" s="173"/>
      <c r="J2" s="173"/>
      <c r="K2" s="173"/>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9" t="s">
        <v>13</v>
      </c>
      <c r="C34" s="179"/>
      <c r="D34" s="179"/>
      <c r="E34" s="179"/>
      <c r="F34" s="179"/>
      <c r="G34" s="179"/>
      <c r="H34" s="179"/>
      <c r="I34" s="179"/>
      <c r="J34" s="179"/>
      <c r="K34" s="179"/>
      <c r="L34" s="179"/>
      <c r="M34" s="179"/>
      <c r="N34" s="3"/>
      <c r="O34" s="3"/>
      <c r="P34" s="3"/>
      <c r="Q34" s="3"/>
    </row>
    <row r="35" spans="2:17" x14ac:dyDescent="0.3">
      <c r="B35" s="174" t="s">
        <v>12</v>
      </c>
      <c r="C35" s="174"/>
      <c r="D35" s="174"/>
      <c r="E35" s="174"/>
      <c r="F35" s="174"/>
      <c r="G35" s="176" t="s">
        <v>121</v>
      </c>
      <c r="H35" s="177"/>
      <c r="I35" s="177"/>
      <c r="J35" s="177"/>
      <c r="K35" s="177"/>
      <c r="L35" s="177"/>
      <c r="M35" s="178"/>
      <c r="N35" s="9"/>
      <c r="O35" s="9"/>
      <c r="P35" s="9"/>
      <c r="Q35" s="9"/>
    </row>
    <row r="36" spans="2:17" x14ac:dyDescent="0.3">
      <c r="B36" s="174" t="s">
        <v>7</v>
      </c>
      <c r="C36" s="174"/>
      <c r="D36" s="174"/>
      <c r="E36" s="174"/>
      <c r="F36" s="174"/>
      <c r="G36" s="176" t="s">
        <v>122</v>
      </c>
      <c r="H36" s="177"/>
      <c r="I36" s="177"/>
      <c r="J36" s="177"/>
      <c r="K36" s="177"/>
      <c r="L36" s="177"/>
      <c r="M36" s="178"/>
      <c r="N36" s="9"/>
      <c r="O36" s="9"/>
      <c r="P36" s="9"/>
      <c r="Q36" s="9"/>
    </row>
    <row r="37" spans="2:17" x14ac:dyDescent="0.3">
      <c r="B37" s="174" t="s">
        <v>6</v>
      </c>
      <c r="C37" s="174"/>
      <c r="D37" s="174"/>
      <c r="E37" s="174"/>
      <c r="F37" s="174"/>
      <c r="G37" s="176">
        <v>4070</v>
      </c>
      <c r="H37" s="177"/>
      <c r="I37" s="177"/>
      <c r="J37" s="177"/>
      <c r="K37" s="177"/>
      <c r="L37" s="177"/>
      <c r="M37" s="178"/>
      <c r="N37" s="9"/>
      <c r="O37" s="9"/>
      <c r="P37" s="9"/>
      <c r="Q37" s="9"/>
    </row>
    <row r="38" spans="2:17" x14ac:dyDescent="0.3">
      <c r="B38" s="174" t="s">
        <v>4</v>
      </c>
      <c r="C38" s="174"/>
      <c r="D38" s="174"/>
      <c r="E38" s="174"/>
      <c r="F38" s="174"/>
      <c r="G38" s="176">
        <v>40712037006</v>
      </c>
      <c r="H38" s="177"/>
      <c r="I38" s="177"/>
      <c r="J38" s="177"/>
      <c r="K38" s="177"/>
      <c r="L38" s="177"/>
      <c r="M38" s="178"/>
      <c r="N38" s="9"/>
      <c r="O38" s="9"/>
      <c r="P38" s="9"/>
      <c r="Q38" s="9"/>
    </row>
    <row r="39" spans="2:17" x14ac:dyDescent="0.3">
      <c r="B39" s="174" t="s">
        <v>11</v>
      </c>
      <c r="C39" s="174"/>
      <c r="D39" s="174"/>
      <c r="E39" s="174"/>
      <c r="F39" s="175"/>
      <c r="G39" s="180">
        <v>44970</v>
      </c>
      <c r="H39" s="180"/>
      <c r="I39" s="180"/>
      <c r="J39" s="180"/>
      <c r="K39" s="180"/>
      <c r="L39" s="180"/>
      <c r="M39" s="180"/>
      <c r="N39" s="10"/>
      <c r="O39" s="10"/>
      <c r="P39" s="10"/>
      <c r="Q39" s="10"/>
    </row>
    <row r="40" spans="2:17" x14ac:dyDescent="0.3">
      <c r="B40" s="174" t="s">
        <v>10</v>
      </c>
      <c r="C40" s="174"/>
      <c r="D40" s="174"/>
      <c r="E40" s="174"/>
      <c r="F40" s="174"/>
      <c r="G40" s="181" t="s">
        <v>123</v>
      </c>
      <c r="H40" s="181"/>
      <c r="I40" s="181"/>
      <c r="J40" s="181"/>
      <c r="K40" s="181"/>
      <c r="L40" s="181"/>
      <c r="M40" s="181"/>
      <c r="N40" s="9"/>
      <c r="O40" s="9"/>
      <c r="P40" s="9"/>
      <c r="Q40" s="9"/>
    </row>
    <row r="41" spans="2:17" x14ac:dyDescent="0.3">
      <c r="B41" s="174" t="s">
        <v>133</v>
      </c>
      <c r="C41" s="174"/>
      <c r="D41" s="174"/>
      <c r="E41" s="174"/>
      <c r="F41" s="174"/>
      <c r="G41" s="176">
        <v>2.7E-2</v>
      </c>
      <c r="H41" s="177"/>
      <c r="I41" s="177"/>
      <c r="J41" s="177"/>
      <c r="K41" s="177"/>
      <c r="L41" s="177"/>
      <c r="M41" s="178"/>
      <c r="N41" s="4"/>
      <c r="O41" s="4"/>
      <c r="P41" s="4"/>
      <c r="Q41" s="4"/>
    </row>
    <row r="42" spans="2:17" x14ac:dyDescent="0.3">
      <c r="B42" s="174" t="s">
        <v>134</v>
      </c>
      <c r="C42" s="174"/>
      <c r="D42" s="174"/>
      <c r="E42" s="174"/>
      <c r="F42" s="175"/>
      <c r="G42" s="176">
        <v>0.2</v>
      </c>
      <c r="H42" s="177"/>
      <c r="I42" s="177"/>
      <c r="J42" s="177"/>
      <c r="K42" s="177"/>
      <c r="L42" s="177"/>
      <c r="M42" s="178"/>
      <c r="N42" s="4"/>
      <c r="O42" s="4"/>
      <c r="P42" s="4"/>
      <c r="Q42" s="4"/>
    </row>
    <row r="43" spans="2:17" x14ac:dyDescent="0.3">
      <c r="B43" s="174" t="s">
        <v>135</v>
      </c>
      <c r="C43" s="174"/>
      <c r="D43" s="174"/>
      <c r="E43" s="174"/>
      <c r="F43" s="175"/>
      <c r="G43" s="176">
        <v>1E-3</v>
      </c>
      <c r="H43" s="177"/>
      <c r="I43" s="177"/>
      <c r="J43" s="177"/>
      <c r="K43" s="177"/>
      <c r="L43" s="177"/>
      <c r="M43" s="178"/>
    </row>
    <row r="44" spans="2:17" x14ac:dyDescent="0.3">
      <c r="B44" s="174" t="s">
        <v>9</v>
      </c>
      <c r="C44" s="174"/>
      <c r="D44" s="174"/>
      <c r="E44" s="174"/>
      <c r="F44" s="175"/>
      <c r="G44" s="176">
        <v>2</v>
      </c>
      <c r="H44" s="177"/>
      <c r="I44" s="177"/>
      <c r="J44" s="177"/>
      <c r="K44" s="177"/>
      <c r="L44" s="177"/>
      <c r="M44" s="178"/>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9"/>
      <c r="D92" s="129"/>
      <c r="E92" s="129"/>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D4" sqref="D4"/>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2" t="s">
        <v>124</v>
      </c>
      <c r="C2" s="183"/>
      <c r="D2" s="183"/>
      <c r="E2" s="183"/>
      <c r="F2" s="183"/>
      <c r="G2" s="183"/>
      <c r="H2" s="183"/>
      <c r="I2" s="183"/>
      <c r="J2" s="183"/>
      <c r="K2" s="183"/>
      <c r="L2" s="184"/>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v>
      </c>
      <c r="C4" s="8">
        <f>PATRON!G$41/2</f>
        <v>1.35E-2</v>
      </c>
      <c r="D4" s="8">
        <f>PATRON!G$42/SQRT(3)</f>
        <v>0.11547005383792516</v>
      </c>
      <c r="E4" s="8">
        <v>0</v>
      </c>
      <c r="F4" s="8">
        <f>1/SQRT(12)</f>
        <v>0.28867513459481292</v>
      </c>
      <c r="G4" s="95">
        <f>PATRON!G$43/SQRT(12)</f>
        <v>2.886751345948129E-4</v>
      </c>
      <c r="H4" s="7">
        <f ca="1">STDEVA(MEDIDA!D6:K6)/SQRT(4)</f>
        <v>5.6923469381402105E-3</v>
      </c>
      <c r="I4" s="8">
        <f ca="1">SQRT(SUMSQ(C4:H4))</f>
        <v>0.31125777550715766</v>
      </c>
      <c r="J4" s="15">
        <f ca="1">I4^4/(C4^4/200+D4^4/200+E4^4/200+F4^4/200+G4^4/200+H4^4/3)</f>
        <v>263.56577774628857</v>
      </c>
      <c r="K4" s="11">
        <f ca="1">TINV(0.0455,J4)</f>
        <v>2.0095526109253541</v>
      </c>
      <c r="L4" s="7">
        <f ca="1">I4*K4</f>
        <v>0.62548887544122644</v>
      </c>
    </row>
    <row r="5" spans="1:12" x14ac:dyDescent="0.3">
      <c r="A5" s="52"/>
      <c r="B5" s="6">
        <f>MEDIDA!B7</f>
        <v>20</v>
      </c>
      <c r="C5" s="8">
        <f>PATRON!G$41/2</f>
        <v>1.35E-2</v>
      </c>
      <c r="D5" s="8">
        <f>PATRON!G$42/SQRT(3)</f>
        <v>0.11547005383792516</v>
      </c>
      <c r="E5" s="8">
        <v>0</v>
      </c>
      <c r="F5" s="8">
        <f t="shared" ref="F5:F8" si="0">1/SQRT(12)</f>
        <v>0.28867513459481292</v>
      </c>
      <c r="G5" s="95">
        <f>PATRON!G$43/SQRT(12)</f>
        <v>2.886751345948129E-4</v>
      </c>
      <c r="H5" s="7">
        <f ca="1">STDEVA(MEDIDA!D7:K7)/SQRT(4)</f>
        <v>4.6114230622843902E-3</v>
      </c>
      <c r="I5" s="8">
        <f ca="1">SQRT(SUMSQ(C5:H5))</f>
        <v>0.31123988372742234</v>
      </c>
      <c r="J5" s="15">
        <f ca="1">I5^4/(C5^4/200+D5^4/200+E5^4/200+F5^4/200+G5^4/200+H5^4/3)</f>
        <v>263.50665591372103</v>
      </c>
      <c r="K5" s="11">
        <f ca="1">TINV(0.0455,J5)</f>
        <v>2.0095526109253541</v>
      </c>
      <c r="L5" s="7">
        <f ca="1">I5*K5</f>
        <v>0.62545292096854521</v>
      </c>
    </row>
    <row r="6" spans="1:12" x14ac:dyDescent="0.3">
      <c r="A6" s="52"/>
      <c r="B6" s="6">
        <f>MEDIDA!B8</f>
        <v>30</v>
      </c>
      <c r="C6" s="8">
        <f>PATRON!G$41/2</f>
        <v>1.35E-2</v>
      </c>
      <c r="D6" s="8">
        <f>PATRON!G$42/SQRT(3)</f>
        <v>0.11547005383792516</v>
      </c>
      <c r="E6" s="8">
        <v>0</v>
      </c>
      <c r="F6" s="8">
        <f t="shared" si="0"/>
        <v>0.28867513459481292</v>
      </c>
      <c r="G6" s="95">
        <f>PATRON!G$43/SQRT(12)</f>
        <v>2.886751345948129E-4</v>
      </c>
      <c r="H6" s="7">
        <f ca="1">STDEVA(MEDIDA!D8:K8)/SQRT(4)</f>
        <v>2.6267324007701641E-3</v>
      </c>
      <c r="I6" s="8">
        <f ca="1">SQRT(SUMSQ(C6:H6))</f>
        <v>0.31121680501397297</v>
      </c>
      <c r="J6" s="15">
        <f ca="1">I6^4/(C6^4/200+D6^4/200+E6^4/200+F6^4/200+G6^4/200+H6^4/3)</f>
        <v>263.42950525932764</v>
      </c>
      <c r="K6" s="11">
        <f t="shared" ref="K6:K7" ca="1" si="1">TINV(0.0455,J6)</f>
        <v>2.0095526109253541</v>
      </c>
      <c r="L6" s="7">
        <f t="shared" ref="L6:L7" ca="1" si="2">I6*K6</f>
        <v>0.62540654307967625</v>
      </c>
    </row>
    <row r="7" spans="1:12" x14ac:dyDescent="0.3">
      <c r="A7" s="52"/>
      <c r="B7" s="6">
        <f>MEDIDA!B9</f>
        <v>40</v>
      </c>
      <c r="C7" s="8">
        <f>PATRON!G$41/2</f>
        <v>1.35E-2</v>
      </c>
      <c r="D7" s="8">
        <f>PATRON!G$42/SQRT(3)</f>
        <v>0.11547005383792516</v>
      </c>
      <c r="E7" s="8">
        <v>0</v>
      </c>
      <c r="F7" s="8">
        <f t="shared" si="0"/>
        <v>0.28867513459481292</v>
      </c>
      <c r="G7" s="95">
        <f>PATRON!G$43/SQRT(12)</f>
        <v>2.886751345948129E-4</v>
      </c>
      <c r="H7" s="7">
        <f ca="1">STDEVA(MEDIDA!D9:K9)/SQRT(4)</f>
        <v>3.3325213445094971E-3</v>
      </c>
      <c r="I7" s="8">
        <f ca="1">SQRT(SUMSQ(C7:H7))</f>
        <v>0.31122356224828418</v>
      </c>
      <c r="J7" s="15">
        <f ca="1">I7^4/(C7^4/200+D7^4/200+E7^4/200+F7^4/200+G7^4/200+H7^4/3)</f>
        <v>263.45219790095837</v>
      </c>
      <c r="K7" s="11">
        <f t="shared" ca="1" si="1"/>
        <v>2.0095526109253541</v>
      </c>
      <c r="L7" s="7">
        <f t="shared" ca="1" si="2"/>
        <v>0.62542012209752895</v>
      </c>
    </row>
    <row r="8" spans="1:12" x14ac:dyDescent="0.3">
      <c r="B8" s="6">
        <f>MEDIDA!B10</f>
        <v>0</v>
      </c>
      <c r="C8" s="8">
        <f>PATRON!G$41/2</f>
        <v>1.35E-2</v>
      </c>
      <c r="D8" s="8">
        <f>PATRON!G$42/SQRT(3)</f>
        <v>0.11547005383792516</v>
      </c>
      <c r="E8" s="8">
        <v>0</v>
      </c>
      <c r="F8" s="8">
        <f t="shared" si="0"/>
        <v>0.28867513459481292</v>
      </c>
      <c r="G8" s="95">
        <f>PATRON!G$43/SQRT(12)</f>
        <v>2.886751345948129E-4</v>
      </c>
      <c r="H8" s="7" t="e">
        <f>STDEVA(MEDIDA!D10:K10)/SQRT(4)</f>
        <v>#DIV/0!</v>
      </c>
      <c r="I8" s="8" t="e">
        <f>SQRT(SUMSQ(C8:H8))</f>
        <v>#DIV/0!</v>
      </c>
      <c r="J8" s="15" t="e">
        <f>I8^4/(C8^4/200+D8^4/200+E8^4/200+F8^4/200+G8^4/200+H8^4/3)</f>
        <v>#DIV/0!</v>
      </c>
      <c r="K8" s="11" t="e">
        <f t="shared" ref="K8" si="3">TINV(0.0455,J8)</f>
        <v>#DIV/0!</v>
      </c>
      <c r="L8" s="7" t="e">
        <f t="shared" ref="L8" si="4">I8*K8</f>
        <v>#DIV/0!</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5"/>
  <sheetViews>
    <sheetView tabSelected="1" view="pageLayout" topLeftCell="A82" zoomScaleNormal="100" workbookViewId="0">
      <selection activeCell="T92" sqref="T9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50"/>
      <c r="J1" s="150"/>
      <c r="K1" s="150"/>
      <c r="M1" s="63"/>
      <c r="O1" s="108" t="s">
        <v>79</v>
      </c>
      <c r="P1" s="108"/>
      <c r="Q1" s="108"/>
      <c r="R1" s="109">
        <f>INFORMACIÓN!G3</f>
        <v>0</v>
      </c>
      <c r="S1" s="109"/>
    </row>
    <row r="2" spans="1:27" ht="16.95" customHeight="1" x14ac:dyDescent="0.3">
      <c r="G2" s="152"/>
      <c r="H2" s="152"/>
      <c r="I2" s="152"/>
      <c r="J2" s="151"/>
      <c r="K2" s="151"/>
    </row>
    <row r="3" spans="1:27" ht="16.95" customHeight="1" x14ac:dyDescent="0.3">
      <c r="B3" s="82"/>
      <c r="C3" s="153" t="s">
        <v>70</v>
      </c>
      <c r="D3" s="153"/>
      <c r="E3" s="153"/>
      <c r="F3" s="153"/>
      <c r="G3" s="153"/>
      <c r="H3" s="153"/>
      <c r="I3" s="153"/>
      <c r="J3" s="153"/>
      <c r="K3" s="153"/>
      <c r="L3" s="153"/>
      <c r="M3" s="153"/>
      <c r="N3" s="153"/>
      <c r="O3" s="153"/>
      <c r="P3" s="153"/>
      <c r="Q3" s="153"/>
      <c r="R3" s="153"/>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08" t="s">
        <v>61</v>
      </c>
      <c r="D5" s="108"/>
      <c r="E5" s="108"/>
      <c r="F5" s="108"/>
      <c r="G5" s="108"/>
      <c r="H5" s="51"/>
      <c r="I5" s="149">
        <f>INFORMACIÓN!A3</f>
        <v>0</v>
      </c>
      <c r="J5" s="149"/>
      <c r="K5" s="149"/>
      <c r="L5" s="149"/>
      <c r="M5" s="149"/>
      <c r="N5" s="149"/>
      <c r="O5" s="149"/>
      <c r="P5" s="149"/>
      <c r="Q5" s="149"/>
      <c r="R5" s="149"/>
      <c r="S5"/>
      <c r="T5"/>
      <c r="U5"/>
      <c r="V5"/>
      <c r="W5"/>
      <c r="X5"/>
      <c r="Y5"/>
      <c r="Z5"/>
      <c r="AA5"/>
    </row>
    <row r="6" spans="1:27" s="53" customFormat="1" ht="16.95" customHeight="1" x14ac:dyDescent="0.3">
      <c r="B6" s="77"/>
      <c r="C6" s="108" t="s">
        <v>62</v>
      </c>
      <c r="D6" s="108"/>
      <c r="E6" s="108"/>
      <c r="F6" s="108"/>
      <c r="G6" s="108"/>
      <c r="H6" s="51"/>
      <c r="I6" s="149">
        <f>INFORMACIÓN!B3</f>
        <v>0</v>
      </c>
      <c r="J6" s="149"/>
      <c r="K6" s="149"/>
      <c r="L6" s="149"/>
      <c r="M6" s="149"/>
      <c r="N6" s="149"/>
      <c r="O6" s="149"/>
      <c r="P6" s="149"/>
      <c r="Q6" s="149"/>
      <c r="R6" s="149"/>
      <c r="S6"/>
      <c r="T6"/>
      <c r="U6"/>
      <c r="V6"/>
      <c r="W6"/>
      <c r="X6"/>
      <c r="Y6"/>
      <c r="Z6"/>
      <c r="AA6"/>
    </row>
    <row r="7" spans="1:27" s="53" customFormat="1" ht="16.95" customHeight="1" x14ac:dyDescent="0.3">
      <c r="B7" s="77"/>
      <c r="C7" s="108" t="s">
        <v>63</v>
      </c>
      <c r="D7" s="108"/>
      <c r="E7" s="108"/>
      <c r="F7" s="108"/>
      <c r="G7" s="108"/>
      <c r="H7" s="51"/>
      <c r="I7" s="149">
        <f>INFORMACIÓN!C3</f>
        <v>0</v>
      </c>
      <c r="J7" s="149"/>
      <c r="K7" s="149"/>
      <c r="L7" s="149"/>
      <c r="M7" s="149"/>
      <c r="N7" s="149"/>
      <c r="O7" s="149"/>
      <c r="P7" s="149"/>
      <c r="Q7" s="149"/>
      <c r="R7" s="149"/>
      <c r="S7"/>
      <c r="T7"/>
      <c r="U7"/>
      <c r="V7"/>
      <c r="W7"/>
      <c r="X7"/>
      <c r="Y7"/>
      <c r="Z7"/>
      <c r="AA7"/>
    </row>
    <row r="8" spans="1:27" s="53" customFormat="1" ht="16.95" customHeight="1" x14ac:dyDescent="0.3">
      <c r="B8" s="77"/>
      <c r="C8" s="108" t="s">
        <v>64</v>
      </c>
      <c r="D8" s="108"/>
      <c r="E8" s="108"/>
      <c r="F8" s="108"/>
      <c r="G8" s="108"/>
      <c r="H8" s="51"/>
      <c r="I8" s="154">
        <f>INFORMACIÓN!D3</f>
        <v>0</v>
      </c>
      <c r="J8" s="149"/>
      <c r="K8" s="149"/>
      <c r="L8" s="149"/>
      <c r="M8" s="149"/>
      <c r="N8" s="149"/>
      <c r="O8" s="149"/>
      <c r="P8" s="149"/>
      <c r="Q8" s="149"/>
      <c r="R8" s="149"/>
      <c r="S8"/>
      <c r="T8"/>
      <c r="U8"/>
      <c r="V8"/>
      <c r="W8"/>
      <c r="X8"/>
      <c r="Y8"/>
      <c r="Z8"/>
      <c r="AA8"/>
    </row>
    <row r="9" spans="1:27" s="53" customFormat="1" ht="16.95" customHeight="1" x14ac:dyDescent="0.3">
      <c r="B9" s="77"/>
      <c r="C9" s="108" t="s">
        <v>65</v>
      </c>
      <c r="D9" s="108"/>
      <c r="E9" s="108"/>
      <c r="F9" s="108"/>
      <c r="G9" s="108"/>
      <c r="H9" s="51"/>
      <c r="I9" s="154">
        <f>INFORMACIÓN!F3</f>
        <v>0</v>
      </c>
      <c r="J9" s="149"/>
      <c r="K9" s="149"/>
      <c r="L9" s="149"/>
      <c r="M9" s="149"/>
      <c r="N9" s="149"/>
      <c r="O9" s="149"/>
      <c r="P9" s="149"/>
      <c r="Q9" s="149"/>
      <c r="R9" s="149"/>
      <c r="S9"/>
      <c r="T9"/>
      <c r="U9"/>
      <c r="V9"/>
      <c r="W9"/>
      <c r="X9"/>
      <c r="Y9"/>
      <c r="Z9"/>
      <c r="AA9"/>
    </row>
    <row r="10" spans="1:27" s="53" customFormat="1" ht="16.95" customHeight="1" x14ac:dyDescent="0.3">
      <c r="B10" s="77"/>
      <c r="C10" s="108" t="s">
        <v>67</v>
      </c>
      <c r="D10" s="108"/>
      <c r="E10" s="108"/>
      <c r="F10" s="108"/>
      <c r="G10" s="108"/>
      <c r="H10" s="51"/>
      <c r="I10" s="155">
        <f>INFORMACIÓN!E3</f>
        <v>0</v>
      </c>
      <c r="J10" s="149"/>
      <c r="K10" s="149"/>
      <c r="L10" s="149"/>
      <c r="M10" s="149"/>
      <c r="N10" s="149"/>
      <c r="O10" s="149"/>
      <c r="P10" s="149"/>
      <c r="Q10" s="149"/>
      <c r="R10" s="149"/>
      <c r="S10"/>
      <c r="T10"/>
      <c r="U10"/>
      <c r="V10"/>
      <c r="W10"/>
      <c r="X10"/>
      <c r="Y10"/>
      <c r="Z10"/>
      <c r="AA10"/>
    </row>
    <row r="11" spans="1:27" s="53" customFormat="1" ht="16.95" customHeight="1" x14ac:dyDescent="0.3">
      <c r="B11" s="77"/>
      <c r="C11" s="108" t="s">
        <v>66</v>
      </c>
      <c r="D11" s="108"/>
      <c r="E11" s="108"/>
      <c r="F11" s="108"/>
      <c r="G11" s="108"/>
      <c r="H11" s="51"/>
      <c r="I11" s="149" t="str">
        <f>INFORMACIÓN!B8</f>
        <v>BUEN ESTADO</v>
      </c>
      <c r="J11" s="149"/>
      <c r="K11" s="149"/>
      <c r="L11" s="149"/>
      <c r="M11" s="149"/>
      <c r="N11" s="149"/>
      <c r="O11" s="149"/>
      <c r="P11" s="149"/>
      <c r="Q11" s="149"/>
      <c r="R11" s="149"/>
      <c r="S11"/>
      <c r="T11"/>
      <c r="U11"/>
      <c r="V11"/>
      <c r="W11"/>
      <c r="X11"/>
      <c r="Y11"/>
      <c r="Z11"/>
      <c r="AA11"/>
    </row>
    <row r="12" spans="1:27" s="53" customFormat="1" ht="16.95" customHeight="1" x14ac:dyDescent="0.3">
      <c r="B12" s="77"/>
      <c r="C12" s="108" t="s">
        <v>76</v>
      </c>
      <c r="D12" s="108"/>
      <c r="E12" s="108"/>
      <c r="F12" s="108"/>
      <c r="G12" s="108"/>
      <c r="H12" s="78"/>
      <c r="I12" s="156">
        <f>INFORMACIÓN!H3</f>
        <v>0</v>
      </c>
      <c r="J12" s="156"/>
      <c r="K12" s="156"/>
      <c r="L12" s="156"/>
      <c r="M12" s="156"/>
      <c r="N12" s="156"/>
      <c r="O12" s="156"/>
      <c r="P12" s="156"/>
      <c r="Q12" s="156"/>
      <c r="R12" s="156"/>
      <c r="S12"/>
      <c r="T12"/>
      <c r="U12"/>
      <c r="V12"/>
      <c r="W12"/>
      <c r="X12"/>
      <c r="Y12"/>
      <c r="Z12"/>
      <c r="AA12"/>
    </row>
    <row r="13" spans="1:27" s="53" customFormat="1" ht="16.95" customHeight="1" x14ac:dyDescent="0.3">
      <c r="B13" s="77"/>
      <c r="C13" s="108" t="s">
        <v>75</v>
      </c>
      <c r="D13" s="108"/>
      <c r="E13" s="108"/>
      <c r="F13" s="108"/>
      <c r="G13" s="108"/>
      <c r="H13" s="78"/>
      <c r="I13" s="156">
        <f>INFORMACIÓN!B9</f>
        <v>0</v>
      </c>
      <c r="J13" s="156"/>
      <c r="K13" s="156"/>
      <c r="L13" s="156"/>
      <c r="M13" s="156"/>
      <c r="N13" s="156"/>
      <c r="O13" s="156"/>
      <c r="P13" s="156"/>
      <c r="Q13" s="156"/>
      <c r="R13" s="156"/>
      <c r="S13"/>
      <c r="T13"/>
      <c r="U13"/>
      <c r="V13"/>
      <c r="W13"/>
      <c r="X13"/>
      <c r="Y13"/>
      <c r="Z13"/>
      <c r="AA13"/>
    </row>
    <row r="14" spans="1:27" ht="16.95" customHeight="1" x14ac:dyDescent="0.3"/>
    <row r="15" spans="1:27" ht="16.95" customHeight="1" x14ac:dyDescent="0.3">
      <c r="B15" s="63"/>
      <c r="C15" s="112" t="s">
        <v>69</v>
      </c>
      <c r="D15" s="112"/>
      <c r="E15" s="112"/>
      <c r="F15" s="112"/>
      <c r="G15" s="112"/>
      <c r="H15" s="112"/>
      <c r="I15" s="112"/>
      <c r="J15" s="112"/>
      <c r="K15" s="112"/>
      <c r="L15" s="112"/>
      <c r="M15" s="112"/>
      <c r="N15" s="112"/>
      <c r="O15" s="112"/>
      <c r="P15" s="112"/>
      <c r="Q15" s="112"/>
      <c r="R15" s="112"/>
    </row>
    <row r="16" spans="1:27" ht="16.95" customHeight="1" x14ac:dyDescent="0.3"/>
    <row r="17" spans="1:18" ht="16.95" customHeight="1" x14ac:dyDescent="0.3">
      <c r="B17" s="50"/>
      <c r="C17" s="123" t="s">
        <v>71</v>
      </c>
      <c r="D17" s="123"/>
      <c r="E17" s="123"/>
      <c r="F17" s="123"/>
      <c r="G17" s="123"/>
      <c r="H17" s="49"/>
      <c r="I17" s="144">
        <f>INFORMACIÓN!E7</f>
        <v>0</v>
      </c>
      <c r="J17" s="144"/>
      <c r="K17" s="144"/>
      <c r="L17" s="144"/>
      <c r="M17" s="144"/>
      <c r="N17" s="144"/>
      <c r="O17" s="144"/>
      <c r="P17" s="144"/>
      <c r="Q17" s="144"/>
      <c r="R17" s="144"/>
    </row>
    <row r="18" spans="1:18" ht="16.95" customHeight="1" x14ac:dyDescent="0.3">
      <c r="B18" s="50"/>
      <c r="C18" s="123" t="s">
        <v>72</v>
      </c>
      <c r="D18" s="123"/>
      <c r="E18" s="123"/>
      <c r="F18" s="123"/>
      <c r="G18" s="123"/>
      <c r="H18" s="49"/>
      <c r="I18" s="144">
        <f>INFORMACIÓN!E8</f>
        <v>0</v>
      </c>
      <c r="J18" s="144"/>
      <c r="K18" s="144"/>
      <c r="L18" s="144"/>
      <c r="M18" s="144"/>
      <c r="N18" s="144"/>
      <c r="O18" s="144"/>
      <c r="P18" s="144"/>
      <c r="Q18" s="144"/>
      <c r="R18" s="144"/>
    </row>
    <row r="19" spans="1:18" ht="16.95" customHeight="1" x14ac:dyDescent="0.3">
      <c r="B19" s="50"/>
      <c r="C19" s="123" t="s">
        <v>89</v>
      </c>
      <c r="D19" s="123"/>
      <c r="E19" s="123"/>
      <c r="F19" s="123"/>
      <c r="G19" s="123"/>
      <c r="H19" s="49"/>
      <c r="I19" s="144">
        <f>INFORMACIÓN!E9</f>
        <v>0</v>
      </c>
      <c r="J19" s="144"/>
      <c r="K19" s="144"/>
      <c r="L19" s="144"/>
      <c r="M19" s="144"/>
      <c r="N19" s="144"/>
      <c r="O19" s="144"/>
      <c r="P19" s="144"/>
      <c r="Q19" s="144"/>
      <c r="R19" s="144"/>
    </row>
    <row r="20" spans="1:18" ht="16.95" customHeight="1" x14ac:dyDescent="0.3">
      <c r="B20" s="50"/>
      <c r="C20" s="123" t="s">
        <v>73</v>
      </c>
      <c r="D20" s="123"/>
      <c r="E20" s="123"/>
      <c r="F20" s="123"/>
      <c r="G20" s="123"/>
      <c r="H20" s="49"/>
      <c r="I20" s="144">
        <f>INFORMACIÓN!E10</f>
        <v>0</v>
      </c>
      <c r="J20" s="144"/>
      <c r="K20" s="144"/>
      <c r="L20" s="144"/>
      <c r="M20" s="144"/>
      <c r="N20" s="144"/>
      <c r="O20" s="144"/>
      <c r="P20" s="144"/>
      <c r="Q20" s="144"/>
      <c r="R20" s="144"/>
    </row>
    <row r="21" spans="1:18" ht="16.95" customHeight="1" x14ac:dyDescent="0.3">
      <c r="B21" s="50"/>
      <c r="C21" s="123" t="s">
        <v>74</v>
      </c>
      <c r="D21" s="123"/>
      <c r="E21" s="123"/>
      <c r="F21" s="123"/>
      <c r="G21" s="123"/>
      <c r="H21" s="49"/>
      <c r="I21" s="144">
        <f>INFORMACIÓN!E11</f>
        <v>0</v>
      </c>
      <c r="J21" s="144"/>
      <c r="K21" s="144"/>
      <c r="L21" s="144"/>
      <c r="M21" s="144"/>
      <c r="N21" s="144"/>
      <c r="O21" s="144"/>
      <c r="P21" s="144"/>
      <c r="Q21" s="144"/>
      <c r="R21" s="14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5" t="s">
        <v>160</v>
      </c>
      <c r="D23" s="145"/>
      <c r="E23" s="145"/>
      <c r="F23" s="145"/>
      <c r="G23" s="145"/>
      <c r="H23" s="145"/>
      <c r="I23" s="145"/>
      <c r="J23" s="145"/>
      <c r="K23" s="145"/>
      <c r="L23" s="145"/>
      <c r="M23" s="145"/>
      <c r="N23" s="145"/>
      <c r="O23" s="145"/>
      <c r="P23" s="145"/>
      <c r="Q23" s="145"/>
      <c r="R23" s="145"/>
    </row>
    <row r="24" spans="1:18" ht="16.95" customHeight="1" x14ac:dyDescent="0.3">
      <c r="A24" s="76"/>
      <c r="B24" s="76"/>
      <c r="C24" s="146"/>
      <c r="D24" s="146"/>
      <c r="E24" s="146"/>
      <c r="F24" s="146"/>
      <c r="G24" s="146"/>
      <c r="H24" s="146"/>
      <c r="I24" s="146"/>
      <c r="J24" s="146"/>
      <c r="K24" s="146"/>
      <c r="L24" s="146"/>
      <c r="M24" s="146"/>
      <c r="N24" s="146"/>
      <c r="O24" s="146"/>
      <c r="P24" s="146"/>
      <c r="Q24" s="146"/>
      <c r="R24" s="146"/>
    </row>
    <row r="25" spans="1:18" ht="16.95" customHeight="1" x14ac:dyDescent="0.3">
      <c r="A25" s="76"/>
      <c r="B25" s="76"/>
      <c r="C25" s="146"/>
      <c r="D25" s="146"/>
      <c r="E25" s="146"/>
      <c r="F25" s="146"/>
      <c r="G25" s="146"/>
      <c r="H25" s="146"/>
      <c r="I25" s="146"/>
      <c r="J25" s="146"/>
      <c r="K25" s="146"/>
      <c r="L25" s="146"/>
      <c r="M25" s="146"/>
      <c r="N25" s="146"/>
      <c r="O25" s="146"/>
      <c r="P25" s="146"/>
      <c r="Q25" s="146"/>
      <c r="R25" s="146"/>
    </row>
    <row r="26" spans="1:18" ht="16.95" customHeight="1" x14ac:dyDescent="0.3">
      <c r="A26" s="76"/>
      <c r="B26" s="76"/>
      <c r="C26" s="146"/>
      <c r="D26" s="146"/>
      <c r="E26" s="146"/>
      <c r="F26" s="146"/>
      <c r="G26" s="146"/>
      <c r="H26" s="146"/>
      <c r="I26" s="146"/>
      <c r="J26" s="146"/>
      <c r="K26" s="146"/>
      <c r="L26" s="146"/>
      <c r="M26" s="146"/>
      <c r="N26" s="146"/>
      <c r="O26" s="146"/>
      <c r="P26" s="146"/>
      <c r="Q26" s="146"/>
      <c r="R26" s="146"/>
    </row>
    <row r="27" spans="1:18" ht="16.95" customHeight="1" x14ac:dyDescent="0.3">
      <c r="A27" s="76"/>
      <c r="B27" s="76"/>
      <c r="C27" s="146"/>
      <c r="D27" s="146"/>
      <c r="E27" s="146"/>
      <c r="F27" s="146"/>
      <c r="G27" s="146"/>
      <c r="H27" s="146"/>
      <c r="I27" s="146"/>
      <c r="J27" s="146"/>
      <c r="K27" s="146"/>
      <c r="L27" s="146"/>
      <c r="M27" s="146"/>
      <c r="N27" s="146"/>
      <c r="O27" s="146"/>
      <c r="P27" s="146"/>
      <c r="Q27" s="146"/>
      <c r="R27" s="146"/>
    </row>
    <row r="28" spans="1:18" ht="16.95" customHeight="1" x14ac:dyDescent="0.3">
      <c r="A28" s="76"/>
      <c r="B28" s="76"/>
      <c r="C28" s="147"/>
      <c r="D28" s="147"/>
      <c r="E28" s="147"/>
      <c r="F28" s="147"/>
      <c r="G28" s="147"/>
      <c r="H28" s="147"/>
      <c r="I28" s="147"/>
      <c r="J28" s="147"/>
      <c r="K28" s="147"/>
      <c r="L28" s="147"/>
      <c r="M28" s="147"/>
      <c r="N28" s="147"/>
      <c r="O28" s="147"/>
      <c r="P28" s="147"/>
      <c r="Q28" s="147"/>
      <c r="R28" s="147"/>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3" t="s">
        <v>77</v>
      </c>
      <c r="J31" s="123"/>
      <c r="K31" s="123"/>
      <c r="L31" s="123"/>
      <c r="M31" s="144" t="str">
        <f>INFORMACIÓN!B15</f>
        <v>ING. GABRIEL DURÁN</v>
      </c>
      <c r="N31" s="144"/>
      <c r="O31" s="144"/>
      <c r="P31" s="144"/>
      <c r="Q31" s="144"/>
      <c r="R31" s="144"/>
    </row>
    <row r="32" spans="1:18" ht="16.95" customHeight="1" x14ac:dyDescent="0.3">
      <c r="F32" s="50"/>
      <c r="G32" s="50"/>
      <c r="H32" s="50"/>
      <c r="I32" s="123" t="s">
        <v>78</v>
      </c>
      <c r="J32" s="123"/>
      <c r="K32" s="123"/>
      <c r="L32" s="123"/>
      <c r="M32" s="148">
        <f>INFORMACIÓN!B10</f>
        <v>0</v>
      </c>
      <c r="N32" s="148"/>
      <c r="O32" s="148"/>
      <c r="P32" s="62"/>
      <c r="Q32" s="62"/>
      <c r="R32" s="50"/>
    </row>
    <row r="33" spans="1:19" ht="16.95" customHeight="1" x14ac:dyDescent="0.3">
      <c r="I33" s="123" t="s">
        <v>82</v>
      </c>
      <c r="J33" s="123"/>
      <c r="K33" s="123"/>
      <c r="L33" s="123"/>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3" t="str">
        <f>O1</f>
        <v>CERTIFICADO N°:</v>
      </c>
      <c r="P38" s="123"/>
      <c r="Q38" s="123"/>
      <c r="R38" s="143">
        <f>R1</f>
        <v>0</v>
      </c>
      <c r="S38" s="143"/>
    </row>
    <row r="39" spans="1:19" ht="16.95" customHeight="1" x14ac:dyDescent="0.3"/>
    <row r="40" spans="1:19" ht="16.95" customHeight="1" x14ac:dyDescent="0.3">
      <c r="B40" s="130" t="s">
        <v>83</v>
      </c>
      <c r="C40" s="130"/>
      <c r="D40" s="130"/>
      <c r="E40" s="130"/>
      <c r="F40" s="130"/>
      <c r="G40" s="130"/>
      <c r="H40" s="130"/>
      <c r="I40" s="130"/>
      <c r="J40" s="130"/>
      <c r="K40" s="130"/>
      <c r="L40" s="130"/>
      <c r="M40" s="130"/>
      <c r="N40" s="130"/>
      <c r="O40" s="130"/>
      <c r="P40" s="130"/>
      <c r="Q40" s="130"/>
      <c r="R40" s="130"/>
      <c r="S40" s="130"/>
    </row>
    <row r="41" spans="1:19" ht="16.95" customHeight="1" x14ac:dyDescent="0.3">
      <c r="B41" s="118" t="s">
        <v>161</v>
      </c>
      <c r="C41" s="118"/>
      <c r="D41" s="118"/>
      <c r="E41" s="118"/>
      <c r="F41" s="118"/>
      <c r="G41" s="118"/>
      <c r="H41" s="118"/>
      <c r="I41" s="118"/>
      <c r="J41" s="118"/>
      <c r="K41" s="118"/>
      <c r="L41" s="118"/>
      <c r="M41" s="118"/>
      <c r="N41" s="118"/>
      <c r="O41" s="118"/>
      <c r="P41" s="118"/>
      <c r="Q41" s="118"/>
      <c r="R41" s="118"/>
      <c r="S41" s="118"/>
    </row>
    <row r="42" spans="1:19" ht="16.95" customHeight="1" x14ac:dyDescent="0.3">
      <c r="A42" s="85"/>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5"/>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1" t="s">
        <v>84</v>
      </c>
      <c r="G45" s="132"/>
      <c r="H45" s="132"/>
      <c r="I45" s="132"/>
      <c r="J45" s="133"/>
      <c r="K45" s="140" t="s">
        <v>85</v>
      </c>
      <c r="L45" s="141"/>
      <c r="M45" s="141"/>
      <c r="N45" s="141"/>
      <c r="O45" s="142"/>
    </row>
    <row r="46" spans="1:19" ht="16.95" customHeight="1" x14ac:dyDescent="0.3">
      <c r="E46" s="74"/>
      <c r="F46" s="135">
        <f>AVERAGE(INFORMACIÓN!B11:B12)</f>
        <v>24.3</v>
      </c>
      <c r="G46" s="136"/>
      <c r="H46" s="70" t="s">
        <v>86</v>
      </c>
      <c r="I46" s="71">
        <f>ABS(INFORMACIÓN!B11-INFORMACIÓN!B12)</f>
        <v>0.39999999999999858</v>
      </c>
      <c r="J46" s="75"/>
      <c r="K46" s="137">
        <f>AVERAGE(INFORMACIÓN!B13:B14)</f>
        <v>61.5</v>
      </c>
      <c r="L46" s="138"/>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4" t="s">
        <v>162</v>
      </c>
      <c r="G48" s="134"/>
      <c r="H48" s="134"/>
      <c r="I48" s="134"/>
      <c r="J48" s="134"/>
      <c r="K48" s="139" t="s">
        <v>163</v>
      </c>
      <c r="L48" s="139"/>
      <c r="M48" s="139"/>
      <c r="N48" s="139"/>
      <c r="O48" s="139"/>
      <c r="P48" s="139"/>
    </row>
    <row r="49" spans="1:19" ht="13.2" customHeight="1" x14ac:dyDescent="0.3"/>
    <row r="50" spans="1:19" ht="16.95" customHeight="1" x14ac:dyDescent="0.3">
      <c r="B50" s="129" t="s">
        <v>87</v>
      </c>
      <c r="C50" s="129"/>
      <c r="D50" s="129"/>
      <c r="E50" s="129"/>
      <c r="F50" s="129"/>
      <c r="G50" s="129"/>
      <c r="H50" s="129"/>
      <c r="I50" s="129"/>
      <c r="J50" s="129"/>
      <c r="K50" s="129"/>
      <c r="L50" s="129"/>
      <c r="M50" s="129"/>
      <c r="N50" s="129"/>
      <c r="O50" s="129"/>
      <c r="P50" s="129"/>
      <c r="Q50" s="129"/>
      <c r="R50" s="129"/>
      <c r="S50" s="129"/>
    </row>
    <row r="51" spans="1:19" ht="16.95" customHeight="1" x14ac:dyDescent="0.3">
      <c r="B51" s="118" t="s">
        <v>164</v>
      </c>
      <c r="C51" s="118"/>
      <c r="D51" s="118"/>
      <c r="E51" s="118"/>
      <c r="F51" s="118"/>
      <c r="G51" s="118"/>
      <c r="H51" s="118"/>
      <c r="I51" s="118"/>
      <c r="J51" s="118"/>
      <c r="K51" s="118"/>
      <c r="L51" s="118"/>
      <c r="M51" s="118"/>
      <c r="N51" s="118"/>
      <c r="O51" s="118"/>
      <c r="P51" s="118"/>
      <c r="Q51" s="118"/>
      <c r="R51" s="118"/>
      <c r="S51" s="118"/>
    </row>
    <row r="52" spans="1:19" ht="16.95" customHeight="1" x14ac:dyDescent="0.3">
      <c r="A52" s="85"/>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5"/>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5"/>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5"/>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5"/>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5"/>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5"/>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0" t="s">
        <v>88</v>
      </c>
      <c r="C60" s="130"/>
      <c r="D60" s="130"/>
      <c r="E60" s="130"/>
      <c r="F60" s="130"/>
      <c r="G60" s="130"/>
      <c r="H60" s="130"/>
      <c r="I60" s="130"/>
      <c r="J60" s="130"/>
      <c r="K60" s="130"/>
      <c r="L60" s="130"/>
      <c r="M60" s="130"/>
      <c r="N60" s="130"/>
      <c r="O60" s="130"/>
      <c r="P60" s="130"/>
      <c r="Q60" s="130"/>
      <c r="R60" s="130"/>
      <c r="S60" s="130"/>
    </row>
    <row r="61" spans="1:19" ht="16.95" customHeight="1" x14ac:dyDescent="0.3">
      <c r="B61" s="118" t="s">
        <v>165</v>
      </c>
      <c r="C61" s="118"/>
      <c r="D61" s="118"/>
      <c r="E61" s="118"/>
      <c r="F61" s="118"/>
      <c r="G61" s="118"/>
      <c r="H61" s="118"/>
      <c r="I61" s="118"/>
      <c r="J61" s="118"/>
      <c r="K61" s="118"/>
      <c r="L61" s="118"/>
      <c r="M61" s="118"/>
      <c r="N61" s="118"/>
      <c r="O61" s="118"/>
      <c r="P61" s="118"/>
      <c r="Q61" s="118"/>
      <c r="R61" s="118"/>
      <c r="S61" s="118"/>
    </row>
    <row r="62" spans="1:19" ht="16.95" customHeight="1" x14ac:dyDescent="0.3">
      <c r="A62" s="85"/>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30" t="s">
        <v>94</v>
      </c>
      <c r="C64" s="130"/>
      <c r="D64" s="130"/>
      <c r="E64" s="130"/>
      <c r="F64" s="130"/>
      <c r="G64" s="130"/>
      <c r="H64" s="130"/>
      <c r="I64" s="130"/>
      <c r="J64" s="130"/>
      <c r="K64" s="130"/>
      <c r="L64" s="130"/>
      <c r="M64" s="130"/>
      <c r="N64" s="130"/>
      <c r="O64" s="130"/>
      <c r="P64" s="130"/>
      <c r="Q64" s="130"/>
      <c r="R64" s="130"/>
      <c r="S64" s="130"/>
    </row>
    <row r="65" spans="1:19" ht="19.2" customHeight="1" x14ac:dyDescent="0.3">
      <c r="B65" s="118" t="s">
        <v>166</v>
      </c>
      <c r="C65" s="118"/>
      <c r="D65" s="118"/>
      <c r="E65" s="118"/>
      <c r="F65" s="118"/>
      <c r="G65" s="118"/>
      <c r="H65" s="118"/>
      <c r="I65" s="118"/>
      <c r="J65" s="118"/>
      <c r="K65" s="118"/>
      <c r="L65" s="118"/>
      <c r="M65" s="118"/>
      <c r="N65" s="118"/>
      <c r="O65" s="118"/>
      <c r="P65" s="118"/>
      <c r="Q65" s="118"/>
      <c r="R65" s="118"/>
      <c r="S65" s="118"/>
    </row>
    <row r="66" spans="1:19" ht="16.95" customHeight="1" x14ac:dyDescent="0.3">
      <c r="A66" s="85"/>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5"/>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5"/>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16" t="s">
        <v>90</v>
      </c>
      <c r="C70" s="116"/>
      <c r="D70" s="116"/>
      <c r="E70" s="116"/>
      <c r="F70" s="116"/>
      <c r="G70" s="116"/>
      <c r="H70" s="116" t="s">
        <v>91</v>
      </c>
      <c r="I70" s="116"/>
      <c r="J70" s="116"/>
      <c r="K70" s="116"/>
      <c r="L70" s="116"/>
      <c r="M70" s="116" t="s">
        <v>92</v>
      </c>
      <c r="N70" s="116"/>
      <c r="O70" s="116"/>
      <c r="P70" s="116" t="s">
        <v>93</v>
      </c>
      <c r="Q70" s="116"/>
      <c r="R70" s="116"/>
      <c r="S70" s="116"/>
    </row>
    <row r="71" spans="1:19" ht="16.95" customHeight="1" x14ac:dyDescent="0.3">
      <c r="B71" s="117" t="s">
        <v>137</v>
      </c>
      <c r="C71" s="117"/>
      <c r="D71" s="117"/>
      <c r="E71" s="117"/>
      <c r="F71" s="117"/>
      <c r="G71" s="117"/>
      <c r="H71" s="121" t="s">
        <v>136</v>
      </c>
      <c r="I71" s="121"/>
      <c r="J71" s="121"/>
      <c r="K71" s="121"/>
      <c r="L71" s="121"/>
      <c r="M71" s="122">
        <v>46059</v>
      </c>
      <c r="N71" s="122"/>
      <c r="O71" s="122"/>
      <c r="P71" s="120">
        <v>316261</v>
      </c>
      <c r="Q71" s="120"/>
      <c r="R71" s="120"/>
      <c r="S71" s="12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43">
        <f>R1</f>
        <v>0</v>
      </c>
      <c r="S76" s="143"/>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138</v>
      </c>
      <c r="C80" s="50"/>
      <c r="D80" s="50"/>
      <c r="E80" s="50"/>
      <c r="F80" s="50"/>
      <c r="G80" s="50"/>
      <c r="H80" s="50"/>
      <c r="I80" s="126" t="s">
        <v>139</v>
      </c>
      <c r="J80" s="126"/>
      <c r="K80" s="126"/>
      <c r="L80" s="126"/>
      <c r="M80" s="126"/>
      <c r="N80" s="125" t="s">
        <v>159</v>
      </c>
      <c r="O80" s="125"/>
      <c r="P80" s="126" t="s">
        <v>140</v>
      </c>
      <c r="Q80" s="126"/>
      <c r="R80" s="126"/>
      <c r="S80" s="88">
        <v>0.1</v>
      </c>
    </row>
    <row r="81" spans="2:20" ht="16.95" customHeight="1" x14ac:dyDescent="0.3"/>
    <row r="82" spans="2:20" ht="16.649999999999999" customHeight="1" x14ac:dyDescent="0.3">
      <c r="B82" s="113" t="s">
        <v>142</v>
      </c>
      <c r="C82" s="113"/>
      <c r="D82" s="124" t="s">
        <v>119</v>
      </c>
      <c r="E82" s="124"/>
      <c r="F82" s="124"/>
      <c r="G82" s="124"/>
      <c r="H82" s="124"/>
      <c r="I82" s="124"/>
      <c r="J82" s="124"/>
      <c r="K82" s="124"/>
      <c r="L82" s="127" t="s">
        <v>141</v>
      </c>
      <c r="M82" s="128"/>
      <c r="N82" s="128"/>
      <c r="O82" s="128"/>
      <c r="P82" s="128"/>
      <c r="Q82" s="128"/>
      <c r="R82" s="128"/>
      <c r="S82" s="128"/>
    </row>
    <row r="83" spans="2:20" ht="34.799999999999997" customHeight="1" x14ac:dyDescent="0.3">
      <c r="B83" s="113"/>
      <c r="C83" s="113"/>
      <c r="D83" s="113" t="s">
        <v>143</v>
      </c>
      <c r="E83" s="113"/>
      <c r="F83" s="113" t="s">
        <v>144</v>
      </c>
      <c r="G83" s="113"/>
      <c r="H83" s="113" t="s">
        <v>145</v>
      </c>
      <c r="I83" s="113"/>
      <c r="J83" s="113" t="s">
        <v>146</v>
      </c>
      <c r="K83" s="113"/>
      <c r="L83" s="113" t="s">
        <v>147</v>
      </c>
      <c r="M83" s="113"/>
      <c r="N83" s="113" t="s">
        <v>148</v>
      </c>
      <c r="O83" s="113"/>
      <c r="P83" s="113" t="s">
        <v>168</v>
      </c>
      <c r="Q83" s="113"/>
      <c r="R83" s="113"/>
      <c r="S83" s="87" t="s">
        <v>14</v>
      </c>
    </row>
    <row r="84" spans="2:20" ht="16.95" customHeight="1" x14ac:dyDescent="0.3">
      <c r="B84" s="114">
        <f>MEDIDA!B6</f>
        <v>10</v>
      </c>
      <c r="C84" s="114"/>
      <c r="D84" s="115">
        <f ca="1">MEDIDA!D6</f>
        <v>10.161377052230353</v>
      </c>
      <c r="E84" s="115"/>
      <c r="F84" s="115">
        <f ca="1">MEDIDA!F6</f>
        <v>10.144409049080242</v>
      </c>
      <c r="G84" s="115"/>
      <c r="H84" s="115">
        <f ca="1">MEDIDA!H6</f>
        <v>10.161377052230353</v>
      </c>
      <c r="I84" s="115"/>
      <c r="J84" s="115">
        <f ca="1">MEDIDA!J6</f>
        <v>10.171923589117389</v>
      </c>
      <c r="K84" s="115"/>
      <c r="L84" s="115">
        <f ca="1">MEDIDA!L6</f>
        <v>10.159771685664584</v>
      </c>
      <c r="M84" s="115"/>
      <c r="N84" s="115">
        <f ca="1">MEDIDA!N6</f>
        <v>-0.15977168566458388</v>
      </c>
      <c r="O84" s="115"/>
      <c r="P84" s="115">
        <f ca="1">INCERTIDUMBRE!L4</f>
        <v>0.62548887544122644</v>
      </c>
      <c r="Q84" s="115"/>
      <c r="R84" s="115"/>
      <c r="S84" s="94">
        <f ca="1">INCERTIDUMBRE!K4</f>
        <v>2.0095526109253541</v>
      </c>
    </row>
    <row r="85" spans="2:20" ht="16.95" customHeight="1" x14ac:dyDescent="0.3">
      <c r="B85" s="114">
        <f>MEDIDA!B7</f>
        <v>20</v>
      </c>
      <c r="C85" s="114"/>
      <c r="D85" s="115">
        <f ca="1">MEDIDA!D7</f>
        <v>20.322754104460707</v>
      </c>
      <c r="E85" s="115"/>
      <c r="F85" s="115">
        <f ca="1">MEDIDA!F7</f>
        <v>20.309175533977871</v>
      </c>
      <c r="G85" s="115"/>
      <c r="H85" s="115">
        <f ca="1">MEDIDA!H7</f>
        <v>20.330409088180268</v>
      </c>
      <c r="I85" s="115"/>
      <c r="J85" s="115">
        <f ca="1">MEDIDA!J7</f>
        <v>20.315134210102489</v>
      </c>
      <c r="K85" s="115"/>
      <c r="L85" s="115">
        <f ca="1">MEDIDA!L7</f>
        <v>20.319368234180335</v>
      </c>
      <c r="M85" s="115"/>
      <c r="N85" s="115">
        <f ca="1">MEDIDA!N7</f>
        <v>-0.31936823418033455</v>
      </c>
      <c r="O85" s="115"/>
      <c r="P85" s="115">
        <f ca="1">INCERTIDUMBRE!L5</f>
        <v>0.62545292096854521</v>
      </c>
      <c r="Q85" s="115"/>
      <c r="R85" s="115"/>
      <c r="S85" s="94">
        <f ca="1">INCERTIDUMBRE!K5</f>
        <v>2.0095526109253541</v>
      </c>
    </row>
    <row r="86" spans="2:20" ht="16.95" customHeight="1" x14ac:dyDescent="0.3">
      <c r="B86" s="114">
        <f>MEDIDA!B8</f>
        <v>30</v>
      </c>
      <c r="C86" s="114"/>
      <c r="D86" s="115">
        <f ca="1">MEDIDA!D8</f>
        <v>30.48413115669106</v>
      </c>
      <c r="E86" s="115"/>
      <c r="F86" s="115">
        <f ca="1">MEDIDA!F8</f>
        <v>30.48413115669106</v>
      </c>
      <c r="G86" s="115"/>
      <c r="H86" s="115">
        <f ca="1">MEDIDA!H8</f>
        <v>30.493750401108979</v>
      </c>
      <c r="I86" s="115"/>
      <c r="J86" s="115">
        <f ca="1">MEDIDA!J8</f>
        <v>30.492642927509628</v>
      </c>
      <c r="K86" s="115"/>
      <c r="L86" s="115">
        <f ca="1">MEDIDA!L8</f>
        <v>30.488663910500179</v>
      </c>
      <c r="M86" s="115"/>
      <c r="N86" s="115">
        <f ca="1">MEDIDA!N8</f>
        <v>-0.4886639105001791</v>
      </c>
      <c r="O86" s="115"/>
      <c r="P86" s="115">
        <f ca="1">INCERTIDUMBRE!L6</f>
        <v>0.62540654307967625</v>
      </c>
      <c r="Q86" s="115"/>
      <c r="R86" s="115"/>
      <c r="S86" s="94">
        <f ca="1">INCERTIDUMBRE!K6</f>
        <v>2.0095526109253541</v>
      </c>
    </row>
    <row r="87" spans="2:20" ht="16.95" customHeight="1" x14ac:dyDescent="0.3">
      <c r="B87" s="114">
        <f>MEDIDA!B9</f>
        <v>40</v>
      </c>
      <c r="C87" s="114"/>
      <c r="D87" s="115">
        <f ca="1">MEDIDA!D9</f>
        <v>40.645508208921413</v>
      </c>
      <c r="E87" s="115"/>
      <c r="F87" s="115">
        <f ca="1">MEDIDA!F9</f>
        <v>40.6314623435836</v>
      </c>
      <c r="G87" s="115"/>
      <c r="H87" s="115">
        <f ca="1">MEDIDA!H9</f>
        <v>40.636992815574914</v>
      </c>
      <c r="I87" s="115"/>
      <c r="J87" s="115">
        <f ca="1">MEDIDA!J9</f>
        <v>40.631340458432362</v>
      </c>
      <c r="K87" s="115"/>
      <c r="L87" s="115">
        <f ca="1">MEDIDA!L9</f>
        <v>40.63632595662807</v>
      </c>
      <c r="M87" s="115"/>
      <c r="N87" s="115">
        <f ca="1">MEDIDA!N9</f>
        <v>-0.63632595662807034</v>
      </c>
      <c r="O87" s="115"/>
      <c r="P87" s="115">
        <f ca="1">INCERTIDUMBRE!L7</f>
        <v>0.62542012209752895</v>
      </c>
      <c r="Q87" s="115"/>
      <c r="R87" s="115"/>
      <c r="S87" s="94">
        <f ca="1">INCERTIDUMBRE!K7</f>
        <v>2.0095526109253541</v>
      </c>
      <c r="T87" s="89"/>
    </row>
    <row r="88" spans="2:20" ht="16.2" customHeight="1" x14ac:dyDescent="0.3"/>
    <row r="89" spans="2:20" ht="16.95" customHeight="1" x14ac:dyDescent="0.3"/>
    <row r="90" spans="2:20" ht="16.95" customHeight="1" x14ac:dyDescent="0.3"/>
    <row r="91" spans="2:20" ht="16.95" customHeight="1" x14ac:dyDescent="0.3"/>
    <row r="92" spans="2:20" ht="24" customHeight="1" x14ac:dyDescent="0.3"/>
    <row r="93" spans="2:20" ht="16.95"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c r="B101" s="107" t="s">
        <v>96</v>
      </c>
      <c r="C101" s="107"/>
      <c r="D101" s="107"/>
      <c r="E101" s="107"/>
      <c r="F101" s="107"/>
      <c r="G101" s="107"/>
      <c r="H101" s="107"/>
      <c r="I101" s="107"/>
      <c r="J101" s="107"/>
      <c r="K101" s="107"/>
      <c r="L101" s="107"/>
      <c r="M101" s="107"/>
      <c r="N101" s="107"/>
      <c r="O101" s="107"/>
      <c r="P101" s="107"/>
      <c r="Q101" s="107"/>
      <c r="R101" s="107"/>
      <c r="S101" s="107"/>
    </row>
    <row r="102" spans="2:19" ht="16.95" customHeight="1" x14ac:dyDescent="0.3"/>
    <row r="103" spans="2:19" ht="16.95" customHeight="1" x14ac:dyDescent="0.3">
      <c r="B103" s="108" t="s">
        <v>97</v>
      </c>
      <c r="C103" s="108"/>
      <c r="D103" s="108"/>
      <c r="E103" s="108"/>
      <c r="F103" s="108"/>
      <c r="G103" s="108"/>
      <c r="I103" s="76" t="s">
        <v>98</v>
      </c>
      <c r="J103" s="76"/>
      <c r="K103" s="76"/>
      <c r="L103" s="76"/>
      <c r="M103" s="76"/>
      <c r="N103" s="76"/>
      <c r="O103" s="76"/>
      <c r="P103" s="76"/>
      <c r="Q103" s="76"/>
      <c r="R103" s="76"/>
      <c r="S103" s="76"/>
    </row>
    <row r="104" spans="2:19" ht="19.95" customHeight="1" x14ac:dyDescent="0.3">
      <c r="B104" s="109" t="s">
        <v>99</v>
      </c>
      <c r="C104" s="109"/>
      <c r="D104" s="109"/>
      <c r="E104" s="109"/>
      <c r="F104" s="109"/>
      <c r="G104" s="109"/>
      <c r="I104" s="76" t="s">
        <v>98</v>
      </c>
    </row>
    <row r="105" spans="2:19" x14ac:dyDescent="0.3">
      <c r="B105" s="108" t="s">
        <v>100</v>
      </c>
      <c r="C105" s="108"/>
      <c r="D105" s="108"/>
      <c r="E105" s="108"/>
      <c r="F105" s="108"/>
      <c r="G105" s="108"/>
      <c r="I105" s="76" t="s">
        <v>98</v>
      </c>
      <c r="J105" s="76"/>
      <c r="K105" s="76"/>
      <c r="L105" s="76"/>
      <c r="M105" s="76"/>
      <c r="N105" s="76"/>
      <c r="O105" s="76"/>
      <c r="P105" s="76"/>
      <c r="Q105" s="76"/>
      <c r="R105" s="76"/>
      <c r="S105" s="76"/>
    </row>
    <row r="106" spans="2:19" x14ac:dyDescent="0.3">
      <c r="B106" s="110" t="s">
        <v>101</v>
      </c>
      <c r="C106" s="110"/>
      <c r="D106" s="110"/>
      <c r="E106" s="110"/>
      <c r="F106" s="110"/>
      <c r="G106" s="110"/>
      <c r="I106" s="111" t="s">
        <v>98</v>
      </c>
      <c r="J106" s="111"/>
      <c r="K106" s="111"/>
      <c r="L106" s="111"/>
      <c r="M106" s="86"/>
      <c r="N106" s="86"/>
      <c r="O106" s="86"/>
      <c r="P106" s="86"/>
      <c r="Q106" s="86"/>
      <c r="R106" s="86"/>
      <c r="S106" s="86"/>
    </row>
    <row r="107" spans="2:19" ht="16.649999999999999" customHeight="1" x14ac:dyDescent="0.3"/>
    <row r="108" spans="2:19" ht="16.95" customHeight="1" x14ac:dyDescent="0.3"/>
    <row r="109" spans="2:19" ht="16.95" customHeight="1" x14ac:dyDescent="0.3">
      <c r="B109" s="112" t="s">
        <v>167</v>
      </c>
      <c r="C109" s="112"/>
      <c r="D109" s="112"/>
      <c r="E109" s="112"/>
      <c r="F109" s="112"/>
      <c r="G109" s="112"/>
      <c r="H109" s="112"/>
      <c r="I109" s="112"/>
      <c r="J109" s="112"/>
      <c r="K109" s="112"/>
      <c r="L109" s="112"/>
      <c r="M109" s="112"/>
      <c r="N109" s="112"/>
      <c r="O109" s="112"/>
      <c r="P109" s="112"/>
      <c r="Q109" s="112"/>
      <c r="R109" s="112"/>
      <c r="S109" s="112"/>
    </row>
    <row r="110" spans="2:19" ht="16.95" customHeight="1" x14ac:dyDescent="0.3"/>
    <row r="111" spans="2:19" ht="16.95" customHeight="1" x14ac:dyDescent="0.3"/>
    <row r="115" ht="16.649999999999999" customHeight="1" x14ac:dyDescent="0.3"/>
    <row r="116" ht="16.649999999999999" customHeight="1" x14ac:dyDescent="0.3"/>
    <row r="117" ht="16.649999999999999" customHeight="1" x14ac:dyDescent="0.3"/>
    <row r="118" ht="16.95" customHeight="1" x14ac:dyDescent="0.3"/>
    <row r="119" ht="16.95" customHeight="1" x14ac:dyDescent="0.3"/>
    <row r="120" ht="24" customHeight="1" x14ac:dyDescent="0.3"/>
    <row r="121" ht="16.95" customHeight="1" x14ac:dyDescent="0.3"/>
    <row r="122" ht="16.95" customHeight="1" x14ac:dyDescent="0.3"/>
    <row r="123" ht="16.95" customHeight="1" x14ac:dyDescent="0.3"/>
    <row r="124" ht="16.95" customHeight="1" x14ac:dyDescent="0.3"/>
    <row r="125" ht="16.95" customHeight="1" x14ac:dyDescent="0.3"/>
    <row r="129" ht="24" customHeight="1" x14ac:dyDescent="0.3"/>
    <row r="130" ht="16.95" customHeight="1" x14ac:dyDescent="0.3"/>
    <row r="131" ht="16.95" customHeight="1" x14ac:dyDescent="0.3"/>
    <row r="132" ht="16.95" customHeight="1" x14ac:dyDescent="0.3"/>
    <row r="133" ht="16.95" customHeight="1" x14ac:dyDescent="0.3"/>
    <row r="134" ht="16.95" customHeight="1" x14ac:dyDescent="0.3"/>
    <row r="138" ht="24" customHeight="1" x14ac:dyDescent="0.3"/>
    <row r="150" spans="20:20" ht="16.2" customHeight="1" x14ac:dyDescent="0.3">
      <c r="T150" s="50"/>
    </row>
    <row r="151" spans="20:20" ht="11.4" customHeight="1" x14ac:dyDescent="0.3"/>
    <row r="155" spans="20:20" ht="16.95" customHeight="1" x14ac:dyDescent="0.3"/>
    <row r="156" spans="20:20" ht="24" customHeight="1" x14ac:dyDescent="0.3"/>
    <row r="160" spans="20:20" ht="16.95" customHeight="1" x14ac:dyDescent="0.3"/>
    <row r="164" spans="20:20" ht="24" customHeight="1" x14ac:dyDescent="0.3"/>
    <row r="175" spans="20:20" x14ac:dyDescent="0.3">
      <c r="T175" s="86"/>
    </row>
  </sheetData>
  <mergeCells count="120">
    <mergeCell ref="R76:S76"/>
    <mergeCell ref="J86:K86"/>
    <mergeCell ref="L86:M86"/>
    <mergeCell ref="N86:O86"/>
    <mergeCell ref="P84:R84"/>
    <mergeCell ref="B84:C84"/>
    <mergeCell ref="D84:E84"/>
    <mergeCell ref="F84:G84"/>
    <mergeCell ref="H84:I84"/>
    <mergeCell ref="J84:K84"/>
    <mergeCell ref="L84:M84"/>
    <mergeCell ref="N84:O84"/>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L87:M87"/>
    <mergeCell ref="B70:G70"/>
    <mergeCell ref="B71:G71"/>
    <mergeCell ref="B51:S58"/>
    <mergeCell ref="B61:S62"/>
    <mergeCell ref="B65:S68"/>
    <mergeCell ref="P71:S71"/>
    <mergeCell ref="H70:L70"/>
    <mergeCell ref="H71:L71"/>
    <mergeCell ref="M70:O70"/>
    <mergeCell ref="M71:O71"/>
    <mergeCell ref="P70:S70"/>
    <mergeCell ref="O76:Q76"/>
    <mergeCell ref="B78:S78"/>
    <mergeCell ref="D82:K82"/>
    <mergeCell ref="B82:C83"/>
    <mergeCell ref="N80:O80"/>
    <mergeCell ref="P80:R80"/>
    <mergeCell ref="I80:M80"/>
    <mergeCell ref="L82:S82"/>
    <mergeCell ref="N87:O87"/>
    <mergeCell ref="P87:R87"/>
    <mergeCell ref="F86:G86"/>
    <mergeCell ref="H86:I86"/>
    <mergeCell ref="B101:S101"/>
    <mergeCell ref="B103:G103"/>
    <mergeCell ref="B104:G104"/>
    <mergeCell ref="B105:G105"/>
    <mergeCell ref="B106:G106"/>
    <mergeCell ref="I106:L106"/>
    <mergeCell ref="B109:S109"/>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2025-06-05T16:23:22Z</cp:lastPrinted>
  <dcterms:created xsi:type="dcterms:W3CDTF">2012-07-25T22:15:54Z</dcterms:created>
  <dcterms:modified xsi:type="dcterms:W3CDTF">2026-06-01T14:11:26Z</dcterms:modified>
</cp:coreProperties>
</file>