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98713D07-309E-442E-BF1C-D34CCFB622C3}"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5" l="1"/>
  <c r="E10" i="2"/>
  <c r="E11" i="2" s="1"/>
  <c r="E12" i="2" s="1"/>
  <c r="E13" i="2" s="1"/>
  <c r="E14" i="2" s="1"/>
  <c r="M14" i="2"/>
  <c r="M15" i="2" s="1"/>
  <c r="M16" i="2" s="1"/>
  <c r="M17" i="2" s="1"/>
  <c r="M18" i="2" s="1"/>
  <c r="U12" i="2"/>
  <c r="U13" i="2" s="1"/>
  <c r="U14" i="2" s="1"/>
  <c r="U15" i="2" s="1"/>
  <c r="U16" i="2" s="1"/>
  <c r="U17" i="2" s="1"/>
  <c r="U18" i="2" s="1"/>
  <c r="U19" i="2" s="1"/>
  <c r="U11" i="2"/>
  <c r="G6" i="5" l="1"/>
  <c r="G7" i="5"/>
  <c r="G8" i="5"/>
  <c r="G9" i="5"/>
  <c r="G10" i="5"/>
  <c r="G11" i="5"/>
  <c r="G12" i="5"/>
  <c r="G13" i="5"/>
  <c r="G14" i="5"/>
  <c r="G15" i="5"/>
  <c r="G5" i="5"/>
  <c r="F6" i="5"/>
  <c r="F7" i="5"/>
  <c r="F8" i="5"/>
  <c r="F9" i="5"/>
  <c r="F10" i="5"/>
  <c r="F11" i="5"/>
  <c r="F12" i="5"/>
  <c r="F13" i="5"/>
  <c r="F14" i="5"/>
  <c r="F15" i="5"/>
  <c r="F5" i="5"/>
  <c r="N46" i="6"/>
  <c r="K46" i="6"/>
  <c r="I46" i="6"/>
  <c r="F46" i="6"/>
  <c r="R1" i="6"/>
  <c r="M31" i="6"/>
  <c r="I18" i="6"/>
  <c r="I19" i="6"/>
  <c r="I20" i="6"/>
  <c r="I21" i="6"/>
  <c r="I17" i="6"/>
  <c r="I12" i="6"/>
  <c r="I11" i="6"/>
  <c r="I10" i="6"/>
  <c r="I9" i="6"/>
  <c r="I8" i="6"/>
  <c r="I7" i="6"/>
  <c r="I6" i="6"/>
  <c r="I5" i="6"/>
  <c r="B10" i="1" l="1"/>
  <c r="M32" i="6" s="1"/>
  <c r="B9" i="1"/>
  <c r="I13" i="6" s="1"/>
  <c r="E119" i="6" l="1"/>
  <c r="H97" i="6"/>
  <c r="H98" i="6"/>
  <c r="H99" i="6"/>
  <c r="H100" i="6"/>
  <c r="H96" i="6"/>
  <c r="H85" i="6"/>
  <c r="H86" i="6"/>
  <c r="H87" i="6"/>
  <c r="H88" i="6"/>
  <c r="H84" i="6"/>
  <c r="R74" i="6" l="1"/>
  <c r="R111" i="6" s="1"/>
  <c r="O38" i="6"/>
  <c r="O74" i="6"/>
  <c r="O111" i="6" s="1"/>
  <c r="L84" i="6" l="1"/>
  <c r="R38" i="6"/>
  <c r="T67" i="2" l="1"/>
  <c r="T66" i="2"/>
  <c r="T65" i="2" s="1"/>
  <c r="N57" i="2"/>
  <c r="N53" i="2"/>
  <c r="M53" i="2"/>
  <c r="N49" i="2"/>
  <c r="M49" i="2"/>
  <c r="L49" i="2"/>
  <c r="K49" i="2"/>
  <c r="S41" i="2"/>
  <c r="R41" i="2"/>
  <c r="S37" i="2"/>
  <c r="R37" i="2"/>
  <c r="S33" i="2"/>
  <c r="R33" i="2"/>
  <c r="S29" i="2"/>
  <c r="R29" i="2"/>
  <c r="N45" i="2"/>
  <c r="M45" i="2"/>
  <c r="L45" i="2"/>
  <c r="K45" i="2"/>
  <c r="N41" i="2"/>
  <c r="M41" i="2"/>
  <c r="L41" i="2"/>
  <c r="N37" i="2"/>
  <c r="M37" i="2"/>
  <c r="L37" i="2"/>
  <c r="N33" i="2"/>
  <c r="M33" i="2"/>
  <c r="K33" i="2"/>
  <c r="N29" i="2"/>
  <c r="M29" i="2"/>
  <c r="L29" i="2"/>
  <c r="K29" i="2"/>
  <c r="S67" i="2" l="1"/>
  <c r="R67" i="2"/>
  <c r="Q67" i="2"/>
  <c r="P67" i="2"/>
  <c r="O67" i="2"/>
  <c r="N67" i="2"/>
  <c r="M67" i="2"/>
  <c r="L67" i="2"/>
  <c r="K67" i="2"/>
  <c r="J67" i="2"/>
  <c r="I67" i="2"/>
  <c r="H67" i="2"/>
  <c r="G67" i="2"/>
  <c r="S66" i="2"/>
  <c r="S65" i="2" s="1"/>
  <c r="R66" i="2"/>
  <c r="R65" i="2" s="1"/>
  <c r="Q66" i="2"/>
  <c r="Q65" i="2" s="1"/>
  <c r="P66" i="2"/>
  <c r="P65" i="2" s="1"/>
  <c r="O66" i="2"/>
  <c r="O65" i="2" s="1"/>
  <c r="N66" i="2"/>
  <c r="N65" i="2" s="1"/>
  <c r="M66" i="2"/>
  <c r="M65" i="2" s="1"/>
  <c r="L66" i="2"/>
  <c r="L65" i="2" s="1"/>
  <c r="K66" i="2"/>
  <c r="K65" i="2" s="1"/>
  <c r="J66" i="2"/>
  <c r="J65" i="2" s="1"/>
  <c r="I66" i="2"/>
  <c r="I65" i="2" s="1"/>
  <c r="H66" i="2"/>
  <c r="H65" i="2" s="1"/>
  <c r="G66" i="2"/>
  <c r="G65" i="2" s="1"/>
  <c r="S63" i="2"/>
  <c r="R63" i="2"/>
  <c r="Q63" i="2"/>
  <c r="P63" i="2"/>
  <c r="O63" i="2"/>
  <c r="N63" i="2"/>
  <c r="M63" i="2"/>
  <c r="L63" i="2"/>
  <c r="K63" i="2"/>
  <c r="J63" i="2"/>
  <c r="I63" i="2"/>
  <c r="H63" i="2"/>
  <c r="G63" i="2"/>
  <c r="S62" i="2"/>
  <c r="S61" i="2" s="1"/>
  <c r="R62" i="2"/>
  <c r="R61" i="2" s="1"/>
  <c r="Q62" i="2"/>
  <c r="Q61" i="2" s="1"/>
  <c r="P62" i="2"/>
  <c r="O62" i="2"/>
  <c r="O61" i="2" s="1"/>
  <c r="N62" i="2"/>
  <c r="N61" i="2" s="1"/>
  <c r="M62" i="2"/>
  <c r="M61" i="2" s="1"/>
  <c r="L62" i="2"/>
  <c r="L61" i="2" s="1"/>
  <c r="K62" i="2"/>
  <c r="K61" i="2" s="1"/>
  <c r="J62" i="2"/>
  <c r="J61" i="2" s="1"/>
  <c r="I62" i="2"/>
  <c r="H62" i="2"/>
  <c r="H61" i="2" s="1"/>
  <c r="G62" i="2"/>
  <c r="G61" i="2" s="1"/>
  <c r="P61" i="2"/>
  <c r="I61" i="2"/>
  <c r="S59" i="2"/>
  <c r="R59" i="2"/>
  <c r="Q59" i="2"/>
  <c r="P59" i="2"/>
  <c r="O59" i="2"/>
  <c r="N59" i="2"/>
  <c r="M59" i="2"/>
  <c r="L59" i="2"/>
  <c r="K59" i="2"/>
  <c r="J59" i="2"/>
  <c r="I59" i="2"/>
  <c r="H59" i="2"/>
  <c r="G59" i="2"/>
  <c r="S58" i="2"/>
  <c r="S57" i="2" s="1"/>
  <c r="R58" i="2"/>
  <c r="R57" i="2" s="1"/>
  <c r="Q58" i="2"/>
  <c r="Q57" i="2" s="1"/>
  <c r="P58" i="2"/>
  <c r="P57" i="2" s="1"/>
  <c r="O58" i="2"/>
  <c r="O57" i="2" s="1"/>
  <c r="N58" i="2"/>
  <c r="M58" i="2"/>
  <c r="M57" i="2" s="1"/>
  <c r="L58" i="2"/>
  <c r="L57" i="2" s="1"/>
  <c r="K58" i="2"/>
  <c r="K57" i="2" s="1"/>
  <c r="J58" i="2"/>
  <c r="I58" i="2"/>
  <c r="I57" i="2" s="1"/>
  <c r="H58" i="2"/>
  <c r="H57" i="2" s="1"/>
  <c r="G58" i="2"/>
  <c r="J57" i="2"/>
  <c r="G57" i="2"/>
  <c r="S55" i="2"/>
  <c r="R55" i="2"/>
  <c r="Q55" i="2"/>
  <c r="P55" i="2"/>
  <c r="O55" i="2"/>
  <c r="N55" i="2"/>
  <c r="M55" i="2"/>
  <c r="L55" i="2"/>
  <c r="K55" i="2"/>
  <c r="J55" i="2"/>
  <c r="I55" i="2"/>
  <c r="H55" i="2"/>
  <c r="G55" i="2"/>
  <c r="S54" i="2"/>
  <c r="S53" i="2" s="1"/>
  <c r="R54" i="2"/>
  <c r="R53" i="2" s="1"/>
  <c r="Q54" i="2"/>
  <c r="Q53" i="2" s="1"/>
  <c r="P54" i="2"/>
  <c r="P53" i="2" s="1"/>
  <c r="O54" i="2"/>
  <c r="O53" i="2" s="1"/>
  <c r="N54" i="2"/>
  <c r="M54" i="2"/>
  <c r="L54" i="2"/>
  <c r="L53" i="2" s="1"/>
  <c r="K54" i="2"/>
  <c r="K53" i="2" s="1"/>
  <c r="J54" i="2"/>
  <c r="I54" i="2"/>
  <c r="H54" i="2"/>
  <c r="H53" i="2" s="1"/>
  <c r="G54" i="2"/>
  <c r="J53" i="2"/>
  <c r="I53" i="2"/>
  <c r="G53" i="2"/>
  <c r="S51" i="2"/>
  <c r="R51" i="2"/>
  <c r="Q51" i="2"/>
  <c r="P51" i="2"/>
  <c r="O51" i="2"/>
  <c r="N51" i="2"/>
  <c r="M51" i="2"/>
  <c r="L51" i="2"/>
  <c r="K51" i="2"/>
  <c r="J51" i="2"/>
  <c r="I51" i="2"/>
  <c r="H51" i="2"/>
  <c r="G51" i="2"/>
  <c r="S50" i="2"/>
  <c r="S49" i="2" s="1"/>
  <c r="R50" i="2"/>
  <c r="R49" i="2" s="1"/>
  <c r="Q50" i="2"/>
  <c r="Q49" i="2" s="1"/>
  <c r="P50" i="2"/>
  <c r="P49" i="2" s="1"/>
  <c r="O50" i="2"/>
  <c r="O49" i="2" s="1"/>
  <c r="N50" i="2"/>
  <c r="M50" i="2"/>
  <c r="L50" i="2"/>
  <c r="K50" i="2"/>
  <c r="J50" i="2"/>
  <c r="I50" i="2"/>
  <c r="H50" i="2"/>
  <c r="G50" i="2"/>
  <c r="J49" i="2"/>
  <c r="I49" i="2"/>
  <c r="H49" i="2"/>
  <c r="G49" i="2"/>
  <c r="S47" i="2"/>
  <c r="R47" i="2"/>
  <c r="Q47" i="2"/>
  <c r="P47" i="2"/>
  <c r="O47" i="2"/>
  <c r="N47" i="2"/>
  <c r="M47" i="2"/>
  <c r="L47" i="2"/>
  <c r="K47" i="2"/>
  <c r="J47" i="2"/>
  <c r="I47" i="2"/>
  <c r="H47" i="2"/>
  <c r="G47" i="2"/>
  <c r="S46" i="2"/>
  <c r="S45" i="2" s="1"/>
  <c r="R46" i="2"/>
  <c r="R45" i="2" s="1"/>
  <c r="Q46" i="2"/>
  <c r="Q45" i="2" s="1"/>
  <c r="P46" i="2"/>
  <c r="P45" i="2" s="1"/>
  <c r="O46" i="2"/>
  <c r="O45" i="2" s="1"/>
  <c r="N46" i="2"/>
  <c r="M46" i="2"/>
  <c r="L46" i="2"/>
  <c r="K46" i="2"/>
  <c r="J46" i="2"/>
  <c r="I46" i="2"/>
  <c r="I45" i="2" s="1"/>
  <c r="H46" i="2"/>
  <c r="H45" i="2" s="1"/>
  <c r="G46" i="2"/>
  <c r="J45" i="2"/>
  <c r="G45" i="2"/>
  <c r="S43" i="2"/>
  <c r="R43" i="2"/>
  <c r="Q43" i="2"/>
  <c r="P43" i="2"/>
  <c r="O43" i="2"/>
  <c r="N43" i="2"/>
  <c r="M43" i="2"/>
  <c r="L43" i="2"/>
  <c r="K43" i="2"/>
  <c r="J43" i="2"/>
  <c r="I43" i="2"/>
  <c r="H43" i="2"/>
  <c r="G43" i="2"/>
  <c r="S42" i="2"/>
  <c r="R42" i="2"/>
  <c r="Q42" i="2"/>
  <c r="Q41" i="2" s="1"/>
  <c r="P42" i="2"/>
  <c r="P41" i="2" s="1"/>
  <c r="O42" i="2"/>
  <c r="O41" i="2" s="1"/>
  <c r="N42" i="2"/>
  <c r="M42" i="2"/>
  <c r="L42" i="2"/>
  <c r="K42" i="2"/>
  <c r="K41" i="2" s="1"/>
  <c r="J42" i="2"/>
  <c r="I42" i="2"/>
  <c r="H42" i="2"/>
  <c r="G42" i="2"/>
  <c r="J41" i="2"/>
  <c r="I41" i="2"/>
  <c r="H41" i="2"/>
  <c r="G41" i="2"/>
  <c r="S39" i="2"/>
  <c r="R39" i="2"/>
  <c r="Q39" i="2"/>
  <c r="P39" i="2"/>
  <c r="O39" i="2"/>
  <c r="N39" i="2"/>
  <c r="M39" i="2"/>
  <c r="L39" i="2"/>
  <c r="K39" i="2"/>
  <c r="J39" i="2"/>
  <c r="I39" i="2"/>
  <c r="H39" i="2"/>
  <c r="G39" i="2"/>
  <c r="S38" i="2"/>
  <c r="R38" i="2"/>
  <c r="Q38" i="2"/>
  <c r="P38" i="2"/>
  <c r="P37" i="2" s="1"/>
  <c r="O38" i="2"/>
  <c r="O37" i="2" s="1"/>
  <c r="N38" i="2"/>
  <c r="M38" i="2"/>
  <c r="L38" i="2"/>
  <c r="K38" i="2"/>
  <c r="K37" i="2" s="1"/>
  <c r="J38" i="2"/>
  <c r="I38" i="2"/>
  <c r="H38" i="2"/>
  <c r="H37" i="2" s="1"/>
  <c r="G38" i="2"/>
  <c r="Q37" i="2"/>
  <c r="J37" i="2"/>
  <c r="I37" i="2"/>
  <c r="G37" i="2"/>
  <c r="S35" i="2"/>
  <c r="R35" i="2"/>
  <c r="Q35" i="2"/>
  <c r="P35" i="2"/>
  <c r="O35" i="2"/>
  <c r="N35" i="2"/>
  <c r="M35" i="2"/>
  <c r="L35" i="2"/>
  <c r="K35" i="2"/>
  <c r="J35" i="2"/>
  <c r="I35" i="2"/>
  <c r="H35" i="2"/>
  <c r="G35" i="2"/>
  <c r="S34" i="2"/>
  <c r="R34" i="2"/>
  <c r="Q34" i="2"/>
  <c r="P34" i="2"/>
  <c r="O34" i="2"/>
  <c r="O33" i="2" s="1"/>
  <c r="N34" i="2"/>
  <c r="M34" i="2"/>
  <c r="L34" i="2"/>
  <c r="L33" i="2" s="1"/>
  <c r="K34" i="2"/>
  <c r="J34" i="2"/>
  <c r="J33" i="2" s="1"/>
  <c r="I34" i="2"/>
  <c r="I33" i="2" s="1"/>
  <c r="H34" i="2"/>
  <c r="H33" i="2" s="1"/>
  <c r="G34" i="2"/>
  <c r="Q33" i="2"/>
  <c r="P33" i="2"/>
  <c r="G33" i="2"/>
  <c r="G31" i="2"/>
  <c r="H31" i="2"/>
  <c r="I31" i="2"/>
  <c r="J31" i="2"/>
  <c r="S31" i="2"/>
  <c r="R31" i="2"/>
  <c r="Q31" i="2"/>
  <c r="P31" i="2"/>
  <c r="O31" i="2"/>
  <c r="N31" i="2"/>
  <c r="M31" i="2"/>
  <c r="L31" i="2"/>
  <c r="K31" i="2"/>
  <c r="G30" i="2"/>
  <c r="H30" i="2"/>
  <c r="I30" i="2"/>
  <c r="J30" i="2"/>
  <c r="S30" i="2"/>
  <c r="R30" i="2"/>
  <c r="Q30" i="2"/>
  <c r="P30" i="2"/>
  <c r="O30" i="2"/>
  <c r="N30" i="2"/>
  <c r="M30" i="2"/>
  <c r="L30" i="2"/>
  <c r="K30" i="2"/>
  <c r="O29" i="2"/>
  <c r="P29" i="2"/>
  <c r="Q29" i="2"/>
  <c r="D65" i="2" l="1"/>
  <c r="C26" i="5"/>
  <c r="C27" i="5"/>
  <c r="J99" i="6" s="1"/>
  <c r="C28" i="5"/>
  <c r="J100" i="6" s="1"/>
  <c r="C25" i="5"/>
  <c r="J97" i="6" s="1"/>
  <c r="C24" i="5"/>
  <c r="J96" i="6" s="1"/>
  <c r="E6" i="5"/>
  <c r="E7" i="5"/>
  <c r="E8" i="5"/>
  <c r="E9" i="5"/>
  <c r="E10" i="5"/>
  <c r="E11" i="5"/>
  <c r="E12" i="5"/>
  <c r="E13" i="5"/>
  <c r="E14" i="5"/>
  <c r="E15" i="5"/>
  <c r="E5" i="5"/>
  <c r="I25" i="5"/>
  <c r="C6" i="5" s="1"/>
  <c r="G120" i="6" s="1"/>
  <c r="I26" i="5"/>
  <c r="C7" i="5" s="1"/>
  <c r="G121" i="6" s="1"/>
  <c r="I27" i="5"/>
  <c r="C8" i="5" s="1"/>
  <c r="G122" i="6" s="1"/>
  <c r="I28" i="5"/>
  <c r="C9" i="5" s="1"/>
  <c r="G123" i="6" s="1"/>
  <c r="I29" i="5"/>
  <c r="I30" i="5"/>
  <c r="C11" i="5" s="1"/>
  <c r="G125" i="6" s="1"/>
  <c r="I31" i="5"/>
  <c r="I32" i="5"/>
  <c r="C13" i="5" s="1"/>
  <c r="G127" i="6" s="1"/>
  <c r="I33" i="5"/>
  <c r="C14" i="5" s="1"/>
  <c r="G128" i="6" s="1"/>
  <c r="I34" i="5"/>
  <c r="C15" i="5" s="1"/>
  <c r="G129" i="6" s="1"/>
  <c r="I24" i="5"/>
  <c r="C5" i="5" s="1"/>
  <c r="G119" i="6" s="1"/>
  <c r="G24" i="5"/>
  <c r="B5" i="5" s="1"/>
  <c r="J29" i="2"/>
  <c r="I29" i="2"/>
  <c r="H29" i="2"/>
  <c r="G29" i="2"/>
  <c r="P13" i="2"/>
  <c r="L13" i="2"/>
  <c r="O13" i="2" s="1"/>
  <c r="J13" i="2"/>
  <c r="M13" i="2" s="1"/>
  <c r="B10" i="2"/>
  <c r="C10" i="2" s="1"/>
  <c r="J79" i="6" s="1"/>
  <c r="R10" i="2"/>
  <c r="R11" i="2" s="1"/>
  <c r="S11" i="2" s="1"/>
  <c r="B33" i="2" s="1"/>
  <c r="H9" i="2"/>
  <c r="B9" i="2"/>
  <c r="E9" i="2" s="1"/>
  <c r="R8" i="2"/>
  <c r="U7" i="2" s="1"/>
  <c r="J98" i="6" l="1"/>
  <c r="L96" i="6" s="1"/>
  <c r="C12" i="5"/>
  <c r="G126" i="6" s="1"/>
  <c r="C10" i="5"/>
  <c r="G124" i="6" s="1"/>
  <c r="J7" i="5"/>
  <c r="K24" i="5"/>
  <c r="D5" i="5" s="1"/>
  <c r="J119" i="6" s="1"/>
  <c r="D43" i="2"/>
  <c r="I9" i="5" s="1"/>
  <c r="D55" i="2"/>
  <c r="I12" i="5" s="1"/>
  <c r="D39" i="2"/>
  <c r="I8" i="5" s="1"/>
  <c r="D63" i="2"/>
  <c r="I14" i="5" s="1"/>
  <c r="D29" i="2"/>
  <c r="G25" i="5" s="1"/>
  <c r="D67" i="2"/>
  <c r="I15" i="5" s="1"/>
  <c r="D30" i="2"/>
  <c r="D47" i="2"/>
  <c r="I10" i="5" s="1"/>
  <c r="D66" i="2"/>
  <c r="D31" i="2"/>
  <c r="I6" i="5" s="1"/>
  <c r="D37" i="2"/>
  <c r="G27" i="5" s="1"/>
  <c r="D46" i="2"/>
  <c r="D51" i="2"/>
  <c r="I11" i="5" s="1"/>
  <c r="D42" i="2"/>
  <c r="D58" i="2"/>
  <c r="D41" i="2"/>
  <c r="G28" i="5" s="1"/>
  <c r="D34" i="2"/>
  <c r="D35" i="2"/>
  <c r="I7" i="5" s="1"/>
  <c r="D38" i="2"/>
  <c r="D54" i="2"/>
  <c r="D59" i="2"/>
  <c r="I13" i="5" s="1"/>
  <c r="S10" i="2"/>
  <c r="D49" i="2"/>
  <c r="G30" i="5" s="1"/>
  <c r="B11" i="5" s="1"/>
  <c r="E125" i="6" s="1"/>
  <c r="D61" i="2"/>
  <c r="G33" i="5" s="1"/>
  <c r="B14" i="5" s="1"/>
  <c r="E128" i="6" s="1"/>
  <c r="D53" i="2"/>
  <c r="G31" i="5" s="1"/>
  <c r="B12" i="5" s="1"/>
  <c r="E126" i="6" s="1"/>
  <c r="D33" i="2"/>
  <c r="G26" i="5" s="1"/>
  <c r="B7" i="5" s="1"/>
  <c r="E121" i="6" s="1"/>
  <c r="D45" i="2"/>
  <c r="G29" i="5" s="1"/>
  <c r="B10" i="5" s="1"/>
  <c r="E124" i="6" s="1"/>
  <c r="D57" i="2"/>
  <c r="G32" i="5" s="1"/>
  <c r="B13" i="5" s="1"/>
  <c r="E127" i="6" s="1"/>
  <c r="D50" i="2"/>
  <c r="D62" i="2"/>
  <c r="B11" i="2"/>
  <c r="G34" i="5"/>
  <c r="B15" i="5" s="1"/>
  <c r="E129" i="6" s="1"/>
  <c r="R12" i="2"/>
  <c r="J92" i="6"/>
  <c r="K34" i="5" l="1"/>
  <c r="D15" i="5" s="1"/>
  <c r="J129" i="6" s="1"/>
  <c r="K32" i="5"/>
  <c r="D13" i="5" s="1"/>
  <c r="J127" i="6" s="1"/>
  <c r="K28" i="5"/>
  <c r="D9" i="5" s="1"/>
  <c r="J123" i="6" s="1"/>
  <c r="B9" i="5"/>
  <c r="E123" i="6" s="1"/>
  <c r="K26" i="5"/>
  <c r="D7" i="5" s="1"/>
  <c r="J121" i="6" s="1"/>
  <c r="K29" i="5"/>
  <c r="D10" i="5" s="1"/>
  <c r="J124" i="6" s="1"/>
  <c r="K33" i="5"/>
  <c r="D14" i="5" s="1"/>
  <c r="J128" i="6" s="1"/>
  <c r="K31" i="5"/>
  <c r="D12" i="5" s="1"/>
  <c r="J126" i="6" s="1"/>
  <c r="K30" i="5"/>
  <c r="D11" i="5" s="1"/>
  <c r="J125" i="6" s="1"/>
  <c r="K27" i="5"/>
  <c r="D8" i="5" s="1"/>
  <c r="J122" i="6" s="1"/>
  <c r="B8" i="5"/>
  <c r="E122" i="6" s="1"/>
  <c r="B6" i="5"/>
  <c r="E120" i="6" s="1"/>
  <c r="K25" i="5"/>
  <c r="D6" i="5" s="1"/>
  <c r="J120" i="6" s="1"/>
  <c r="B29" i="2"/>
  <c r="J6" i="5"/>
  <c r="H14" i="5"/>
  <c r="H7" i="5"/>
  <c r="M7" i="5" s="1"/>
  <c r="K7" i="5" s="1"/>
  <c r="L7" i="5" s="1"/>
  <c r="O121" i="6" s="1"/>
  <c r="H15" i="5"/>
  <c r="H5" i="5"/>
  <c r="H10" i="5"/>
  <c r="H11" i="5"/>
  <c r="H12" i="5"/>
  <c r="H13" i="5"/>
  <c r="R13" i="2"/>
  <c r="S12" i="2"/>
  <c r="B12" i="2"/>
  <c r="C11" i="2"/>
  <c r="H9" i="5" l="1"/>
  <c r="H8" i="5"/>
  <c r="H6" i="5"/>
  <c r="M6" i="5" s="1"/>
  <c r="K6" i="5" s="1"/>
  <c r="L6" i="5" s="1"/>
  <c r="O120" i="6" s="1"/>
  <c r="N7" i="5"/>
  <c r="L121" i="6" s="1"/>
  <c r="M5" i="5"/>
  <c r="K5" i="5" s="1"/>
  <c r="L5" i="5" s="1"/>
  <c r="O119" i="6" s="1"/>
  <c r="B37" i="2"/>
  <c r="J8" i="5"/>
  <c r="C12" i="2"/>
  <c r="B13" i="2"/>
  <c r="R14" i="2"/>
  <c r="S13" i="2"/>
  <c r="M8" i="5" l="1"/>
  <c r="K8" i="5" s="1"/>
  <c r="L8" i="5" s="1"/>
  <c r="O122" i="6" s="1"/>
  <c r="N5" i="5"/>
  <c r="L119" i="6" s="1"/>
  <c r="N6" i="5"/>
  <c r="L120" i="6" s="1"/>
  <c r="B41" i="2"/>
  <c r="J9" i="5"/>
  <c r="S14" i="2"/>
  <c r="R15" i="2"/>
  <c r="B14" i="2"/>
  <c r="C14" i="2" s="1"/>
  <c r="C13" i="2"/>
  <c r="N8" i="5" l="1"/>
  <c r="L122" i="6" s="1"/>
  <c r="M9" i="5"/>
  <c r="K9" i="5" s="1"/>
  <c r="L9" i="5" s="1"/>
  <c r="O123" i="6" s="1"/>
  <c r="B45" i="2"/>
  <c r="J10" i="5"/>
  <c r="R16" i="2"/>
  <c r="S15" i="2"/>
  <c r="N9" i="5" l="1"/>
  <c r="L123" i="6" s="1"/>
  <c r="M10" i="5"/>
  <c r="K10" i="5" s="1"/>
  <c r="L10" i="5" s="1"/>
  <c r="O124" i="6" s="1"/>
  <c r="B49" i="2"/>
  <c r="J11" i="5"/>
  <c r="S16" i="2"/>
  <c r="R17" i="2"/>
  <c r="N10" i="5" l="1"/>
  <c r="L124" i="6" s="1"/>
  <c r="M11" i="5"/>
  <c r="K11" i="5" s="1"/>
  <c r="L11" i="5" s="1"/>
  <c r="O125" i="6" s="1"/>
  <c r="B53" i="2"/>
  <c r="J12" i="5"/>
  <c r="S17" i="2"/>
  <c r="R18" i="2"/>
  <c r="N11" i="5" l="1"/>
  <c r="L125" i="6" s="1"/>
  <c r="M12" i="5"/>
  <c r="K12" i="5" s="1"/>
  <c r="L12" i="5" s="1"/>
  <c r="O126" i="6" s="1"/>
  <c r="B57" i="2"/>
  <c r="J13" i="5"/>
  <c r="S18" i="2"/>
  <c r="R19" i="2"/>
  <c r="S19" i="2" s="1"/>
  <c r="N12" i="5" l="1"/>
  <c r="L126" i="6" s="1"/>
  <c r="M13" i="5"/>
  <c r="K13" i="5" s="1"/>
  <c r="L13" i="5" s="1"/>
  <c r="O127" i="6" s="1"/>
  <c r="B65" i="2"/>
  <c r="J15" i="5"/>
  <c r="B61" i="2"/>
  <c r="J14" i="5"/>
  <c r="N13" i="5" l="1"/>
  <c r="L127" i="6" s="1"/>
  <c r="M14" i="5"/>
  <c r="K14" i="5" s="1"/>
  <c r="L14" i="5" s="1"/>
  <c r="O128" i="6" s="1"/>
  <c r="M15" i="5"/>
  <c r="K15" i="5" s="1"/>
  <c r="L15" i="5" s="1"/>
  <c r="O129" i="6" s="1"/>
  <c r="N15" i="5" l="1"/>
  <c r="L129" i="6" s="1"/>
  <c r="N14" i="5"/>
  <c r="L128" i="6" s="1"/>
</calcChain>
</file>

<file path=xl/sharedStrings.xml><?xml version="1.0" encoding="utf-8"?>
<sst xmlns="http://schemas.openxmlformats.org/spreadsheetml/2006/main" count="510" uniqueCount="230">
  <si>
    <t>Nit:</t>
  </si>
  <si>
    <t>Marca:</t>
  </si>
  <si>
    <t>Modelo:</t>
  </si>
  <si>
    <t>Dirección:</t>
  </si>
  <si>
    <t>Serie:</t>
  </si>
  <si>
    <t>Ciudad:</t>
  </si>
  <si>
    <t>kg</t>
  </si>
  <si>
    <t>Temperatura mínima:</t>
  </si>
  <si>
    <t>Temperatura máxima:</t>
  </si>
  <si>
    <t>Telefono:</t>
  </si>
  <si>
    <t>Solicitante:</t>
  </si>
  <si>
    <t>Datos del cliente</t>
  </si>
  <si>
    <t>Datos del item</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</si>
  <si>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</si>
  <si>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</si>
  <si>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</si>
  <si>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</si>
  <si>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</si>
  <si>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</si>
  <si>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</si>
  <si>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</si>
  <si>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</si>
  <si>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</si>
  <si>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</si>
  <si>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</si>
  <si>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</si>
  <si>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</si>
  <si>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</si>
  <si>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</si>
  <si>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Indicación
kg</t>
  </si>
  <si>
    <t>Desviación estandar
kg</t>
  </si>
  <si>
    <t>Posición</t>
  </si>
  <si>
    <t>Desviación
kg</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</si>
  <si>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</si>
  <si>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</si>
  <si>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</si>
  <si>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</si>
  <si>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</si>
  <si>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</si>
  <si>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</si>
  <si>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</si>
  <si>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</si>
  <si>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</si>
  <si>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</si>
  <si>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</si>
  <si>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</si>
  <si>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</si>
  <si>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</si>
  <si>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</si>
  <si>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</si>
  <si>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</si>
  <si>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</si>
  <si>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</si>
  <si>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</si>
  <si>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</si>
  <si>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</si>
  <si>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</si>
  <si>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PLACA</t>
  </si>
  <si>
    <t>EQUIPO</t>
  </si>
  <si>
    <t>MARCA</t>
  </si>
  <si>
    <t>MODELO</t>
  </si>
  <si>
    <t>SERIE</t>
  </si>
  <si>
    <t xml:space="preserve">FECHA CALIBRACIÓN </t>
  </si>
  <si>
    <t>CERTIFICADO</t>
  </si>
  <si>
    <t>ERROR (g)</t>
  </si>
  <si>
    <t>EMP (g)</t>
  </si>
  <si>
    <t xml:space="preserve">CLASE </t>
  </si>
  <si>
    <t>INCERT(g)</t>
  </si>
  <si>
    <t>PARALELEPIPEDO</t>
  </si>
  <si>
    <t>M1</t>
  </si>
  <si>
    <t>Conformidad</t>
  </si>
  <si>
    <t>Si</t>
  </si>
  <si>
    <t>No</t>
  </si>
  <si>
    <t xml:space="preserve">EMP </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</si>
  <si>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</si>
  <si>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</si>
  <si>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</si>
  <si>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</si>
  <si>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</si>
  <si>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</si>
  <si>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</si>
  <si>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</si>
  <si>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</si>
  <si>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</si>
  <si>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</si>
  <si>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</si>
  <si>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Paralelepípedo</t>
  </si>
  <si>
    <t>EQUIPO PATRÓN 3</t>
  </si>
  <si>
    <t>Masa de 10 kg</t>
  </si>
  <si>
    <t>EQUIPO PATRÓN 4</t>
  </si>
  <si>
    <t>Masa de 20 kg</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</si>
  <si>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</si>
  <si>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</si>
  <si>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</si>
  <si>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</si>
  <si>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</si>
  <si>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</si>
  <si>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</si>
  <si>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</si>
  <si>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</si>
  <si>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</si>
  <si>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</si>
  <si>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</si>
  <si>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</si>
  <si>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</si>
  <si>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</si>
  <si>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</si>
  <si>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Sigma</t>
  </si>
  <si>
    <t>01-02</t>
  </si>
  <si>
    <t>M-5646-1</t>
  </si>
  <si>
    <t>01-02-03-04-05-06</t>
  </si>
  <si>
    <t>01-02-03-04-05</t>
  </si>
  <si>
    <t>5 kg 01</t>
  </si>
  <si>
    <t>5 kg 02</t>
  </si>
  <si>
    <t>10 kg 01</t>
  </si>
  <si>
    <t>10 kg 02</t>
  </si>
  <si>
    <t>10 kg 03</t>
  </si>
  <si>
    <t>10 kg 04</t>
  </si>
  <si>
    <t>10 kg 05</t>
  </si>
  <si>
    <t>10 kg 06</t>
  </si>
  <si>
    <t>20 kg 01</t>
  </si>
  <si>
    <t>20 kg 02</t>
  </si>
  <si>
    <t>20 kg 03</t>
  </si>
  <si>
    <t>20 kg 05</t>
  </si>
  <si>
    <t>20 kg 04</t>
  </si>
  <si>
    <t>MASA PATRÓN 5 kg 01</t>
  </si>
  <si>
    <t>SIGMA</t>
  </si>
  <si>
    <t>MASA PATRÓN 5 kg 02</t>
  </si>
  <si>
    <t>MASA PATRÓN 10 kg 01</t>
  </si>
  <si>
    <t>MASA PATRÓN 10 kg 02</t>
  </si>
  <si>
    <t>MASA PATRÓN 20 kg 03</t>
  </si>
  <si>
    <t>MASA PATRÓN 20 kg 04</t>
  </si>
  <si>
    <t>MASA PATRÓN 20 kg 05</t>
  </si>
  <si>
    <t>MASA PATRÓN 20 kg 01</t>
  </si>
  <si>
    <t>MASA PATRÓN 20 kg 02</t>
  </si>
  <si>
    <t>01</t>
  </si>
  <si>
    <t>02</t>
  </si>
  <si>
    <t>03</t>
  </si>
  <si>
    <t>04</t>
  </si>
  <si>
    <t>05</t>
  </si>
  <si>
    <t>06</t>
  </si>
  <si>
    <t>MASA PATRÓN 10 kg 03</t>
  </si>
  <si>
    <t>MASA PATRÓN 10 kg 04</t>
  </si>
  <si>
    <t>MASA PATRÓN 10 kg 05</t>
  </si>
  <si>
    <t>MASA PATRÓN 10 kg 06</t>
  </si>
  <si>
    <t>8. INFORMACIÓN ADICIONAL</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</si>
  <si>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</si>
  <si>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</si>
  <si>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</si>
  <si>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</si>
  <si>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</si>
  <si>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</si>
  <si>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</si>
  <si>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</si>
  <si>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</si>
  <si>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</si>
  <si>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</si>
  <si>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</si>
  <si>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</si>
  <si>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</si>
  <si>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</si>
  <si>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</si>
  <si>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</si>
  <si>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</si>
  <si>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</si>
  <si>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</si>
  <si>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</si>
  <si>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</si>
  <si>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</si>
  <si>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</si>
  <si>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</si>
  <si>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</si>
  <si>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</si>
  <si>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</si>
  <si>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</si>
  <si>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</si>
  <si>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</si>
  <si>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Masa de 5 Kg</t>
  </si>
  <si>
    <t>Masa de 10 Kg</t>
  </si>
  <si>
    <t>Masa de 20 Kg</t>
  </si>
  <si>
    <t>Prueba de repetibilidad</t>
  </si>
  <si>
    <t>Kg= Kilogramos</t>
  </si>
  <si>
    <t>Carga            Kg</t>
  </si>
  <si>
    <t>Indicación                   Kg</t>
  </si>
  <si>
    <t>Error               Kg</t>
  </si>
  <si>
    <r>
      <t xml:space="preserve">Incertidumbre Expandida                     </t>
    </r>
    <r>
      <rPr>
        <b/>
        <sz val="9"/>
        <color theme="1"/>
        <rFont val="Calibri"/>
        <family val="2"/>
      </rPr>
      <t>± Kg</t>
    </r>
  </si>
  <si>
    <t>Prueba de excentricidad</t>
  </si>
  <si>
    <t>Error de indicación</t>
  </si>
  <si>
    <t>En sitio ( instalaciones del cliente)</t>
  </si>
  <si>
    <t>BUEN ESTADO</t>
  </si>
  <si>
    <t>MAL ESTADO</t>
  </si>
  <si>
    <t>844KL</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</si>
  <si>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</si>
  <si>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</si>
  <si>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</si>
  <si>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</si>
  <si>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</si>
  <si>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</si>
  <si>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</si>
  <si>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</si>
  <si>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</si>
  <si>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</si>
  <si>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</si>
  <si>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</si>
  <si>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</si>
  <si>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</si>
  <si>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Laboratorio BTMC</t>
  </si>
  <si>
    <t>REGULAR ESTADO</t>
  </si>
  <si>
    <t xml:space="preserve">BASCULA DE PISO </t>
  </si>
  <si>
    <t xml:space="preserve">HEALTH O METER </t>
  </si>
  <si>
    <t>UNIDAD MATERNA</t>
  </si>
  <si>
    <t>1204002438</t>
  </si>
  <si>
    <t>JD1741-24</t>
  </si>
  <si>
    <t>0 kg a 150 kg</t>
  </si>
  <si>
    <t>0,5 kg</t>
  </si>
  <si>
    <t>CBC-0547-004-25                    CBC-0567-003-25
CBC-0007-003-26</t>
  </si>
  <si>
    <t>2026-01-05                         2025-12-29</t>
  </si>
  <si>
    <t xml:space="preserve">CBC-0547-001-25                      CBC-0547-002-25                          CBC-0547-003-25                   CBC-0567-001-25                              CBC-0567-002-25                         CBC-0567-003-25                                     </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</si>
  <si>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</si>
  <si>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</si>
  <si>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</si>
  <si>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</si>
  <si>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</si>
  <si>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</si>
  <si>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</si>
  <si>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</si>
  <si>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</si>
  <si>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</si>
  <si>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Desviación máxima
kg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</si>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</sst>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
    <numFmt numFmtId="166" formatCode=";;;"/>
    <numFmt numFmtId="167" formatCode="&quot;+/-&quot;\ 0\ &quot;mg&quot;"/>
    <numFmt numFmtId="168" formatCode="0.000000"/>
    <numFmt numFmtId="169" formatCode="0.00000\ &quot;kg&quot;"/>
    <numFmt numFmtId="170" formatCode="0.000000\ &quot;kg&quot;"/>
    <numFmt numFmtId="171" formatCode="yyyy\-mm\-dd;@"/>
    <numFmt numFmtId="172" formatCode="0.0000"/>
    <numFmt numFmtId="173" formatCode="0.00000"/>
    <numFmt numFmtId="174" formatCode="0.00\ &quot;kg&quot;"/>
  </numFmts>
  <fonts count="33"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name val="Calibri"/>
      <family val="2"/>
      <scheme val="minor"/>
    </font>
    <font>
      <b/>
      <sz val="9"/>
      <color theme="1"/>
      <name val="Calibri"/>
      <family val="2"/>
    </font>
    <font>
      <sz val="11"/>
      <color theme="1"/>
      <name val="Calibri"/>
      <family val="2"/>
    </font>
  </fonts>
  <fills count="13">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rgb="FF11E987"/>
        <bgColor rgb="FF11E987"/>
      </patternFill>
    </fill>
  </fills>
  <borders count="124">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right style="thin">
        <color rgb="FF92D050"/>
      </right>
      <top/>
      <bottom/>
      <diagonal/>
    </border>
    <border>
      <left/>
      <right style="thin">
        <color rgb="FF92D050"/>
      </right>
      <top style="thin">
        <color rgb="FF92D050"/>
      </top>
      <bottom style="thin">
        <color rgb="FF92D050"/>
      </bottom>
      <diagonal/>
    </border>
    <border>
      <left/>
      <right/>
      <top style="thin">
        <color rgb="FF6EA92D"/>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s>
  <cellStyleXfs count="1">
    <xf numFmtId="0" fontId="0" fillId="0" borderId="0"/>
  </cellStyleXfs>
  <cellXfs count="358">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6" fontId="9" fillId="4" borderId="52" xfId="0" applyNumberFormat="1" applyFont="1" applyFill="1" applyBorder="1" applyAlignment="1">
      <alignment vertical="center"/>
    </xf>
    <xf numFmtId="0" fontId="0" fillId="0" borderId="54" xfId="0" applyBorder="1" applyAlignment="1" applyProtection="1">
      <alignment horizontal="center"/>
      <protection locked="0"/>
    </xf>
    <xf numFmtId="0" fontId="10" fillId="0" borderId="55" xfId="0" applyFont="1" applyBorder="1" applyAlignment="1">
      <alignment horizontal="left" vertical="center"/>
    </xf>
    <xf numFmtId="0" fontId="10" fillId="0" borderId="56" xfId="0" applyFont="1" applyBorder="1" applyAlignment="1">
      <alignment vertical="center"/>
    </xf>
    <xf numFmtId="0" fontId="10" fillId="0" borderId="57" xfId="0" applyFont="1" applyBorder="1" applyAlignment="1">
      <alignment horizontal="right" vertical="center"/>
    </xf>
    <xf numFmtId="166" fontId="9" fillId="4" borderId="61" xfId="0" applyNumberFormat="1" applyFont="1" applyFill="1" applyBorder="1" applyAlignment="1">
      <alignment vertical="center"/>
    </xf>
    <xf numFmtId="0" fontId="0" fillId="0" borderId="65" xfId="0" applyBorder="1" applyAlignment="1" applyProtection="1">
      <alignment horizontal="center"/>
      <protection locked="0"/>
    </xf>
    <xf numFmtId="166" fontId="9" fillId="4" borderId="72" xfId="0" applyNumberFormat="1" applyFont="1" applyFill="1" applyBorder="1" applyAlignment="1">
      <alignment vertical="center"/>
    </xf>
    <xf numFmtId="0" fontId="0" fillId="0" borderId="75" xfId="0" applyBorder="1" applyAlignment="1" applyProtection="1">
      <alignment horizontal="center"/>
      <protection locked="0"/>
    </xf>
    <xf numFmtId="166" fontId="9" fillId="4" borderId="79" xfId="0" applyNumberFormat="1" applyFont="1" applyFill="1" applyBorder="1" applyAlignment="1">
      <alignment vertical="center"/>
    </xf>
    <xf numFmtId="0" fontId="0" fillId="0" borderId="80" xfId="0" applyBorder="1" applyAlignment="1" applyProtection="1">
      <alignment horizontal="center"/>
      <protection locked="0"/>
    </xf>
    <xf numFmtId="166" fontId="9" fillId="4" borderId="81" xfId="0" applyNumberFormat="1" applyFont="1" applyFill="1" applyBorder="1" applyAlignment="1">
      <alignment vertical="center"/>
    </xf>
    <xf numFmtId="0" fontId="6" fillId="4" borderId="35" xfId="0" applyFont="1" applyFill="1" applyBorder="1" applyAlignment="1">
      <alignment horizontal="center" vertical="center" wrapText="1"/>
    </xf>
    <xf numFmtId="166"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2" xfId="0" applyFont="1" applyFill="1" applyBorder="1" applyAlignment="1">
      <alignment horizontal="center" vertical="center"/>
    </xf>
    <xf numFmtId="166" fontId="9" fillId="4" borderId="83" xfId="0" applyNumberFormat="1" applyFont="1" applyFill="1" applyBorder="1" applyAlignment="1">
      <alignment vertical="center"/>
    </xf>
    <xf numFmtId="0" fontId="0" fillId="0" borderId="60" xfId="0" applyBorder="1" applyAlignment="1" applyProtection="1">
      <alignment horizontal="center"/>
      <protection locked="0"/>
    </xf>
    <xf numFmtId="0" fontId="9" fillId="0" borderId="80"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5"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7" fontId="0" fillId="0" borderId="0" xfId="0" applyNumberFormat="1"/>
    <xf numFmtId="0" fontId="14" fillId="0" borderId="0" xfId="0" applyFont="1" applyAlignment="1">
      <alignment vertical="center"/>
    </xf>
    <xf numFmtId="168" fontId="14" fillId="0" borderId="0" xfId="0" applyNumberFormat="1" applyFont="1" applyAlignment="1">
      <alignment vertical="center"/>
    </xf>
    <xf numFmtId="0" fontId="14" fillId="0" borderId="0" xfId="0" applyFont="1"/>
    <xf numFmtId="0" fontId="15" fillId="3" borderId="0" xfId="0" applyFont="1" applyFill="1" applyAlignment="1">
      <alignment horizontal="center" vertical="center"/>
    </xf>
    <xf numFmtId="168" fontId="16" fillId="3" borderId="0" xfId="0" applyNumberFormat="1" applyFont="1" applyFill="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0" fillId="3" borderId="0" xfId="0" applyFill="1"/>
    <xf numFmtId="0" fontId="18" fillId="0" borderId="0" xfId="0" applyFont="1" applyAlignment="1" applyProtection="1">
      <alignment horizontal="center"/>
      <protection locked="0"/>
    </xf>
    <xf numFmtId="170" fontId="8" fillId="0" borderId="0" xfId="0" applyNumberFormat="1" applyFont="1" applyAlignment="1">
      <alignment horizontal="center"/>
    </xf>
    <xf numFmtId="169" fontId="8" fillId="0" borderId="0" xfId="0" applyNumberFormat="1" applyFont="1" applyAlignment="1">
      <alignment horizontal="center"/>
    </xf>
    <xf numFmtId="165" fontId="10" fillId="0" borderId="0" xfId="0" applyNumberFormat="1" applyFont="1" applyAlignment="1" applyProtection="1">
      <alignment vertical="center"/>
      <protection locked="0"/>
    </xf>
    <xf numFmtId="166" fontId="9" fillId="4" borderId="93" xfId="0" applyNumberFormat="1" applyFont="1" applyFill="1" applyBorder="1" applyAlignment="1">
      <alignment horizontal="center" vertical="center"/>
    </xf>
    <xf numFmtId="166" fontId="6" fillId="4" borderId="96" xfId="0" applyNumberFormat="1" applyFont="1" applyFill="1" applyBorder="1" applyAlignment="1">
      <alignment horizontal="center" vertical="center" wrapText="1"/>
    </xf>
    <xf numFmtId="166" fontId="9" fillId="4" borderId="95" xfId="0" applyNumberFormat="1" applyFont="1" applyFill="1" applyBorder="1" applyAlignment="1">
      <alignment horizontal="center" vertical="center"/>
    </xf>
    <xf numFmtId="166" fontId="9" fillId="4" borderId="97" xfId="0" applyNumberFormat="1" applyFont="1" applyFill="1" applyBorder="1" applyAlignment="1">
      <alignment horizontal="center" vertical="center"/>
    </xf>
    <xf numFmtId="49" fontId="4" fillId="0" borderId="0" xfId="0" applyNumberFormat="1" applyFont="1" applyAlignment="1">
      <alignment horizontal="center"/>
    </xf>
    <xf numFmtId="171" fontId="4" fillId="0" borderId="0" xfId="0" applyNumberFormat="1" applyFont="1" applyAlignment="1">
      <alignment horizontal="center"/>
    </xf>
    <xf numFmtId="0" fontId="0" fillId="5"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71"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8" borderId="99" xfId="0" applyFont="1" applyFill="1" applyBorder="1" applyAlignment="1">
      <alignment horizontal="center" vertical="center"/>
    </xf>
    <xf numFmtId="0" fontId="20" fillId="8" borderId="99" xfId="0" applyFont="1" applyFill="1" applyBorder="1" applyAlignment="1">
      <alignment horizontal="center" vertical="center" wrapText="1"/>
    </xf>
    <xf numFmtId="1" fontId="21" fillId="0" borderId="100" xfId="0" applyNumberFormat="1" applyFont="1" applyBorder="1" applyAlignment="1">
      <alignment horizontal="center" vertical="center"/>
    </xf>
    <xf numFmtId="172" fontId="21" fillId="0" borderId="100" xfId="0" applyNumberFormat="1" applyFont="1" applyBorder="1" applyAlignment="1">
      <alignment horizontal="center" vertical="center"/>
    </xf>
    <xf numFmtId="2" fontId="21" fillId="0" borderId="100" xfId="0" applyNumberFormat="1" applyFont="1" applyBorder="1" applyAlignment="1">
      <alignment horizontal="center" vertical="center"/>
    </xf>
    <xf numFmtId="173" fontId="21" fillId="0" borderId="100" xfId="0" applyNumberFormat="1" applyFont="1" applyBorder="1" applyAlignment="1">
      <alignment horizontal="center" vertical="center"/>
    </xf>
    <xf numFmtId="168" fontId="21" fillId="0" borderId="100" xfId="0" applyNumberFormat="1" applyFont="1" applyBorder="1" applyAlignment="1">
      <alignment horizontal="center" vertical="center"/>
    </xf>
    <xf numFmtId="1" fontId="0" fillId="0" borderId="100" xfId="0" applyNumberFormat="1" applyBorder="1" applyAlignment="1">
      <alignment horizontal="center"/>
    </xf>
    <xf numFmtId="165" fontId="0" fillId="0" borderId="100" xfId="0" applyNumberFormat="1" applyBorder="1" applyAlignment="1">
      <alignment horizontal="center"/>
    </xf>
    <xf numFmtId="0" fontId="9" fillId="9" borderId="0" xfId="0" applyFont="1" applyFill="1" applyAlignment="1">
      <alignment vertical="center"/>
    </xf>
    <xf numFmtId="2" fontId="21" fillId="0" borderId="107"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4" fillId="0" borderId="0" xfId="0" applyFont="1" applyAlignment="1">
      <alignment vertical="center"/>
    </xf>
    <xf numFmtId="0" fontId="4" fillId="0" borderId="0" xfId="0" applyFont="1" applyAlignment="1">
      <alignment vertical="center" wrapText="1"/>
    </xf>
    <xf numFmtId="165" fontId="4" fillId="0" borderId="0" xfId="0" applyNumberFormat="1" applyFont="1" applyAlignment="1">
      <alignment horizontal="center"/>
    </xf>
    <xf numFmtId="0" fontId="2" fillId="0" borderId="0" xfId="0" applyFont="1" applyAlignment="1">
      <alignment horizontal="left"/>
    </xf>
    <xf numFmtId="0" fontId="2" fillId="0" borderId="0" xfId="0" applyFont="1" applyAlignment="1">
      <alignment vertical="center" wrapText="1"/>
    </xf>
    <xf numFmtId="165" fontId="2" fillId="0" borderId="0" xfId="0" applyNumberFormat="1" applyFont="1" applyAlignment="1">
      <alignment horizontal="left" vertical="center"/>
    </xf>
    <xf numFmtId="1" fontId="2" fillId="0" borderId="0" xfId="0" applyNumberFormat="1" applyFont="1" applyAlignment="1">
      <alignment horizontal="left"/>
    </xf>
    <xf numFmtId="165" fontId="22" fillId="0" borderId="0" xfId="0" applyNumberFormat="1" applyFont="1" applyAlignment="1">
      <alignment horizontal="center" vertical="center"/>
    </xf>
    <xf numFmtId="1" fontId="2" fillId="0" borderId="0" xfId="0" applyNumberFormat="1" applyFont="1"/>
    <xf numFmtId="165" fontId="2" fillId="0" borderId="0" xfId="0" applyNumberFormat="1" applyFont="1" applyAlignment="1">
      <alignment vertical="center"/>
    </xf>
    <xf numFmtId="165" fontId="2" fillId="0" borderId="0" xfId="0" applyNumberFormat="1" applyFont="1" applyAlignment="1">
      <alignment horizontal="right" vertical="center"/>
    </xf>
    <xf numFmtId="0" fontId="0" fillId="0" borderId="111" xfId="0" applyBorder="1"/>
    <xf numFmtId="1" fontId="2" fillId="0" borderId="112" xfId="0" applyNumberFormat="1" applyFont="1" applyBorder="1" applyAlignment="1">
      <alignment horizontal="left"/>
    </xf>
    <xf numFmtId="165" fontId="22" fillId="0" borderId="112" xfId="0" applyNumberFormat="1" applyFont="1" applyBorder="1" applyAlignment="1">
      <alignment horizontal="center" vertical="center"/>
    </xf>
    <xf numFmtId="165" fontId="2" fillId="0" borderId="111" xfId="0" applyNumberFormat="1" applyFont="1" applyBorder="1" applyAlignment="1">
      <alignment vertical="center"/>
    </xf>
    <xf numFmtId="165" fontId="2" fillId="0" borderId="112" xfId="0" applyNumberFormat="1" applyFont="1" applyBorder="1" applyAlignment="1">
      <alignment horizontal="left" vertical="center"/>
    </xf>
    <xf numFmtId="0" fontId="0" fillId="0" borderId="115" xfId="0" applyBorder="1"/>
    <xf numFmtId="171" fontId="0" fillId="0" borderId="0" xfId="0" applyNumberFormat="1" applyAlignment="1">
      <alignment horizontal="left"/>
    </xf>
    <xf numFmtId="171" fontId="2" fillId="0" borderId="0" xfId="0" applyNumberFormat="1" applyFont="1" applyAlignment="1">
      <alignment horizontal="left"/>
    </xf>
    <xf numFmtId="171" fontId="2" fillId="0" borderId="0" xfId="0" applyNumberFormat="1" applyFont="1"/>
    <xf numFmtId="0" fontId="23"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71" fontId="2" fillId="0" borderId="0" xfId="0" applyNumberFormat="1" applyFont="1" applyAlignment="1">
      <alignment vertical="center"/>
    </xf>
    <xf numFmtId="0" fontId="3" fillId="0" borderId="0" xfId="0" applyFont="1" applyAlignment="1">
      <alignment vertical="center"/>
    </xf>
    <xf numFmtId="0" fontId="24" fillId="0" borderId="0" xfId="0" applyFont="1" applyAlignment="1">
      <alignment horizontal="center" vertical="center"/>
    </xf>
    <xf numFmtId="0" fontId="25" fillId="0" borderId="0" xfId="0" applyFont="1" applyAlignment="1">
      <alignment vertical="center"/>
    </xf>
    <xf numFmtId="0" fontId="27" fillId="0" borderId="0" xfId="0" applyFont="1" applyAlignment="1">
      <alignment horizontal="center"/>
    </xf>
    <xf numFmtId="0" fontId="28" fillId="0" borderId="0" xfId="0" applyFont="1" applyAlignment="1">
      <alignment horizontal="right" vertical="center"/>
    </xf>
    <xf numFmtId="0" fontId="28" fillId="0" borderId="0" xfId="0" applyFont="1"/>
    <xf numFmtId="0" fontId="29" fillId="0" borderId="0" xfId="0" applyFont="1"/>
    <xf numFmtId="2" fontId="4" fillId="0" borderId="0" xfId="0" applyNumberFormat="1" applyFont="1" applyAlignment="1">
      <alignment horizontal="center"/>
    </xf>
    <xf numFmtId="171"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0" fillId="11" borderId="0" xfId="0" applyFill="1"/>
    <xf numFmtId="0" fontId="0" fillId="10" borderId="0" xfId="0" applyFill="1"/>
    <xf numFmtId="0" fontId="32" fillId="12" borderId="121" xfId="0" applyFont="1" applyFill="1" applyBorder="1" applyAlignment="1">
      <alignment horizontal="center" vertical="center" wrapText="1"/>
    </xf>
    <xf numFmtId="0" fontId="32" fillId="0" borderId="121" xfId="0" applyFont="1" applyBorder="1" applyAlignment="1">
      <alignment horizontal="center" vertical="center" wrapText="1"/>
    </xf>
    <xf numFmtId="1" fontId="32" fillId="0" borderId="121" xfId="0" applyNumberFormat="1" applyFont="1" applyBorder="1" applyAlignment="1">
      <alignment horizontal="center" vertical="center" shrinkToFit="1"/>
    </xf>
    <xf numFmtId="49" fontId="0" fillId="0" borderId="1" xfId="0" applyNumberFormat="1" applyBorder="1" applyAlignment="1">
      <alignment horizontal="center" vertical="center"/>
    </xf>
    <xf numFmtId="0" fontId="0" fillId="0" borderId="1" xfId="0" applyBorder="1" applyAlignment="1">
      <alignment horizontal="center" vertical="center"/>
    </xf>
    <xf numFmtId="171" fontId="0" fillId="0" borderId="1" xfId="0" applyNumberFormat="1" applyBorder="1" applyAlignment="1">
      <alignment horizontal="center" vertical="center"/>
    </xf>
    <xf numFmtId="1" fontId="10" fillId="4" borderId="30" xfId="0" applyNumberFormat="1" applyFont="1" applyFill="1" applyBorder="1" applyAlignment="1">
      <alignment horizontal="center" vertical="center"/>
    </xf>
    <xf numFmtId="0" fontId="1" fillId="0" borderId="108" xfId="0" applyFont="1" applyBorder="1" applyAlignment="1">
      <alignment horizontal="center" vertical="center"/>
    </xf>
    <xf numFmtId="0" fontId="3" fillId="0" borderId="0" xfId="0" applyFont="1" applyAlignment="1">
      <alignment horizontal="left"/>
    </xf>
    <xf numFmtId="0" fontId="1" fillId="0" borderId="108" xfId="0"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vertical="center"/>
    </xf>
    <xf numFmtId="0" fontId="2" fillId="0" borderId="0" xfId="0" applyFont="1" applyAlignment="1">
      <alignment horizontal="left"/>
    </xf>
    <xf numFmtId="0" fontId="1" fillId="0" borderId="0" xfId="0" applyFont="1" applyAlignment="1">
      <alignment horizontal="right"/>
    </xf>
    <xf numFmtId="165" fontId="4" fillId="0" borderId="29" xfId="0" applyNumberFormat="1" applyFont="1" applyBorder="1" applyAlignment="1">
      <alignment horizontal="center"/>
    </xf>
    <xf numFmtId="165" fontId="4" fillId="0" borderId="35" xfId="0" applyNumberFormat="1" applyFont="1" applyBorder="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0" fontId="4" fillId="0" borderId="119" xfId="0" applyFont="1" applyBorder="1" applyAlignment="1">
      <alignment horizontal="center"/>
    </xf>
    <xf numFmtId="0" fontId="4" fillId="0" borderId="2" xfId="0" applyFont="1" applyBorder="1" applyAlignment="1">
      <alignment horizontal="center"/>
    </xf>
    <xf numFmtId="0" fontId="4" fillId="0" borderId="118" xfId="0" applyFont="1" applyBorder="1" applyAlignment="1">
      <alignment horizontal="center"/>
    </xf>
    <xf numFmtId="0" fontId="4" fillId="0" borderId="0" xfId="0" applyFont="1" applyAlignment="1">
      <alignment horizontal="center"/>
    </xf>
    <xf numFmtId="0" fontId="1" fillId="0" borderId="0" xfId="0" applyFont="1" applyAlignment="1">
      <alignment horizontal="center"/>
    </xf>
    <xf numFmtId="0" fontId="4" fillId="0" borderId="0" xfId="0" applyFont="1" applyAlignment="1">
      <alignment horizontal="left"/>
    </xf>
    <xf numFmtId="174" fontId="4" fillId="0" borderId="0" xfId="0" applyNumberFormat="1" applyFont="1" applyAlignment="1">
      <alignment horizontal="left"/>
    </xf>
    <xf numFmtId="0" fontId="4" fillId="0" borderId="117" xfId="0" applyFont="1" applyBorder="1" applyAlignment="1">
      <alignment horizontal="justify" vertical="center" wrapText="1"/>
    </xf>
    <xf numFmtId="0" fontId="4" fillId="0" borderId="0" xfId="0" applyFont="1" applyAlignment="1">
      <alignment horizontal="justify" vertical="center" wrapText="1"/>
    </xf>
    <xf numFmtId="0" fontId="4" fillId="0" borderId="112" xfId="0" applyFont="1" applyBorder="1" applyAlignment="1">
      <alignment horizontal="justify" vertical="center" wrapText="1"/>
    </xf>
    <xf numFmtId="0" fontId="3" fillId="0" borderId="0" xfId="0" applyFont="1" applyAlignment="1">
      <alignment horizontal="right" vertical="center"/>
    </xf>
    <xf numFmtId="0" fontId="3" fillId="0" borderId="0" xfId="0" applyFont="1" applyAlignment="1">
      <alignment horizontal="left" vertical="center"/>
    </xf>
    <xf numFmtId="0" fontId="2" fillId="0" borderId="0" xfId="0" applyFont="1" applyAlignment="1">
      <alignment horizontal="left" vertical="center"/>
    </xf>
    <xf numFmtId="171" fontId="2" fillId="0" borderId="0" xfId="0" applyNumberFormat="1" applyFont="1" applyAlignment="1">
      <alignment horizontal="left" vertical="center"/>
    </xf>
    <xf numFmtId="0" fontId="3" fillId="0" borderId="0" xfId="0" applyFont="1" applyAlignment="1">
      <alignment horizontal="right"/>
    </xf>
    <xf numFmtId="0" fontId="27" fillId="0" borderId="0" xfId="0" applyFont="1" applyAlignment="1">
      <alignment horizontal="left" vertical="center"/>
    </xf>
    <xf numFmtId="0" fontId="26" fillId="0" borderId="0" xfId="0" applyFont="1" applyAlignment="1">
      <alignment horizontal="left"/>
    </xf>
    <xf numFmtId="0" fontId="26" fillId="0" borderId="0" xfId="0" applyFont="1" applyAlignment="1">
      <alignment horizontal="right"/>
    </xf>
    <xf numFmtId="0" fontId="25" fillId="0" borderId="112" xfId="0" applyFont="1" applyBorder="1" applyAlignment="1">
      <alignment horizontal="center" vertical="center"/>
    </xf>
    <xf numFmtId="49" fontId="2" fillId="0" borderId="0" xfId="0" applyNumberFormat="1" applyFont="1" applyAlignment="1">
      <alignment horizontal="left" vertical="center"/>
    </xf>
    <xf numFmtId="1" fontId="2" fillId="0" borderId="0" xfId="0" applyNumberFormat="1" applyFont="1" applyAlignment="1">
      <alignment horizontal="left" vertical="center"/>
    </xf>
    <xf numFmtId="0" fontId="2" fillId="0" borderId="110" xfId="0" applyFont="1" applyBorder="1" applyAlignment="1">
      <alignment horizontal="justify" vertical="center" wrapText="1"/>
    </xf>
    <xf numFmtId="0" fontId="2" fillId="0" borderId="0" xfId="0" applyFont="1" applyAlignment="1">
      <alignment horizontal="justify" vertical="center" wrapText="1"/>
    </xf>
    <xf numFmtId="0" fontId="8" fillId="0" borderId="114" xfId="0" applyFont="1" applyBorder="1" applyAlignment="1">
      <alignment horizontal="center" vertical="center" wrapText="1"/>
    </xf>
    <xf numFmtId="0" fontId="8" fillId="0" borderId="113" xfId="0" applyFont="1" applyBorder="1" applyAlignment="1">
      <alignment horizontal="center" vertical="center" wrapText="1"/>
    </xf>
    <xf numFmtId="0" fontId="8" fillId="0" borderId="116" xfId="0" applyFont="1" applyBorder="1" applyAlignment="1">
      <alignment horizontal="center" vertical="center" wrapText="1"/>
    </xf>
    <xf numFmtId="0" fontId="3" fillId="0" borderId="109" xfId="0" applyFont="1" applyBorder="1" applyAlignment="1">
      <alignment horizontal="center" vertical="center"/>
    </xf>
    <xf numFmtId="49" fontId="8" fillId="0" borderId="114" xfId="0" applyNumberFormat="1" applyFont="1" applyBorder="1" applyAlignment="1">
      <alignment horizontal="center" vertical="center"/>
    </xf>
    <xf numFmtId="49" fontId="8" fillId="0" borderId="113" xfId="0" applyNumberFormat="1" applyFont="1" applyBorder="1" applyAlignment="1">
      <alignment horizontal="center" vertical="center"/>
    </xf>
    <xf numFmtId="49" fontId="8" fillId="0" borderId="116" xfId="0" applyNumberFormat="1" applyFont="1" applyBorder="1" applyAlignment="1">
      <alignment horizontal="center" vertical="center"/>
    </xf>
    <xf numFmtId="171" fontId="8" fillId="0" borderId="114" xfId="0" applyNumberFormat="1" applyFont="1" applyBorder="1" applyAlignment="1">
      <alignment horizontal="center" vertical="center"/>
    </xf>
    <xf numFmtId="171" fontId="8" fillId="0" borderId="113" xfId="0" applyNumberFormat="1" applyFont="1" applyBorder="1" applyAlignment="1">
      <alignment horizontal="center" vertical="center"/>
    </xf>
    <xf numFmtId="171" fontId="8" fillId="0" borderId="116" xfId="0" applyNumberFormat="1" applyFont="1" applyBorder="1" applyAlignment="1">
      <alignment horizontal="center" vertical="center"/>
    </xf>
    <xf numFmtId="0" fontId="1" fillId="0" borderId="0" xfId="0" applyFont="1" applyAlignment="1">
      <alignment horizontal="center" vertical="center"/>
    </xf>
    <xf numFmtId="171" fontId="2" fillId="0" borderId="0" xfId="0" applyNumberFormat="1" applyFont="1" applyAlignment="1">
      <alignment horizontal="left"/>
    </xf>
    <xf numFmtId="0" fontId="4" fillId="0" borderId="114" xfId="0" applyFont="1" applyBorder="1" applyAlignment="1">
      <alignment horizontal="center" vertical="center"/>
    </xf>
    <xf numFmtId="0" fontId="4" fillId="0" borderId="113" xfId="0" applyFont="1" applyBorder="1" applyAlignment="1">
      <alignment horizontal="center" vertical="center"/>
    </xf>
    <xf numFmtId="0" fontId="4" fillId="0" borderId="116" xfId="0" applyFont="1" applyBorder="1" applyAlignment="1">
      <alignment horizontal="center" vertical="center"/>
    </xf>
    <xf numFmtId="0" fontId="3" fillId="0" borderId="114" xfId="0" applyFont="1" applyBorder="1" applyAlignment="1">
      <alignment vertical="center"/>
    </xf>
    <xf numFmtId="0" fontId="3" fillId="0" borderId="113" xfId="0" applyFont="1" applyBorder="1" applyAlignment="1">
      <alignment vertical="center"/>
    </xf>
    <xf numFmtId="0" fontId="3" fillId="0" borderId="116" xfId="0" applyFont="1" applyBorder="1" applyAlignment="1">
      <alignment vertical="center"/>
    </xf>
    <xf numFmtId="0" fontId="2" fillId="0" borderId="0" xfId="0" applyFont="1" applyAlignment="1">
      <alignment horizontal="center" vertical="center"/>
    </xf>
    <xf numFmtId="165" fontId="2" fillId="0" borderId="114" xfId="0" applyNumberFormat="1" applyFont="1" applyBorder="1" applyAlignment="1">
      <alignment horizontal="right" vertical="center"/>
    </xf>
    <xf numFmtId="165" fontId="2" fillId="0" borderId="113" xfId="0" applyNumberFormat="1" applyFont="1" applyBorder="1" applyAlignment="1">
      <alignment horizontal="right" vertical="center"/>
    </xf>
    <xf numFmtId="1" fontId="2" fillId="0" borderId="114" xfId="0" applyNumberFormat="1" applyFont="1" applyBorder="1" applyAlignment="1">
      <alignment horizontal="right"/>
    </xf>
    <xf numFmtId="1" fontId="2" fillId="0" borderId="113" xfId="0" applyNumberFormat="1" applyFont="1" applyBorder="1" applyAlignment="1">
      <alignment horizontal="right"/>
    </xf>
    <xf numFmtId="165" fontId="2" fillId="0" borderId="0" xfId="0" applyNumberFormat="1" applyFont="1" applyAlignment="1">
      <alignment horizontal="left" vertical="center"/>
    </xf>
    <xf numFmtId="0" fontId="3" fillId="0" borderId="114" xfId="0" applyFont="1" applyBorder="1" applyAlignment="1">
      <alignment horizontal="center" vertical="center"/>
    </xf>
    <xf numFmtId="0" fontId="3" fillId="0" borderId="113" xfId="0" applyFont="1" applyBorder="1" applyAlignment="1">
      <alignment horizontal="center" vertical="center"/>
    </xf>
    <xf numFmtId="0" fontId="3" fillId="0" borderId="116" xfId="0" applyFont="1" applyBorder="1" applyAlignment="1">
      <alignment horizontal="center" vertical="center"/>
    </xf>
    <xf numFmtId="14" fontId="8" fillId="0" borderId="114" xfId="0" applyNumberFormat="1" applyFont="1" applyBorder="1" applyAlignment="1">
      <alignment horizontal="center" vertical="center" wrapText="1"/>
    </xf>
    <xf numFmtId="171" fontId="8" fillId="0" borderId="114" xfId="0" applyNumberFormat="1" applyFont="1" applyBorder="1" applyAlignment="1">
      <alignment horizontal="center" vertical="center" wrapText="1"/>
    </xf>
    <xf numFmtId="171" fontId="8" fillId="0" borderId="113" xfId="0" applyNumberFormat="1" applyFont="1" applyBorder="1" applyAlignment="1">
      <alignment horizontal="center" vertical="center" wrapText="1"/>
    </xf>
    <xf numFmtId="171" fontId="8" fillId="0" borderId="116" xfId="0" applyNumberFormat="1" applyFont="1" applyBorder="1" applyAlignment="1">
      <alignment horizontal="center" vertical="center" wrapText="1"/>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165" fontId="4" fillId="0" borderId="1" xfId="0" applyNumberFormat="1" applyFont="1" applyBorder="1" applyAlignment="1">
      <alignment horizontal="center"/>
    </xf>
    <xf numFmtId="2" fontId="4" fillId="0" borderId="1" xfId="0" applyNumberFormat="1" applyFont="1" applyBorder="1" applyAlignment="1">
      <alignment horizontal="center"/>
    </xf>
    <xf numFmtId="0" fontId="5" fillId="0" borderId="119"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20"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8" fillId="0" borderId="0" xfId="0" applyFont="1" applyAlignment="1">
      <alignment horizontal="center"/>
    </xf>
    <xf numFmtId="1" fontId="4" fillId="0" borderId="1" xfId="0" applyNumberFormat="1" applyFont="1" applyBorder="1" applyAlignment="1">
      <alignment horizontal="center"/>
    </xf>
    <xf numFmtId="165" fontId="4" fillId="0" borderId="1" xfId="0" applyNumberFormat="1" applyFont="1" applyBorder="1" applyAlignment="1">
      <alignment horizontal="center" wrapText="1"/>
    </xf>
    <xf numFmtId="164" fontId="4" fillId="0" borderId="1" xfId="0" applyNumberFormat="1" applyFont="1" applyBorder="1" applyAlignment="1">
      <alignment horizontal="center"/>
    </xf>
    <xf numFmtId="0" fontId="7" fillId="0" borderId="119" xfId="0" applyFont="1" applyBorder="1" applyAlignment="1">
      <alignment horizontal="center" vertical="center"/>
    </xf>
    <xf numFmtId="0" fontId="7" fillId="0" borderId="120"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2" fontId="4" fillId="0" borderId="29" xfId="0" applyNumberFormat="1" applyFont="1" applyBorder="1" applyAlignment="1">
      <alignment horizontal="center"/>
    </xf>
    <xf numFmtId="2" fontId="4" fillId="0" borderId="30" xfId="0" applyNumberFormat="1" applyFont="1" applyBorder="1" applyAlignment="1">
      <alignment horizontal="center"/>
    </xf>
    <xf numFmtId="2" fontId="4" fillId="0" borderId="35" xfId="0" applyNumberFormat="1"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1" fillId="2" borderId="29" xfId="0" applyFont="1" applyFill="1" applyBorder="1" applyAlignment="1">
      <alignment horizontal="center"/>
    </xf>
    <xf numFmtId="0" fontId="1" fillId="2" borderId="30" xfId="0" applyFont="1" applyFill="1" applyBorder="1" applyAlignment="1">
      <alignment horizontal="center"/>
    </xf>
    <xf numFmtId="0" fontId="1" fillId="2" borderId="35" xfId="0" applyFont="1" applyFill="1" applyBorder="1" applyAlignment="1">
      <alignment horizont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65" fontId="9" fillId="0" borderId="49" xfId="0" applyNumberFormat="1" applyFont="1" applyBorder="1" applyAlignment="1" applyProtection="1">
      <alignment horizontal="center" vertical="center"/>
      <protection locked="0"/>
    </xf>
    <xf numFmtId="165"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1" fontId="10" fillId="4" borderId="53" xfId="0" applyNumberFormat="1" applyFont="1" applyFill="1" applyBorder="1" applyAlignment="1">
      <alignment horizontal="center" vertical="center"/>
    </xf>
    <xf numFmtId="1" fontId="10" fillId="4" borderId="50" xfId="0" applyNumberFormat="1" applyFont="1" applyFill="1" applyBorder="1" applyAlignment="1">
      <alignment horizontal="center" vertical="center"/>
    </xf>
    <xf numFmtId="165" fontId="9" fillId="0" borderId="122" xfId="0" applyNumberFormat="1" applyFont="1" applyBorder="1" applyAlignment="1" applyProtection="1">
      <alignment horizontal="center" vertical="center"/>
      <protection locked="0"/>
    </xf>
    <xf numFmtId="165" fontId="9" fillId="0" borderId="30" xfId="0" applyNumberFormat="1" applyFont="1" applyBorder="1" applyAlignment="1" applyProtection="1">
      <alignment horizontal="center" vertical="center"/>
      <protection locked="0"/>
    </xf>
    <xf numFmtId="165" fontId="9" fillId="0" borderId="123" xfId="0" applyNumberFormat="1" applyFont="1" applyBorder="1" applyAlignment="1" applyProtection="1">
      <alignment horizontal="center" vertical="center"/>
      <protection locked="0"/>
    </xf>
    <xf numFmtId="0" fontId="10" fillId="4" borderId="58" xfId="0" applyFont="1" applyFill="1" applyBorder="1" applyAlignment="1">
      <alignment horizontal="center" vertical="center"/>
    </xf>
    <xf numFmtId="0" fontId="10" fillId="4" borderId="59" xfId="0" applyFont="1" applyFill="1" applyBorder="1" applyAlignment="1">
      <alignment horizontal="center" vertical="center"/>
    </xf>
    <xf numFmtId="165" fontId="9" fillId="0" borderId="0" xfId="0" applyNumberFormat="1" applyFont="1" applyAlignment="1" applyProtection="1">
      <alignment horizontal="center" vertical="center"/>
      <protection locked="0"/>
    </xf>
    <xf numFmtId="165" fontId="9" fillId="0" borderId="60" xfId="0" applyNumberFormat="1" applyFont="1" applyBorder="1" applyAlignment="1" applyProtection="1">
      <alignment horizontal="center" vertical="center"/>
      <protection locked="0"/>
    </xf>
    <xf numFmtId="1" fontId="10" fillId="4" borderId="62" xfId="0" applyNumberFormat="1" applyFont="1" applyFill="1" applyBorder="1" applyAlignment="1">
      <alignment horizontal="center" vertical="center"/>
    </xf>
    <xf numFmtId="1" fontId="10" fillId="4" borderId="63" xfId="0" applyNumberFormat="1" applyFont="1" applyFill="1" applyBorder="1" applyAlignment="1">
      <alignment horizontal="center" vertical="center"/>
    </xf>
    <xf numFmtId="165" fontId="9" fillId="0" borderId="53" xfId="0" applyNumberFormat="1" applyFont="1" applyBorder="1" applyAlignment="1" applyProtection="1">
      <alignment horizontal="center" vertical="center"/>
      <protection locked="0"/>
    </xf>
    <xf numFmtId="165" fontId="9" fillId="0" borderId="50" xfId="0" applyNumberFormat="1" applyFont="1" applyBorder="1" applyAlignment="1" applyProtection="1">
      <alignment horizontal="center" vertical="center"/>
      <protection locked="0"/>
    </xf>
    <xf numFmtId="0" fontId="6" fillId="4" borderId="76" xfId="0" applyFont="1" applyFill="1" applyBorder="1" applyAlignment="1">
      <alignment horizontal="center" vertical="center" wrapText="1"/>
    </xf>
    <xf numFmtId="0" fontId="12" fillId="4" borderId="66"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67" xfId="0" applyFont="1" applyFill="1" applyBorder="1" applyAlignment="1">
      <alignment horizontal="center" vertical="center" wrapText="1"/>
    </xf>
    <xf numFmtId="0" fontId="6" fillId="4" borderId="77" xfId="0" applyFont="1" applyFill="1" applyBorder="1" applyAlignment="1">
      <alignment horizontal="center" vertical="center" wrapText="1"/>
    </xf>
    <xf numFmtId="0" fontId="10" fillId="4" borderId="68" xfId="0" applyFont="1" applyFill="1" applyBorder="1" applyAlignment="1">
      <alignment horizontal="center" vertical="center"/>
    </xf>
    <xf numFmtId="0" fontId="10" fillId="4" borderId="69" xfId="0" applyFont="1" applyFill="1" applyBorder="1" applyAlignment="1">
      <alignment horizontal="center" vertical="center"/>
    </xf>
    <xf numFmtId="165" fontId="9" fillId="0" borderId="70" xfId="0" applyNumberFormat="1" applyFont="1" applyBorder="1" applyAlignment="1" applyProtection="1">
      <alignment horizontal="center" vertical="center"/>
      <protection locked="0"/>
    </xf>
    <xf numFmtId="165" fontId="9" fillId="0" borderId="68" xfId="0" applyNumberFormat="1" applyFont="1" applyBorder="1" applyAlignment="1" applyProtection="1">
      <alignment horizontal="center" vertical="center"/>
      <protection locked="0"/>
    </xf>
    <xf numFmtId="165" fontId="9" fillId="0" borderId="71" xfId="0" applyNumberFormat="1" applyFont="1" applyBorder="1" applyAlignment="1" applyProtection="1">
      <alignment horizontal="center" vertical="center"/>
      <protection locked="0"/>
    </xf>
    <xf numFmtId="0" fontId="10" fillId="4" borderId="78" xfId="0" applyFont="1" applyFill="1" applyBorder="1" applyAlignment="1">
      <alignment horizontal="center" vertical="center"/>
    </xf>
    <xf numFmtId="0" fontId="10" fillId="4" borderId="63" xfId="0" applyFont="1" applyFill="1" applyBorder="1" applyAlignment="1">
      <alignment horizontal="center" vertical="center"/>
    </xf>
    <xf numFmtId="0" fontId="9" fillId="0" borderId="89" xfId="0" applyFont="1" applyBorder="1" applyAlignment="1">
      <alignment horizontal="center" vertical="center"/>
    </xf>
    <xf numFmtId="0" fontId="9" fillId="0" borderId="58" xfId="0" applyFont="1" applyBorder="1" applyAlignment="1">
      <alignment horizontal="center" vertical="center"/>
    </xf>
    <xf numFmtId="0" fontId="9" fillId="0" borderId="59" xfId="0" applyFont="1" applyBorder="1" applyAlignment="1">
      <alignment horizontal="center" vertical="center"/>
    </xf>
    <xf numFmtId="165" fontId="9" fillId="0" borderId="62" xfId="0" applyNumberFormat="1" applyFont="1" applyBorder="1" applyAlignment="1" applyProtection="1">
      <alignment horizontal="center" vertical="center"/>
      <protection locked="0"/>
    </xf>
    <xf numFmtId="165" fontId="9" fillId="0" borderId="78" xfId="0" applyNumberFormat="1" applyFont="1" applyBorder="1" applyAlignment="1" applyProtection="1">
      <alignment horizontal="center" vertical="center"/>
      <protection locked="0"/>
    </xf>
    <xf numFmtId="1" fontId="10" fillId="4" borderId="84" xfId="0" applyNumberFormat="1" applyFont="1" applyFill="1" applyBorder="1" applyAlignment="1">
      <alignment horizontal="center" vertical="center"/>
    </xf>
    <xf numFmtId="1" fontId="10" fillId="4" borderId="85" xfId="0" applyNumberFormat="1" applyFont="1" applyFill="1" applyBorder="1" applyAlignment="1">
      <alignment horizontal="center" vertical="center"/>
    </xf>
    <xf numFmtId="0" fontId="9" fillId="0" borderId="86"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65" fontId="9" fillId="0" borderId="87" xfId="0" applyNumberFormat="1" applyFont="1" applyBorder="1" applyAlignment="1" applyProtection="1">
      <alignment horizontal="center" vertical="center"/>
      <protection locked="0"/>
    </xf>
    <xf numFmtId="165" fontId="9" fillId="0" borderId="2"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88" xfId="0" applyFont="1" applyFill="1" applyBorder="1" applyAlignment="1">
      <alignment horizontal="center" vertical="center"/>
    </xf>
    <xf numFmtId="0" fontId="10" fillId="4" borderId="94" xfId="0" applyFont="1" applyFill="1" applyBorder="1" applyAlignment="1">
      <alignment horizontal="center" vertical="center"/>
    </xf>
    <xf numFmtId="0" fontId="10" fillId="4" borderId="85" xfId="0" applyFont="1" applyFill="1" applyBorder="1" applyAlignment="1">
      <alignment horizontal="center" vertical="center"/>
    </xf>
    <xf numFmtId="0" fontId="13" fillId="3" borderId="0" xfId="0" applyFont="1" applyFill="1" applyAlignment="1">
      <alignment horizontal="center" vertical="center"/>
    </xf>
    <xf numFmtId="168" fontId="13" fillId="3" borderId="0" xfId="0" applyNumberFormat="1" applyFont="1" applyFill="1" applyAlignment="1">
      <alignment horizontal="center" vertical="center"/>
    </xf>
    <xf numFmtId="0" fontId="9" fillId="0" borderId="90" xfId="0" applyFont="1" applyBorder="1" applyAlignment="1">
      <alignment horizontal="center" vertical="center"/>
    </xf>
    <xf numFmtId="0" fontId="9" fillId="0" borderId="64" xfId="0" applyFont="1" applyBorder="1" applyAlignment="1">
      <alignment horizontal="center" vertical="center"/>
    </xf>
    <xf numFmtId="0" fontId="9" fillId="0" borderId="91" xfId="0" applyFont="1" applyBorder="1" applyAlignment="1">
      <alignment horizontal="center" vertical="center"/>
    </xf>
    <xf numFmtId="0" fontId="9" fillId="0" borderId="92" xfId="0" applyFont="1" applyBorder="1" applyAlignment="1">
      <alignment horizontal="center" vertical="center"/>
    </xf>
    <xf numFmtId="0" fontId="9" fillId="0" borderId="73" xfId="0" applyFont="1" applyBorder="1" applyAlignment="1">
      <alignment horizontal="center" vertical="center"/>
    </xf>
    <xf numFmtId="0" fontId="9" fillId="0" borderId="74" xfId="0" applyFont="1" applyBorder="1" applyAlignment="1">
      <alignment horizontal="center" vertical="center"/>
    </xf>
    <xf numFmtId="0" fontId="1" fillId="3" borderId="0" xfId="0" applyFont="1" applyFill="1" applyAlignment="1">
      <alignment horizontal="center"/>
    </xf>
    <xf numFmtId="169" fontId="0" fillId="3" borderId="0" xfId="0" applyNumberFormat="1" applyFill="1" applyAlignment="1">
      <alignment horizontal="center"/>
    </xf>
    <xf numFmtId="170" fontId="0" fillId="3" borderId="0" xfId="0" applyNumberFormat="1" applyFill="1" applyAlignment="1">
      <alignment horizontal="center"/>
    </xf>
    <xf numFmtId="0" fontId="0" fillId="3" borderId="0" xfId="0" applyFill="1" applyAlignment="1">
      <alignment horizontal="center"/>
    </xf>
    <xf numFmtId="0" fontId="3" fillId="4" borderId="0" xfId="0" applyFont="1"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6" borderId="0" xfId="0" applyFont="1" applyFill="1" applyAlignment="1">
      <alignment horizontal="center" vertical="center"/>
    </xf>
    <xf numFmtId="14" fontId="9" fillId="0" borderId="1" xfId="0" applyNumberFormat="1" applyFont="1" applyBorder="1" applyAlignment="1">
      <alignment horizontal="left" vertical="center"/>
    </xf>
    <xf numFmtId="171" fontId="9" fillId="0" borderId="1" xfId="0" applyNumberFormat="1" applyFont="1" applyBorder="1" applyAlignment="1">
      <alignment horizontal="left" vertical="center"/>
    </xf>
    <xf numFmtId="0" fontId="9" fillId="0" borderId="98" xfId="0" applyFont="1" applyBorder="1" applyAlignment="1">
      <alignment horizontal="left" vertical="center"/>
    </xf>
    <xf numFmtId="49" fontId="9" fillId="0" borderId="1" xfId="0" applyNumberFormat="1" applyFont="1" applyBorder="1" applyAlignment="1">
      <alignment horizontal="left" vertical="center"/>
    </xf>
    <xf numFmtId="0" fontId="9" fillId="0" borderId="105" xfId="0" applyFont="1" applyBorder="1" applyAlignment="1">
      <alignment horizontal="center" vertical="center"/>
    </xf>
    <xf numFmtId="0" fontId="9" fillId="0" borderId="106" xfId="0" applyFont="1" applyBorder="1" applyAlignment="1">
      <alignment horizontal="center" vertical="center"/>
    </xf>
    <xf numFmtId="1" fontId="9" fillId="0" borderId="105" xfId="0" applyNumberFormat="1" applyFont="1" applyBorder="1" applyAlignment="1">
      <alignment horizontal="center" vertical="center"/>
    </xf>
    <xf numFmtId="1" fontId="9" fillId="0" borderId="106" xfId="0" applyNumberFormat="1" applyFont="1" applyBorder="1" applyAlignment="1">
      <alignment horizontal="center" vertical="center"/>
    </xf>
    <xf numFmtId="2" fontId="9" fillId="0" borderId="105" xfId="0" applyNumberFormat="1" applyFont="1" applyBorder="1" applyAlignment="1">
      <alignment horizontal="center" vertical="center"/>
    </xf>
    <xf numFmtId="2" fontId="9" fillId="0" borderId="106" xfId="0" applyNumberFormat="1" applyFont="1" applyBorder="1" applyAlignment="1">
      <alignment horizontal="center" vertical="center"/>
    </xf>
    <xf numFmtId="0" fontId="19" fillId="7" borderId="101" xfId="0" applyFont="1" applyFill="1" applyBorder="1" applyAlignment="1">
      <alignment horizontal="center" vertical="center"/>
    </xf>
    <xf numFmtId="0" fontId="9" fillId="0" borderId="102" xfId="0" applyFont="1" applyBorder="1" applyAlignment="1">
      <alignment horizontal="center" vertical="center"/>
    </xf>
    <xf numFmtId="0" fontId="9" fillId="0" borderId="103" xfId="0" applyFont="1" applyBorder="1" applyAlignment="1">
      <alignment horizontal="center" vertical="center"/>
    </xf>
    <xf numFmtId="0" fontId="9" fillId="0" borderId="104" xfId="0" applyFont="1" applyBorder="1" applyAlignment="1">
      <alignment horizontal="center" vertical="center"/>
    </xf>
    <xf numFmtId="173" fontId="9" fillId="0" borderId="105" xfId="0" applyNumberFormat="1" applyFont="1" applyBorder="1" applyAlignment="1">
      <alignment horizontal="center" vertical="center"/>
    </xf>
    <xf numFmtId="173" fontId="9" fillId="0" borderId="106"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0A621986-6001-44A9-A42E-C9EC0044588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21B52FA5-17C8-409D-885E-1B835EC27A50}"/>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29CBC3C7-1EF3-4824-8E5F-1ADB2F353D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F49398D2-C7BA-4B32-ADAD-B93ED34B4581}"/>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82CC4A3B-E836-4120-81F7-4DCFD87486EB}"/>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M15"/>
  <sheetViews>
    <sheetView workbookViewId="0">
      <selection activeCell="G17" sqref="G17"/>
    </sheetView>
  </sheetViews>
  <sheetFormatPr baseColWidth="10" defaultRowHeight="14.4" x14ac:dyDescent="0.3"/>
  <cols>
    <col min="1" max="1" width="27.44140625" customWidth="1"/>
    <col min="2" max="2" width="42.88671875" bestFit="1" customWidth="1"/>
    <col min="4" max="4" width="21.44140625" bestFit="1" customWidth="1"/>
    <col min="5" max="5" width="28.6640625" customWidth="1"/>
    <col min="7" max="7" width="24.77734375" bestFit="1" customWidth="1"/>
    <col min="8" max="8" width="32.5546875" customWidth="1"/>
  </cols>
  <sheetData>
    <row r="1" spans="1:13" x14ac:dyDescent="0.3">
      <c r="A1" s="240" t="s">
        <v>12</v>
      </c>
      <c r="B1" s="241"/>
      <c r="C1" s="241"/>
      <c r="D1" s="241"/>
      <c r="E1" s="241"/>
      <c r="F1" s="241"/>
      <c r="G1" s="241"/>
      <c r="H1" s="242"/>
      <c r="J1" s="139" t="s">
        <v>188</v>
      </c>
      <c r="K1" s="140"/>
      <c r="L1" s="140"/>
      <c r="M1" s="140"/>
    </row>
    <row r="2" spans="1:13" x14ac:dyDescent="0.3">
      <c r="A2" s="137" t="s">
        <v>192</v>
      </c>
      <c r="B2" s="137" t="s">
        <v>193</v>
      </c>
      <c r="C2" s="137" t="s">
        <v>194</v>
      </c>
      <c r="D2" s="137" t="s">
        <v>195</v>
      </c>
      <c r="E2" s="137" t="s">
        <v>196</v>
      </c>
      <c r="F2" s="137" t="s">
        <v>197</v>
      </c>
      <c r="G2" s="137" t="s">
        <v>198</v>
      </c>
      <c r="H2" s="137" t="s">
        <v>199</v>
      </c>
      <c r="J2" s="139" t="s">
        <v>206</v>
      </c>
    </row>
    <row r="3" spans="1:13" ht="13.2" customHeight="1" x14ac:dyDescent="0.3">
      <c r="A3" s="141" t="s">
        <v>208</v>
      </c>
      <c r="B3" s="141" t="s">
        <v>209</v>
      </c>
      <c r="C3" s="142" t="s">
        <v>191</v>
      </c>
      <c r="D3" s="143">
        <v>8440131906</v>
      </c>
      <c r="E3" s="143" t="s">
        <v>210</v>
      </c>
      <c r="F3" s="144" t="s">
        <v>211</v>
      </c>
      <c r="G3" s="145" t="s">
        <v>212</v>
      </c>
      <c r="H3" s="146">
        <v>45465</v>
      </c>
      <c r="J3" s="139"/>
    </row>
    <row r="4" spans="1:13" x14ac:dyDescent="0.3">
      <c r="A4" s="21"/>
      <c r="B4" s="21"/>
      <c r="G4" s="21"/>
      <c r="J4" s="139" t="s">
        <v>189</v>
      </c>
      <c r="M4" s="139"/>
    </row>
    <row r="5" spans="1:13" x14ac:dyDescent="0.3">
      <c r="G5" s="21"/>
      <c r="J5" s="139" t="s">
        <v>207</v>
      </c>
    </row>
    <row r="6" spans="1:13" x14ac:dyDescent="0.3">
      <c r="A6" s="243" t="s">
        <v>19</v>
      </c>
      <c r="B6" s="243"/>
      <c r="D6" s="136" t="s">
        <v>11</v>
      </c>
      <c r="E6" s="136"/>
      <c r="F6" s="21"/>
      <c r="G6" s="21"/>
      <c r="J6" s="139" t="s">
        <v>190</v>
      </c>
    </row>
    <row r="7" spans="1:13" x14ac:dyDescent="0.3">
      <c r="A7" s="138" t="s">
        <v>13</v>
      </c>
      <c r="B7" s="133" t="s">
        <v>188</v>
      </c>
      <c r="D7" s="138" t="s">
        <v>10</v>
      </c>
      <c r="E7" s="134" t="s">
        <v>200</v>
      </c>
      <c r="F7" s="21"/>
      <c r="G7" s="21"/>
    </row>
    <row r="8" spans="1:13" x14ac:dyDescent="0.3">
      <c r="A8" s="138" t="s">
        <v>201</v>
      </c>
      <c r="B8" s="133" t="s">
        <v>189</v>
      </c>
      <c r="D8" s="138" t="s">
        <v>0</v>
      </c>
      <c r="E8" s="133" t="s">
        <v>202</v>
      </c>
      <c r="F8" s="21"/>
      <c r="G8" s="21"/>
    </row>
    <row r="9" spans="1:13" x14ac:dyDescent="0.3">
      <c r="A9" s="138" t="s">
        <v>14</v>
      </c>
      <c r="B9" s="132">
        <f>H3</f>
        <v>45465</v>
      </c>
      <c r="D9" s="138" t="s">
        <v>9</v>
      </c>
      <c r="E9" s="133">
        <v>3007835072</v>
      </c>
      <c r="F9" s="21"/>
      <c r="G9" s="21"/>
    </row>
    <row r="10" spans="1:13" x14ac:dyDescent="0.3">
      <c r="A10" s="138" t="s">
        <v>15</v>
      </c>
      <c r="B10" s="132">
        <f>H3</f>
        <v>45465</v>
      </c>
      <c r="D10" s="138" t="s">
        <v>3</v>
      </c>
      <c r="E10" s="135" t="s">
        <v>203</v>
      </c>
      <c r="F10" s="21"/>
    </row>
    <row r="11" spans="1:13" x14ac:dyDescent="0.3">
      <c r="A11" s="138" t="s">
        <v>7</v>
      </c>
      <c r="B11" s="133">
        <v>24.1</v>
      </c>
      <c r="D11" s="138" t="s">
        <v>5</v>
      </c>
      <c r="E11" s="135" t="s">
        <v>204</v>
      </c>
      <c r="F11" s="21"/>
    </row>
    <row r="12" spans="1:13" x14ac:dyDescent="0.3">
      <c r="A12" s="138" t="s">
        <v>8</v>
      </c>
      <c r="B12" s="133">
        <v>24.5</v>
      </c>
    </row>
    <row r="13" spans="1:13" x14ac:dyDescent="0.3">
      <c r="A13" s="138" t="s">
        <v>17</v>
      </c>
      <c r="B13" s="133">
        <v>60</v>
      </c>
    </row>
    <row r="14" spans="1:13" x14ac:dyDescent="0.3">
      <c r="A14" s="138" t="s">
        <v>16</v>
      </c>
      <c r="B14" s="133">
        <v>63</v>
      </c>
    </row>
    <row r="15" spans="1:13" x14ac:dyDescent="0.3">
      <c r="A15" s="138" t="s">
        <v>18</v>
      </c>
      <c r="B15" s="133" t="s">
        <v>205</v>
      </c>
    </row>
  </sheetData>
  <mergeCells count="2">
    <mergeCell ref="A1:H1"/>
    <mergeCell ref="A6:B6"/>
  </mergeCells>
  <dataValidations count="2">
    <dataValidation type="list" allowBlank="1" showInputMessage="1" showErrorMessage="1" sqref="B8" xr:uid="{9CD67E34-4D80-44C7-B240-98EAB94896A4}">
      <formula1>$J$4:$J$6</formula1>
    </dataValidation>
    <dataValidation type="list" allowBlank="1" showInputMessage="1" showErrorMessage="1" sqref="B7" xr:uid="{5215DAD4-3E7F-4989-A4A8-1137DE4D1D13}">
      <formula1>$J$1:$J$2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W67"/>
  <sheetViews>
    <sheetView topLeftCell="D1" workbookViewId="0">
      <selection activeCell="P5" sqref="P5"/>
    </sheetView>
  </sheetViews>
  <sheetFormatPr baseColWidth="10" defaultRowHeight="14.4" x14ac:dyDescent="0.3"/>
  <cols>
    <col min="1" max="23" width="9.77734375" customWidth="1"/>
  </cols>
  <sheetData>
    <row r="2" spans="1:23" x14ac:dyDescent="0.3">
      <c r="B2" s="21"/>
      <c r="C2" s="22"/>
      <c r="D2" s="22"/>
      <c r="E2" s="22"/>
      <c r="F2" s="21"/>
      <c r="G2" s="21"/>
      <c r="H2" s="21"/>
      <c r="I2" s="21"/>
      <c r="J2" s="22" t="s">
        <v>42</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60" t="s">
        <v>43</v>
      </c>
      <c r="B4" s="260"/>
      <c r="C4" s="260"/>
      <c r="D4" s="260"/>
      <c r="E4" s="260"/>
      <c r="F4" s="261" t="s">
        <v>6</v>
      </c>
      <c r="G4" s="261"/>
      <c r="H4" s="21"/>
      <c r="I4" s="22"/>
      <c r="J4" s="22"/>
      <c r="K4" s="22"/>
      <c r="L4" s="22"/>
      <c r="M4" s="70"/>
      <c r="N4" s="22"/>
      <c r="R4" s="22"/>
      <c r="S4" s="22"/>
      <c r="T4" s="22"/>
      <c r="U4" s="22"/>
      <c r="V4" s="22"/>
    </row>
    <row r="5" spans="1:23" ht="15" thickBot="1" x14ac:dyDescent="0.35">
      <c r="A5" s="260" t="s">
        <v>44</v>
      </c>
      <c r="B5" s="260"/>
      <c r="C5" s="260"/>
      <c r="D5" s="260"/>
      <c r="E5" s="260"/>
      <c r="F5" s="262">
        <v>150</v>
      </c>
      <c r="G5" s="262"/>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63" t="s">
        <v>45</v>
      </c>
      <c r="S6" s="263"/>
      <c r="T6" s="264"/>
      <c r="U6" s="267" t="s">
        <v>46</v>
      </c>
      <c r="V6" s="267"/>
      <c r="W6" s="268"/>
    </row>
    <row r="7" spans="1:23" ht="15.6" thickTop="1" thickBot="1" x14ac:dyDescent="0.35">
      <c r="B7" s="269" t="s">
        <v>47</v>
      </c>
      <c r="C7" s="263"/>
      <c r="D7" s="264"/>
      <c r="E7" s="273" t="s">
        <v>48</v>
      </c>
      <c r="F7" s="274"/>
      <c r="G7" s="275"/>
      <c r="H7" s="279" t="s">
        <v>49</v>
      </c>
      <c r="I7" s="21"/>
      <c r="J7" s="21"/>
      <c r="K7" s="21"/>
      <c r="L7" s="26"/>
      <c r="M7" s="27"/>
      <c r="N7" s="21"/>
      <c r="O7" s="21"/>
      <c r="P7" s="21"/>
      <c r="Q7" s="28"/>
      <c r="R7" s="265"/>
      <c r="S7" s="265"/>
      <c r="T7" s="266"/>
      <c r="U7" s="281" t="str">
        <f>R8</f>
        <v>kg</v>
      </c>
      <c r="V7" s="253"/>
      <c r="W7" s="282"/>
    </row>
    <row r="8" spans="1:23" ht="15" thickTop="1" x14ac:dyDescent="0.3">
      <c r="B8" s="270"/>
      <c r="C8" s="271"/>
      <c r="D8" s="272"/>
      <c r="E8" s="276"/>
      <c r="F8" s="277"/>
      <c r="G8" s="278"/>
      <c r="H8" s="280"/>
      <c r="I8" s="21"/>
      <c r="J8" s="21"/>
      <c r="K8" s="29" t="s">
        <v>35</v>
      </c>
      <c r="L8" s="30"/>
      <c r="M8" s="30"/>
      <c r="N8" s="31" t="s">
        <v>36</v>
      </c>
      <c r="O8" s="21"/>
      <c r="P8" s="21"/>
      <c r="Q8" s="28"/>
      <c r="R8" s="244" t="str">
        <f>F4</f>
        <v>kg</v>
      </c>
      <c r="S8" s="244"/>
      <c r="T8" s="245"/>
      <c r="U8" s="246" t="s">
        <v>50</v>
      </c>
      <c r="V8" s="247"/>
      <c r="W8" s="248"/>
    </row>
    <row r="9" spans="1:23" x14ac:dyDescent="0.3">
      <c r="A9" s="25"/>
      <c r="B9" s="249" t="str">
        <f>F4</f>
        <v>kg</v>
      </c>
      <c r="C9" s="250"/>
      <c r="D9" s="251"/>
      <c r="E9" s="252" t="str">
        <f>B9</f>
        <v>kg</v>
      </c>
      <c r="F9" s="253"/>
      <c r="G9" s="254"/>
      <c r="H9" s="32" t="str">
        <f>F4</f>
        <v>kg</v>
      </c>
      <c r="I9" s="21"/>
      <c r="J9" s="21"/>
      <c r="K9" s="33"/>
      <c r="L9" s="255" t="s">
        <v>33</v>
      </c>
      <c r="M9" s="255"/>
      <c r="N9" s="34"/>
      <c r="O9" s="21"/>
      <c r="P9" s="21"/>
      <c r="Q9" s="28"/>
      <c r="R9" s="72">
        <v>0</v>
      </c>
      <c r="S9" s="256">
        <v>0</v>
      </c>
      <c r="T9" s="257"/>
      <c r="U9" s="258">
        <v>0</v>
      </c>
      <c r="V9" s="258"/>
      <c r="W9" s="259"/>
    </row>
    <row r="10" spans="1:23" ht="15" thickBot="1" x14ac:dyDescent="0.35">
      <c r="A10" s="25"/>
      <c r="B10" s="35">
        <f>F5*50%</f>
        <v>75</v>
      </c>
      <c r="C10" s="283">
        <f>MROUND(B10,5)</f>
        <v>75</v>
      </c>
      <c r="D10" s="284"/>
      <c r="E10" s="285">
        <f>U14</f>
        <v>75</v>
      </c>
      <c r="F10" s="286"/>
      <c r="G10" s="287"/>
      <c r="H10" s="36">
        <v>0</v>
      </c>
      <c r="I10" s="21"/>
      <c r="J10" s="21"/>
      <c r="K10" s="37" t="s">
        <v>34</v>
      </c>
      <c r="L10" s="38"/>
      <c r="M10" s="38"/>
      <c r="N10" s="39" t="s">
        <v>37</v>
      </c>
      <c r="O10" s="21"/>
      <c r="P10" s="23"/>
      <c r="Q10" s="28"/>
      <c r="R10" s="73">
        <f>F5/10</f>
        <v>15</v>
      </c>
      <c r="S10" s="288">
        <f t="shared" ref="S10:S19" si="0">MROUND(R10,5)</f>
        <v>15</v>
      </c>
      <c r="T10" s="289"/>
      <c r="U10" s="290">
        <v>15</v>
      </c>
      <c r="V10" s="290"/>
      <c r="W10" s="291"/>
    </row>
    <row r="11" spans="1:23" ht="15" thickTop="1" x14ac:dyDescent="0.3">
      <c r="B11" s="40">
        <f>B10</f>
        <v>75</v>
      </c>
      <c r="C11" s="292">
        <f>MROUND(B11,5)</f>
        <v>75</v>
      </c>
      <c r="D11" s="293"/>
      <c r="E11" s="294">
        <f>E10</f>
        <v>75</v>
      </c>
      <c r="F11" s="258"/>
      <c r="G11" s="295"/>
      <c r="H11" s="41">
        <v>0</v>
      </c>
      <c r="I11" s="21"/>
      <c r="J11" s="269" t="s">
        <v>47</v>
      </c>
      <c r="K11" s="263"/>
      <c r="L11" s="264"/>
      <c r="M11" s="297" t="s">
        <v>51</v>
      </c>
      <c r="N11" s="298"/>
      <c r="O11" s="298"/>
      <c r="P11" s="301" t="s">
        <v>49</v>
      </c>
      <c r="Q11" s="28"/>
      <c r="R11" s="74">
        <f>R10+R10</f>
        <v>30</v>
      </c>
      <c r="S11" s="303">
        <f t="shared" si="0"/>
        <v>30</v>
      </c>
      <c r="T11" s="304"/>
      <c r="U11" s="305">
        <f>U10+15</f>
        <v>30</v>
      </c>
      <c r="V11" s="306"/>
      <c r="W11" s="307"/>
    </row>
    <row r="12" spans="1:23" x14ac:dyDescent="0.3">
      <c r="B12" s="42">
        <f>B11</f>
        <v>75</v>
      </c>
      <c r="C12" s="292">
        <f>MROUND(B12,5)</f>
        <v>75</v>
      </c>
      <c r="D12" s="293"/>
      <c r="E12" s="294">
        <f t="shared" ref="E12:E14" si="1">E11</f>
        <v>75</v>
      </c>
      <c r="F12" s="258"/>
      <c r="G12" s="295"/>
      <c r="H12" s="43">
        <v>0</v>
      </c>
      <c r="I12" s="21"/>
      <c r="J12" s="296"/>
      <c r="K12" s="244"/>
      <c r="L12" s="245"/>
      <c r="M12" s="299"/>
      <c r="N12" s="300"/>
      <c r="O12" s="300"/>
      <c r="P12" s="302"/>
      <c r="Q12" s="28"/>
      <c r="R12" s="74">
        <f>R10+R11</f>
        <v>45</v>
      </c>
      <c r="S12" s="308">
        <f t="shared" si="0"/>
        <v>45</v>
      </c>
      <c r="T12" s="309"/>
      <c r="U12" s="305">
        <f t="shared" ref="U12:U19" si="2">U11+15</f>
        <v>45</v>
      </c>
      <c r="V12" s="306"/>
      <c r="W12" s="307"/>
    </row>
    <row r="13" spans="1:23" x14ac:dyDescent="0.3">
      <c r="B13" s="44">
        <f>B12</f>
        <v>75</v>
      </c>
      <c r="C13" s="292">
        <f>MROUND(B13,5)</f>
        <v>75</v>
      </c>
      <c r="D13" s="293"/>
      <c r="E13" s="294">
        <f t="shared" si="1"/>
        <v>75</v>
      </c>
      <c r="F13" s="258"/>
      <c r="G13" s="295"/>
      <c r="H13" s="45">
        <v>0</v>
      </c>
      <c r="I13" s="21"/>
      <c r="J13" s="46">
        <f>F5/3</f>
        <v>50</v>
      </c>
      <c r="K13" s="147">
        <v>60</v>
      </c>
      <c r="L13" s="47" t="str">
        <f>F4</f>
        <v>kg</v>
      </c>
      <c r="M13" s="48">
        <f>J13</f>
        <v>50</v>
      </c>
      <c r="N13" s="147">
        <v>60</v>
      </c>
      <c r="O13" s="49" t="str">
        <f>L13</f>
        <v>kg</v>
      </c>
      <c r="P13" s="50" t="str">
        <f>F4</f>
        <v>kg</v>
      </c>
      <c r="Q13" s="28"/>
      <c r="R13" s="74">
        <f t="shared" ref="R13:R19" si="3">$R$10+R12</f>
        <v>60</v>
      </c>
      <c r="S13" s="308">
        <f t="shared" si="0"/>
        <v>60</v>
      </c>
      <c r="T13" s="309"/>
      <c r="U13" s="305">
        <f t="shared" si="2"/>
        <v>60</v>
      </c>
      <c r="V13" s="306"/>
      <c r="W13" s="307"/>
    </row>
    <row r="14" spans="1:23" ht="15" thickBot="1" x14ac:dyDescent="0.35">
      <c r="B14" s="51">
        <f>B13</f>
        <v>75</v>
      </c>
      <c r="C14" s="315">
        <f>MROUND(B14,5)</f>
        <v>75</v>
      </c>
      <c r="D14" s="316"/>
      <c r="E14" s="294">
        <f t="shared" si="1"/>
        <v>75</v>
      </c>
      <c r="F14" s="258"/>
      <c r="G14" s="295"/>
      <c r="H14" s="52">
        <v>0</v>
      </c>
      <c r="I14" s="21"/>
      <c r="J14" s="317" t="s">
        <v>33</v>
      </c>
      <c r="K14" s="318"/>
      <c r="L14" s="319"/>
      <c r="M14" s="320">
        <f>U13</f>
        <v>60</v>
      </c>
      <c r="N14" s="321"/>
      <c r="O14" s="321"/>
      <c r="P14" s="53">
        <v>0</v>
      </c>
      <c r="Q14" s="28"/>
      <c r="R14" s="74">
        <f t="shared" si="3"/>
        <v>75</v>
      </c>
      <c r="S14" s="322">
        <f t="shared" si="0"/>
        <v>75</v>
      </c>
      <c r="T14" s="323"/>
      <c r="U14" s="305">
        <f t="shared" si="2"/>
        <v>75</v>
      </c>
      <c r="V14" s="306"/>
      <c r="W14" s="307"/>
    </row>
    <row r="15" spans="1:23" ht="15" thickTop="1" x14ac:dyDescent="0.3">
      <c r="B15" s="21"/>
      <c r="C15" s="21"/>
      <c r="D15" s="21"/>
      <c r="E15" s="21"/>
      <c r="F15" s="21"/>
      <c r="G15" s="21"/>
      <c r="H15" s="54"/>
      <c r="I15" s="21"/>
      <c r="J15" s="310" t="s">
        <v>34</v>
      </c>
      <c r="K15" s="311"/>
      <c r="L15" s="312"/>
      <c r="M15" s="313">
        <f>M14</f>
        <v>60</v>
      </c>
      <c r="N15" s="314"/>
      <c r="O15" s="314"/>
      <c r="P15" s="55">
        <v>0</v>
      </c>
      <c r="Q15" s="28"/>
      <c r="R15" s="74">
        <f t="shared" si="3"/>
        <v>90</v>
      </c>
      <c r="S15" s="308">
        <f t="shared" si="0"/>
        <v>90</v>
      </c>
      <c r="T15" s="309"/>
      <c r="U15" s="305">
        <f t="shared" si="2"/>
        <v>90</v>
      </c>
      <c r="V15" s="306"/>
      <c r="W15" s="307"/>
    </row>
    <row r="16" spans="1:23" x14ac:dyDescent="0.3">
      <c r="B16" s="21"/>
      <c r="C16" s="21"/>
      <c r="D16" s="21"/>
      <c r="E16" s="21"/>
      <c r="F16" s="21"/>
      <c r="J16" s="310" t="s">
        <v>35</v>
      </c>
      <c r="K16" s="311"/>
      <c r="L16" s="312"/>
      <c r="M16" s="313">
        <f t="shared" ref="M16:M18" si="4">M15</f>
        <v>60</v>
      </c>
      <c r="N16" s="314"/>
      <c r="O16" s="314"/>
      <c r="P16" s="36">
        <v>0</v>
      </c>
      <c r="Q16" s="28"/>
      <c r="R16" s="74">
        <f t="shared" si="3"/>
        <v>105</v>
      </c>
      <c r="S16" s="308">
        <f t="shared" si="0"/>
        <v>105</v>
      </c>
      <c r="T16" s="309"/>
      <c r="U16" s="305">
        <f t="shared" si="2"/>
        <v>105</v>
      </c>
      <c r="V16" s="306"/>
      <c r="W16" s="307"/>
    </row>
    <row r="17" spans="2:23" x14ac:dyDescent="0.3">
      <c r="B17" s="21"/>
      <c r="C17" s="21"/>
      <c r="D17" s="21"/>
      <c r="E17" s="21"/>
      <c r="F17" s="21"/>
      <c r="I17" s="25"/>
      <c r="J17" s="328" t="s">
        <v>36</v>
      </c>
      <c r="K17" s="329"/>
      <c r="L17" s="330"/>
      <c r="M17" s="313">
        <f t="shared" si="4"/>
        <v>60</v>
      </c>
      <c r="N17" s="314"/>
      <c r="O17" s="314"/>
      <c r="P17" s="52">
        <v>0</v>
      </c>
      <c r="Q17" s="25"/>
      <c r="R17" s="74">
        <f t="shared" si="3"/>
        <v>120</v>
      </c>
      <c r="S17" s="322">
        <f t="shared" si="0"/>
        <v>120</v>
      </c>
      <c r="T17" s="323"/>
      <c r="U17" s="305">
        <f t="shared" si="2"/>
        <v>120</v>
      </c>
      <c r="V17" s="306"/>
      <c r="W17" s="307"/>
    </row>
    <row r="18" spans="2:23" x14ac:dyDescent="0.3">
      <c r="B18" s="21" t="s">
        <v>52</v>
      </c>
      <c r="C18" s="21"/>
      <c r="E18" s="21"/>
      <c r="F18" s="21"/>
      <c r="I18" s="25"/>
      <c r="J18" s="331" t="s">
        <v>37</v>
      </c>
      <c r="K18" s="332"/>
      <c r="L18" s="333"/>
      <c r="M18" s="313">
        <f t="shared" si="4"/>
        <v>60</v>
      </c>
      <c r="N18" s="314"/>
      <c r="O18" s="314"/>
      <c r="P18" s="41">
        <v>0</v>
      </c>
      <c r="Q18" s="25"/>
      <c r="R18" s="74">
        <f t="shared" si="3"/>
        <v>135</v>
      </c>
      <c r="S18" s="308">
        <f t="shared" si="0"/>
        <v>135</v>
      </c>
      <c r="T18" s="309"/>
      <c r="U18" s="305">
        <f t="shared" si="2"/>
        <v>135</v>
      </c>
      <c r="V18" s="306"/>
      <c r="W18" s="307"/>
    </row>
    <row r="19" spans="2:23" ht="15" thickBot="1" x14ac:dyDescent="0.35">
      <c r="B19" s="56" t="s">
        <v>53</v>
      </c>
      <c r="C19" s="21"/>
      <c r="D19" s="21"/>
      <c r="E19" s="21"/>
      <c r="F19" s="21"/>
      <c r="Q19" s="25"/>
      <c r="R19" s="71">
        <f t="shared" si="3"/>
        <v>150</v>
      </c>
      <c r="S19" s="324">
        <f t="shared" si="0"/>
        <v>150</v>
      </c>
      <c r="T19" s="325"/>
      <c r="U19" s="305">
        <f t="shared" si="2"/>
        <v>150</v>
      </c>
      <c r="V19" s="306"/>
      <c r="W19" s="307"/>
    </row>
    <row r="20" spans="2:23" ht="15" thickTop="1" x14ac:dyDescent="0.3">
      <c r="B20" s="21"/>
      <c r="C20" s="21"/>
      <c r="D20" s="21"/>
      <c r="E20" s="21"/>
      <c r="F20" s="21"/>
    </row>
    <row r="21" spans="2:23" x14ac:dyDescent="0.3">
      <c r="B21" s="21"/>
      <c r="C21" s="21"/>
      <c r="D21" s="21"/>
      <c r="E21" s="21"/>
      <c r="F21" s="57"/>
      <c r="G21" s="57"/>
      <c r="H21" s="57"/>
      <c r="I21" s="57"/>
      <c r="J21" s="21"/>
      <c r="K21" s="21"/>
      <c r="L21" s="21"/>
    </row>
    <row r="22" spans="2:23" x14ac:dyDescent="0.3">
      <c r="H22" s="58"/>
    </row>
    <row r="24" spans="2:23" x14ac:dyDescent="0.3">
      <c r="B24" s="338" t="s">
        <v>54</v>
      </c>
      <c r="C24" s="338"/>
      <c r="D24" s="338"/>
      <c r="E24" s="338"/>
      <c r="F24" s="338"/>
      <c r="G24" s="338"/>
      <c r="H24" s="338"/>
      <c r="I24" s="338"/>
      <c r="J24" s="338"/>
      <c r="K24" s="338"/>
      <c r="L24" s="338"/>
      <c r="M24" s="338"/>
      <c r="N24" s="338"/>
      <c r="O24" s="338"/>
      <c r="P24" s="338"/>
      <c r="Q24" s="338"/>
      <c r="R24" s="338"/>
      <c r="S24" s="338"/>
      <c r="T24" s="338"/>
    </row>
    <row r="25" spans="2:23" x14ac:dyDescent="0.3">
      <c r="B25" s="326" t="s">
        <v>55</v>
      </c>
      <c r="C25" s="326"/>
      <c r="D25" s="327" t="s">
        <v>56</v>
      </c>
      <c r="E25" s="327"/>
      <c r="F25" s="327"/>
      <c r="G25" s="59"/>
      <c r="H25" s="60"/>
      <c r="I25" s="59"/>
      <c r="J25" s="59"/>
      <c r="K25" s="59"/>
      <c r="L25" s="60"/>
      <c r="M25" s="59"/>
      <c r="N25" s="61"/>
      <c r="O25" s="59"/>
      <c r="P25" s="59"/>
      <c r="Q25" s="59"/>
      <c r="R25" s="59"/>
      <c r="V25" s="3"/>
    </row>
    <row r="26" spans="2:23" x14ac:dyDescent="0.3">
      <c r="B26" s="62"/>
      <c r="C26" s="62"/>
      <c r="D26" s="63"/>
      <c r="E26" s="63"/>
      <c r="F26" s="63"/>
      <c r="G26" s="64" t="s">
        <v>112</v>
      </c>
      <c r="H26" s="64" t="s">
        <v>113</v>
      </c>
      <c r="I26" s="64" t="s">
        <v>114</v>
      </c>
      <c r="J26" s="64" t="s">
        <v>115</v>
      </c>
      <c r="K26" s="64" t="s">
        <v>116</v>
      </c>
      <c r="L26" s="64" t="s">
        <v>117</v>
      </c>
      <c r="M26" s="64" t="s">
        <v>118</v>
      </c>
      <c r="N26" s="65" t="s">
        <v>119</v>
      </c>
      <c r="O26" s="64" t="s">
        <v>120</v>
      </c>
      <c r="P26" s="64" t="s">
        <v>121</v>
      </c>
      <c r="Q26" s="64" t="s">
        <v>122</v>
      </c>
      <c r="R26" s="64" t="s">
        <v>124</v>
      </c>
      <c r="S26" s="64" t="s">
        <v>123</v>
      </c>
    </row>
    <row r="27" spans="2:23" x14ac:dyDescent="0.3">
      <c r="B27" s="66"/>
      <c r="C27" s="66"/>
      <c r="D27" s="66"/>
      <c r="E27" s="66"/>
      <c r="F27" s="66"/>
    </row>
    <row r="28" spans="2:23" x14ac:dyDescent="0.3">
      <c r="B28" s="66"/>
      <c r="C28" s="66"/>
      <c r="D28" s="66"/>
      <c r="E28" s="66"/>
      <c r="F28" s="66"/>
      <c r="G28" s="67" t="s">
        <v>53</v>
      </c>
      <c r="H28" s="67" t="s">
        <v>52</v>
      </c>
      <c r="I28" s="67" t="s">
        <v>52</v>
      </c>
      <c r="J28" s="67"/>
      <c r="K28" s="67" t="s">
        <v>53</v>
      </c>
      <c r="L28" s="67" t="s">
        <v>53</v>
      </c>
      <c r="M28" s="67" t="s">
        <v>53</v>
      </c>
      <c r="N28" s="67" t="s">
        <v>53</v>
      </c>
      <c r="O28" s="67" t="s">
        <v>53</v>
      </c>
      <c r="P28" s="67" t="s">
        <v>53</v>
      </c>
      <c r="Q28" s="67" t="s">
        <v>53</v>
      </c>
      <c r="R28" s="67" t="s">
        <v>53</v>
      </c>
      <c r="S28" s="67" t="s">
        <v>53</v>
      </c>
    </row>
    <row r="29" spans="2:23" x14ac:dyDescent="0.3">
      <c r="B29" s="334">
        <f>S10</f>
        <v>15</v>
      </c>
      <c r="C29" s="334"/>
      <c r="D29" s="335">
        <f>SUM(G29:S29)</f>
        <v>15.000067999999999</v>
      </c>
      <c r="E29" s="335"/>
      <c r="F29" s="335"/>
      <c r="G29" s="68" t="str">
        <f>IF(G28="Montar",5+G30,"")</f>
        <v/>
      </c>
      <c r="H29" s="68">
        <f>IF(H28="Montar",5+H30,"")</f>
        <v>4.9999180000000001</v>
      </c>
      <c r="I29" s="68">
        <f t="shared" ref="I29:N29" si="5">IF(I28="Montar",10+I30,"")</f>
        <v>10.00015</v>
      </c>
      <c r="J29" s="68" t="str">
        <f t="shared" si="5"/>
        <v/>
      </c>
      <c r="K29" s="69" t="str">
        <f t="shared" si="5"/>
        <v/>
      </c>
      <c r="L29" s="68" t="str">
        <f t="shared" si="5"/>
        <v/>
      </c>
      <c r="M29" s="68" t="str">
        <f t="shared" si="5"/>
        <v/>
      </c>
      <c r="N29" s="68" t="str">
        <f t="shared" si="5"/>
        <v/>
      </c>
      <c r="O29" s="68" t="str">
        <f t="shared" ref="O29:S29" si="6">IF(O28="Montar",20+O30,"")</f>
        <v/>
      </c>
      <c r="P29" s="68" t="str">
        <f t="shared" si="6"/>
        <v/>
      </c>
      <c r="Q29" s="68" t="str">
        <f t="shared" si="6"/>
        <v/>
      </c>
      <c r="R29" s="68" t="str">
        <f t="shared" si="6"/>
        <v/>
      </c>
      <c r="S29" s="68" t="str">
        <f t="shared" si="6"/>
        <v/>
      </c>
    </row>
    <row r="30" spans="2:23" x14ac:dyDescent="0.3">
      <c r="B30" s="66"/>
      <c r="C30" s="66"/>
      <c r="D30" s="335">
        <f>SUM(G30:S30)</f>
        <v>6.7999999999999986E-5</v>
      </c>
      <c r="E30" s="335"/>
      <c r="F30" s="335"/>
      <c r="G30" s="69" t="str">
        <f>IF(G28="Montar",PATRÓN!$J$3/1000,"")</f>
        <v/>
      </c>
      <c r="H30" s="69">
        <f>IF(H28="Montar",PATRÓN!$J$4/1000,"")</f>
        <v>-8.2000000000000001E-5</v>
      </c>
      <c r="I30" s="69">
        <f>IF(I28="Montar",PATRÓN!$J$5/1000,"")</f>
        <v>1.4999999999999999E-4</v>
      </c>
      <c r="J30" s="69" t="str">
        <f>IF(J28="Montar",PATRÓN!$J$6/1000,"")</f>
        <v/>
      </c>
      <c r="K30" s="69" t="str">
        <f>IF(K28="Montar",PATRÓN!$J$7/1000,"")</f>
        <v/>
      </c>
      <c r="L30" s="69" t="str">
        <f>IF(L28="Montar",PATRÓN!$J$8/1000,"")</f>
        <v/>
      </c>
      <c r="M30" s="69" t="str">
        <f>IF(M28="Montar",PATRÓN!$J$9/1000,"")</f>
        <v/>
      </c>
      <c r="N30" s="69" t="str">
        <f>IF(N28="Montar",PATRÓN!$J$10/1000,"")</f>
        <v/>
      </c>
      <c r="O30" s="69" t="str">
        <f>IF(O28="Montar",PATRÓN!$J$11/1000,"")</f>
        <v/>
      </c>
      <c r="P30" s="69" t="str">
        <f>IF(P28="Montar",PATRÓN!$J$12/1000,"")</f>
        <v/>
      </c>
      <c r="Q30" s="69" t="str">
        <f>IF(Q28="Montar",PATRÓN!$J$13/1000,"")</f>
        <v/>
      </c>
      <c r="R30" s="69" t="str">
        <f>IF(R28="Montar",PATRÓN!$J$14/1000,"")</f>
        <v/>
      </c>
      <c r="S30" s="69" t="str">
        <f>IF(S28="Montar",PATRÓN!$J$15/1000,"")</f>
        <v/>
      </c>
    </row>
    <row r="31" spans="2:23" x14ac:dyDescent="0.3">
      <c r="B31" s="66"/>
      <c r="C31" s="66"/>
      <c r="D31" s="335">
        <f>SUM(G31:S31)</f>
        <v>2.5300000000000002E-4</v>
      </c>
      <c r="E31" s="335"/>
      <c r="F31" s="335"/>
      <c r="G31" s="69" t="str">
        <f>IF(G28="Montar",PATRÓN!$M$3/1000,"")</f>
        <v/>
      </c>
      <c r="H31" s="69">
        <f>IF(H28="Montar",PATRÓN!$M$4/1000,"")</f>
        <v>8.2999999999999998E-5</v>
      </c>
      <c r="I31" s="69">
        <f>IF(I28="Montar",PATRÓN!$M$5/1000,"")</f>
        <v>1.7000000000000001E-4</v>
      </c>
      <c r="J31" s="69" t="str">
        <f>IF(J28="Montar",PATRÓN!$M$6/1000,"")</f>
        <v/>
      </c>
      <c r="K31" s="69" t="str">
        <f>IF(K28="Montar",PATRÓN!$M$7/1000,"")</f>
        <v/>
      </c>
      <c r="L31" s="69" t="str">
        <f>IF(L28="Montar",PATRÓN!$M$8/1000,"")</f>
        <v/>
      </c>
      <c r="M31" s="69" t="str">
        <f>IF(M28="Montar",PATRÓN!$M$9/1000,"")</f>
        <v/>
      </c>
      <c r="N31" s="69" t="str">
        <f>IF(N28="Montar",PATRÓN!$M$10/1000,"")</f>
        <v/>
      </c>
      <c r="O31" s="69" t="str">
        <f>IF(O28="Montar",PATRÓN!$M$11/1000,"")</f>
        <v/>
      </c>
      <c r="P31" s="69" t="str">
        <f>IF(P28="Montar",PATRÓN!$M$12/1000,"")</f>
        <v/>
      </c>
      <c r="Q31" s="69" t="str">
        <f>IF(Q28="Montar",PATRÓN!$M$13/1000,"")</f>
        <v/>
      </c>
      <c r="R31" s="69" t="str">
        <f>IF(R28="Montar",PATRÓN!$M$14/1000,"")</f>
        <v/>
      </c>
      <c r="S31" s="69" t="str">
        <f>IF(S28="Montar",PATRÓN!$M$15/1000,"")</f>
        <v/>
      </c>
    </row>
    <row r="32" spans="2:23" x14ac:dyDescent="0.3">
      <c r="B32" s="334"/>
      <c r="C32" s="334"/>
      <c r="D32" s="66"/>
      <c r="E32" s="66"/>
      <c r="F32" s="66"/>
      <c r="G32" s="67" t="s">
        <v>53</v>
      </c>
      <c r="H32" s="67"/>
      <c r="I32" s="67" t="s">
        <v>52</v>
      </c>
      <c r="J32" s="67" t="s">
        <v>53</v>
      </c>
      <c r="K32" s="67" t="s">
        <v>53</v>
      </c>
      <c r="L32" s="67" t="s">
        <v>53</v>
      </c>
      <c r="M32" s="67" t="s">
        <v>53</v>
      </c>
      <c r="N32" s="67" t="s">
        <v>53</v>
      </c>
      <c r="O32" s="67" t="s">
        <v>52</v>
      </c>
      <c r="P32" s="67" t="s">
        <v>53</v>
      </c>
      <c r="Q32" s="67" t="s">
        <v>53</v>
      </c>
      <c r="R32" s="67" t="s">
        <v>53</v>
      </c>
      <c r="S32" s="67" t="s">
        <v>53</v>
      </c>
    </row>
    <row r="33" spans="2:21" x14ac:dyDescent="0.3">
      <c r="B33" s="334">
        <f>S11</f>
        <v>30</v>
      </c>
      <c r="C33" s="334"/>
      <c r="D33" s="336">
        <f>SUM(G33:S33)</f>
        <v>30.000010000000003</v>
      </c>
      <c r="E33" s="336"/>
      <c r="F33" s="336"/>
      <c r="G33" s="68" t="str">
        <f>IF(G32="Montar",5+G34,"")</f>
        <v/>
      </c>
      <c r="H33" s="68" t="str">
        <f>IF(H32="Montar",5+H34,"")</f>
        <v/>
      </c>
      <c r="I33" s="68">
        <f t="shared" ref="I33:N33" si="7">IF(I32="Montar",10+I34,"")</f>
        <v>10.00015</v>
      </c>
      <c r="J33" s="68" t="str">
        <f t="shared" si="7"/>
        <v/>
      </c>
      <c r="K33" s="69" t="str">
        <f t="shared" si="7"/>
        <v/>
      </c>
      <c r="L33" s="68" t="str">
        <f t="shared" si="7"/>
        <v/>
      </c>
      <c r="M33" s="68" t="str">
        <f t="shared" si="7"/>
        <v/>
      </c>
      <c r="N33" s="68" t="str">
        <f t="shared" si="7"/>
        <v/>
      </c>
      <c r="O33" s="68">
        <f>IF(O32="Montar",20+O34,"")</f>
        <v>19.999860000000002</v>
      </c>
      <c r="P33" s="68" t="str">
        <f t="shared" ref="P33:S33" si="8">IF(P32="Montar",20+P34,"")</f>
        <v/>
      </c>
      <c r="Q33" s="68" t="str">
        <f t="shared" si="8"/>
        <v/>
      </c>
      <c r="R33" s="68" t="str">
        <f t="shared" si="8"/>
        <v/>
      </c>
      <c r="S33" s="68" t="str">
        <f t="shared" si="8"/>
        <v/>
      </c>
    </row>
    <row r="34" spans="2:21" x14ac:dyDescent="0.3">
      <c r="B34" s="66"/>
      <c r="C34" s="66"/>
      <c r="D34" s="335">
        <f>SUM(G34:S34)</f>
        <v>9.999999999999972E-6</v>
      </c>
      <c r="E34" s="335"/>
      <c r="F34" s="335"/>
      <c r="G34" s="69" t="str">
        <f>IF(G32="Montar",PATRÓN!$J$3/1000,"")</f>
        <v/>
      </c>
      <c r="H34" s="69" t="str">
        <f>IF(H32="Montar",PATRÓN!$J$4/1000,"")</f>
        <v/>
      </c>
      <c r="I34" s="69">
        <f>IF(I32="Montar",PATRÓN!$J$5/1000,"")</f>
        <v>1.4999999999999999E-4</v>
      </c>
      <c r="J34" s="69" t="str">
        <f>IF(J32="Montar",PATRÓN!$J$6/1000,"")</f>
        <v/>
      </c>
      <c r="K34" s="69" t="str">
        <f>IF(K32="Montar",PATRÓN!$J$7/1000,"")</f>
        <v/>
      </c>
      <c r="L34" s="69" t="str">
        <f>IF(L32="Montar",PATRÓN!$J$8/1000,"")</f>
        <v/>
      </c>
      <c r="M34" s="69" t="str">
        <f>IF(M32="Montar",PATRÓN!$J$9/1000,"")</f>
        <v/>
      </c>
      <c r="N34" s="69" t="str">
        <f>IF(N32="Montar",PATRÓN!$J$10/1000,"")</f>
        <v/>
      </c>
      <c r="O34" s="69">
        <f>IF(O32="Montar",PATRÓN!$J$11/1000,"")</f>
        <v>-1.4000000000000001E-4</v>
      </c>
      <c r="P34" s="69" t="str">
        <f>IF(P32="Montar",PATRÓN!$J$12/1000,"")</f>
        <v/>
      </c>
      <c r="Q34" s="69" t="str">
        <f>IF(Q32="Montar",PATRÓN!$J$13/1000,"")</f>
        <v/>
      </c>
      <c r="R34" s="69" t="str">
        <f>IF(R32="Montar",PATRÓN!$J$14/1000,"")</f>
        <v/>
      </c>
      <c r="S34" s="69" t="str">
        <f>IF(S32="Montar",PATRÓN!$J$15/1000,"")</f>
        <v/>
      </c>
    </row>
    <row r="35" spans="2:21" x14ac:dyDescent="0.3">
      <c r="B35" s="66"/>
      <c r="C35" s="66"/>
      <c r="D35" s="335">
        <f>SUM(G35:S35)</f>
        <v>5.0000000000000001E-4</v>
      </c>
      <c r="E35" s="335"/>
      <c r="F35" s="335"/>
      <c r="G35" s="69" t="str">
        <f>IF(G32="Montar",PATRÓN!$M$3/1000,"")</f>
        <v/>
      </c>
      <c r="H35" s="69" t="str">
        <f>IF(H32="Montar",PATRÓN!$M$4/1000,"")</f>
        <v/>
      </c>
      <c r="I35" s="69">
        <f>IF(I32="Montar",PATRÓN!$M$5/1000,"")</f>
        <v>1.7000000000000001E-4</v>
      </c>
      <c r="J35" s="69" t="str">
        <f>IF(J32="Montar",PATRÓN!$M$6/1000,"")</f>
        <v/>
      </c>
      <c r="K35" s="69" t="str">
        <f>IF(K32="Montar",PATRÓN!$M$7/1000,"")</f>
        <v/>
      </c>
      <c r="L35" s="69" t="str">
        <f>IF(L32="Montar",PATRÓN!$M$8/1000,"")</f>
        <v/>
      </c>
      <c r="M35" s="69" t="str">
        <f>IF(M32="Montar",PATRÓN!$M$9/1000,"")</f>
        <v/>
      </c>
      <c r="N35" s="69" t="str">
        <f>IF(N32="Montar",PATRÓN!$M$10/1000,"")</f>
        <v/>
      </c>
      <c r="O35" s="69">
        <f>IF(O32="Montar",PATRÓN!$M$11/1000,"")</f>
        <v>3.3E-4</v>
      </c>
      <c r="P35" s="69" t="str">
        <f>IF(P32="Montar",PATRÓN!$M$12/1000,"")</f>
        <v/>
      </c>
      <c r="Q35" s="69" t="str">
        <f>IF(Q32="Montar",PATRÓN!$M$13/1000,"")</f>
        <v/>
      </c>
      <c r="R35" s="69" t="str">
        <f>IF(R32="Montar",PATRÓN!$M$14/1000,"")</f>
        <v/>
      </c>
      <c r="S35" s="69" t="str">
        <f>IF(S32="Montar",PATRÓN!$M$15/1000,"")</f>
        <v/>
      </c>
    </row>
    <row r="36" spans="2:21" x14ac:dyDescent="0.3">
      <c r="B36" s="337"/>
      <c r="C36" s="337"/>
      <c r="D36" s="66"/>
      <c r="E36" s="66"/>
      <c r="F36" s="66"/>
      <c r="G36" s="67" t="s">
        <v>53</v>
      </c>
      <c r="H36" s="67" t="s">
        <v>52</v>
      </c>
      <c r="I36" s="67" t="s">
        <v>53</v>
      </c>
      <c r="J36" s="67" t="s">
        <v>53</v>
      </c>
      <c r="K36" s="67"/>
      <c r="L36" s="67" t="s">
        <v>53</v>
      </c>
      <c r="M36" s="67" t="s">
        <v>53</v>
      </c>
      <c r="N36" s="67" t="s">
        <v>53</v>
      </c>
      <c r="O36" s="67" t="s">
        <v>52</v>
      </c>
      <c r="P36" s="67" t="s">
        <v>52</v>
      </c>
      <c r="Q36" s="67" t="s">
        <v>53</v>
      </c>
      <c r="R36" s="67" t="s">
        <v>53</v>
      </c>
      <c r="S36" s="67" t="s">
        <v>53</v>
      </c>
    </row>
    <row r="37" spans="2:21" x14ac:dyDescent="0.3">
      <c r="B37" s="334">
        <f>S12</f>
        <v>45</v>
      </c>
      <c r="C37" s="334"/>
      <c r="D37" s="336">
        <f>SUM(G37:S37)</f>
        <v>44.999838000000004</v>
      </c>
      <c r="E37" s="336"/>
      <c r="F37" s="336"/>
      <c r="G37" s="68" t="str">
        <f>IF(G36="Montar",5+G38,"")</f>
        <v/>
      </c>
      <c r="H37" s="68">
        <f>IF(H36="Montar",5+H38,"")</f>
        <v>4.9999180000000001</v>
      </c>
      <c r="I37" s="68" t="str">
        <f t="shared" ref="I37:N37" si="9">IF(I36="Montar",10+I38,"")</f>
        <v/>
      </c>
      <c r="J37" s="68" t="str">
        <f t="shared" si="9"/>
        <v/>
      </c>
      <c r="K37" s="69" t="str">
        <f t="shared" si="9"/>
        <v/>
      </c>
      <c r="L37" s="68" t="str">
        <f t="shared" si="9"/>
        <v/>
      </c>
      <c r="M37" s="68" t="str">
        <f t="shared" si="9"/>
        <v/>
      </c>
      <c r="N37" s="68" t="str">
        <f t="shared" si="9"/>
        <v/>
      </c>
      <c r="O37" s="68">
        <f t="shared" ref="O37:S37" si="10">IF(O36="Montar",20+O38,"")</f>
        <v>19.999860000000002</v>
      </c>
      <c r="P37" s="68">
        <f t="shared" si="10"/>
        <v>20.000060000000001</v>
      </c>
      <c r="Q37" s="68" t="str">
        <f t="shared" si="10"/>
        <v/>
      </c>
      <c r="R37" s="68" t="str">
        <f t="shared" si="10"/>
        <v/>
      </c>
      <c r="S37" s="68" t="str">
        <f t="shared" si="10"/>
        <v/>
      </c>
    </row>
    <row r="38" spans="2:21" x14ac:dyDescent="0.3">
      <c r="B38" s="66"/>
      <c r="C38" s="66"/>
      <c r="D38" s="335">
        <f>SUM(G38:S38)</f>
        <v>-1.6200000000000003E-4</v>
      </c>
      <c r="E38" s="335"/>
      <c r="F38" s="335"/>
      <c r="G38" s="69" t="str">
        <f>IF(G36="Montar",PATRÓN!$J$3/1000,"")</f>
        <v/>
      </c>
      <c r="H38" s="69">
        <f>IF(H36="Montar",PATRÓN!$J$4/1000,"")</f>
        <v>-8.2000000000000001E-5</v>
      </c>
      <c r="I38" s="69" t="str">
        <f>IF(I36="Montar",PATRÓN!$J$5/1000,"")</f>
        <v/>
      </c>
      <c r="J38" s="69" t="str">
        <f>IF(J36="Montar",PATRÓN!$J$6/1000,"")</f>
        <v/>
      </c>
      <c r="K38" s="69" t="str">
        <f>IF(K36="Montar",PATRÓN!$J$7/1000,"")</f>
        <v/>
      </c>
      <c r="L38" s="69" t="str">
        <f>IF(L36="Montar",PATRÓN!$J$8/1000,"")</f>
        <v/>
      </c>
      <c r="M38" s="69" t="str">
        <f>IF(M36="Montar",PATRÓN!$J$9/1000,"")</f>
        <v/>
      </c>
      <c r="N38" s="69" t="str">
        <f>IF(N36="Montar",PATRÓN!$J$10/1000,"")</f>
        <v/>
      </c>
      <c r="O38" s="69">
        <f>IF(O36="Montar",PATRÓN!$J$11/1000,"")</f>
        <v>-1.4000000000000001E-4</v>
      </c>
      <c r="P38" s="69">
        <f>IF(P36="Montar",PATRÓN!$J$12/1000,"")</f>
        <v>5.9999999999999995E-5</v>
      </c>
      <c r="Q38" s="69" t="str">
        <f>IF(Q36="Montar",PATRÓN!$J$13/1000,"")</f>
        <v/>
      </c>
      <c r="R38" s="69" t="str">
        <f>IF(R36="Montar",PATRÓN!$J$14/1000,"")</f>
        <v/>
      </c>
      <c r="S38" s="69" t="str">
        <f>IF(S36="Montar",PATRÓN!$J$15/1000,"")</f>
        <v/>
      </c>
    </row>
    <row r="39" spans="2:21" x14ac:dyDescent="0.3">
      <c r="B39" s="66"/>
      <c r="C39" s="66"/>
      <c r="D39" s="335">
        <f>SUM(G39:S39)</f>
        <v>7.4299999999999995E-4</v>
      </c>
      <c r="E39" s="335"/>
      <c r="F39" s="335"/>
      <c r="G39" s="69" t="str">
        <f>IF(G36="Montar",PATRÓN!$M$3/1000,"")</f>
        <v/>
      </c>
      <c r="H39" s="69">
        <f>IF(H36="Montar",PATRÓN!$M$4/1000,"")</f>
        <v>8.2999999999999998E-5</v>
      </c>
      <c r="I39" s="69" t="str">
        <f>IF(I36="Montar",PATRÓN!$M$5/1000,"")</f>
        <v/>
      </c>
      <c r="J39" s="69" t="str">
        <f>IF(J36="Montar",PATRÓN!$M$6/1000,"")</f>
        <v/>
      </c>
      <c r="K39" s="69" t="str">
        <f>IF(K36="Montar",PATRÓN!$M$7/1000,"")</f>
        <v/>
      </c>
      <c r="L39" s="69" t="str">
        <f>IF(L36="Montar",PATRÓN!$M$8/1000,"")</f>
        <v/>
      </c>
      <c r="M39" s="69" t="str">
        <f>IF(M36="Montar",PATRÓN!$M$9/1000,"")</f>
        <v/>
      </c>
      <c r="N39" s="69" t="str">
        <f>IF(N36="Montar",PATRÓN!$M$10/1000,"")</f>
        <v/>
      </c>
      <c r="O39" s="69">
        <f>IF(O36="Montar",PATRÓN!$M$11/1000,"")</f>
        <v>3.3E-4</v>
      </c>
      <c r="P39" s="69">
        <f>IF(P36="Montar",PATRÓN!$M$12/1000,"")</f>
        <v>3.3E-4</v>
      </c>
      <c r="Q39" s="69" t="str">
        <f>IF(Q36="Montar",PATRÓN!$M$13/1000,"")</f>
        <v/>
      </c>
      <c r="R39" s="69" t="str">
        <f>IF(R36="Montar",PATRÓN!$M$14/1000,"")</f>
        <v/>
      </c>
      <c r="S39" s="69" t="str">
        <f>IF(S36="Montar",PATRÓN!$M$15/1000,"")</f>
        <v/>
      </c>
    </row>
    <row r="40" spans="2:21" x14ac:dyDescent="0.3">
      <c r="B40" s="66"/>
      <c r="C40" s="66"/>
      <c r="D40" s="66"/>
      <c r="E40" s="66"/>
      <c r="F40" s="66"/>
      <c r="G40" s="67" t="s">
        <v>53</v>
      </c>
      <c r="H40" s="67" t="s">
        <v>53</v>
      </c>
      <c r="I40" s="67" t="s">
        <v>53</v>
      </c>
      <c r="J40" s="67" t="s">
        <v>53</v>
      </c>
      <c r="K40" s="67"/>
      <c r="L40" s="67" t="s">
        <v>53</v>
      </c>
      <c r="M40" s="67" t="s">
        <v>53</v>
      </c>
      <c r="N40" s="67" t="s">
        <v>53</v>
      </c>
      <c r="O40" s="67" t="s">
        <v>52</v>
      </c>
      <c r="P40" s="67" t="s">
        <v>52</v>
      </c>
      <c r="Q40" s="67" t="s">
        <v>52</v>
      </c>
      <c r="R40" s="67" t="s">
        <v>53</v>
      </c>
      <c r="S40" s="67" t="s">
        <v>53</v>
      </c>
    </row>
    <row r="41" spans="2:21" x14ac:dyDescent="0.3">
      <c r="B41" s="334">
        <f>S13</f>
        <v>60</v>
      </c>
      <c r="C41" s="334"/>
      <c r="D41" s="336">
        <f>SUM(G41:S41)</f>
        <v>59.999679999999998</v>
      </c>
      <c r="E41" s="336"/>
      <c r="F41" s="336"/>
      <c r="G41" s="68" t="str">
        <f>IF(G40="Montar",5+G42,"")</f>
        <v/>
      </c>
      <c r="H41" s="68" t="str">
        <f>IF(H40="Montar",5+H42,"")</f>
        <v/>
      </c>
      <c r="I41" s="68" t="str">
        <f t="shared" ref="I41:N41" si="11">IF(I40="Montar",10+I42,"")</f>
        <v/>
      </c>
      <c r="J41" s="68" t="str">
        <f t="shared" si="11"/>
        <v/>
      </c>
      <c r="K41" s="69" t="str">
        <f t="shared" si="11"/>
        <v/>
      </c>
      <c r="L41" s="68" t="str">
        <f t="shared" si="11"/>
        <v/>
      </c>
      <c r="M41" s="68" t="str">
        <f t="shared" si="11"/>
        <v/>
      </c>
      <c r="N41" s="68" t="str">
        <f t="shared" si="11"/>
        <v/>
      </c>
      <c r="O41" s="68">
        <f t="shared" ref="O41:S41" si="12">IF(O40="Montar",20+O42,"")</f>
        <v>19.999860000000002</v>
      </c>
      <c r="P41" s="68">
        <f t="shared" si="12"/>
        <v>20.000060000000001</v>
      </c>
      <c r="Q41" s="68">
        <f t="shared" si="12"/>
        <v>19.999759999999998</v>
      </c>
      <c r="R41" s="68" t="str">
        <f t="shared" si="12"/>
        <v/>
      </c>
      <c r="S41" s="68" t="str">
        <f t="shared" si="12"/>
        <v/>
      </c>
    </row>
    <row r="42" spans="2:21" x14ac:dyDescent="0.3">
      <c r="B42" s="66"/>
      <c r="C42" s="66"/>
      <c r="D42" s="335">
        <f>SUM(G42:S42)</f>
        <v>-3.1999999999999997E-4</v>
      </c>
      <c r="E42" s="335"/>
      <c r="F42" s="335"/>
      <c r="G42" s="69" t="str">
        <f>IF(G40="Montar",PATRÓN!$J$3/1000,"")</f>
        <v/>
      </c>
      <c r="H42" s="69" t="str">
        <f>IF(H40="Montar",PATRÓN!$J$4/1000,"")</f>
        <v/>
      </c>
      <c r="I42" s="69" t="str">
        <f>IF(I40="Montar",PATRÓN!$J$5/1000,"")</f>
        <v/>
      </c>
      <c r="J42" s="69" t="str">
        <f>IF(J40="Montar",PATRÓN!$J$6/1000,"")</f>
        <v/>
      </c>
      <c r="K42" s="69" t="str">
        <f>IF(K40="Montar",PATRÓN!$J$7/1000,"")</f>
        <v/>
      </c>
      <c r="L42" s="69" t="str">
        <f>IF(L40="Montar",PATRÓN!$J$8/1000,"")</f>
        <v/>
      </c>
      <c r="M42" s="69" t="str">
        <f>IF(M40="Montar",PATRÓN!$J$9/1000,"")</f>
        <v/>
      </c>
      <c r="N42" s="69" t="str">
        <f>IF(N40="Montar",PATRÓN!$J$10/1000,"")</f>
        <v/>
      </c>
      <c r="O42" s="69">
        <f>IF(O40="Montar",PATRÓN!$J$11/1000,"")</f>
        <v>-1.4000000000000001E-4</v>
      </c>
      <c r="P42" s="69">
        <f>IF(P40="Montar",PATRÓN!$J$12/1000,"")</f>
        <v>5.9999999999999995E-5</v>
      </c>
      <c r="Q42" s="69">
        <f>IF(Q40="Montar",PATRÓN!$J$13/1000,"")</f>
        <v>-2.3999999999999998E-4</v>
      </c>
      <c r="R42" s="69" t="str">
        <f>IF(R40="Montar",PATRÓN!$J$14/1000,"")</f>
        <v/>
      </c>
      <c r="S42" s="69" t="str">
        <f>IF(S40="Montar",PATRÓN!$J$15/1000,"")</f>
        <v/>
      </c>
    </row>
    <row r="43" spans="2:21" x14ac:dyDescent="0.3">
      <c r="B43" s="66"/>
      <c r="C43" s="66"/>
      <c r="D43" s="335">
        <f>SUM(G43:S43)</f>
        <v>9.8999999999999999E-4</v>
      </c>
      <c r="E43" s="335"/>
      <c r="F43" s="335"/>
      <c r="G43" s="69" t="str">
        <f>IF(G40="Montar",PATRÓN!$M$3/1000,"")</f>
        <v/>
      </c>
      <c r="H43" s="69" t="str">
        <f>IF(H40="Montar",PATRÓN!$M$4/1000,"")</f>
        <v/>
      </c>
      <c r="I43" s="69" t="str">
        <f>IF(I40="Montar",PATRÓN!$M$5/1000,"")</f>
        <v/>
      </c>
      <c r="J43" s="69" t="str">
        <f>IF(J40="Montar",PATRÓN!$M$6/1000,"")</f>
        <v/>
      </c>
      <c r="K43" s="69" t="str">
        <f>IF(K40="Montar",PATRÓN!$M$7/1000,"")</f>
        <v/>
      </c>
      <c r="L43" s="69" t="str">
        <f>IF(L40="Montar",PATRÓN!$M$8/1000,"")</f>
        <v/>
      </c>
      <c r="M43" s="69" t="str">
        <f>IF(M40="Montar",PATRÓN!$M$9/1000,"")</f>
        <v/>
      </c>
      <c r="N43" s="69" t="str">
        <f>IF(N40="Montar",PATRÓN!$M$10/1000,"")</f>
        <v/>
      </c>
      <c r="O43" s="69">
        <f>IF(O40="Montar",PATRÓN!$M$11/1000,"")</f>
        <v>3.3E-4</v>
      </c>
      <c r="P43" s="69">
        <f>IF(P40="Montar",PATRÓN!$M$12/1000,"")</f>
        <v>3.3E-4</v>
      </c>
      <c r="Q43" s="69">
        <f>IF(Q40="Montar",PATRÓN!$M$13/1000,"")</f>
        <v>3.3E-4</v>
      </c>
      <c r="R43" s="69" t="str">
        <f>IF(R40="Montar",PATRÓN!$M$14/1000,"")</f>
        <v/>
      </c>
      <c r="S43" s="69" t="str">
        <f>IF(S40="Montar",PATRÓN!$M$15/1000,"")</f>
        <v/>
      </c>
    </row>
    <row r="44" spans="2:21" x14ac:dyDescent="0.3">
      <c r="B44" s="66"/>
      <c r="C44" s="66"/>
      <c r="D44" s="66"/>
      <c r="E44" s="66"/>
      <c r="F44" s="66"/>
      <c r="G44" s="67" t="s">
        <v>53</v>
      </c>
      <c r="H44" s="67" t="s">
        <v>52</v>
      </c>
      <c r="I44" s="67" t="s">
        <v>52</v>
      </c>
      <c r="J44" s="67" t="s">
        <v>53</v>
      </c>
      <c r="K44" s="67" t="s">
        <v>53</v>
      </c>
      <c r="L44" s="67" t="s">
        <v>53</v>
      </c>
      <c r="M44" s="67" t="s">
        <v>53</v>
      </c>
      <c r="N44" s="67" t="s">
        <v>53</v>
      </c>
      <c r="O44" s="67"/>
      <c r="P44" s="67" t="s">
        <v>52</v>
      </c>
      <c r="Q44" s="67" t="s">
        <v>52</v>
      </c>
      <c r="R44" s="67" t="s">
        <v>52</v>
      </c>
      <c r="S44" s="67" t="s">
        <v>53</v>
      </c>
    </row>
    <row r="45" spans="2:21" x14ac:dyDescent="0.3">
      <c r="B45" s="334">
        <f>S14</f>
        <v>75</v>
      </c>
      <c r="C45" s="334"/>
      <c r="D45" s="336">
        <f>SUM(G45:S45)</f>
        <v>74.999948000000003</v>
      </c>
      <c r="E45" s="336"/>
      <c r="F45" s="336"/>
      <c r="G45" s="68" t="str">
        <f>IF(G44="Montar",5+G46,"")</f>
        <v/>
      </c>
      <c r="H45" s="68">
        <f>IF(H44="Montar",5+H46,"")</f>
        <v>4.9999180000000001</v>
      </c>
      <c r="I45" s="68">
        <f t="shared" ref="I45:N45" si="13">IF(I44="Montar",10+I46,"")</f>
        <v>10.00015</v>
      </c>
      <c r="J45" s="68" t="str">
        <f t="shared" si="13"/>
        <v/>
      </c>
      <c r="K45" s="69" t="str">
        <f t="shared" si="13"/>
        <v/>
      </c>
      <c r="L45" s="68" t="str">
        <f t="shared" si="13"/>
        <v/>
      </c>
      <c r="M45" s="68" t="str">
        <f t="shared" si="13"/>
        <v/>
      </c>
      <c r="N45" s="68" t="str">
        <f t="shared" si="13"/>
        <v/>
      </c>
      <c r="O45" s="68" t="str">
        <f t="shared" ref="O45:S45" si="14">IF(O44="Montar",20+O46,"")</f>
        <v/>
      </c>
      <c r="P45" s="68">
        <f t="shared" si="14"/>
        <v>20.000060000000001</v>
      </c>
      <c r="Q45" s="68">
        <f t="shared" si="14"/>
        <v>19.999759999999998</v>
      </c>
      <c r="R45" s="68">
        <f t="shared" si="14"/>
        <v>20.000060000000001</v>
      </c>
      <c r="S45" s="68" t="str">
        <f t="shared" si="14"/>
        <v/>
      </c>
    </row>
    <row r="46" spans="2:21" x14ac:dyDescent="0.3">
      <c r="B46" s="66"/>
      <c r="C46" s="66"/>
      <c r="D46" s="335">
        <f>SUM(G46:S46)</f>
        <v>-5.2000000000000017E-5</v>
      </c>
      <c r="E46" s="335"/>
      <c r="F46" s="335"/>
      <c r="G46" s="69" t="str">
        <f>IF(G44="Montar",PATRÓN!$J$3/1000,"")</f>
        <v/>
      </c>
      <c r="H46" s="69">
        <f>IF(H44="Montar",PATRÓN!$J$4/1000,"")</f>
        <v>-8.2000000000000001E-5</v>
      </c>
      <c r="I46" s="69">
        <f>IF(I44="Montar",PATRÓN!$J$5/1000,"")</f>
        <v>1.4999999999999999E-4</v>
      </c>
      <c r="J46" s="69" t="str">
        <f>IF(J44="Montar",PATRÓN!$J$6/1000,"")</f>
        <v/>
      </c>
      <c r="K46" s="69" t="str">
        <f>IF(K44="Montar",PATRÓN!$J$7/1000,"")</f>
        <v/>
      </c>
      <c r="L46" s="69" t="str">
        <f>IF(L44="Montar",PATRÓN!$J$8/1000,"")</f>
        <v/>
      </c>
      <c r="M46" s="69" t="str">
        <f>IF(M44="Montar",PATRÓN!$J$9/1000,"")</f>
        <v/>
      </c>
      <c r="N46" s="69" t="str">
        <f>IF(N44="Montar",PATRÓN!$J$10/1000,"")</f>
        <v/>
      </c>
      <c r="O46" s="69" t="str">
        <f>IF(O44="Montar",PATRÓN!$J$11/1000,"")</f>
        <v/>
      </c>
      <c r="P46" s="69">
        <f>IF(P44="Montar",PATRÓN!$J$12/1000,"")</f>
        <v>5.9999999999999995E-5</v>
      </c>
      <c r="Q46" s="69">
        <f>IF(Q44="Montar",PATRÓN!$J$13/1000,"")</f>
        <v>-2.3999999999999998E-4</v>
      </c>
      <c r="R46" s="69">
        <f>IF(R44="Montar",PATRÓN!$J$14/1000,"")</f>
        <v>5.9999999999999995E-5</v>
      </c>
      <c r="S46" s="69" t="str">
        <f>IF(S44="Montar",PATRÓN!$J$15/1000,"")</f>
        <v/>
      </c>
    </row>
    <row r="47" spans="2:21" x14ac:dyDescent="0.3">
      <c r="B47" s="66"/>
      <c r="C47" s="66"/>
      <c r="D47" s="335">
        <f>SUM(G47:S47)</f>
        <v>1.243E-3</v>
      </c>
      <c r="E47" s="335"/>
      <c r="F47" s="335"/>
      <c r="G47" s="69" t="str">
        <f>IF(G44="Montar",PATRÓN!$M$3/1000,"")</f>
        <v/>
      </c>
      <c r="H47" s="69">
        <f>IF(H44="Montar",PATRÓN!$M$4/1000,"")</f>
        <v>8.2999999999999998E-5</v>
      </c>
      <c r="I47" s="69">
        <f>IF(I44="Montar",PATRÓN!$M$5/1000,"")</f>
        <v>1.7000000000000001E-4</v>
      </c>
      <c r="J47" s="69" t="str">
        <f>IF(J44="Montar",PATRÓN!$M$6/1000,"")</f>
        <v/>
      </c>
      <c r="K47" s="69" t="str">
        <f>IF(K44="Montar",PATRÓN!$M$7/1000,"")</f>
        <v/>
      </c>
      <c r="L47" s="69" t="str">
        <f>IF(L44="Montar",PATRÓN!$M$8/1000,"")</f>
        <v/>
      </c>
      <c r="M47" s="69" t="str">
        <f>IF(M44="Montar",PATRÓN!$M$9/1000,"")</f>
        <v/>
      </c>
      <c r="N47" s="69" t="str">
        <f>IF(N44="Montar",PATRÓN!$M$10/1000,"")</f>
        <v/>
      </c>
      <c r="O47" s="69" t="str">
        <f>IF(O44="Montar",PATRÓN!$M$11/1000,"")</f>
        <v/>
      </c>
      <c r="P47" s="69">
        <f>IF(P44="Montar",PATRÓN!$M$12/1000,"")</f>
        <v>3.3E-4</v>
      </c>
      <c r="Q47" s="69">
        <f>IF(Q44="Montar",PATRÓN!$M$13/1000,"")</f>
        <v>3.3E-4</v>
      </c>
      <c r="R47" s="69">
        <f>IF(R44="Montar",PATRÓN!$M$14/1000,"")</f>
        <v>3.3E-4</v>
      </c>
      <c r="S47" s="69" t="str">
        <f>IF(S44="Montar",PATRÓN!$M$15/1000,"")</f>
        <v/>
      </c>
      <c r="U47" s="21"/>
    </row>
    <row r="48" spans="2:21" x14ac:dyDescent="0.3">
      <c r="B48" s="66"/>
      <c r="C48" s="66"/>
      <c r="D48" s="66"/>
      <c r="E48" s="66"/>
      <c r="F48" s="66"/>
      <c r="G48" s="67" t="s">
        <v>53</v>
      </c>
      <c r="H48" s="67" t="s">
        <v>53</v>
      </c>
      <c r="I48" s="67" t="s">
        <v>52</v>
      </c>
      <c r="J48" s="67" t="s">
        <v>53</v>
      </c>
      <c r="K48" s="67" t="s">
        <v>53</v>
      </c>
      <c r="L48" s="67" t="s">
        <v>53</v>
      </c>
      <c r="M48" s="67" t="s">
        <v>53</v>
      </c>
      <c r="N48" s="67" t="s">
        <v>53</v>
      </c>
      <c r="O48" s="67"/>
      <c r="P48" s="67" t="s">
        <v>52</v>
      </c>
      <c r="Q48" s="67" t="s">
        <v>52</v>
      </c>
      <c r="R48" s="67" t="s">
        <v>52</v>
      </c>
      <c r="S48" s="67" t="s">
        <v>52</v>
      </c>
      <c r="U48" s="21"/>
    </row>
    <row r="49" spans="2:21" x14ac:dyDescent="0.3">
      <c r="B49" s="334">
        <f>S15</f>
        <v>90</v>
      </c>
      <c r="C49" s="334"/>
      <c r="D49" s="336">
        <f>SUM(G49:S49)</f>
        <v>90.000040000000013</v>
      </c>
      <c r="E49" s="336"/>
      <c r="F49" s="336"/>
      <c r="G49" s="68" t="str">
        <f>IF(G48="Montar",5+G50,"")</f>
        <v/>
      </c>
      <c r="H49" s="68" t="str">
        <f>IF(H48="Montar",5+H50,"")</f>
        <v/>
      </c>
      <c r="I49" s="68">
        <f t="shared" ref="I49:N49" si="15">IF(I48="Montar",10+I50,"")</f>
        <v>10.00015</v>
      </c>
      <c r="J49" s="68" t="str">
        <f t="shared" si="15"/>
        <v/>
      </c>
      <c r="K49" s="69" t="str">
        <f t="shared" si="15"/>
        <v/>
      </c>
      <c r="L49" s="68" t="str">
        <f t="shared" si="15"/>
        <v/>
      </c>
      <c r="M49" s="68" t="str">
        <f t="shared" si="15"/>
        <v/>
      </c>
      <c r="N49" s="68" t="str">
        <f t="shared" si="15"/>
        <v/>
      </c>
      <c r="O49" s="68" t="str">
        <f t="shared" ref="O49:R49" si="16">IF(O48="Montar",20+O50,"")</f>
        <v/>
      </c>
      <c r="P49" s="68">
        <f t="shared" si="16"/>
        <v>20.000060000000001</v>
      </c>
      <c r="Q49" s="68">
        <f t="shared" si="16"/>
        <v>19.999759999999998</v>
      </c>
      <c r="R49" s="68">
        <f t="shared" si="16"/>
        <v>20.000060000000001</v>
      </c>
      <c r="S49" s="68">
        <f>IF(S48="Montar",20+S50,"")</f>
        <v>20.00001</v>
      </c>
      <c r="U49" s="21"/>
    </row>
    <row r="50" spans="2:21" x14ac:dyDescent="0.3">
      <c r="B50" s="66"/>
      <c r="C50" s="66"/>
      <c r="D50" s="335">
        <f>SUM(G50:S50)</f>
        <v>3.9999999999999996E-5</v>
      </c>
      <c r="E50" s="335"/>
      <c r="F50" s="335"/>
      <c r="G50" s="69" t="str">
        <f>IF(G48="Montar",PATRÓN!$J$3/1000,"")</f>
        <v/>
      </c>
      <c r="H50" s="69" t="str">
        <f>IF(H48="Montar",PATRÓN!$J$4/1000,"")</f>
        <v/>
      </c>
      <c r="I50" s="69">
        <f>IF(I48="Montar",PATRÓN!$J$5/1000,"")</f>
        <v>1.4999999999999999E-4</v>
      </c>
      <c r="J50" s="69" t="str">
        <f>IF(J48="Montar",PATRÓN!$J$6/1000,"")</f>
        <v/>
      </c>
      <c r="K50" s="69" t="str">
        <f>IF(K48="Montar",PATRÓN!$J$7/1000,"")</f>
        <v/>
      </c>
      <c r="L50" s="69" t="str">
        <f>IF(L48="Montar",PATRÓN!$J$8/1000,"")</f>
        <v/>
      </c>
      <c r="M50" s="69" t="str">
        <f>IF(M48="Montar",PATRÓN!$J$9/1000,"")</f>
        <v/>
      </c>
      <c r="N50" s="69" t="str">
        <f>IF(N48="Montar",PATRÓN!$J$10/1000,"")</f>
        <v/>
      </c>
      <c r="O50" s="69" t="str">
        <f>IF(O48="Montar",PATRÓN!$J$11/1000,"")</f>
        <v/>
      </c>
      <c r="P50" s="69">
        <f>IF(P48="Montar",PATRÓN!$J$12/1000,"")</f>
        <v>5.9999999999999995E-5</v>
      </c>
      <c r="Q50" s="69">
        <f>IF(Q48="Montar",PATRÓN!$J$13/1000,"")</f>
        <v>-2.3999999999999998E-4</v>
      </c>
      <c r="R50" s="69">
        <f>IF(R48="Montar",PATRÓN!$J$14/1000,"")</f>
        <v>5.9999999999999995E-5</v>
      </c>
      <c r="S50" s="69">
        <f>IF(S48="Montar",PATRÓN!$J$15/1000,"")</f>
        <v>1.0000000000000001E-5</v>
      </c>
      <c r="U50" s="21"/>
    </row>
    <row r="51" spans="2:21" x14ac:dyDescent="0.3">
      <c r="B51" s="66"/>
      <c r="C51" s="66"/>
      <c r="D51" s="335">
        <f>SUM(G51:S51)</f>
        <v>1.49E-3</v>
      </c>
      <c r="E51" s="335"/>
      <c r="F51" s="335"/>
      <c r="G51" s="69" t="str">
        <f>IF(G48="Montar",PATRÓN!$M$3/1000,"")</f>
        <v/>
      </c>
      <c r="H51" s="69" t="str">
        <f>IF(H48="Montar",PATRÓN!$M$4/1000,"")</f>
        <v/>
      </c>
      <c r="I51" s="69">
        <f>IF(I48="Montar",PATRÓN!$M$5/1000,"")</f>
        <v>1.7000000000000001E-4</v>
      </c>
      <c r="J51" s="69" t="str">
        <f>IF(J48="Montar",PATRÓN!$M$6/1000,"")</f>
        <v/>
      </c>
      <c r="K51" s="69" t="str">
        <f>IF(K48="Montar",PATRÓN!$M$7/1000,"")</f>
        <v/>
      </c>
      <c r="L51" s="69" t="str">
        <f>IF(L48="Montar",PATRÓN!$M$8/1000,"")</f>
        <v/>
      </c>
      <c r="M51" s="69" t="str">
        <f>IF(M48="Montar",PATRÓN!$M$9/1000,"")</f>
        <v/>
      </c>
      <c r="N51" s="69" t="str">
        <f>IF(N48="Montar",PATRÓN!$M$10/1000,"")</f>
        <v/>
      </c>
      <c r="O51" s="69" t="str">
        <f>IF(O48="Montar",PATRÓN!$M$11/1000,"")</f>
        <v/>
      </c>
      <c r="P51" s="69">
        <f>IF(P48="Montar",PATRÓN!$M$12/1000,"")</f>
        <v>3.3E-4</v>
      </c>
      <c r="Q51" s="69">
        <f>IF(Q48="Montar",PATRÓN!$M$13/1000,"")</f>
        <v>3.3E-4</v>
      </c>
      <c r="R51" s="69">
        <f>IF(R48="Montar",PATRÓN!$M$14/1000,"")</f>
        <v>3.3E-4</v>
      </c>
      <c r="S51" s="69">
        <f>IF(S48="Montar",PATRÓN!$M$15/1000,"")</f>
        <v>3.3E-4</v>
      </c>
    </row>
    <row r="52" spans="2:21" x14ac:dyDescent="0.3">
      <c r="B52" s="66"/>
      <c r="C52" s="66"/>
      <c r="D52" s="66"/>
      <c r="E52" s="66"/>
      <c r="F52" s="66"/>
      <c r="G52" s="67" t="s">
        <v>53</v>
      </c>
      <c r="H52" s="67" t="s">
        <v>52</v>
      </c>
      <c r="I52" s="67" t="s">
        <v>53</v>
      </c>
      <c r="J52" s="67" t="s">
        <v>53</v>
      </c>
      <c r="K52" s="67" t="s">
        <v>52</v>
      </c>
      <c r="L52" s="67" t="s">
        <v>52</v>
      </c>
      <c r="M52" s="67" t="s">
        <v>53</v>
      </c>
      <c r="N52" s="67" t="s">
        <v>53</v>
      </c>
      <c r="O52" s="67"/>
      <c r="P52" s="67" t="s">
        <v>52</v>
      </c>
      <c r="Q52" s="67" t="s">
        <v>52</v>
      </c>
      <c r="R52" s="67" t="s">
        <v>52</v>
      </c>
      <c r="S52" s="67" t="s">
        <v>52</v>
      </c>
    </row>
    <row r="53" spans="2:21" x14ac:dyDescent="0.3">
      <c r="B53" s="334">
        <f>S16</f>
        <v>105</v>
      </c>
      <c r="C53" s="334"/>
      <c r="D53" s="336">
        <f>SUM(G53:S53)</f>
        <v>104.999808</v>
      </c>
      <c r="E53" s="336"/>
      <c r="F53" s="336"/>
      <c r="G53" s="68" t="str">
        <f>IF(G52="Montar",5+G54,"")</f>
        <v/>
      </c>
      <c r="H53" s="68">
        <f>IF(H52="Montar",5+H54,"")</f>
        <v>4.9999180000000001</v>
      </c>
      <c r="I53" s="68" t="str">
        <f t="shared" ref="I53:N53" si="17">IF(I52="Montar",10+I54,"")</f>
        <v/>
      </c>
      <c r="J53" s="68" t="str">
        <f t="shared" si="17"/>
        <v/>
      </c>
      <c r="K53" s="69">
        <f t="shared" si="17"/>
        <v>10</v>
      </c>
      <c r="L53" s="68">
        <f t="shared" si="17"/>
        <v>10</v>
      </c>
      <c r="M53" s="68" t="str">
        <f t="shared" si="17"/>
        <v/>
      </c>
      <c r="N53" s="68" t="str">
        <f t="shared" si="17"/>
        <v/>
      </c>
      <c r="O53" s="68" t="str">
        <f t="shared" ref="O53:R53" si="18">IF(O52="Montar",20+O54,"")</f>
        <v/>
      </c>
      <c r="P53" s="68">
        <f t="shared" si="18"/>
        <v>20.000060000000001</v>
      </c>
      <c r="Q53" s="68">
        <f t="shared" si="18"/>
        <v>19.999759999999998</v>
      </c>
      <c r="R53" s="68">
        <f t="shared" si="18"/>
        <v>20.000060000000001</v>
      </c>
      <c r="S53" s="68">
        <f>IF(S52="Montar",20+S54,"")</f>
        <v>20.00001</v>
      </c>
    </row>
    <row r="54" spans="2:21" x14ac:dyDescent="0.3">
      <c r="B54" s="66"/>
      <c r="C54" s="66"/>
      <c r="D54" s="335">
        <f>SUM(G54:S54)</f>
        <v>-1.9199999999999998E-4</v>
      </c>
      <c r="E54" s="335"/>
      <c r="F54" s="335"/>
      <c r="G54" s="69" t="str">
        <f>IF(G52="Montar",PATRÓN!$J$3/1000,"")</f>
        <v/>
      </c>
      <c r="H54" s="69">
        <f>IF(H52="Montar",PATRÓN!$J$4/1000,"")</f>
        <v>-8.2000000000000001E-5</v>
      </c>
      <c r="I54" s="69" t="str">
        <f>IF(I52="Montar",PATRÓN!$J$5/1000,"")</f>
        <v/>
      </c>
      <c r="J54" s="69" t="str">
        <f>IF(J52="Montar",PATRÓN!$J$6/1000,"")</f>
        <v/>
      </c>
      <c r="K54" s="69">
        <f>IF(K52="Montar",PATRÓN!$J$7/1000,"")</f>
        <v>0</v>
      </c>
      <c r="L54" s="69">
        <f>IF(L52="Montar",PATRÓN!$J$8/1000,"")</f>
        <v>0</v>
      </c>
      <c r="M54" s="69" t="str">
        <f>IF(M52="Montar",PATRÓN!$J$9/1000,"")</f>
        <v/>
      </c>
      <c r="N54" s="69" t="str">
        <f>IF(N52="Montar",PATRÓN!$J$10/1000,"")</f>
        <v/>
      </c>
      <c r="O54" s="69" t="str">
        <f>IF(O52="Montar",PATRÓN!$J$11/1000,"")</f>
        <v/>
      </c>
      <c r="P54" s="69">
        <f>IF(P52="Montar",PATRÓN!$J$12/1000,"")</f>
        <v>5.9999999999999995E-5</v>
      </c>
      <c r="Q54" s="69">
        <f>IF(Q52="Montar",PATRÓN!$J$13/1000,"")</f>
        <v>-2.3999999999999998E-4</v>
      </c>
      <c r="R54" s="69">
        <f>IF(R52="Montar",PATRÓN!$J$14/1000,"")</f>
        <v>5.9999999999999995E-5</v>
      </c>
      <c r="S54" s="69">
        <f>IF(S52="Montar",PATRÓN!$J$15/1000,"")</f>
        <v>1.0000000000000001E-5</v>
      </c>
    </row>
    <row r="55" spans="2:21" x14ac:dyDescent="0.3">
      <c r="B55" s="66"/>
      <c r="C55" s="66"/>
      <c r="D55" s="335">
        <f>SUM(G55:S55)</f>
        <v>1.743E-3</v>
      </c>
      <c r="E55" s="335"/>
      <c r="F55" s="335"/>
      <c r="G55" s="69" t="str">
        <f>IF(G52="Montar",PATRÓN!$M$3/1000,"")</f>
        <v/>
      </c>
      <c r="H55" s="69">
        <f>IF(H52="Montar",PATRÓN!$M$4/1000,"")</f>
        <v>8.2999999999999998E-5</v>
      </c>
      <c r="I55" s="69" t="str">
        <f>IF(I52="Montar",PATRÓN!$M$5/1000,"")</f>
        <v/>
      </c>
      <c r="J55" s="69" t="str">
        <f>IF(J52="Montar",PATRÓN!$M$6/1000,"")</f>
        <v/>
      </c>
      <c r="K55" s="69">
        <f>IF(K52="Montar",PATRÓN!$M$7/1000,"")</f>
        <v>1.7000000000000001E-4</v>
      </c>
      <c r="L55" s="69">
        <f>IF(L52="Montar",PATRÓN!$M$8/1000,"")</f>
        <v>1.7000000000000001E-4</v>
      </c>
      <c r="M55" s="69" t="str">
        <f>IF(M52="Montar",PATRÓN!$M$9/1000,"")</f>
        <v/>
      </c>
      <c r="N55" s="69" t="str">
        <f>IF(N52="Montar",PATRÓN!$M$10/1000,"")</f>
        <v/>
      </c>
      <c r="O55" s="69" t="str">
        <f>IF(O52="Montar",PATRÓN!$M$11/1000,"")</f>
        <v/>
      </c>
      <c r="P55" s="69">
        <f>IF(P52="Montar",PATRÓN!$M$12/1000,"")</f>
        <v>3.3E-4</v>
      </c>
      <c r="Q55" s="69">
        <f>IF(Q52="Montar",PATRÓN!$M$13/1000,"")</f>
        <v>3.3E-4</v>
      </c>
      <c r="R55" s="69">
        <f>IF(R52="Montar",PATRÓN!$M$14/1000,"")</f>
        <v>3.3E-4</v>
      </c>
      <c r="S55" s="69">
        <f>IF(S52="Montar",PATRÓN!$M$15/1000,"")</f>
        <v>3.3E-4</v>
      </c>
    </row>
    <row r="56" spans="2:21" x14ac:dyDescent="0.3">
      <c r="B56" s="66"/>
      <c r="C56" s="66"/>
      <c r="D56" s="66"/>
      <c r="E56" s="66"/>
      <c r="F56" s="66"/>
      <c r="G56" s="67" t="s">
        <v>53</v>
      </c>
      <c r="H56" s="67"/>
      <c r="I56" s="67" t="s">
        <v>52</v>
      </c>
      <c r="J56" s="67" t="s">
        <v>53</v>
      </c>
      <c r="K56" s="67" t="s">
        <v>52</v>
      </c>
      <c r="L56" s="67" t="s">
        <v>52</v>
      </c>
      <c r="M56" s="67" t="s">
        <v>52</v>
      </c>
      <c r="N56" s="67" t="s">
        <v>53</v>
      </c>
      <c r="O56" s="67"/>
      <c r="P56" s="67" t="s">
        <v>52</v>
      </c>
      <c r="Q56" s="67" t="s">
        <v>52</v>
      </c>
      <c r="R56" s="67" t="s">
        <v>52</v>
      </c>
      <c r="S56" s="67" t="s">
        <v>52</v>
      </c>
    </row>
    <row r="57" spans="2:21" x14ac:dyDescent="0.3">
      <c r="B57" s="334">
        <f>S17</f>
        <v>120</v>
      </c>
      <c r="C57" s="334"/>
      <c r="D57" s="336">
        <f>SUM(G57:S57)</f>
        <v>120.00009</v>
      </c>
      <c r="E57" s="336"/>
      <c r="F57" s="336"/>
      <c r="G57" s="68" t="str">
        <f>IF(G56="Montar",5+G58,"")</f>
        <v/>
      </c>
      <c r="H57" s="68" t="str">
        <f>IF(H56="Montar",5+H58,"")</f>
        <v/>
      </c>
      <c r="I57" s="68">
        <f t="shared" ref="I57:N57" si="19">IF(I56="Montar",10+I58,"")</f>
        <v>10.00015</v>
      </c>
      <c r="J57" s="68" t="str">
        <f t="shared" si="19"/>
        <v/>
      </c>
      <c r="K57" s="69">
        <f t="shared" si="19"/>
        <v>10</v>
      </c>
      <c r="L57" s="68">
        <f t="shared" si="19"/>
        <v>10</v>
      </c>
      <c r="M57" s="68">
        <f t="shared" si="19"/>
        <v>10.00005</v>
      </c>
      <c r="N57" s="68" t="str">
        <f t="shared" si="19"/>
        <v/>
      </c>
      <c r="O57" s="68" t="str">
        <f t="shared" ref="O57:R57" si="20">IF(O56="Montar",20+O58,"")</f>
        <v/>
      </c>
      <c r="P57" s="68">
        <f t="shared" si="20"/>
        <v>20.000060000000001</v>
      </c>
      <c r="Q57" s="68">
        <f t="shared" si="20"/>
        <v>19.999759999999998</v>
      </c>
      <c r="R57" s="68">
        <f t="shared" si="20"/>
        <v>20.000060000000001</v>
      </c>
      <c r="S57" s="68">
        <f>IF(S56="Montar",20+S58,"")</f>
        <v>20.00001</v>
      </c>
    </row>
    <row r="58" spans="2:21" x14ac:dyDescent="0.3">
      <c r="B58" s="66"/>
      <c r="C58" s="66"/>
      <c r="D58" s="335">
        <f>SUM(G58:S58)</f>
        <v>8.9999999999999992E-5</v>
      </c>
      <c r="E58" s="335"/>
      <c r="F58" s="335"/>
      <c r="G58" s="69" t="str">
        <f>IF(G56="Montar",PATRÓN!$J$3/1000,"")</f>
        <v/>
      </c>
      <c r="H58" s="69" t="str">
        <f>IF(H56="Montar",PATRÓN!$J$4/1000,"")</f>
        <v/>
      </c>
      <c r="I58" s="69">
        <f>IF(I56="Montar",PATRÓN!$J$5/1000,"")</f>
        <v>1.4999999999999999E-4</v>
      </c>
      <c r="J58" s="69" t="str">
        <f>IF(J56="Montar",PATRÓN!$J$6/1000,"")</f>
        <v/>
      </c>
      <c r="K58" s="69">
        <f>IF(K56="Montar",PATRÓN!$J$7/1000,"")</f>
        <v>0</v>
      </c>
      <c r="L58" s="69">
        <f>IF(L56="Montar",PATRÓN!$J$8/1000,"")</f>
        <v>0</v>
      </c>
      <c r="M58" s="69">
        <f>IF(M56="Montar",PATRÓN!$J$9/1000,"")</f>
        <v>5.0000000000000002E-5</v>
      </c>
      <c r="N58" s="69" t="str">
        <f>IF(N56="Montar",PATRÓN!$J$10/1000,"")</f>
        <v/>
      </c>
      <c r="O58" s="69" t="str">
        <f>IF(O56="Montar",PATRÓN!$J$11/1000,"")</f>
        <v/>
      </c>
      <c r="P58" s="69">
        <f>IF(P56="Montar",PATRÓN!$J$12/1000,"")</f>
        <v>5.9999999999999995E-5</v>
      </c>
      <c r="Q58" s="69">
        <f>IF(Q56="Montar",PATRÓN!$J$13/1000,"")</f>
        <v>-2.3999999999999998E-4</v>
      </c>
      <c r="R58" s="69">
        <f>IF(R56="Montar",PATRÓN!$J$14/1000,"")</f>
        <v>5.9999999999999995E-5</v>
      </c>
      <c r="S58" s="69">
        <f>IF(S56="Montar",PATRÓN!$J$15/1000,"")</f>
        <v>1.0000000000000001E-5</v>
      </c>
    </row>
    <row r="59" spans="2:21" x14ac:dyDescent="0.3">
      <c r="B59" s="66"/>
      <c r="C59" s="66"/>
      <c r="D59" s="335">
        <f>SUM(G59:S59)</f>
        <v>2E-3</v>
      </c>
      <c r="E59" s="335"/>
      <c r="F59" s="335"/>
      <c r="G59" s="69" t="str">
        <f>IF(G56="Montar",PATRÓN!$M$3/1000,"")</f>
        <v/>
      </c>
      <c r="H59" s="69" t="str">
        <f>IF(H56="Montar",PATRÓN!$M$4/1000,"")</f>
        <v/>
      </c>
      <c r="I59" s="69">
        <f>IF(I56="Montar",PATRÓN!$M$5/1000,"")</f>
        <v>1.7000000000000001E-4</v>
      </c>
      <c r="J59" s="69" t="str">
        <f>IF(J56="Montar",PATRÓN!$M$6/1000,"")</f>
        <v/>
      </c>
      <c r="K59" s="69">
        <f>IF(K56="Montar",PATRÓN!$M$7/1000,"")</f>
        <v>1.7000000000000001E-4</v>
      </c>
      <c r="L59" s="69">
        <f>IF(L56="Montar",PATRÓN!$M$8/1000,"")</f>
        <v>1.7000000000000001E-4</v>
      </c>
      <c r="M59" s="69">
        <f>IF(M56="Montar",PATRÓN!$M$9/1000,"")</f>
        <v>1.7000000000000001E-4</v>
      </c>
      <c r="N59" s="69" t="str">
        <f>IF(N56="Montar",PATRÓN!$M$10/1000,"")</f>
        <v/>
      </c>
      <c r="O59" s="69" t="str">
        <f>IF(O56="Montar",PATRÓN!$M$11/1000,"")</f>
        <v/>
      </c>
      <c r="P59" s="69">
        <f>IF(P56="Montar",PATRÓN!$M$12/1000,"")</f>
        <v>3.3E-4</v>
      </c>
      <c r="Q59" s="69">
        <f>IF(Q56="Montar",PATRÓN!$M$13/1000,"")</f>
        <v>3.3E-4</v>
      </c>
      <c r="R59" s="69">
        <f>IF(R56="Montar",PATRÓN!$M$14/1000,"")</f>
        <v>3.3E-4</v>
      </c>
      <c r="S59" s="69">
        <f>IF(S56="Montar",PATRÓN!$M$15/1000,"")</f>
        <v>3.3E-4</v>
      </c>
    </row>
    <row r="60" spans="2:21" x14ac:dyDescent="0.3">
      <c r="B60" s="66"/>
      <c r="C60" s="66"/>
      <c r="D60" s="66"/>
      <c r="E60" s="66"/>
      <c r="F60" s="66"/>
      <c r="G60" s="67" t="s">
        <v>52</v>
      </c>
      <c r="H60" s="67"/>
      <c r="I60" s="67" t="s">
        <v>53</v>
      </c>
      <c r="J60" s="67" t="s">
        <v>52</v>
      </c>
      <c r="K60" s="67" t="s">
        <v>52</v>
      </c>
      <c r="L60" s="67" t="s">
        <v>52</v>
      </c>
      <c r="M60" s="67" t="s">
        <v>52</v>
      </c>
      <c r="N60" s="67" t="s">
        <v>52</v>
      </c>
      <c r="O60" s="67"/>
      <c r="P60" s="67" t="s">
        <v>52</v>
      </c>
      <c r="Q60" s="67" t="s">
        <v>52</v>
      </c>
      <c r="R60" s="67" t="s">
        <v>52</v>
      </c>
      <c r="S60" s="67" t="s">
        <v>52</v>
      </c>
    </row>
    <row r="61" spans="2:21" x14ac:dyDescent="0.3">
      <c r="B61" s="334">
        <f>S18</f>
        <v>135</v>
      </c>
      <c r="C61" s="334"/>
      <c r="D61" s="336">
        <f>SUM(G61:S61)</f>
        <v>134.999908</v>
      </c>
      <c r="E61" s="336"/>
      <c r="F61" s="336"/>
      <c r="G61" s="68">
        <f>IF(G60="Montar",5+G62,"")</f>
        <v>4.999968</v>
      </c>
      <c r="H61" s="68" t="str">
        <f>IF(H60="Montar",5+H62,"")</f>
        <v/>
      </c>
      <c r="I61" s="68" t="str">
        <f t="shared" ref="I61:N61" si="21">IF(I60="Montar",10+I62,"")</f>
        <v/>
      </c>
      <c r="J61" s="68">
        <f t="shared" si="21"/>
        <v>9.9999000000000002</v>
      </c>
      <c r="K61" s="69">
        <f t="shared" si="21"/>
        <v>10</v>
      </c>
      <c r="L61" s="68">
        <f t="shared" si="21"/>
        <v>10</v>
      </c>
      <c r="M61" s="68">
        <f t="shared" si="21"/>
        <v>10.00005</v>
      </c>
      <c r="N61" s="68">
        <f t="shared" si="21"/>
        <v>10.0001</v>
      </c>
      <c r="O61" s="68" t="str">
        <f t="shared" ref="O61:R61" si="22">IF(O60="Montar",20+O62,"")</f>
        <v/>
      </c>
      <c r="P61" s="68">
        <f t="shared" si="22"/>
        <v>20.000060000000001</v>
      </c>
      <c r="Q61" s="68">
        <f t="shared" si="22"/>
        <v>19.999759999999998</v>
      </c>
      <c r="R61" s="68">
        <f t="shared" si="22"/>
        <v>20.000060000000001</v>
      </c>
      <c r="S61" s="68">
        <f>IF(S60="Montar",20+S62,"")</f>
        <v>20.00001</v>
      </c>
      <c r="T61" s="21"/>
    </row>
    <row r="62" spans="2:21" x14ac:dyDescent="0.3">
      <c r="B62" s="66"/>
      <c r="C62" s="66"/>
      <c r="D62" s="335">
        <f>SUM(G62:S62)</f>
        <v>-9.1999999999999987E-5</v>
      </c>
      <c r="E62" s="335"/>
      <c r="F62" s="335"/>
      <c r="G62" s="69">
        <f>IF(G60="Montar",PATRÓN!$J$3/1000,"")</f>
        <v>-3.1999999999999999E-5</v>
      </c>
      <c r="H62" s="69" t="str">
        <f>IF(H60="Montar",PATRÓN!$J$4/1000,"")</f>
        <v/>
      </c>
      <c r="I62" s="69" t="str">
        <f>IF(I60="Montar",PATRÓN!$J$5/1000,"")</f>
        <v/>
      </c>
      <c r="J62" s="69">
        <f>IF(J60="Montar",PATRÓN!$J$6/1000,"")</f>
        <v>-1E-4</v>
      </c>
      <c r="K62" s="69">
        <f>IF(K60="Montar",PATRÓN!$J$7/1000,"")</f>
        <v>0</v>
      </c>
      <c r="L62" s="69">
        <f>IF(L60="Montar",PATRÓN!$J$8/1000,"")</f>
        <v>0</v>
      </c>
      <c r="M62" s="69">
        <f>IF(M60="Montar",PATRÓN!$J$9/1000,"")</f>
        <v>5.0000000000000002E-5</v>
      </c>
      <c r="N62" s="69">
        <f>IF(N60="Montar",PATRÓN!$J$10/1000,"")</f>
        <v>1E-4</v>
      </c>
      <c r="O62" s="69" t="str">
        <f>IF(O60="Montar",PATRÓN!$J$11/1000,"")</f>
        <v/>
      </c>
      <c r="P62" s="69">
        <f>IF(P60="Montar",PATRÓN!$J$12/1000,"")</f>
        <v>5.9999999999999995E-5</v>
      </c>
      <c r="Q62" s="69">
        <f>IF(Q60="Montar",PATRÓN!$J$13/1000,"")</f>
        <v>-2.3999999999999998E-4</v>
      </c>
      <c r="R62" s="69">
        <f>IF(R60="Montar",PATRÓN!$J$14/1000,"")</f>
        <v>5.9999999999999995E-5</v>
      </c>
      <c r="S62" s="69">
        <f>IF(S60="Montar",PATRÓN!$J$15/1000,"")</f>
        <v>1.0000000000000001E-5</v>
      </c>
      <c r="T62" s="21"/>
    </row>
    <row r="63" spans="2:21" x14ac:dyDescent="0.3">
      <c r="B63" s="66"/>
      <c r="C63" s="66"/>
      <c r="D63" s="335">
        <f>SUM(G63:S63)</f>
        <v>2.2529999999999998E-3</v>
      </c>
      <c r="E63" s="335"/>
      <c r="F63" s="335"/>
      <c r="G63" s="69">
        <f>IF(G60="Montar",PATRÓN!$M$3/1000,"")</f>
        <v>8.2999999999999998E-5</v>
      </c>
      <c r="H63" s="69" t="str">
        <f>IF(H60="Montar",PATRÓN!$M$4/1000,"")</f>
        <v/>
      </c>
      <c r="I63" s="69" t="str">
        <f>IF(I60="Montar",PATRÓN!$M$5/1000,"")</f>
        <v/>
      </c>
      <c r="J63" s="69">
        <f>IF(J60="Montar",PATRÓN!$M$6/1000,"")</f>
        <v>1.7000000000000001E-4</v>
      </c>
      <c r="K63" s="69">
        <f>IF(K60="Montar",PATRÓN!$M$7/1000,"")</f>
        <v>1.7000000000000001E-4</v>
      </c>
      <c r="L63" s="69">
        <f>IF(L60="Montar",PATRÓN!$M$8/1000,"")</f>
        <v>1.7000000000000001E-4</v>
      </c>
      <c r="M63" s="69">
        <f>IF(M60="Montar",PATRÓN!$M$9/1000,"")</f>
        <v>1.7000000000000001E-4</v>
      </c>
      <c r="N63" s="69">
        <f>IF(N60="Montar",PATRÓN!$M$10/1000,"")</f>
        <v>1.7000000000000001E-4</v>
      </c>
      <c r="O63" s="69" t="str">
        <f>IF(O60="Montar",PATRÓN!$M$11/1000,"")</f>
        <v/>
      </c>
      <c r="P63" s="69">
        <f>IF(P60="Montar",PATRÓN!$M$12/1000,"")</f>
        <v>3.3E-4</v>
      </c>
      <c r="Q63" s="69">
        <f>IF(Q60="Montar",PATRÓN!$M$13/1000,"")</f>
        <v>3.3E-4</v>
      </c>
      <c r="R63" s="69">
        <f>IF(R60="Montar",PATRÓN!$M$14/1000,"")</f>
        <v>3.3E-4</v>
      </c>
      <c r="S63" s="69">
        <f>IF(S60="Montar",PATRÓN!$M$15/1000,"")</f>
        <v>3.3E-4</v>
      </c>
      <c r="T63" s="21"/>
    </row>
    <row r="64" spans="2:21" x14ac:dyDescent="0.3">
      <c r="B64" s="66"/>
      <c r="C64" s="66"/>
      <c r="D64" s="66"/>
      <c r="E64" s="66"/>
      <c r="F64" s="66"/>
      <c r="G64" s="67" t="s">
        <v>52</v>
      </c>
      <c r="H64" s="67" t="s">
        <v>52</v>
      </c>
      <c r="I64" s="67" t="s">
        <v>53</v>
      </c>
      <c r="J64" s="67"/>
      <c r="K64" s="67" t="s">
        <v>52</v>
      </c>
      <c r="L64" s="67" t="s">
        <v>52</v>
      </c>
      <c r="M64" s="67" t="s">
        <v>52</v>
      </c>
      <c r="N64" s="67" t="s">
        <v>52</v>
      </c>
      <c r="O64" s="67" t="s">
        <v>52</v>
      </c>
      <c r="P64" s="67"/>
      <c r="Q64" s="67" t="s">
        <v>52</v>
      </c>
      <c r="R64" s="67" t="s">
        <v>52</v>
      </c>
      <c r="S64" s="67" t="s">
        <v>52</v>
      </c>
      <c r="T64" s="67" t="s">
        <v>52</v>
      </c>
    </row>
    <row r="65" spans="2:20" x14ac:dyDescent="0.3">
      <c r="B65" s="334">
        <f>S19</f>
        <v>150</v>
      </c>
      <c r="C65" s="334"/>
      <c r="D65" s="336">
        <f>SUM(G65:T65)</f>
        <v>149.99973599999998</v>
      </c>
      <c r="E65" s="336"/>
      <c r="F65" s="336"/>
      <c r="G65" s="68">
        <f>IF(G64="Montar",5+G66,"")</f>
        <v>4.999968</v>
      </c>
      <c r="H65" s="68">
        <f>IF(H64="Montar",5+H66,"")</f>
        <v>4.9999180000000001</v>
      </c>
      <c r="I65" s="68" t="str">
        <f t="shared" ref="I65:N65" si="23">IF(I64="Montar",10+I66,"")</f>
        <v/>
      </c>
      <c r="J65" s="68" t="str">
        <f t="shared" si="23"/>
        <v/>
      </c>
      <c r="K65" s="69">
        <f t="shared" si="23"/>
        <v>10</v>
      </c>
      <c r="L65" s="68">
        <f t="shared" si="23"/>
        <v>10</v>
      </c>
      <c r="M65" s="68">
        <f t="shared" si="23"/>
        <v>10.00005</v>
      </c>
      <c r="N65" s="68">
        <f t="shared" si="23"/>
        <v>10.0001</v>
      </c>
      <c r="O65" s="68">
        <f t="shared" ref="O65:R65" si="24">IF(O64="Montar",20+O66,"")</f>
        <v>19.999860000000002</v>
      </c>
      <c r="P65" s="68" t="str">
        <f t="shared" si="24"/>
        <v/>
      </c>
      <c r="Q65" s="68">
        <f t="shared" si="24"/>
        <v>19.999759999999998</v>
      </c>
      <c r="R65" s="68">
        <f t="shared" si="24"/>
        <v>20.000060000000001</v>
      </c>
      <c r="S65" s="68">
        <f>IF(S64="Montar",20+S66,"")</f>
        <v>20.00001</v>
      </c>
      <c r="T65" s="68">
        <f>IF(T64="Montar",20+T66,"")</f>
        <v>20.00001</v>
      </c>
    </row>
    <row r="66" spans="2:20" x14ac:dyDescent="0.3">
      <c r="B66" s="66"/>
      <c r="C66" s="66"/>
      <c r="D66" s="335">
        <f>SUM(G66:S66)</f>
        <v>-2.7399999999999999E-4</v>
      </c>
      <c r="E66" s="335"/>
      <c r="F66" s="335"/>
      <c r="G66" s="69">
        <f>IF(G64="Montar",PATRÓN!$J$3/1000,"")</f>
        <v>-3.1999999999999999E-5</v>
      </c>
      <c r="H66" s="69">
        <f>IF(H64="Montar",PATRÓN!$J$4/1000,"")</f>
        <v>-8.2000000000000001E-5</v>
      </c>
      <c r="I66" s="69" t="str">
        <f>IF(I64="Montar",PATRÓN!$J$5/1000,"")</f>
        <v/>
      </c>
      <c r="J66" s="69" t="str">
        <f>IF(J64="Montar",PATRÓN!$J$6/1000,"")</f>
        <v/>
      </c>
      <c r="K66" s="69">
        <f>IF(K64="Montar",PATRÓN!$J$7/1000,"")</f>
        <v>0</v>
      </c>
      <c r="L66" s="69">
        <f>IF(L64="Montar",PATRÓN!$J$8/1000,"")</f>
        <v>0</v>
      </c>
      <c r="M66" s="69">
        <f>IF(M64="Montar",PATRÓN!$J$9/1000,"")</f>
        <v>5.0000000000000002E-5</v>
      </c>
      <c r="N66" s="69">
        <f>IF(N64="Montar",PATRÓN!$J$10/1000,"")</f>
        <v>1E-4</v>
      </c>
      <c r="O66" s="69">
        <f>IF(O64="Montar",PATRÓN!$J$11/1000,"")</f>
        <v>-1.4000000000000001E-4</v>
      </c>
      <c r="P66" s="69" t="str">
        <f>IF(P64="Montar",PATRÓN!$J$12/1000,"")</f>
        <v/>
      </c>
      <c r="Q66" s="69">
        <f>IF(Q64="Montar",PATRÓN!$J$13/1000,"")</f>
        <v>-2.3999999999999998E-4</v>
      </c>
      <c r="R66" s="69">
        <f>IF(R64="Montar",PATRÓN!$J$14/1000,"")</f>
        <v>5.9999999999999995E-5</v>
      </c>
      <c r="S66" s="69">
        <f>IF(S64="Montar",PATRÓN!$J$15/1000,"")</f>
        <v>1.0000000000000001E-5</v>
      </c>
      <c r="T66" s="69">
        <f>IF(T64="Montar",PATRÓN!$J$15/1000,"")</f>
        <v>1.0000000000000001E-5</v>
      </c>
    </row>
    <row r="67" spans="2:20" x14ac:dyDescent="0.3">
      <c r="B67" s="66"/>
      <c r="C67" s="66"/>
      <c r="D67" s="335">
        <f>SUM(G67:S67)</f>
        <v>2.166E-3</v>
      </c>
      <c r="E67" s="335"/>
      <c r="F67" s="335"/>
      <c r="G67" s="69">
        <f>IF(G64="Montar",PATRÓN!$M$3/1000,"")</f>
        <v>8.2999999999999998E-5</v>
      </c>
      <c r="H67" s="69">
        <f>IF(H64="Montar",PATRÓN!$M$4/1000,"")</f>
        <v>8.2999999999999998E-5</v>
      </c>
      <c r="I67" s="69" t="str">
        <f>IF(I64="Montar",PATRÓN!$M$5/1000,"")</f>
        <v/>
      </c>
      <c r="J67" s="69" t="str">
        <f>IF(J64="Montar",PATRÓN!$M$6/1000,"")</f>
        <v/>
      </c>
      <c r="K67" s="69">
        <f>IF(K64="Montar",PATRÓN!$M$7/1000,"")</f>
        <v>1.7000000000000001E-4</v>
      </c>
      <c r="L67" s="69">
        <f>IF(L64="Montar",PATRÓN!$M$8/1000,"")</f>
        <v>1.7000000000000001E-4</v>
      </c>
      <c r="M67" s="69">
        <f>IF(M64="Montar",PATRÓN!$M$9/1000,"")</f>
        <v>1.7000000000000001E-4</v>
      </c>
      <c r="N67" s="69">
        <f>IF(N64="Montar",PATRÓN!$M$10/1000,"")</f>
        <v>1.7000000000000001E-4</v>
      </c>
      <c r="O67" s="69">
        <f>IF(O64="Montar",PATRÓN!$M$11/1000,"")</f>
        <v>3.3E-4</v>
      </c>
      <c r="P67" s="69" t="str">
        <f>IF(P64="Montar",PATRÓN!$M$12/1000,"")</f>
        <v/>
      </c>
      <c r="Q67" s="69">
        <f>IF(Q64="Montar",PATRÓN!$M$13/1000,"")</f>
        <v>3.3E-4</v>
      </c>
      <c r="R67" s="69">
        <f>IF(R64="Montar",PATRÓN!$M$14/1000,"")</f>
        <v>3.3E-4</v>
      </c>
      <c r="S67" s="69">
        <f>IF(S64="Montar",PATRÓN!$M$15/1000,"")</f>
        <v>3.3E-4</v>
      </c>
      <c r="T67" s="69">
        <f>IF(T64="Montar",PATRÓN!$M$15/1000,"")</f>
        <v>3.3E-4</v>
      </c>
    </row>
  </sheetData>
  <mergeCells count="105">
    <mergeCell ref="B65:C65"/>
    <mergeCell ref="D65:F65"/>
    <mergeCell ref="D66:F66"/>
    <mergeCell ref="D67:F67"/>
    <mergeCell ref="B24:T24"/>
    <mergeCell ref="D58:F58"/>
    <mergeCell ref="D59:F59"/>
    <mergeCell ref="B61:C61"/>
    <mergeCell ref="D61:F61"/>
    <mergeCell ref="D62:F62"/>
    <mergeCell ref="D63:F63"/>
    <mergeCell ref="B53:C53"/>
    <mergeCell ref="D53:F53"/>
    <mergeCell ref="D54:F54"/>
    <mergeCell ref="D55:F55"/>
    <mergeCell ref="B57:C57"/>
    <mergeCell ref="D57:F57"/>
    <mergeCell ref="D46:F46"/>
    <mergeCell ref="D47:F47"/>
    <mergeCell ref="B49:C49"/>
    <mergeCell ref="D49:F49"/>
    <mergeCell ref="D50:F50"/>
    <mergeCell ref="D51:F51"/>
    <mergeCell ref="D39:F39"/>
    <mergeCell ref="D42:F42"/>
    <mergeCell ref="D43:F43"/>
    <mergeCell ref="B45:C45"/>
    <mergeCell ref="D45:F45"/>
    <mergeCell ref="D34:F34"/>
    <mergeCell ref="D35:F35"/>
    <mergeCell ref="B36:C36"/>
    <mergeCell ref="B37:C37"/>
    <mergeCell ref="D37:F37"/>
    <mergeCell ref="D38:F38"/>
    <mergeCell ref="B29:C29"/>
    <mergeCell ref="D29:F29"/>
    <mergeCell ref="D30:F30"/>
    <mergeCell ref="D31:F31"/>
    <mergeCell ref="B32:C32"/>
    <mergeCell ref="B33:C33"/>
    <mergeCell ref="D33:F33"/>
    <mergeCell ref="B41:C41"/>
    <mergeCell ref="D41:F41"/>
    <mergeCell ref="S19:T19"/>
    <mergeCell ref="U19:W19"/>
    <mergeCell ref="B25:C25"/>
    <mergeCell ref="D25:F25"/>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S28 G32:S32 G36:S36 G40:S40 G44:S44 G48:S48 G52:S52 G56:S56 G64:T64 G60:S60" xr:uid="{228AA313-514D-482D-AD12-490AE59F9FA1}">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21"/>
  <sheetViews>
    <sheetView topLeftCell="B1" workbookViewId="0">
      <selection activeCell="O11" sqref="O11"/>
    </sheetView>
  </sheetViews>
  <sheetFormatPr baseColWidth="10" defaultRowHeight="14.4" x14ac:dyDescent="0.3"/>
  <cols>
    <col min="4" max="4" width="18.5546875" bestFit="1" customWidth="1"/>
    <col min="6" max="6" width="12.5546875" bestFit="1" customWidth="1"/>
  </cols>
  <sheetData>
    <row r="2" spans="1:18" x14ac:dyDescent="0.3">
      <c r="C2" s="6" t="s">
        <v>57</v>
      </c>
      <c r="D2" s="6" t="s">
        <v>58</v>
      </c>
      <c r="E2" s="6" t="s">
        <v>59</v>
      </c>
      <c r="F2" s="6" t="s">
        <v>60</v>
      </c>
      <c r="G2" s="6" t="s">
        <v>61</v>
      </c>
      <c r="H2" s="6" t="s">
        <v>62</v>
      </c>
      <c r="I2" s="6" t="s">
        <v>63</v>
      </c>
      <c r="J2" s="6" t="s">
        <v>64</v>
      </c>
      <c r="K2" s="6" t="s">
        <v>65</v>
      </c>
      <c r="L2" s="6" t="s">
        <v>66</v>
      </c>
      <c r="M2" s="6" t="s">
        <v>67</v>
      </c>
    </row>
    <row r="3" spans="1:18" x14ac:dyDescent="0.3">
      <c r="A3" s="21" t="s">
        <v>52</v>
      </c>
      <c r="C3" s="75"/>
      <c r="D3" s="9" t="s">
        <v>125</v>
      </c>
      <c r="E3" s="9" t="s">
        <v>126</v>
      </c>
      <c r="F3" s="9" t="s">
        <v>68</v>
      </c>
      <c r="G3" s="75" t="s">
        <v>135</v>
      </c>
      <c r="H3" s="76">
        <v>44232</v>
      </c>
      <c r="I3" s="9" t="s">
        <v>109</v>
      </c>
      <c r="J3" s="9">
        <v>-3.2000000000000001E-2</v>
      </c>
      <c r="K3" s="9">
        <v>0.25</v>
      </c>
      <c r="L3" s="9" t="s">
        <v>69</v>
      </c>
      <c r="M3" s="9">
        <v>8.3000000000000004E-2</v>
      </c>
      <c r="P3" s="77" t="s">
        <v>70</v>
      </c>
      <c r="Q3" s="78" t="s">
        <v>71</v>
      </c>
      <c r="R3" t="s">
        <v>189</v>
      </c>
    </row>
    <row r="4" spans="1:18" x14ac:dyDescent="0.3">
      <c r="A4" s="56" t="s">
        <v>53</v>
      </c>
      <c r="C4" s="75"/>
      <c r="D4" s="9" t="s">
        <v>127</v>
      </c>
      <c r="E4" s="9" t="s">
        <v>126</v>
      </c>
      <c r="F4" s="9" t="s">
        <v>68</v>
      </c>
      <c r="G4" s="75" t="s">
        <v>136</v>
      </c>
      <c r="H4" s="76">
        <v>43987</v>
      </c>
      <c r="I4" s="9" t="s">
        <v>109</v>
      </c>
      <c r="J4" s="9">
        <v>-8.2000000000000003E-2</v>
      </c>
      <c r="K4" s="9">
        <v>0.25</v>
      </c>
      <c r="L4" s="9" t="s">
        <v>69</v>
      </c>
      <c r="M4" s="9">
        <v>8.3000000000000004E-2</v>
      </c>
      <c r="P4" s="79"/>
      <c r="Q4" s="78" t="s">
        <v>72</v>
      </c>
      <c r="R4" t="s">
        <v>190</v>
      </c>
    </row>
    <row r="5" spans="1:18" x14ac:dyDescent="0.3">
      <c r="C5" s="75"/>
      <c r="D5" s="9" t="s">
        <v>128</v>
      </c>
      <c r="E5" s="9" t="s">
        <v>126</v>
      </c>
      <c r="F5" s="9" t="s">
        <v>68</v>
      </c>
      <c r="G5" s="75" t="s">
        <v>135</v>
      </c>
      <c r="H5" s="76">
        <v>43987</v>
      </c>
      <c r="I5" s="9" t="s">
        <v>109</v>
      </c>
      <c r="J5" s="9">
        <v>0.15</v>
      </c>
      <c r="K5" s="9">
        <v>0.5</v>
      </c>
      <c r="L5" s="9" t="s">
        <v>69</v>
      </c>
      <c r="M5" s="9">
        <v>0.17</v>
      </c>
    </row>
    <row r="6" spans="1:18" x14ac:dyDescent="0.3">
      <c r="C6" s="75"/>
      <c r="D6" s="9" t="s">
        <v>129</v>
      </c>
      <c r="E6" s="9" t="s">
        <v>126</v>
      </c>
      <c r="F6" s="9" t="s">
        <v>68</v>
      </c>
      <c r="G6" s="75" t="s">
        <v>136</v>
      </c>
      <c r="H6" s="76">
        <v>43987</v>
      </c>
      <c r="I6" s="9" t="s">
        <v>109</v>
      </c>
      <c r="J6" s="9">
        <v>-0.1</v>
      </c>
      <c r="K6" s="9">
        <v>0.5</v>
      </c>
      <c r="L6" s="9" t="s">
        <v>69</v>
      </c>
      <c r="M6" s="9">
        <v>0.17</v>
      </c>
    </row>
    <row r="7" spans="1:18" x14ac:dyDescent="0.3">
      <c r="C7" s="75"/>
      <c r="D7" s="9" t="s">
        <v>141</v>
      </c>
      <c r="E7" s="9" t="s">
        <v>126</v>
      </c>
      <c r="F7" s="9" t="s">
        <v>68</v>
      </c>
      <c r="G7" s="75" t="s">
        <v>137</v>
      </c>
      <c r="H7" s="76">
        <v>43987</v>
      </c>
      <c r="I7" s="9" t="s">
        <v>109</v>
      </c>
      <c r="J7" s="9">
        <v>0</v>
      </c>
      <c r="K7" s="6">
        <v>0.5</v>
      </c>
      <c r="L7" s="9" t="s">
        <v>69</v>
      </c>
      <c r="M7" s="9">
        <v>0.17</v>
      </c>
      <c r="Q7" s="3" t="s">
        <v>70</v>
      </c>
      <c r="R7" s="3" t="s">
        <v>73</v>
      </c>
    </row>
    <row r="8" spans="1:18" x14ac:dyDescent="0.3">
      <c r="C8" s="75"/>
      <c r="D8" s="9" t="s">
        <v>142</v>
      </c>
      <c r="E8" s="9" t="s">
        <v>126</v>
      </c>
      <c r="F8" s="9" t="s">
        <v>68</v>
      </c>
      <c r="G8" s="75" t="s">
        <v>138</v>
      </c>
      <c r="H8" s="76">
        <v>43987</v>
      </c>
      <c r="I8" s="9" t="s">
        <v>109</v>
      </c>
      <c r="J8" s="9">
        <v>0</v>
      </c>
      <c r="K8" s="6">
        <v>0.5</v>
      </c>
      <c r="L8" s="9" t="s">
        <v>69</v>
      </c>
      <c r="M8" s="9">
        <v>0.17</v>
      </c>
      <c r="Q8" s="2" t="e">
        <v>#DIV/0!</v>
      </c>
      <c r="R8" s="2">
        <v>0</v>
      </c>
    </row>
    <row r="9" spans="1:18" x14ac:dyDescent="0.3">
      <c r="C9" s="75"/>
      <c r="D9" s="9" t="s">
        <v>143</v>
      </c>
      <c r="E9" s="9" t="s">
        <v>126</v>
      </c>
      <c r="F9" s="9" t="s">
        <v>68</v>
      </c>
      <c r="G9" s="75" t="s">
        <v>139</v>
      </c>
      <c r="H9" s="76">
        <v>43987</v>
      </c>
      <c r="I9" s="9" t="s">
        <v>109</v>
      </c>
      <c r="J9" s="9">
        <v>0.05</v>
      </c>
      <c r="K9" s="6">
        <v>0.5</v>
      </c>
      <c r="L9" s="9" t="s">
        <v>69</v>
      </c>
      <c r="M9" s="9">
        <v>0.17</v>
      </c>
      <c r="Q9" s="2" t="e">
        <v>#DIV/0!</v>
      </c>
      <c r="R9" s="2">
        <v>0</v>
      </c>
    </row>
    <row r="10" spans="1:18" x14ac:dyDescent="0.3">
      <c r="C10" s="75"/>
      <c r="D10" s="9" t="s">
        <v>144</v>
      </c>
      <c r="E10" s="9" t="s">
        <v>126</v>
      </c>
      <c r="F10" s="9" t="s">
        <v>68</v>
      </c>
      <c r="G10" s="75" t="s">
        <v>140</v>
      </c>
      <c r="H10" s="76">
        <v>43987</v>
      </c>
      <c r="I10" s="9" t="s">
        <v>109</v>
      </c>
      <c r="J10" s="9">
        <v>0.1</v>
      </c>
      <c r="K10" s="9">
        <v>0.5</v>
      </c>
      <c r="L10" s="9" t="s">
        <v>69</v>
      </c>
      <c r="M10" s="9">
        <v>0.17</v>
      </c>
      <c r="Q10" s="2" t="e">
        <v>#DIV/0!</v>
      </c>
      <c r="R10" s="2">
        <v>0</v>
      </c>
    </row>
    <row r="11" spans="1:18" x14ac:dyDescent="0.3">
      <c r="C11" s="75"/>
      <c r="D11" s="9" t="s">
        <v>133</v>
      </c>
      <c r="E11" s="9" t="s">
        <v>126</v>
      </c>
      <c r="F11" s="9" t="s">
        <v>68</v>
      </c>
      <c r="G11" s="75" t="s">
        <v>135</v>
      </c>
      <c r="H11" s="76">
        <v>43987</v>
      </c>
      <c r="I11" s="9" t="s">
        <v>109</v>
      </c>
      <c r="J11" s="9">
        <v>-0.14000000000000001</v>
      </c>
      <c r="K11" s="9">
        <v>1</v>
      </c>
      <c r="L11" s="9" t="s">
        <v>69</v>
      </c>
      <c r="M11" s="9">
        <v>0.33</v>
      </c>
      <c r="Q11" s="2" t="e">
        <v>#DIV/0!</v>
      </c>
      <c r="R11" s="2">
        <v>0</v>
      </c>
    </row>
    <row r="12" spans="1:18" x14ac:dyDescent="0.3">
      <c r="C12" s="75"/>
      <c r="D12" s="9" t="s">
        <v>134</v>
      </c>
      <c r="E12" s="9" t="s">
        <v>126</v>
      </c>
      <c r="F12" s="9" t="s">
        <v>68</v>
      </c>
      <c r="G12" s="75" t="s">
        <v>136</v>
      </c>
      <c r="H12" s="76">
        <v>43987</v>
      </c>
      <c r="I12" s="9" t="s">
        <v>109</v>
      </c>
      <c r="J12" s="9">
        <v>0.06</v>
      </c>
      <c r="K12" s="9">
        <v>1</v>
      </c>
      <c r="L12" s="9" t="s">
        <v>69</v>
      </c>
      <c r="M12" s="9">
        <v>0.33</v>
      </c>
      <c r="Q12" s="2" t="e">
        <v>#DIV/0!</v>
      </c>
      <c r="R12" s="2">
        <v>0</v>
      </c>
    </row>
    <row r="13" spans="1:18" x14ac:dyDescent="0.3">
      <c r="C13" s="75"/>
      <c r="D13" s="9" t="s">
        <v>130</v>
      </c>
      <c r="E13" s="9" t="s">
        <v>126</v>
      </c>
      <c r="F13" s="9" t="s">
        <v>68</v>
      </c>
      <c r="G13" s="75" t="s">
        <v>137</v>
      </c>
      <c r="H13" s="76">
        <v>43987</v>
      </c>
      <c r="I13" s="9" t="s">
        <v>109</v>
      </c>
      <c r="J13" s="9">
        <v>-0.24</v>
      </c>
      <c r="K13" s="9">
        <v>1</v>
      </c>
      <c r="L13" s="9" t="s">
        <v>69</v>
      </c>
      <c r="M13" s="9">
        <v>0.33</v>
      </c>
      <c r="Q13" s="2" t="e">
        <v>#DIV/0!</v>
      </c>
      <c r="R13" s="2">
        <v>0</v>
      </c>
    </row>
    <row r="14" spans="1:18" x14ac:dyDescent="0.3">
      <c r="C14" s="75"/>
      <c r="D14" s="9" t="s">
        <v>131</v>
      </c>
      <c r="E14" s="9" t="s">
        <v>126</v>
      </c>
      <c r="F14" s="9" t="s">
        <v>68</v>
      </c>
      <c r="G14" s="75" t="s">
        <v>138</v>
      </c>
      <c r="H14" s="76">
        <v>43987</v>
      </c>
      <c r="I14" s="9" t="s">
        <v>109</v>
      </c>
      <c r="J14" s="9">
        <v>0.06</v>
      </c>
      <c r="K14" s="9">
        <v>1</v>
      </c>
      <c r="L14" s="9" t="s">
        <v>69</v>
      </c>
      <c r="M14" s="9">
        <v>0.33</v>
      </c>
      <c r="Q14" s="2" t="e">
        <v>#DIV/0!</v>
      </c>
      <c r="R14" s="2">
        <v>0</v>
      </c>
    </row>
    <row r="15" spans="1:18" x14ac:dyDescent="0.3">
      <c r="C15" s="75"/>
      <c r="D15" s="9" t="s">
        <v>132</v>
      </c>
      <c r="E15" s="9" t="s">
        <v>126</v>
      </c>
      <c r="F15" s="9" t="s">
        <v>68</v>
      </c>
      <c r="G15" s="75" t="s">
        <v>139</v>
      </c>
      <c r="H15" s="76">
        <v>43987</v>
      </c>
      <c r="I15" s="9" t="s">
        <v>109</v>
      </c>
      <c r="J15" s="9">
        <v>0.01</v>
      </c>
      <c r="K15" s="9">
        <v>1</v>
      </c>
      <c r="L15" s="9" t="s">
        <v>69</v>
      </c>
      <c r="M15" s="9">
        <v>0.33</v>
      </c>
      <c r="Q15" s="2" t="e">
        <v>#DIV/0!</v>
      </c>
      <c r="R15" s="2">
        <v>0</v>
      </c>
    </row>
    <row r="16" spans="1:18" x14ac:dyDescent="0.3">
      <c r="C16" s="80"/>
      <c r="D16" s="7"/>
      <c r="E16" s="7"/>
      <c r="F16" s="7"/>
      <c r="G16" s="80"/>
      <c r="H16" s="81"/>
      <c r="I16" s="7"/>
      <c r="J16" s="7"/>
      <c r="K16" s="7"/>
      <c r="L16" s="7"/>
      <c r="M16" s="7"/>
      <c r="Q16" s="2" t="e">
        <v>#DIV/0!</v>
      </c>
      <c r="R16" s="2">
        <v>0</v>
      </c>
    </row>
    <row r="17" spans="2:18" x14ac:dyDescent="0.3">
      <c r="C17" s="80"/>
      <c r="D17" s="7"/>
      <c r="E17" s="7"/>
      <c r="F17" s="7"/>
      <c r="G17" s="80"/>
      <c r="H17" s="81"/>
      <c r="I17" s="7"/>
      <c r="J17" s="7"/>
      <c r="K17" s="7"/>
      <c r="L17" s="7"/>
      <c r="M17" s="7"/>
      <c r="Q17" s="2" t="e">
        <v>#DIV/0!</v>
      </c>
      <c r="R17" s="2">
        <v>0</v>
      </c>
    </row>
    <row r="18" spans="2:18" x14ac:dyDescent="0.3">
      <c r="C18" s="80"/>
      <c r="D18" s="7"/>
      <c r="E18" s="7"/>
      <c r="F18" s="7"/>
      <c r="G18" s="80"/>
      <c r="H18" s="81"/>
      <c r="I18" s="7"/>
      <c r="J18" s="7"/>
      <c r="K18" s="7"/>
      <c r="L18" s="7"/>
      <c r="M18" s="7"/>
      <c r="Q18" s="2" t="e">
        <v>#DIV/0!</v>
      </c>
      <c r="R18" s="2">
        <v>0</v>
      </c>
    </row>
    <row r="22" spans="2:18" x14ac:dyDescent="0.3">
      <c r="B22" s="341" t="s">
        <v>74</v>
      </c>
      <c r="C22" s="341"/>
      <c r="D22" s="341"/>
      <c r="E22" s="341"/>
      <c r="F22" s="341"/>
      <c r="G22" s="341"/>
      <c r="H22" s="341"/>
      <c r="I22" s="341"/>
      <c r="J22" s="341"/>
      <c r="K22" s="341"/>
      <c r="L22" s="341"/>
      <c r="M22" s="341"/>
    </row>
    <row r="23" spans="2:18" x14ac:dyDescent="0.3">
      <c r="B23" s="339" t="s">
        <v>75</v>
      </c>
      <c r="C23" s="339"/>
      <c r="D23" s="339"/>
      <c r="E23" s="339"/>
      <c r="F23" s="339"/>
      <c r="G23" s="340" t="s">
        <v>76</v>
      </c>
      <c r="H23" s="340"/>
      <c r="I23" s="340"/>
      <c r="J23" s="340"/>
      <c r="K23" s="340"/>
      <c r="L23" s="340"/>
      <c r="M23" s="340"/>
    </row>
    <row r="24" spans="2:18" x14ac:dyDescent="0.3">
      <c r="B24" s="339" t="s">
        <v>1</v>
      </c>
      <c r="C24" s="339"/>
      <c r="D24" s="339"/>
      <c r="E24" s="339"/>
      <c r="F24" s="339"/>
      <c r="G24" s="340" t="s">
        <v>77</v>
      </c>
      <c r="H24" s="340"/>
      <c r="I24" s="340"/>
      <c r="J24" s="340"/>
      <c r="K24" s="340"/>
      <c r="L24" s="340"/>
      <c r="M24" s="340"/>
    </row>
    <row r="25" spans="2:18" x14ac:dyDescent="0.3">
      <c r="B25" s="339" t="s">
        <v>2</v>
      </c>
      <c r="C25" s="339"/>
      <c r="D25" s="339"/>
      <c r="E25" s="339"/>
      <c r="F25" s="339"/>
      <c r="G25" s="340" t="s">
        <v>78</v>
      </c>
      <c r="H25" s="340"/>
      <c r="I25" s="340"/>
      <c r="J25" s="340"/>
      <c r="K25" s="340"/>
      <c r="L25" s="340"/>
      <c r="M25" s="340"/>
    </row>
    <row r="26" spans="2:18" x14ac:dyDescent="0.3">
      <c r="B26" s="339" t="s">
        <v>4</v>
      </c>
      <c r="C26" s="339"/>
      <c r="D26" s="339"/>
      <c r="E26" s="339"/>
      <c r="F26" s="339"/>
      <c r="G26" s="342" t="s">
        <v>79</v>
      </c>
      <c r="H26" s="340"/>
      <c r="I26" s="340"/>
      <c r="J26" s="340"/>
      <c r="K26" s="340"/>
      <c r="L26" s="340"/>
      <c r="M26" s="340"/>
    </row>
    <row r="27" spans="2:18" x14ac:dyDescent="0.3">
      <c r="B27" s="82" t="s">
        <v>80</v>
      </c>
      <c r="C27" s="82"/>
      <c r="D27" s="82"/>
      <c r="E27" s="82"/>
      <c r="F27" s="82"/>
      <c r="G27" s="343">
        <v>43990</v>
      </c>
      <c r="H27" s="343"/>
      <c r="I27" s="343"/>
      <c r="J27" s="343"/>
      <c r="K27" s="343"/>
      <c r="L27" s="343"/>
      <c r="M27" s="343"/>
    </row>
    <row r="28" spans="2:18" x14ac:dyDescent="0.3">
      <c r="B28" s="339" t="s">
        <v>81</v>
      </c>
      <c r="C28" s="339"/>
      <c r="D28" s="339"/>
      <c r="E28" s="339"/>
      <c r="F28" s="339"/>
      <c r="G28" s="344" t="s">
        <v>82</v>
      </c>
      <c r="H28" s="344"/>
      <c r="I28" s="344"/>
      <c r="J28" s="344"/>
      <c r="K28" s="344"/>
      <c r="L28" s="344"/>
      <c r="M28" s="344"/>
    </row>
    <row r="29" spans="2:18" x14ac:dyDescent="0.3">
      <c r="B29" s="339" t="s">
        <v>83</v>
      </c>
      <c r="C29" s="339"/>
      <c r="D29" s="339"/>
      <c r="E29" s="339"/>
      <c r="F29" s="339"/>
      <c r="G29" s="340">
        <v>2</v>
      </c>
      <c r="H29" s="340"/>
      <c r="I29" s="340"/>
      <c r="J29" s="340"/>
      <c r="K29" s="340"/>
      <c r="L29" s="340"/>
      <c r="M29" s="340"/>
    </row>
    <row r="30" spans="2:18" x14ac:dyDescent="0.3">
      <c r="B30" s="82"/>
      <c r="C30" s="82"/>
      <c r="D30" s="82"/>
      <c r="E30" s="82"/>
      <c r="F30" s="82"/>
      <c r="G30" s="83"/>
      <c r="H30" s="83"/>
      <c r="I30" s="83"/>
      <c r="J30" s="83"/>
      <c r="K30" s="83"/>
      <c r="L30" s="83"/>
      <c r="M30" s="83"/>
    </row>
    <row r="31" spans="2:18" x14ac:dyDescent="0.3">
      <c r="B31" s="341" t="s">
        <v>84</v>
      </c>
      <c r="C31" s="341"/>
      <c r="D31" s="341"/>
      <c r="E31" s="341"/>
      <c r="F31" s="341"/>
      <c r="G31" s="341"/>
      <c r="H31" s="341"/>
      <c r="I31" s="341"/>
      <c r="J31" s="341"/>
      <c r="K31" s="341"/>
      <c r="L31" s="341"/>
      <c r="M31" s="341"/>
    </row>
    <row r="32" spans="2:18" x14ac:dyDescent="0.3">
      <c r="B32" s="339" t="s">
        <v>75</v>
      </c>
      <c r="C32" s="339"/>
      <c r="D32" s="339"/>
      <c r="E32" s="339"/>
      <c r="F32" s="339"/>
      <c r="G32" s="340" t="s">
        <v>85</v>
      </c>
      <c r="H32" s="340"/>
      <c r="I32" s="340"/>
      <c r="J32" s="340"/>
      <c r="K32" s="340"/>
      <c r="L32" s="340"/>
      <c r="M32" s="340"/>
    </row>
    <row r="33" spans="2:13" x14ac:dyDescent="0.3">
      <c r="B33" s="339" t="s">
        <v>1</v>
      </c>
      <c r="C33" s="339"/>
      <c r="D33" s="339"/>
      <c r="E33" s="339"/>
      <c r="F33" s="339"/>
      <c r="G33" s="340" t="s">
        <v>107</v>
      </c>
      <c r="H33" s="340"/>
      <c r="I33" s="340"/>
      <c r="J33" s="340"/>
      <c r="K33" s="340"/>
      <c r="L33" s="340"/>
      <c r="M33" s="340"/>
    </row>
    <row r="34" spans="2:13" x14ac:dyDescent="0.3">
      <c r="B34" s="339" t="s">
        <v>2</v>
      </c>
      <c r="C34" s="339"/>
      <c r="D34" s="339"/>
      <c r="E34" s="339"/>
      <c r="F34" s="339"/>
      <c r="G34" s="340" t="s">
        <v>86</v>
      </c>
      <c r="H34" s="340"/>
      <c r="I34" s="340"/>
      <c r="J34" s="340"/>
      <c r="K34" s="340"/>
      <c r="L34" s="340"/>
      <c r="M34" s="340"/>
    </row>
    <row r="35" spans="2:13" x14ac:dyDescent="0.3">
      <c r="B35" s="339" t="s">
        <v>4</v>
      </c>
      <c r="C35" s="339"/>
      <c r="D35" s="339"/>
      <c r="E35" s="339"/>
      <c r="F35" s="339"/>
      <c r="G35" s="345" t="s">
        <v>108</v>
      </c>
      <c r="H35" s="345"/>
      <c r="I35" s="345"/>
      <c r="J35" s="345"/>
      <c r="K35" s="345"/>
      <c r="L35" s="345"/>
      <c r="M35" s="345"/>
    </row>
    <row r="36" spans="2:13" x14ac:dyDescent="0.3">
      <c r="B36" s="82" t="s">
        <v>80</v>
      </c>
      <c r="C36" s="82"/>
      <c r="D36" s="82"/>
      <c r="E36" s="82"/>
      <c r="F36" s="82"/>
      <c r="G36" s="343">
        <v>44232</v>
      </c>
      <c r="H36" s="343"/>
      <c r="I36" s="343"/>
      <c r="J36" s="343"/>
      <c r="K36" s="343"/>
      <c r="L36" s="343"/>
      <c r="M36" s="343"/>
    </row>
    <row r="37" spans="2:13" x14ac:dyDescent="0.3">
      <c r="B37" s="339" t="s">
        <v>81</v>
      </c>
      <c r="C37" s="339"/>
      <c r="D37" s="339"/>
      <c r="E37" s="339"/>
      <c r="F37" s="339"/>
      <c r="G37" s="344" t="s">
        <v>109</v>
      </c>
      <c r="H37" s="344"/>
      <c r="I37" s="344"/>
      <c r="J37" s="344"/>
      <c r="K37" s="344"/>
      <c r="L37" s="344"/>
      <c r="M37" s="344"/>
    </row>
    <row r="38" spans="2:13" x14ac:dyDescent="0.3">
      <c r="B38" s="339" t="s">
        <v>83</v>
      </c>
      <c r="C38" s="339"/>
      <c r="D38" s="339"/>
      <c r="E38" s="339"/>
      <c r="F38" s="339"/>
      <c r="G38" s="340">
        <v>2</v>
      </c>
      <c r="H38" s="340"/>
      <c r="I38" s="340"/>
      <c r="J38" s="340"/>
      <c r="K38" s="340"/>
      <c r="L38" s="340"/>
      <c r="M38" s="340"/>
    </row>
    <row r="39" spans="2:13" x14ac:dyDescent="0.3">
      <c r="B39" s="82"/>
      <c r="C39" s="82"/>
      <c r="D39" s="82"/>
      <c r="E39" s="82"/>
      <c r="F39" s="82"/>
      <c r="G39" s="83"/>
      <c r="H39" s="83"/>
      <c r="I39" s="83"/>
      <c r="J39" s="83"/>
      <c r="K39" s="83"/>
      <c r="L39" s="83"/>
      <c r="M39" s="83"/>
    </row>
    <row r="40" spans="2:13" x14ac:dyDescent="0.3">
      <c r="B40" s="341" t="s">
        <v>87</v>
      </c>
      <c r="C40" s="341"/>
      <c r="D40" s="341"/>
      <c r="E40" s="341"/>
      <c r="F40" s="341"/>
      <c r="G40" s="341"/>
      <c r="H40" s="341"/>
      <c r="I40" s="341"/>
      <c r="J40" s="341"/>
      <c r="K40" s="341"/>
      <c r="L40" s="341"/>
      <c r="M40" s="341"/>
    </row>
    <row r="41" spans="2:13" x14ac:dyDescent="0.3">
      <c r="B41" s="339" t="s">
        <v>75</v>
      </c>
      <c r="C41" s="339"/>
      <c r="D41" s="339"/>
      <c r="E41" s="339"/>
      <c r="F41" s="339"/>
      <c r="G41" s="340" t="s">
        <v>88</v>
      </c>
      <c r="H41" s="340"/>
      <c r="I41" s="340"/>
      <c r="J41" s="340"/>
      <c r="K41" s="340"/>
      <c r="L41" s="340"/>
      <c r="M41" s="340"/>
    </row>
    <row r="42" spans="2:13" x14ac:dyDescent="0.3">
      <c r="B42" s="339" t="s">
        <v>1</v>
      </c>
      <c r="C42" s="339"/>
      <c r="D42" s="339"/>
      <c r="E42" s="339"/>
      <c r="F42" s="339"/>
      <c r="G42" s="340" t="s">
        <v>107</v>
      </c>
      <c r="H42" s="340"/>
      <c r="I42" s="340"/>
      <c r="J42" s="340"/>
      <c r="K42" s="340"/>
      <c r="L42" s="340"/>
      <c r="M42" s="340"/>
    </row>
    <row r="43" spans="2:13" x14ac:dyDescent="0.3">
      <c r="B43" s="339" t="s">
        <v>2</v>
      </c>
      <c r="C43" s="339"/>
      <c r="D43" s="339"/>
      <c r="E43" s="339"/>
      <c r="F43" s="339"/>
      <c r="G43" s="340" t="s">
        <v>86</v>
      </c>
      <c r="H43" s="340"/>
      <c r="I43" s="340"/>
      <c r="J43" s="340"/>
      <c r="K43" s="340"/>
      <c r="L43" s="340"/>
      <c r="M43" s="340"/>
    </row>
    <row r="44" spans="2:13" x14ac:dyDescent="0.3">
      <c r="B44" s="339" t="s">
        <v>4</v>
      </c>
      <c r="C44" s="339"/>
      <c r="D44" s="339"/>
      <c r="E44" s="339"/>
      <c r="F44" s="339"/>
      <c r="G44" s="345" t="s">
        <v>110</v>
      </c>
      <c r="H44" s="345"/>
      <c r="I44" s="345"/>
      <c r="J44" s="345"/>
      <c r="K44" s="345"/>
      <c r="L44" s="345"/>
      <c r="M44" s="345"/>
    </row>
    <row r="45" spans="2:13" x14ac:dyDescent="0.3">
      <c r="B45" s="82" t="s">
        <v>80</v>
      </c>
      <c r="C45" s="82"/>
      <c r="D45" s="82"/>
      <c r="E45" s="82"/>
      <c r="F45" s="82"/>
      <c r="G45" s="343">
        <v>44232</v>
      </c>
      <c r="H45" s="343"/>
      <c r="I45" s="343"/>
      <c r="J45" s="343"/>
      <c r="K45" s="343"/>
      <c r="L45" s="343"/>
      <c r="M45" s="343"/>
    </row>
    <row r="46" spans="2:13" x14ac:dyDescent="0.3">
      <c r="B46" s="339" t="s">
        <v>81</v>
      </c>
      <c r="C46" s="339"/>
      <c r="D46" s="339"/>
      <c r="E46" s="339"/>
      <c r="F46" s="339"/>
      <c r="G46" s="344" t="s">
        <v>109</v>
      </c>
      <c r="H46" s="344"/>
      <c r="I46" s="344"/>
      <c r="J46" s="344"/>
      <c r="K46" s="344"/>
      <c r="L46" s="344"/>
      <c r="M46" s="344"/>
    </row>
    <row r="47" spans="2:13" x14ac:dyDescent="0.3">
      <c r="B47" s="339" t="s">
        <v>83</v>
      </c>
      <c r="C47" s="339"/>
      <c r="D47" s="339"/>
      <c r="E47" s="339"/>
      <c r="F47" s="339"/>
      <c r="G47" s="340">
        <v>2</v>
      </c>
      <c r="H47" s="340"/>
      <c r="I47" s="340"/>
      <c r="J47" s="340"/>
      <c r="K47" s="340"/>
      <c r="L47" s="340"/>
      <c r="M47" s="340"/>
    </row>
    <row r="48" spans="2:13" x14ac:dyDescent="0.3">
      <c r="B48" s="82"/>
      <c r="C48" s="82"/>
      <c r="D48" s="82"/>
      <c r="E48" s="82"/>
      <c r="F48" s="82"/>
      <c r="G48" s="83"/>
      <c r="H48" s="83"/>
      <c r="I48" s="83"/>
      <c r="J48" s="83"/>
      <c r="K48" s="83"/>
      <c r="L48" s="83"/>
      <c r="M48" s="83"/>
    </row>
    <row r="49" spans="2:13" x14ac:dyDescent="0.3">
      <c r="B49" s="341" t="s">
        <v>89</v>
      </c>
      <c r="C49" s="341"/>
      <c r="D49" s="341"/>
      <c r="E49" s="341"/>
      <c r="F49" s="341"/>
      <c r="G49" s="341"/>
      <c r="H49" s="341"/>
      <c r="I49" s="341"/>
      <c r="J49" s="341"/>
      <c r="K49" s="341"/>
      <c r="L49" s="341"/>
      <c r="M49" s="341"/>
    </row>
    <row r="50" spans="2:13" x14ac:dyDescent="0.3">
      <c r="B50" s="339" t="s">
        <v>75</v>
      </c>
      <c r="C50" s="339"/>
      <c r="D50" s="339"/>
      <c r="E50" s="339"/>
      <c r="F50" s="339"/>
      <c r="G50" s="340" t="s">
        <v>90</v>
      </c>
      <c r="H50" s="340"/>
      <c r="I50" s="340"/>
      <c r="J50" s="340"/>
      <c r="K50" s="340"/>
      <c r="L50" s="340"/>
      <c r="M50" s="340"/>
    </row>
    <row r="51" spans="2:13" x14ac:dyDescent="0.3">
      <c r="B51" s="339" t="s">
        <v>1</v>
      </c>
      <c r="C51" s="339"/>
      <c r="D51" s="339"/>
      <c r="E51" s="339"/>
      <c r="F51" s="339"/>
      <c r="G51" s="340" t="s">
        <v>107</v>
      </c>
      <c r="H51" s="340"/>
      <c r="I51" s="340"/>
      <c r="J51" s="340"/>
      <c r="K51" s="340"/>
      <c r="L51" s="340"/>
      <c r="M51" s="340"/>
    </row>
    <row r="52" spans="2:13" x14ac:dyDescent="0.3">
      <c r="B52" s="339" t="s">
        <v>2</v>
      </c>
      <c r="C52" s="339"/>
      <c r="D52" s="339"/>
      <c r="E52" s="339"/>
      <c r="F52" s="339"/>
      <c r="G52" s="340" t="s">
        <v>86</v>
      </c>
      <c r="H52" s="340"/>
      <c r="I52" s="340"/>
      <c r="J52" s="340"/>
      <c r="K52" s="340"/>
      <c r="L52" s="340"/>
      <c r="M52" s="340"/>
    </row>
    <row r="53" spans="2:13" x14ac:dyDescent="0.3">
      <c r="B53" s="339" t="s">
        <v>4</v>
      </c>
      <c r="C53" s="339"/>
      <c r="D53" s="339"/>
      <c r="E53" s="339"/>
      <c r="F53" s="339"/>
      <c r="G53" s="345" t="s">
        <v>111</v>
      </c>
      <c r="H53" s="345"/>
      <c r="I53" s="345"/>
      <c r="J53" s="345"/>
      <c r="K53" s="345"/>
      <c r="L53" s="345"/>
      <c r="M53" s="345"/>
    </row>
    <row r="54" spans="2:13" x14ac:dyDescent="0.3">
      <c r="B54" s="82" t="s">
        <v>80</v>
      </c>
      <c r="C54" s="82"/>
      <c r="D54" s="82"/>
      <c r="E54" s="82"/>
      <c r="F54" s="82"/>
      <c r="G54" s="343">
        <v>44232</v>
      </c>
      <c r="H54" s="343"/>
      <c r="I54" s="343"/>
      <c r="J54" s="343"/>
      <c r="K54" s="343"/>
      <c r="L54" s="343"/>
      <c r="M54" s="343"/>
    </row>
    <row r="55" spans="2:13" x14ac:dyDescent="0.3">
      <c r="B55" s="339" t="s">
        <v>81</v>
      </c>
      <c r="C55" s="339"/>
      <c r="D55" s="339"/>
      <c r="E55" s="339"/>
      <c r="F55" s="339"/>
      <c r="G55" s="344" t="s">
        <v>109</v>
      </c>
      <c r="H55" s="344"/>
      <c r="I55" s="344"/>
      <c r="J55" s="344"/>
      <c r="K55" s="344"/>
      <c r="L55" s="344"/>
      <c r="M55" s="344"/>
    </row>
    <row r="56" spans="2:13" x14ac:dyDescent="0.3">
      <c r="B56" s="339" t="s">
        <v>83</v>
      </c>
      <c r="C56" s="339"/>
      <c r="D56" s="339"/>
      <c r="E56" s="339"/>
      <c r="F56" s="339"/>
      <c r="G56" s="340">
        <v>2</v>
      </c>
      <c r="H56" s="340"/>
      <c r="I56" s="340"/>
      <c r="J56" s="340"/>
      <c r="K56" s="340"/>
      <c r="L56" s="340"/>
      <c r="M56" s="340"/>
    </row>
    <row r="81" spans="2:4" x14ac:dyDescent="0.3">
      <c r="B81" s="3" t="s">
        <v>6</v>
      </c>
      <c r="C81" s="3" t="s">
        <v>91</v>
      </c>
      <c r="D81" s="3" t="s">
        <v>92</v>
      </c>
    </row>
    <row r="82" spans="2:4" x14ac:dyDescent="0.3">
      <c r="B82" s="2">
        <v>5</v>
      </c>
      <c r="C82" s="2">
        <v>0.25</v>
      </c>
      <c r="D82" s="2" t="s">
        <v>69</v>
      </c>
    </row>
    <row r="83" spans="2:4" x14ac:dyDescent="0.3">
      <c r="B83" s="2">
        <v>10</v>
      </c>
      <c r="C83" s="2">
        <v>0.5</v>
      </c>
      <c r="D83" s="2" t="s">
        <v>69</v>
      </c>
    </row>
    <row r="84" spans="2:4" x14ac:dyDescent="0.3">
      <c r="B84" s="2">
        <v>15</v>
      </c>
      <c r="C84" s="2">
        <v>0.75</v>
      </c>
      <c r="D84" s="2" t="s">
        <v>69</v>
      </c>
    </row>
    <row r="85" spans="2:4" x14ac:dyDescent="0.3">
      <c r="B85" s="2">
        <v>20</v>
      </c>
      <c r="C85" s="2">
        <v>1</v>
      </c>
      <c r="D85" s="2" t="s">
        <v>69</v>
      </c>
    </row>
    <row r="86" spans="2:4" x14ac:dyDescent="0.3">
      <c r="B86" s="2">
        <v>25</v>
      </c>
      <c r="C86" s="2">
        <v>1.25</v>
      </c>
      <c r="D86" s="2" t="s">
        <v>69</v>
      </c>
    </row>
    <row r="87" spans="2:4" x14ac:dyDescent="0.3">
      <c r="B87" s="2">
        <v>30</v>
      </c>
      <c r="C87" s="2">
        <v>1.5</v>
      </c>
      <c r="D87" s="2" t="s">
        <v>69</v>
      </c>
    </row>
    <row r="88" spans="2:4" x14ac:dyDescent="0.3">
      <c r="B88" s="2">
        <v>35</v>
      </c>
      <c r="C88" s="2">
        <v>1.75</v>
      </c>
      <c r="D88" s="2" t="s">
        <v>69</v>
      </c>
    </row>
    <row r="89" spans="2:4" x14ac:dyDescent="0.3">
      <c r="B89" s="2">
        <v>40</v>
      </c>
      <c r="C89" s="2">
        <v>2</v>
      </c>
      <c r="D89" s="2" t="s">
        <v>69</v>
      </c>
    </row>
    <row r="90" spans="2:4" x14ac:dyDescent="0.3">
      <c r="B90" s="2">
        <v>45</v>
      </c>
      <c r="C90" s="2">
        <v>2.25</v>
      </c>
      <c r="D90" s="2" t="s">
        <v>69</v>
      </c>
    </row>
    <row r="91" spans="2:4" x14ac:dyDescent="0.3">
      <c r="B91" s="2">
        <v>50</v>
      </c>
      <c r="C91" s="2">
        <v>2.5</v>
      </c>
      <c r="D91" s="2" t="s">
        <v>69</v>
      </c>
    </row>
    <row r="92" spans="2:4" x14ac:dyDescent="0.3">
      <c r="B92" s="2">
        <v>55</v>
      </c>
      <c r="C92" s="2">
        <v>2.75</v>
      </c>
      <c r="D92" s="2" t="s">
        <v>69</v>
      </c>
    </row>
    <row r="93" spans="2:4" x14ac:dyDescent="0.3">
      <c r="B93" s="2">
        <v>60</v>
      </c>
      <c r="C93" s="2">
        <v>3</v>
      </c>
      <c r="D93" s="2" t="s">
        <v>69</v>
      </c>
    </row>
    <row r="94" spans="2:4" x14ac:dyDescent="0.3">
      <c r="B94" s="2">
        <v>65</v>
      </c>
      <c r="C94" s="2">
        <v>3.25</v>
      </c>
      <c r="D94" s="2" t="s">
        <v>69</v>
      </c>
    </row>
    <row r="95" spans="2:4" x14ac:dyDescent="0.3">
      <c r="B95" s="2">
        <v>70</v>
      </c>
      <c r="C95" s="2">
        <v>3.5</v>
      </c>
      <c r="D95" s="2" t="s">
        <v>69</v>
      </c>
    </row>
    <row r="96" spans="2:4" x14ac:dyDescent="0.3">
      <c r="B96" s="2">
        <v>75</v>
      </c>
      <c r="C96" s="2">
        <v>3.75</v>
      </c>
      <c r="D96" s="2" t="s">
        <v>69</v>
      </c>
    </row>
    <row r="97" spans="2:4" x14ac:dyDescent="0.3">
      <c r="B97" s="2">
        <v>80</v>
      </c>
      <c r="C97" s="2">
        <v>4</v>
      </c>
      <c r="D97" s="2" t="s">
        <v>69</v>
      </c>
    </row>
    <row r="98" spans="2:4" x14ac:dyDescent="0.3">
      <c r="B98" s="2">
        <v>85</v>
      </c>
      <c r="C98" s="2">
        <v>4.25</v>
      </c>
      <c r="D98" s="2" t="s">
        <v>69</v>
      </c>
    </row>
    <row r="99" spans="2:4" x14ac:dyDescent="0.3">
      <c r="B99" s="2">
        <v>90</v>
      </c>
      <c r="C99" s="2">
        <v>4.5</v>
      </c>
      <c r="D99" s="2" t="s">
        <v>69</v>
      </c>
    </row>
    <row r="100" spans="2:4" x14ac:dyDescent="0.3">
      <c r="B100" s="2">
        <v>95</v>
      </c>
      <c r="C100" s="2">
        <v>4.75</v>
      </c>
      <c r="D100" s="2" t="s">
        <v>69</v>
      </c>
    </row>
    <row r="101" spans="2:4" x14ac:dyDescent="0.3">
      <c r="B101" s="2">
        <v>100</v>
      </c>
      <c r="C101" s="2">
        <v>5</v>
      </c>
      <c r="D101" s="2" t="s">
        <v>69</v>
      </c>
    </row>
    <row r="102" spans="2:4" x14ac:dyDescent="0.3">
      <c r="B102" s="2">
        <v>105</v>
      </c>
      <c r="C102" s="2">
        <v>5.25</v>
      </c>
      <c r="D102" s="2" t="s">
        <v>69</v>
      </c>
    </row>
    <row r="103" spans="2:4" x14ac:dyDescent="0.3">
      <c r="B103" s="2">
        <v>110</v>
      </c>
      <c r="C103" s="2">
        <v>5.5</v>
      </c>
      <c r="D103" s="2" t="s">
        <v>69</v>
      </c>
    </row>
    <row r="104" spans="2:4" x14ac:dyDescent="0.3">
      <c r="B104" s="2">
        <v>115</v>
      </c>
      <c r="C104" s="2">
        <v>5.75</v>
      </c>
      <c r="D104" s="2" t="s">
        <v>69</v>
      </c>
    </row>
    <row r="105" spans="2:4" x14ac:dyDescent="0.3">
      <c r="B105" s="2">
        <v>120</v>
      </c>
      <c r="C105" s="2">
        <v>6</v>
      </c>
      <c r="D105" s="2" t="s">
        <v>69</v>
      </c>
    </row>
    <row r="106" spans="2:4" x14ac:dyDescent="0.3">
      <c r="B106" s="2">
        <v>125</v>
      </c>
      <c r="C106" s="2">
        <v>6.25</v>
      </c>
      <c r="D106" s="2" t="s">
        <v>69</v>
      </c>
    </row>
    <row r="107" spans="2:4" x14ac:dyDescent="0.3">
      <c r="B107" s="2">
        <v>130</v>
      </c>
      <c r="C107" s="2">
        <v>6.5</v>
      </c>
      <c r="D107" s="2" t="s">
        <v>69</v>
      </c>
    </row>
    <row r="108" spans="2:4" x14ac:dyDescent="0.3">
      <c r="B108" s="2">
        <v>135</v>
      </c>
      <c r="C108" s="2">
        <v>6.75</v>
      </c>
      <c r="D108" s="2" t="s">
        <v>69</v>
      </c>
    </row>
    <row r="109" spans="2:4" x14ac:dyDescent="0.3">
      <c r="B109" s="2">
        <v>140</v>
      </c>
      <c r="C109" s="2">
        <v>7</v>
      </c>
      <c r="D109" s="2" t="s">
        <v>69</v>
      </c>
    </row>
    <row r="110" spans="2:4" x14ac:dyDescent="0.3">
      <c r="B110" s="2">
        <v>145</v>
      </c>
      <c r="C110" s="2">
        <v>7.25</v>
      </c>
      <c r="D110" s="2" t="s">
        <v>69</v>
      </c>
    </row>
    <row r="111" spans="2:4" x14ac:dyDescent="0.3">
      <c r="B111" s="2">
        <v>150</v>
      </c>
      <c r="C111" s="2">
        <v>7.5</v>
      </c>
      <c r="D111" s="2" t="s">
        <v>69</v>
      </c>
    </row>
    <row r="112" spans="2:4" x14ac:dyDescent="0.3">
      <c r="B112" s="2">
        <v>155</v>
      </c>
      <c r="C112" s="2">
        <v>7.75</v>
      </c>
      <c r="D112" s="2" t="s">
        <v>69</v>
      </c>
    </row>
    <row r="113" spans="2:4" x14ac:dyDescent="0.3">
      <c r="B113" s="2">
        <v>160</v>
      </c>
      <c r="C113" s="2">
        <v>8</v>
      </c>
      <c r="D113" s="2" t="s">
        <v>69</v>
      </c>
    </row>
    <row r="114" spans="2:4" x14ac:dyDescent="0.3">
      <c r="B114" s="2">
        <v>165</v>
      </c>
      <c r="C114" s="2">
        <v>8.25</v>
      </c>
      <c r="D114" s="2" t="s">
        <v>69</v>
      </c>
    </row>
    <row r="115" spans="2:4" x14ac:dyDescent="0.3">
      <c r="B115" s="2">
        <v>170</v>
      </c>
      <c r="C115" s="2">
        <v>8.5</v>
      </c>
      <c r="D115" s="2" t="s">
        <v>69</v>
      </c>
    </row>
    <row r="116" spans="2:4" x14ac:dyDescent="0.3">
      <c r="B116" s="2">
        <v>175</v>
      </c>
      <c r="C116" s="2">
        <v>8.75</v>
      </c>
      <c r="D116" s="2" t="s">
        <v>69</v>
      </c>
    </row>
    <row r="117" spans="2:4" x14ac:dyDescent="0.3">
      <c r="B117" s="2">
        <v>180</v>
      </c>
      <c r="C117" s="2">
        <v>9</v>
      </c>
      <c r="D117" s="2" t="s">
        <v>69</v>
      </c>
    </row>
    <row r="118" spans="2:4" x14ac:dyDescent="0.3">
      <c r="B118" s="2">
        <v>185</v>
      </c>
      <c r="C118" s="2">
        <v>9.25</v>
      </c>
      <c r="D118" s="2" t="s">
        <v>69</v>
      </c>
    </row>
    <row r="119" spans="2:4" x14ac:dyDescent="0.3">
      <c r="B119" s="2">
        <v>190</v>
      </c>
      <c r="C119" s="2">
        <v>9.5</v>
      </c>
      <c r="D119" s="2" t="s">
        <v>69</v>
      </c>
    </row>
    <row r="120" spans="2:4" x14ac:dyDescent="0.3">
      <c r="B120" s="2">
        <v>195</v>
      </c>
      <c r="C120" s="2">
        <v>9.75</v>
      </c>
      <c r="D120" s="2" t="s">
        <v>69</v>
      </c>
    </row>
    <row r="121" spans="2:4" x14ac:dyDescent="0.3">
      <c r="B121" s="2">
        <v>200</v>
      </c>
      <c r="C121" s="2">
        <v>10</v>
      </c>
      <c r="D121" s="2" t="s">
        <v>69</v>
      </c>
    </row>
  </sheetData>
  <mergeCells count="56">
    <mergeCell ref="B56:F56"/>
    <mergeCell ref="G56:M56"/>
    <mergeCell ref="B49:M49"/>
    <mergeCell ref="B50:F50"/>
    <mergeCell ref="G50:M50"/>
    <mergeCell ref="B51:F51"/>
    <mergeCell ref="G51:M51"/>
    <mergeCell ref="B52:F52"/>
    <mergeCell ref="G52:M52"/>
    <mergeCell ref="B53:F53"/>
    <mergeCell ref="G53:M53"/>
    <mergeCell ref="G54:M54"/>
    <mergeCell ref="B55:F55"/>
    <mergeCell ref="G55:M55"/>
    <mergeCell ref="B47:F47"/>
    <mergeCell ref="G47:M47"/>
    <mergeCell ref="B40:M40"/>
    <mergeCell ref="B41:F41"/>
    <mergeCell ref="G41:M41"/>
    <mergeCell ref="B42:F42"/>
    <mergeCell ref="G42:M42"/>
    <mergeCell ref="B43:F43"/>
    <mergeCell ref="G43:M43"/>
    <mergeCell ref="B44:F44"/>
    <mergeCell ref="G44:M44"/>
    <mergeCell ref="G45:M45"/>
    <mergeCell ref="B46:F46"/>
    <mergeCell ref="G46:M46"/>
    <mergeCell ref="B38:F38"/>
    <mergeCell ref="G38:M38"/>
    <mergeCell ref="B31:M31"/>
    <mergeCell ref="B32:F32"/>
    <mergeCell ref="G32:M32"/>
    <mergeCell ref="B33:F33"/>
    <mergeCell ref="G33:M33"/>
    <mergeCell ref="B34:F34"/>
    <mergeCell ref="G34:M34"/>
    <mergeCell ref="B35:F35"/>
    <mergeCell ref="G35:M35"/>
    <mergeCell ref="G36:M36"/>
    <mergeCell ref="B37:F37"/>
    <mergeCell ref="G37:M37"/>
    <mergeCell ref="B29:F29"/>
    <mergeCell ref="G29:M29"/>
    <mergeCell ref="B22:M22"/>
    <mergeCell ref="B23:F23"/>
    <mergeCell ref="G23:M23"/>
    <mergeCell ref="B24:F24"/>
    <mergeCell ref="G24:M24"/>
    <mergeCell ref="B25:F25"/>
    <mergeCell ref="G25:M25"/>
    <mergeCell ref="B26:F26"/>
    <mergeCell ref="G26:M26"/>
    <mergeCell ref="G27:M27"/>
    <mergeCell ref="B28:F28"/>
    <mergeCell ref="G28:M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25" workbookViewId="0">
      <selection activeCell="F33" sqref="F33"/>
    </sheetView>
  </sheetViews>
  <sheetFormatPr baseColWidth="10" defaultRowHeight="14.4" x14ac:dyDescent="0.3"/>
  <cols>
    <col min="2" max="2" width="13.44140625" bestFit="1" customWidth="1"/>
    <col min="14" max="14" width="14.33203125" customWidth="1"/>
  </cols>
  <sheetData>
    <row r="3" spans="2:14" ht="15" thickBot="1" x14ac:dyDescent="0.35">
      <c r="B3" s="352" t="s">
        <v>93</v>
      </c>
      <c r="C3" s="352"/>
      <c r="D3" s="352"/>
      <c r="E3" s="352"/>
      <c r="F3" s="352"/>
      <c r="G3" s="352"/>
      <c r="H3" s="352"/>
      <c r="I3" s="352"/>
      <c r="J3" s="352"/>
      <c r="K3" s="352"/>
      <c r="L3" s="352"/>
      <c r="M3" s="352"/>
      <c r="N3" s="352"/>
    </row>
    <row r="4" spans="2:14" ht="42" thickTop="1" x14ac:dyDescent="0.3">
      <c r="B4" s="84" t="s">
        <v>94</v>
      </c>
      <c r="C4" s="84" t="s">
        <v>95</v>
      </c>
      <c r="D4" s="84" t="s">
        <v>38</v>
      </c>
      <c r="E4" s="84" t="s">
        <v>96</v>
      </c>
      <c r="F4" s="85" t="s">
        <v>49</v>
      </c>
      <c r="G4" s="85" t="s">
        <v>97</v>
      </c>
      <c r="H4" s="84" t="s">
        <v>98</v>
      </c>
      <c r="I4" s="85" t="s">
        <v>99</v>
      </c>
      <c r="J4" s="85" t="s">
        <v>100</v>
      </c>
      <c r="K4" s="85" t="s">
        <v>101</v>
      </c>
      <c r="L4" s="85" t="s">
        <v>102</v>
      </c>
      <c r="M4" s="85" t="s">
        <v>103</v>
      </c>
      <c r="N4" s="85" t="s">
        <v>39</v>
      </c>
    </row>
    <row r="5" spans="2:14" x14ac:dyDescent="0.3">
      <c r="B5" s="89">
        <f>G24</f>
        <v>0</v>
      </c>
      <c r="C5" s="86">
        <f>I24</f>
        <v>0</v>
      </c>
      <c r="D5" s="87">
        <f>K24</f>
        <v>0</v>
      </c>
      <c r="E5" s="88">
        <f>STDEVA(MEDIDA!E$10:G$14)/SQRT(COUNT(MEDIDA!E$10:G$14))</f>
        <v>0</v>
      </c>
      <c r="F5" s="88">
        <f>0.05/SQRT(12)</f>
        <v>1.4433756729740645E-2</v>
      </c>
      <c r="G5" s="88">
        <f>0.05/SQRT(12)</f>
        <v>1.4433756729740645E-2</v>
      </c>
      <c r="H5" s="88">
        <f>(C$30*B5)/(2*MEDIDA!K$13)*SQRT(3)</f>
        <v>0</v>
      </c>
      <c r="I5" s="89">
        <v>0</v>
      </c>
      <c r="J5" s="90">
        <v>0</v>
      </c>
      <c r="K5" s="91">
        <f>M5^4/(E5^4/4+F5^4/200+G5^4/200+H5^4/200+I5^4/200+J5^4/200)</f>
        <v>400</v>
      </c>
      <c r="L5" s="92">
        <f>TINV(0.0455,K5)</f>
        <v>2.0062716492261359</v>
      </c>
      <c r="M5" s="94">
        <f>SQRT(SUMSQ(E5,F5,G5,H5,I5,J5))</f>
        <v>2.0412414523193152E-2</v>
      </c>
      <c r="N5" s="95">
        <f>M5*L5</f>
        <v>4.0952848550134251E-2</v>
      </c>
    </row>
    <row r="6" spans="2:14" x14ac:dyDescent="0.3">
      <c r="B6" s="89">
        <f t="shared" ref="B6:B15" si="0">G25</f>
        <v>15.000067999999999</v>
      </c>
      <c r="C6" s="86">
        <f t="shared" ref="C6:C15" si="1">I25</f>
        <v>15</v>
      </c>
      <c r="D6" s="87">
        <f t="shared" ref="D6:D15" si="2">K25</f>
        <v>-6.7999999998846761E-5</v>
      </c>
      <c r="E6" s="88">
        <f>STDEVA(MEDIDA!E$10:G$14)/SQRT(COUNT(MEDIDA!E$10:G$14))</f>
        <v>0</v>
      </c>
      <c r="F6" s="88">
        <f t="shared" ref="F6:G15" si="3">0.05/SQRT(12)</f>
        <v>1.4433756729740645E-2</v>
      </c>
      <c r="G6" s="88">
        <f t="shared" si="3"/>
        <v>1.4433756729740645E-2</v>
      </c>
      <c r="H6" s="88">
        <f>(C$30*B6)/(2*MEDIDA!K$13)*SQRT(3)</f>
        <v>0</v>
      </c>
      <c r="I6" s="89">
        <f>MEDIDA!D31/2</f>
        <v>1.2650000000000001E-4</v>
      </c>
      <c r="J6" s="90">
        <f>((VLOOKUP(MEDIDA!S10,PATRÓN!B82:C121,2,FALSE))/(1000)/SQRT(3))</f>
        <v>4.3301270189221935E-4</v>
      </c>
      <c r="K6" s="91">
        <f t="shared" ref="K6:K15" si="4">M6^4/(E6^4/4+F6^4/200+G6^4/200+H6^4/200+I6^4/200+J6^4/200)</f>
        <v>400.39065639658583</v>
      </c>
      <c r="L6" s="92">
        <f>TINV(0.0455,K6)</f>
        <v>2.0062716492261359</v>
      </c>
      <c r="M6" s="94">
        <f t="shared" ref="M6:M15" si="5">SQRT(SUMSQ(E6,F6,G6,H6,I6,J6))</f>
        <v>2.0417398681435075E-2</v>
      </c>
      <c r="N6" s="95">
        <f t="shared" ref="N6:N15" si="6">M6*L6</f>
        <v>4.0962848125510279E-2</v>
      </c>
    </row>
    <row r="7" spans="2:14" x14ac:dyDescent="0.3">
      <c r="B7" s="89">
        <f t="shared" si="0"/>
        <v>30.000010000000003</v>
      </c>
      <c r="C7" s="86">
        <f t="shared" si="1"/>
        <v>30</v>
      </c>
      <c r="D7" s="87">
        <f t="shared" si="2"/>
        <v>-1.0000000003174137E-5</v>
      </c>
      <c r="E7" s="88">
        <f>STDEVA(MEDIDA!E$10:G$14)/SQRT(COUNT(MEDIDA!E$10:G$14))</f>
        <v>0</v>
      </c>
      <c r="F7" s="88">
        <f t="shared" si="3"/>
        <v>1.4433756729740645E-2</v>
      </c>
      <c r="G7" s="88">
        <f t="shared" si="3"/>
        <v>1.4433756729740645E-2</v>
      </c>
      <c r="H7" s="88">
        <f>(C$30*B7)/(2*MEDIDA!K$13)*SQRT(3)</f>
        <v>0</v>
      </c>
      <c r="I7" s="89">
        <f>MEDIDA!D35/2</f>
        <v>2.5000000000000001E-4</v>
      </c>
      <c r="J7" s="90">
        <f>((VLOOKUP(MEDIDA!S11,PATRÓN!B83:C122,2,FALSE))/(1000)/SQRT(3))</f>
        <v>8.660254037844387E-4</v>
      </c>
      <c r="K7" s="91">
        <f t="shared" si="4"/>
        <v>401.55890082817211</v>
      </c>
      <c r="L7" s="92">
        <f t="shared" ref="L7:L15" si="7">TINV(0.0455,K7)</f>
        <v>2.0062559674616853</v>
      </c>
      <c r="M7" s="94">
        <f t="shared" si="5"/>
        <v>2.0432306934525694E-2</v>
      </c>
      <c r="N7" s="95">
        <f t="shared" si="6"/>
        <v>4.0992437716400945E-2</v>
      </c>
    </row>
    <row r="8" spans="2:14" x14ac:dyDescent="0.3">
      <c r="B8" s="89">
        <f t="shared" si="0"/>
        <v>44.999838000000004</v>
      </c>
      <c r="C8" s="86">
        <f t="shared" si="1"/>
        <v>45</v>
      </c>
      <c r="D8" s="87">
        <f t="shared" si="2"/>
        <v>1.6199999999599868E-4</v>
      </c>
      <c r="E8" s="88">
        <f>STDEVA(MEDIDA!E$10:G$14)/SQRT(COUNT(MEDIDA!E$10:G$14))</f>
        <v>0</v>
      </c>
      <c r="F8" s="88">
        <f t="shared" si="3"/>
        <v>1.4433756729740645E-2</v>
      </c>
      <c r="G8" s="88">
        <f t="shared" si="3"/>
        <v>1.4433756729740645E-2</v>
      </c>
      <c r="H8" s="88">
        <f>(C$30*B8)/(2*MEDIDA!K$13)*SQRT(3)</f>
        <v>0</v>
      </c>
      <c r="I8" s="89">
        <f>MEDIDA!D39/2</f>
        <v>3.7149999999999998E-4</v>
      </c>
      <c r="J8" s="90">
        <f>((VLOOKUP(MEDIDA!S12,PATRÓN!B84:C123,2,FALSE))/(1000)/SQRT(3))</f>
        <v>1.2990381056766579E-3</v>
      </c>
      <c r="K8" s="91">
        <f t="shared" si="4"/>
        <v>403.49933625451928</v>
      </c>
      <c r="L8" s="92">
        <f t="shared" si="7"/>
        <v>2.0062248381184355</v>
      </c>
      <c r="M8" s="94">
        <f t="shared" si="5"/>
        <v>2.0457081388034482E-2</v>
      </c>
      <c r="N8" s="95">
        <f t="shared" si="6"/>
        <v>4.1041504796085142E-2</v>
      </c>
    </row>
    <row r="9" spans="2:14" x14ac:dyDescent="0.3">
      <c r="B9" s="89">
        <f t="shared" si="0"/>
        <v>59.999679999999998</v>
      </c>
      <c r="C9" s="86">
        <f t="shared" si="1"/>
        <v>60</v>
      </c>
      <c r="D9" s="87">
        <f t="shared" si="2"/>
        <v>3.2000000000209639E-4</v>
      </c>
      <c r="E9" s="88">
        <f>STDEVA(MEDIDA!E$10:G$14)/SQRT(COUNT(MEDIDA!E$10:G$14))</f>
        <v>0</v>
      </c>
      <c r="F9" s="88">
        <f t="shared" si="3"/>
        <v>1.4433756729740645E-2</v>
      </c>
      <c r="G9" s="88">
        <f t="shared" si="3"/>
        <v>1.4433756729740645E-2</v>
      </c>
      <c r="H9" s="88">
        <f>(C$30*B9)/(2*MEDIDA!K$13)*SQRT(3)</f>
        <v>0</v>
      </c>
      <c r="I9" s="89">
        <f>MEDIDA!D43/2</f>
        <v>4.95E-4</v>
      </c>
      <c r="J9" s="90">
        <f>((VLOOKUP(MEDIDA!S13,PATRÓN!B85:C124,2,FALSE))/(1000)/SQRT(3))</f>
        <v>1.7320508075688774E-3</v>
      </c>
      <c r="K9" s="91">
        <f t="shared" si="4"/>
        <v>406.21231251059714</v>
      </c>
      <c r="L9" s="92">
        <f t="shared" si="7"/>
        <v>2.0061787208895829</v>
      </c>
      <c r="M9" s="94">
        <f t="shared" si="5"/>
        <v>2.0491746915933418E-2</v>
      </c>
      <c r="N9" s="95">
        <f t="shared" si="6"/>
        <v>4.1110106616600361E-2</v>
      </c>
    </row>
    <row r="10" spans="2:14" x14ac:dyDescent="0.3">
      <c r="B10" s="89">
        <f t="shared" si="0"/>
        <v>74.999948000000003</v>
      </c>
      <c r="C10" s="86">
        <f t="shared" si="1"/>
        <v>75</v>
      </c>
      <c r="D10" s="87">
        <f t="shared" si="2"/>
        <v>5.1999999996610313E-5</v>
      </c>
      <c r="E10" s="88">
        <f>STDEVA(MEDIDA!E$10:G$14)/SQRT(COUNT(MEDIDA!E$10:G$14))</f>
        <v>0</v>
      </c>
      <c r="F10" s="88">
        <f t="shared" si="3"/>
        <v>1.4433756729740645E-2</v>
      </c>
      <c r="G10" s="88">
        <f t="shared" si="3"/>
        <v>1.4433756729740645E-2</v>
      </c>
      <c r="H10" s="88">
        <f>(C$30*B10)/(2*MEDIDA!K$13)*SQRT(3)</f>
        <v>0</v>
      </c>
      <c r="I10" s="89">
        <f>MEDIDA!D47/2</f>
        <v>6.2149999999999998E-4</v>
      </c>
      <c r="J10" s="90">
        <f>((VLOOKUP(MEDIDA!S14,PATRÓN!B86:C125,2,FALSE))/(1000)/SQRT(3))</f>
        <v>2.1650635094610966E-3</v>
      </c>
      <c r="K10" s="91">
        <f t="shared" si="4"/>
        <v>409.69652693174629</v>
      </c>
      <c r="L10" s="92">
        <f t="shared" si="7"/>
        <v>2.0061332822250795</v>
      </c>
      <c r="M10" s="94">
        <f t="shared" si="5"/>
        <v>2.0536319751032966E-2</v>
      </c>
      <c r="N10" s="95">
        <f t="shared" si="6"/>
        <v>4.1198594546963493E-2</v>
      </c>
    </row>
    <row r="11" spans="2:14" x14ac:dyDescent="0.3">
      <c r="B11" s="89">
        <f t="shared" si="0"/>
        <v>90.000040000000013</v>
      </c>
      <c r="C11" s="86">
        <f t="shared" si="1"/>
        <v>90</v>
      </c>
      <c r="D11" s="87">
        <f t="shared" si="2"/>
        <v>-4.0000000012696546E-5</v>
      </c>
      <c r="E11" s="88">
        <f>STDEVA(MEDIDA!E$10:G$14)/SQRT(COUNT(MEDIDA!E$10:G$14))</f>
        <v>0</v>
      </c>
      <c r="F11" s="88">
        <f t="shared" si="3"/>
        <v>1.4433756729740645E-2</v>
      </c>
      <c r="G11" s="88">
        <f t="shared" si="3"/>
        <v>1.4433756729740645E-2</v>
      </c>
      <c r="H11" s="88">
        <f>(C$30*B11)/(2*MEDIDA!K$13)*SQRT(3)</f>
        <v>0</v>
      </c>
      <c r="I11" s="89">
        <f>MEDIDA!D51/2</f>
        <v>7.45E-4</v>
      </c>
      <c r="J11" s="90">
        <f>((VLOOKUP(MEDIDA!S15,PATRÓN!B87:C126,2,FALSE))/(1000)/SQRT(3))</f>
        <v>2.5980762113533159E-3</v>
      </c>
      <c r="K11" s="91">
        <f t="shared" si="4"/>
        <v>413.92986480277068</v>
      </c>
      <c r="L11" s="92">
        <f t="shared" si="7"/>
        <v>2.0060737272498681</v>
      </c>
      <c r="M11" s="94">
        <f t="shared" si="5"/>
        <v>2.059057288340144E-2</v>
      </c>
      <c r="N11" s="95">
        <f t="shared" si="6"/>
        <v>4.1306207290415189E-2</v>
      </c>
    </row>
    <row r="12" spans="2:14" x14ac:dyDescent="0.3">
      <c r="B12" s="89">
        <f t="shared" si="0"/>
        <v>104.999808</v>
      </c>
      <c r="C12" s="86">
        <f t="shared" si="1"/>
        <v>105</v>
      </c>
      <c r="D12" s="87">
        <f t="shared" si="2"/>
        <v>1.9199999999841566E-4</v>
      </c>
      <c r="E12" s="88">
        <f>STDEVA(MEDIDA!E$10:G$14)/SQRT(COUNT(MEDIDA!E$10:G$14))</f>
        <v>0</v>
      </c>
      <c r="F12" s="88">
        <f t="shared" si="3"/>
        <v>1.4433756729740645E-2</v>
      </c>
      <c r="G12" s="88">
        <f t="shared" si="3"/>
        <v>1.4433756729740645E-2</v>
      </c>
      <c r="H12" s="88">
        <f>(C$30*B12)/(2*MEDIDA!K$13)*SQRT(3)</f>
        <v>0</v>
      </c>
      <c r="I12" s="89">
        <f>MEDIDA!D55/2</f>
        <v>8.7149999999999999E-4</v>
      </c>
      <c r="J12" s="90">
        <f>((VLOOKUP(MEDIDA!S16,PATRÓN!B88:C127,2,FALSE))/(1000)/SQRT(3))</f>
        <v>3.0310889132455355E-3</v>
      </c>
      <c r="K12" s="91">
        <f t="shared" si="4"/>
        <v>418.91608834368259</v>
      </c>
      <c r="L12" s="92">
        <f t="shared" si="7"/>
        <v>2.0060008910872194</v>
      </c>
      <c r="M12" s="94">
        <f t="shared" si="5"/>
        <v>2.0654628510739834E-2</v>
      </c>
      <c r="N12" s="95">
        <f t="shared" si="6"/>
        <v>4.1433203197619596E-2</v>
      </c>
    </row>
    <row r="13" spans="2:14" x14ac:dyDescent="0.3">
      <c r="B13" s="89">
        <f t="shared" si="0"/>
        <v>120.00009</v>
      </c>
      <c r="C13" s="86">
        <f t="shared" si="1"/>
        <v>120</v>
      </c>
      <c r="D13" s="87">
        <f t="shared" si="2"/>
        <v>-9.0000000000145519E-5</v>
      </c>
      <c r="E13" s="88">
        <f>STDEVA(MEDIDA!E$10:G$14)/SQRT(COUNT(MEDIDA!E$10:G$14))</f>
        <v>0</v>
      </c>
      <c r="F13" s="88">
        <f t="shared" si="3"/>
        <v>1.4433756729740645E-2</v>
      </c>
      <c r="G13" s="88">
        <f t="shared" si="3"/>
        <v>1.4433756729740645E-2</v>
      </c>
      <c r="H13" s="88">
        <f>(C$30*B13)/(2*MEDIDA!K$13)*SQRT(3)</f>
        <v>0</v>
      </c>
      <c r="I13" s="89">
        <f>MEDIDA!D59/2</f>
        <v>1E-3</v>
      </c>
      <c r="J13" s="90">
        <f>((VLOOKUP(MEDIDA!S17,PATRÓN!B89:C128,2,FALSE))/(1000)/SQRT(3))</f>
        <v>3.4641016151377548E-3</v>
      </c>
      <c r="K13" s="91">
        <f t="shared" si="4"/>
        <v>424.64005724837239</v>
      </c>
      <c r="L13" s="92">
        <f t="shared" si="7"/>
        <v>2.0059157617894563</v>
      </c>
      <c r="M13" s="94">
        <f t="shared" si="5"/>
        <v>2.0728402414722336E-2</v>
      </c>
      <c r="N13" s="95">
        <f t="shared" si="6"/>
        <v>4.1579429120406158E-2</v>
      </c>
    </row>
    <row r="14" spans="2:14" x14ac:dyDescent="0.3">
      <c r="B14" s="89">
        <f t="shared" si="0"/>
        <v>134.999908</v>
      </c>
      <c r="C14" s="86">
        <f t="shared" si="1"/>
        <v>135</v>
      </c>
      <c r="D14" s="87">
        <f t="shared" si="2"/>
        <v>9.1999999995096005E-5</v>
      </c>
      <c r="E14" s="88">
        <f>STDEVA(MEDIDA!E$10:G$14)/SQRT(COUNT(MEDIDA!E$10:G$14))</f>
        <v>0</v>
      </c>
      <c r="F14" s="88">
        <f t="shared" si="3"/>
        <v>1.4433756729740645E-2</v>
      </c>
      <c r="G14" s="88">
        <f t="shared" si="3"/>
        <v>1.4433756729740645E-2</v>
      </c>
      <c r="H14" s="88">
        <f>(C$30*B14)/(2*MEDIDA!K$13)*SQRT(3)</f>
        <v>0</v>
      </c>
      <c r="I14" s="89">
        <f>MEDIDA!D63/2</f>
        <v>1.1264999999999999E-3</v>
      </c>
      <c r="J14" s="90">
        <f>((VLOOKUP(MEDIDA!S18,PATRÓN!B90:C129,2,FALSE))/(1000)/SQRT(3))</f>
        <v>3.897114317029974E-3</v>
      </c>
      <c r="K14" s="91">
        <f t="shared" si="4"/>
        <v>431.06701512325685</v>
      </c>
      <c r="L14" s="92">
        <f t="shared" si="7"/>
        <v>2.005819448452272</v>
      </c>
      <c r="M14" s="94">
        <f t="shared" si="5"/>
        <v>2.0811611396445658E-2</v>
      </c>
      <c r="N14" s="95">
        <f t="shared" si="6"/>
        <v>4.1744334892621651E-2</v>
      </c>
    </row>
    <row r="15" spans="2:14" x14ac:dyDescent="0.3">
      <c r="B15" s="89">
        <f t="shared" si="0"/>
        <v>149.99973599999998</v>
      </c>
      <c r="C15" s="86">
        <f t="shared" si="1"/>
        <v>150</v>
      </c>
      <c r="D15" s="87">
        <f t="shared" si="2"/>
        <v>2.640000000155851E-4</v>
      </c>
      <c r="E15" s="88">
        <f>STDEVA(MEDIDA!E$10:G$14)/SQRT(COUNT(MEDIDA!E$10:G$14))</f>
        <v>0</v>
      </c>
      <c r="F15" s="88">
        <f t="shared" si="3"/>
        <v>1.4433756729740645E-2</v>
      </c>
      <c r="G15" s="88">
        <f t="shared" si="3"/>
        <v>1.4433756729740645E-2</v>
      </c>
      <c r="H15" s="88">
        <f>(C$30*B15)/(2*MEDIDA!K$13)*SQRT(3)</f>
        <v>0</v>
      </c>
      <c r="I15" s="87">
        <f>MEDIDA!D67/2</f>
        <v>1.083E-3</v>
      </c>
      <c r="J15" s="90">
        <f>((VLOOKUP(MEDIDA!S19,PATRÓN!B91:C130,2,FALSE))/(1000)/SQRT(3))</f>
        <v>4.3301270189221933E-3</v>
      </c>
      <c r="K15" s="91">
        <f t="shared" si="4"/>
        <v>437.38810062610526</v>
      </c>
      <c r="L15" s="92">
        <f t="shared" si="7"/>
        <v>2.0057393569012056</v>
      </c>
      <c r="M15" s="94">
        <f t="shared" si="5"/>
        <v>2.0894725546574348E-2</v>
      </c>
      <c r="N15" s="95">
        <f t="shared" si="6"/>
        <v>4.1909373380413222E-2</v>
      </c>
    </row>
    <row r="22" spans="3:12" ht="15" thickBot="1" x14ac:dyDescent="0.35"/>
    <row r="23" spans="3:12" ht="15" thickTop="1" x14ac:dyDescent="0.3">
      <c r="C23" s="93" t="s">
        <v>98</v>
      </c>
      <c r="G23" s="353" t="s">
        <v>104</v>
      </c>
      <c r="H23" s="354"/>
      <c r="I23" s="355" t="s">
        <v>105</v>
      </c>
      <c r="J23" s="354"/>
      <c r="K23" s="355" t="s">
        <v>38</v>
      </c>
      <c r="L23" s="354"/>
    </row>
    <row r="24" spans="3:12" x14ac:dyDescent="0.3">
      <c r="C24" s="21">
        <f>ABS(MEDIDA!M14-MEDIDA!M14)</f>
        <v>0</v>
      </c>
      <c r="G24" s="346">
        <f>MEDIDA!S9</f>
        <v>0</v>
      </c>
      <c r="H24" s="347"/>
      <c r="I24" s="348">
        <f>MEDIDA!U9</f>
        <v>0</v>
      </c>
      <c r="J24" s="349"/>
      <c r="K24" s="350">
        <f>I24-G24</f>
        <v>0</v>
      </c>
      <c r="L24" s="351"/>
    </row>
    <row r="25" spans="3:12" x14ac:dyDescent="0.3">
      <c r="C25" s="21">
        <f>ABS(MEDIDA!M$14-MEDIDA!M15)</f>
        <v>0</v>
      </c>
      <c r="G25" s="356">
        <f>MEDIDA!D29</f>
        <v>15.000067999999999</v>
      </c>
      <c r="H25" s="357"/>
      <c r="I25" s="348">
        <f>MEDIDA!U10</f>
        <v>15</v>
      </c>
      <c r="J25" s="349"/>
      <c r="K25" s="356">
        <f t="shared" ref="K25:K34" si="8">I25-G25</f>
        <v>-6.7999999998846761E-5</v>
      </c>
      <c r="L25" s="357"/>
    </row>
    <row r="26" spans="3:12" x14ac:dyDescent="0.3">
      <c r="C26" s="21">
        <f>ABS(MEDIDA!M$14-MEDIDA!M16)</f>
        <v>0</v>
      </c>
      <c r="G26" s="356">
        <f>MEDIDA!D33</f>
        <v>30.000010000000003</v>
      </c>
      <c r="H26" s="357"/>
      <c r="I26" s="348">
        <f>MEDIDA!U11</f>
        <v>30</v>
      </c>
      <c r="J26" s="349"/>
      <c r="K26" s="356">
        <f t="shared" si="8"/>
        <v>-1.0000000003174137E-5</v>
      </c>
      <c r="L26" s="357"/>
    </row>
    <row r="27" spans="3:12" x14ac:dyDescent="0.3">
      <c r="C27" s="21">
        <f>ABS(MEDIDA!M$14-MEDIDA!M17)</f>
        <v>0</v>
      </c>
      <c r="G27" s="356">
        <f>MEDIDA!D37</f>
        <v>44.999838000000004</v>
      </c>
      <c r="H27" s="357"/>
      <c r="I27" s="348">
        <f>MEDIDA!U12</f>
        <v>45</v>
      </c>
      <c r="J27" s="349"/>
      <c r="K27" s="356">
        <f t="shared" si="8"/>
        <v>1.6199999999599868E-4</v>
      </c>
      <c r="L27" s="357"/>
    </row>
    <row r="28" spans="3:12" x14ac:dyDescent="0.3">
      <c r="C28" s="21">
        <f>ABS(MEDIDA!M$14-MEDIDA!M18)</f>
        <v>0</v>
      </c>
      <c r="G28" s="356">
        <f>MEDIDA!D41</f>
        <v>59.999679999999998</v>
      </c>
      <c r="H28" s="357"/>
      <c r="I28" s="348">
        <f>MEDIDA!U13</f>
        <v>60</v>
      </c>
      <c r="J28" s="349"/>
      <c r="K28" s="356">
        <f t="shared" si="8"/>
        <v>3.2000000000209639E-4</v>
      </c>
      <c r="L28" s="357"/>
    </row>
    <row r="29" spans="3:12" x14ac:dyDescent="0.3">
      <c r="C29" s="21"/>
      <c r="G29" s="356">
        <f>MEDIDA!D45</f>
        <v>74.999948000000003</v>
      </c>
      <c r="H29" s="357"/>
      <c r="I29" s="348">
        <f>MEDIDA!U14</f>
        <v>75</v>
      </c>
      <c r="J29" s="349"/>
      <c r="K29" s="356">
        <f t="shared" si="8"/>
        <v>5.1999999996610313E-5</v>
      </c>
      <c r="L29" s="357"/>
    </row>
    <row r="30" spans="3:12" x14ac:dyDescent="0.3">
      <c r="C30" s="1">
        <f>MAX(C24:C28)</f>
        <v>0</v>
      </c>
      <c r="G30" s="356">
        <f>MEDIDA!D49</f>
        <v>90.000040000000013</v>
      </c>
      <c r="H30" s="357"/>
      <c r="I30" s="348">
        <f>MEDIDA!U15</f>
        <v>90</v>
      </c>
      <c r="J30" s="349"/>
      <c r="K30" s="356">
        <f t="shared" si="8"/>
        <v>-4.0000000012696546E-5</v>
      </c>
      <c r="L30" s="357"/>
    </row>
    <row r="31" spans="3:12" x14ac:dyDescent="0.3">
      <c r="G31" s="356">
        <f>MEDIDA!D53</f>
        <v>104.999808</v>
      </c>
      <c r="H31" s="357"/>
      <c r="I31" s="348">
        <f>MEDIDA!U16</f>
        <v>105</v>
      </c>
      <c r="J31" s="349"/>
      <c r="K31" s="356">
        <f t="shared" si="8"/>
        <v>1.9199999999841566E-4</v>
      </c>
      <c r="L31" s="357"/>
    </row>
    <row r="32" spans="3:12" x14ac:dyDescent="0.3">
      <c r="G32" s="356">
        <f>MEDIDA!D57</f>
        <v>120.00009</v>
      </c>
      <c r="H32" s="357"/>
      <c r="I32" s="348">
        <f>MEDIDA!U17</f>
        <v>120</v>
      </c>
      <c r="J32" s="349"/>
      <c r="K32" s="356">
        <f t="shared" si="8"/>
        <v>-9.0000000000145519E-5</v>
      </c>
      <c r="L32" s="357"/>
    </row>
    <row r="33" spans="7:12" x14ac:dyDescent="0.3">
      <c r="G33" s="356">
        <f>MEDIDA!D61</f>
        <v>134.999908</v>
      </c>
      <c r="H33" s="357"/>
      <c r="I33" s="348">
        <f>MEDIDA!U18</f>
        <v>135</v>
      </c>
      <c r="J33" s="349"/>
      <c r="K33" s="356">
        <f t="shared" si="8"/>
        <v>9.1999999995096005E-5</v>
      </c>
      <c r="L33" s="357"/>
    </row>
    <row r="34" spans="7:12" x14ac:dyDescent="0.3">
      <c r="G34" s="356">
        <f>MEDIDA!D65</f>
        <v>149.99973599999998</v>
      </c>
      <c r="H34" s="357"/>
      <c r="I34" s="348">
        <f>MEDIDA!U19</f>
        <v>150</v>
      </c>
      <c r="J34" s="349"/>
      <c r="K34" s="356">
        <f t="shared" si="8"/>
        <v>2.640000000155851E-4</v>
      </c>
      <c r="L34" s="357"/>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A4F1-8A4F-40E8-87F9-18FD5046BF84}">
  <dimension ref="A1:AA169"/>
  <sheetViews>
    <sheetView tabSelected="1" view="pageLayout" topLeftCell="A84" zoomScaleNormal="100" workbookViewId="0">
      <selection activeCell="T3" sqref="T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30"/>
      <c r="E1" s="130"/>
      <c r="F1" s="129"/>
      <c r="G1" s="128"/>
      <c r="H1" s="127"/>
      <c r="I1" s="174"/>
      <c r="J1" s="174"/>
      <c r="K1" s="174"/>
      <c r="M1" s="97"/>
      <c r="O1" s="169" t="s">
        <v>176</v>
      </c>
      <c r="P1" s="169"/>
      <c r="Q1" s="169"/>
      <c r="R1" s="170" t="str">
        <f>INFORMACIÓN!G3</f>
        <v>JD1741-24</v>
      </c>
      <c r="S1" s="170"/>
    </row>
    <row r="2" spans="1:27" ht="16.95" customHeight="1" x14ac:dyDescent="0.3">
      <c r="G2" s="176"/>
      <c r="H2" s="176"/>
      <c r="I2" s="176"/>
      <c r="J2" s="175"/>
      <c r="K2" s="175"/>
    </row>
    <row r="3" spans="1:27" ht="16.95" customHeight="1" x14ac:dyDescent="0.3">
      <c r="B3" s="126"/>
      <c r="C3" s="177" t="s">
        <v>175</v>
      </c>
      <c r="D3" s="177"/>
      <c r="E3" s="177"/>
      <c r="F3" s="177"/>
      <c r="G3" s="177"/>
      <c r="H3" s="177"/>
      <c r="I3" s="177"/>
      <c r="J3" s="177"/>
      <c r="K3" s="177"/>
      <c r="L3" s="177"/>
      <c r="M3" s="177"/>
      <c r="N3" s="177"/>
      <c r="O3" s="177"/>
      <c r="P3" s="177"/>
      <c r="Q3" s="177"/>
      <c r="R3" s="177"/>
    </row>
    <row r="4" spans="1:27" ht="16.95" customHeight="1" x14ac:dyDescent="0.3">
      <c r="A4" s="125"/>
      <c r="B4" s="125"/>
      <c r="C4" s="125"/>
      <c r="D4" s="125"/>
      <c r="E4" s="125"/>
      <c r="F4" s="125"/>
      <c r="G4" s="125"/>
      <c r="H4" s="125"/>
      <c r="I4" s="125"/>
      <c r="J4" s="125"/>
      <c r="K4" s="125"/>
      <c r="L4" s="125"/>
      <c r="M4" s="125"/>
      <c r="N4" s="125"/>
      <c r="O4" s="125"/>
      <c r="P4" s="125"/>
      <c r="Q4" s="125"/>
      <c r="R4" s="125"/>
    </row>
    <row r="5" spans="1:27" s="122" customFormat="1" ht="16.95" customHeight="1" x14ac:dyDescent="0.3">
      <c r="B5" s="124"/>
      <c r="C5" s="169" t="s">
        <v>174</v>
      </c>
      <c r="D5" s="169"/>
      <c r="E5" s="169"/>
      <c r="F5" s="169"/>
      <c r="G5" s="169"/>
      <c r="H5" s="96"/>
      <c r="I5" s="179" t="str">
        <f>INFORMACIÓN!A3</f>
        <v xml:space="preserve">BASCULA DE PISO </v>
      </c>
      <c r="J5" s="171"/>
      <c r="K5" s="171"/>
      <c r="L5" s="171"/>
      <c r="M5" s="171"/>
      <c r="N5" s="171"/>
      <c r="O5" s="171"/>
      <c r="P5" s="171"/>
      <c r="Q5" s="171"/>
      <c r="R5" s="171"/>
      <c r="S5"/>
      <c r="T5"/>
      <c r="U5"/>
      <c r="V5"/>
      <c r="W5"/>
      <c r="X5"/>
      <c r="Y5"/>
      <c r="Z5"/>
      <c r="AA5"/>
    </row>
    <row r="6" spans="1:27" s="122" customFormat="1" ht="16.95" customHeight="1" x14ac:dyDescent="0.3">
      <c r="B6" s="124"/>
      <c r="C6" s="169" t="s">
        <v>173</v>
      </c>
      <c r="D6" s="169"/>
      <c r="E6" s="169"/>
      <c r="F6" s="169"/>
      <c r="G6" s="169"/>
      <c r="H6" s="96"/>
      <c r="I6" s="171" t="str">
        <f>INFORMACIÓN!B3</f>
        <v xml:space="preserve">HEALTH O METER </v>
      </c>
      <c r="J6" s="171"/>
      <c r="K6" s="171"/>
      <c r="L6" s="171"/>
      <c r="M6" s="171"/>
      <c r="N6" s="171"/>
      <c r="O6" s="171"/>
      <c r="P6" s="171"/>
      <c r="Q6" s="171"/>
      <c r="R6" s="171"/>
      <c r="S6"/>
      <c r="T6"/>
      <c r="U6"/>
      <c r="V6"/>
      <c r="W6"/>
      <c r="X6"/>
      <c r="Y6"/>
      <c r="Z6"/>
      <c r="AA6"/>
    </row>
    <row r="7" spans="1:27" s="122" customFormat="1" ht="16.95" customHeight="1" x14ac:dyDescent="0.3">
      <c r="B7" s="124"/>
      <c r="C7" s="169" t="s">
        <v>172</v>
      </c>
      <c r="D7" s="169"/>
      <c r="E7" s="169"/>
      <c r="F7" s="169"/>
      <c r="G7" s="169"/>
      <c r="H7" s="96"/>
      <c r="I7" s="171" t="str">
        <f>INFORMACIÓN!C3</f>
        <v>844KL</v>
      </c>
      <c r="J7" s="171"/>
      <c r="K7" s="171"/>
      <c r="L7" s="171"/>
      <c r="M7" s="171"/>
      <c r="N7" s="171"/>
      <c r="O7" s="171"/>
      <c r="P7" s="171"/>
      <c r="Q7" s="171"/>
      <c r="R7" s="171"/>
      <c r="S7"/>
      <c r="T7"/>
      <c r="U7"/>
      <c r="V7"/>
      <c r="W7"/>
      <c r="X7"/>
      <c r="Y7"/>
      <c r="Z7"/>
      <c r="AA7"/>
    </row>
    <row r="8" spans="1:27" s="122" customFormat="1" ht="16.95" customHeight="1" x14ac:dyDescent="0.3">
      <c r="B8" s="124"/>
      <c r="C8" s="169" t="s">
        <v>171</v>
      </c>
      <c r="D8" s="169"/>
      <c r="E8" s="169"/>
      <c r="F8" s="169"/>
      <c r="G8" s="169"/>
      <c r="H8" s="96"/>
      <c r="I8" s="179">
        <f>INFORMACIÓN!D3</f>
        <v>8440131906</v>
      </c>
      <c r="J8" s="171"/>
      <c r="K8" s="171"/>
      <c r="L8" s="171"/>
      <c r="M8" s="171"/>
      <c r="N8" s="171"/>
      <c r="O8" s="171"/>
      <c r="P8" s="171"/>
      <c r="Q8" s="171"/>
      <c r="R8" s="171"/>
      <c r="S8"/>
      <c r="T8"/>
      <c r="U8"/>
      <c r="V8"/>
      <c r="W8"/>
      <c r="X8"/>
      <c r="Y8"/>
      <c r="Z8"/>
      <c r="AA8"/>
    </row>
    <row r="9" spans="1:27" s="122" customFormat="1" ht="16.95" customHeight="1" x14ac:dyDescent="0.3">
      <c r="B9" s="124"/>
      <c r="C9" s="169" t="s">
        <v>170</v>
      </c>
      <c r="D9" s="169"/>
      <c r="E9" s="169"/>
      <c r="F9" s="169"/>
      <c r="G9" s="169"/>
      <c r="H9" s="96"/>
      <c r="I9" s="178" t="str">
        <f>INFORMACIÓN!F3</f>
        <v>1204002438</v>
      </c>
      <c r="J9" s="171"/>
      <c r="K9" s="171"/>
      <c r="L9" s="171"/>
      <c r="M9" s="171"/>
      <c r="N9" s="171"/>
      <c r="O9" s="171"/>
      <c r="P9" s="171"/>
      <c r="Q9" s="171"/>
      <c r="R9" s="171"/>
      <c r="S9"/>
      <c r="T9"/>
      <c r="U9"/>
      <c r="V9"/>
      <c r="W9"/>
      <c r="X9"/>
      <c r="Y9"/>
      <c r="Z9"/>
      <c r="AA9"/>
    </row>
    <row r="10" spans="1:27" s="122" customFormat="1" ht="16.95" customHeight="1" x14ac:dyDescent="0.3">
      <c r="B10" s="124"/>
      <c r="C10" s="169" t="s">
        <v>169</v>
      </c>
      <c r="D10" s="169"/>
      <c r="E10" s="169"/>
      <c r="F10" s="169"/>
      <c r="G10" s="169"/>
      <c r="H10" s="96"/>
      <c r="I10" s="171" t="str">
        <f>INFORMACIÓN!E3</f>
        <v>UNIDAD MATERNA</v>
      </c>
      <c r="J10" s="171"/>
      <c r="K10" s="171"/>
      <c r="L10" s="171"/>
      <c r="M10" s="171"/>
      <c r="N10" s="171"/>
      <c r="O10" s="171"/>
      <c r="P10" s="171"/>
      <c r="Q10" s="171"/>
      <c r="R10" s="171"/>
      <c r="S10"/>
      <c r="T10"/>
      <c r="U10"/>
      <c r="V10"/>
      <c r="W10"/>
      <c r="X10"/>
      <c r="Y10"/>
      <c r="Z10"/>
      <c r="AA10"/>
    </row>
    <row r="11" spans="1:27" s="122" customFormat="1" ht="16.95" customHeight="1" x14ac:dyDescent="0.3">
      <c r="B11" s="124"/>
      <c r="C11" s="169" t="s">
        <v>168</v>
      </c>
      <c r="D11" s="169"/>
      <c r="E11" s="169"/>
      <c r="F11" s="169"/>
      <c r="G11" s="169"/>
      <c r="H11" s="96"/>
      <c r="I11" s="171" t="str">
        <f>INFORMACIÓN!B8</f>
        <v>BUEN ESTADO</v>
      </c>
      <c r="J11" s="171"/>
      <c r="K11" s="171"/>
      <c r="L11" s="171"/>
      <c r="M11" s="171"/>
      <c r="N11" s="171"/>
      <c r="O11" s="171"/>
      <c r="P11" s="171"/>
      <c r="Q11" s="171"/>
      <c r="R11" s="171"/>
      <c r="S11"/>
      <c r="T11"/>
      <c r="U11"/>
      <c r="V11"/>
      <c r="W11"/>
      <c r="X11"/>
      <c r="Y11"/>
      <c r="Z11"/>
      <c r="AA11"/>
    </row>
    <row r="12" spans="1:27" s="122" customFormat="1" ht="16.95" customHeight="1" x14ac:dyDescent="0.3">
      <c r="B12" s="124"/>
      <c r="C12" s="169" t="s">
        <v>167</v>
      </c>
      <c r="D12" s="169"/>
      <c r="E12" s="169"/>
      <c r="F12" s="169"/>
      <c r="G12" s="169"/>
      <c r="H12" s="123"/>
      <c r="I12" s="172">
        <f>INFORMACIÓN!H3</f>
        <v>45465</v>
      </c>
      <c r="J12" s="172"/>
      <c r="K12" s="172"/>
      <c r="L12" s="172"/>
      <c r="M12" s="172"/>
      <c r="N12" s="172"/>
      <c r="O12" s="172"/>
      <c r="P12" s="172"/>
      <c r="Q12" s="172"/>
      <c r="R12" s="172"/>
      <c r="S12"/>
      <c r="T12"/>
      <c r="U12"/>
      <c r="V12"/>
      <c r="W12"/>
      <c r="X12"/>
      <c r="Y12"/>
      <c r="Z12"/>
      <c r="AA12"/>
    </row>
    <row r="13" spans="1:27" s="122" customFormat="1" ht="16.95" customHeight="1" x14ac:dyDescent="0.3">
      <c r="B13" s="124"/>
      <c r="C13" s="169" t="s">
        <v>166</v>
      </c>
      <c r="D13" s="169"/>
      <c r="E13" s="169"/>
      <c r="F13" s="169"/>
      <c r="G13" s="169"/>
      <c r="H13" s="123"/>
      <c r="I13" s="172">
        <f>INFORMACIÓN!B9</f>
        <v>45465</v>
      </c>
      <c r="J13" s="172"/>
      <c r="K13" s="172"/>
      <c r="L13" s="172"/>
      <c r="M13" s="172"/>
      <c r="N13" s="172"/>
      <c r="O13" s="172"/>
      <c r="P13" s="172"/>
      <c r="Q13" s="172"/>
      <c r="R13" s="172"/>
      <c r="S13"/>
      <c r="T13"/>
      <c r="U13"/>
      <c r="V13"/>
      <c r="W13"/>
      <c r="X13"/>
      <c r="Y13"/>
      <c r="Z13"/>
      <c r="AA13"/>
    </row>
    <row r="14" spans="1:27" ht="16.95" customHeight="1" x14ac:dyDescent="0.3"/>
    <row r="15" spans="1:27" ht="16.95" customHeight="1" x14ac:dyDescent="0.3">
      <c r="B15" s="97"/>
      <c r="C15" s="148" t="s">
        <v>165</v>
      </c>
      <c r="D15" s="148"/>
      <c r="E15" s="148"/>
      <c r="F15" s="148"/>
      <c r="G15" s="148"/>
      <c r="H15" s="148"/>
      <c r="I15" s="148"/>
      <c r="J15" s="148"/>
      <c r="K15" s="148"/>
      <c r="L15" s="148"/>
      <c r="M15" s="148"/>
      <c r="N15" s="148"/>
      <c r="O15" s="148"/>
      <c r="P15" s="148"/>
      <c r="Q15" s="148"/>
      <c r="R15" s="148"/>
    </row>
    <row r="16" spans="1:27" ht="16.95" customHeight="1" x14ac:dyDescent="0.3"/>
    <row r="17" spans="1:18" ht="16.95" customHeight="1" x14ac:dyDescent="0.3">
      <c r="B17" s="4"/>
      <c r="C17" s="173" t="s">
        <v>164</v>
      </c>
      <c r="D17" s="173"/>
      <c r="E17" s="173"/>
      <c r="F17" s="173"/>
      <c r="G17" s="173"/>
      <c r="H17" s="5"/>
      <c r="I17" s="153" t="str">
        <f>INFORMACIÓN!E7</f>
        <v xml:space="preserve">HOSPITAL DE ALTA COMPLEJIDAD DEL MAGDALENA CENTRO </v>
      </c>
      <c r="J17" s="153"/>
      <c r="K17" s="153"/>
      <c r="L17" s="153"/>
      <c r="M17" s="153"/>
      <c r="N17" s="153"/>
      <c r="O17" s="153"/>
      <c r="P17" s="153"/>
      <c r="Q17" s="153"/>
      <c r="R17" s="153"/>
    </row>
    <row r="18" spans="1:18" ht="16.95" customHeight="1" x14ac:dyDescent="0.3">
      <c r="B18" s="4"/>
      <c r="C18" s="173" t="s">
        <v>163</v>
      </c>
      <c r="D18" s="173"/>
      <c r="E18" s="173"/>
      <c r="F18" s="173"/>
      <c r="G18" s="173"/>
      <c r="H18" s="5"/>
      <c r="I18" s="153" t="str">
        <f>INFORMACIÓN!E8</f>
        <v>901.532.463-8</v>
      </c>
      <c r="J18" s="153"/>
      <c r="K18" s="153"/>
      <c r="L18" s="153"/>
      <c r="M18" s="153"/>
      <c r="N18" s="153"/>
      <c r="O18" s="153"/>
      <c r="P18" s="153"/>
      <c r="Q18" s="153"/>
      <c r="R18" s="153"/>
    </row>
    <row r="19" spans="1:18" ht="16.95" customHeight="1" x14ac:dyDescent="0.3">
      <c r="B19" s="4"/>
      <c r="C19" s="173" t="s">
        <v>162</v>
      </c>
      <c r="D19" s="173"/>
      <c r="E19" s="173"/>
      <c r="F19" s="173"/>
      <c r="G19" s="173"/>
      <c r="H19" s="5"/>
      <c r="I19" s="153">
        <f>INFORMACIÓN!E9</f>
        <v>3007835072</v>
      </c>
      <c r="J19" s="153"/>
      <c r="K19" s="153"/>
      <c r="L19" s="153"/>
      <c r="M19" s="153"/>
      <c r="N19" s="153"/>
      <c r="O19" s="153"/>
      <c r="P19" s="153"/>
      <c r="Q19" s="153"/>
      <c r="R19" s="153"/>
    </row>
    <row r="20" spans="1:18" ht="16.95" customHeight="1" x14ac:dyDescent="0.3">
      <c r="B20" s="4"/>
      <c r="C20" s="173" t="s">
        <v>161</v>
      </c>
      <c r="D20" s="173"/>
      <c r="E20" s="173"/>
      <c r="F20" s="173"/>
      <c r="G20" s="173"/>
      <c r="H20" s="5"/>
      <c r="I20" s="153" t="str">
        <f>INFORMACIÓN!E10</f>
        <v>CARRERA 15 ENTRE CALLE 18 y 19</v>
      </c>
      <c r="J20" s="153"/>
      <c r="K20" s="153"/>
      <c r="L20" s="153"/>
      <c r="M20" s="153"/>
      <c r="N20" s="153"/>
      <c r="O20" s="153"/>
      <c r="P20" s="153"/>
      <c r="Q20" s="153"/>
      <c r="R20" s="153"/>
    </row>
    <row r="21" spans="1:18" ht="16.95" customHeight="1" x14ac:dyDescent="0.3">
      <c r="B21" s="4"/>
      <c r="C21" s="173" t="s">
        <v>160</v>
      </c>
      <c r="D21" s="173"/>
      <c r="E21" s="173"/>
      <c r="F21" s="173"/>
      <c r="G21" s="173"/>
      <c r="H21" s="5"/>
      <c r="I21" s="153" t="str">
        <f>INFORMACIÓN!E11</f>
        <v>LA DORADA - CALDAS</v>
      </c>
      <c r="J21" s="153"/>
      <c r="K21" s="153"/>
      <c r="L21" s="153"/>
      <c r="M21" s="153"/>
      <c r="N21" s="153"/>
      <c r="O21" s="153"/>
      <c r="P21" s="153"/>
      <c r="Q21" s="153"/>
      <c r="R21" s="153"/>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99"/>
      <c r="C23" s="166" t="s">
        <v>220</v>
      </c>
      <c r="D23" s="166"/>
      <c r="E23" s="166"/>
      <c r="F23" s="166"/>
      <c r="G23" s="166"/>
      <c r="H23" s="166"/>
      <c r="I23" s="166"/>
      <c r="J23" s="166"/>
      <c r="K23" s="166"/>
      <c r="L23" s="166"/>
      <c r="M23" s="166"/>
      <c r="N23" s="166"/>
      <c r="O23" s="166"/>
      <c r="P23" s="166"/>
      <c r="Q23" s="166"/>
      <c r="R23" s="166"/>
    </row>
    <row r="24" spans="1:18" ht="16.95" customHeight="1" x14ac:dyDescent="0.3">
      <c r="A24" s="99"/>
      <c r="B24" s="99"/>
      <c r="C24" s="167"/>
      <c r="D24" s="167"/>
      <c r="E24" s="167"/>
      <c r="F24" s="167"/>
      <c r="G24" s="167"/>
      <c r="H24" s="167"/>
      <c r="I24" s="167"/>
      <c r="J24" s="167"/>
      <c r="K24" s="167"/>
      <c r="L24" s="167"/>
      <c r="M24" s="167"/>
      <c r="N24" s="167"/>
      <c r="O24" s="167"/>
      <c r="P24" s="167"/>
      <c r="Q24" s="167"/>
      <c r="R24" s="167"/>
    </row>
    <row r="25" spans="1:18" ht="16.95" customHeight="1" x14ac:dyDescent="0.3">
      <c r="A25" s="99"/>
      <c r="B25" s="99"/>
      <c r="C25" s="167"/>
      <c r="D25" s="167"/>
      <c r="E25" s="167"/>
      <c r="F25" s="167"/>
      <c r="G25" s="167"/>
      <c r="H25" s="167"/>
      <c r="I25" s="167"/>
      <c r="J25" s="167"/>
      <c r="K25" s="167"/>
      <c r="L25" s="167"/>
      <c r="M25" s="167"/>
      <c r="N25" s="167"/>
      <c r="O25" s="167"/>
      <c r="P25" s="167"/>
      <c r="Q25" s="167"/>
      <c r="R25" s="167"/>
    </row>
    <row r="26" spans="1:18" ht="16.95" customHeight="1" x14ac:dyDescent="0.3">
      <c r="A26" s="99"/>
      <c r="B26" s="99"/>
      <c r="C26" s="167"/>
      <c r="D26" s="167"/>
      <c r="E26" s="167"/>
      <c r="F26" s="167"/>
      <c r="G26" s="167"/>
      <c r="H26" s="167"/>
      <c r="I26" s="167"/>
      <c r="J26" s="167"/>
      <c r="K26" s="167"/>
      <c r="L26" s="167"/>
      <c r="M26" s="167"/>
      <c r="N26" s="167"/>
      <c r="O26" s="167"/>
      <c r="P26" s="167"/>
      <c r="Q26" s="167"/>
      <c r="R26" s="167"/>
    </row>
    <row r="27" spans="1:18" ht="16.95" customHeight="1" x14ac:dyDescent="0.3">
      <c r="A27" s="99"/>
      <c r="B27" s="99"/>
      <c r="C27" s="167"/>
      <c r="D27" s="167"/>
      <c r="E27" s="167"/>
      <c r="F27" s="167"/>
      <c r="G27" s="167"/>
      <c r="H27" s="167"/>
      <c r="I27" s="167"/>
      <c r="J27" s="167"/>
      <c r="K27" s="167"/>
      <c r="L27" s="167"/>
      <c r="M27" s="167"/>
      <c r="N27" s="167"/>
      <c r="O27" s="167"/>
      <c r="P27" s="167"/>
      <c r="Q27" s="167"/>
      <c r="R27" s="167"/>
    </row>
    <row r="28" spans="1:18" ht="16.95" customHeight="1" x14ac:dyDescent="0.3">
      <c r="A28" s="99"/>
      <c r="B28" s="99"/>
      <c r="C28" s="168"/>
      <c r="D28" s="168"/>
      <c r="E28" s="168"/>
      <c r="F28" s="168"/>
      <c r="G28" s="168"/>
      <c r="H28" s="168"/>
      <c r="I28" s="168"/>
      <c r="J28" s="168"/>
      <c r="K28" s="168"/>
      <c r="L28" s="168"/>
      <c r="M28" s="168"/>
      <c r="N28" s="168"/>
      <c r="O28" s="168"/>
      <c r="P28" s="168"/>
      <c r="Q28" s="168"/>
      <c r="R28" s="168"/>
    </row>
    <row r="29" spans="1:18" ht="16.95" customHeight="1" x14ac:dyDescent="0.3">
      <c r="A29" s="99"/>
      <c r="B29" s="99"/>
      <c r="C29" s="121"/>
      <c r="D29" s="121"/>
      <c r="E29" s="121"/>
      <c r="F29" s="121"/>
      <c r="G29" s="121"/>
      <c r="H29" s="121"/>
      <c r="I29" s="121"/>
      <c r="J29" s="121"/>
      <c r="K29" s="121"/>
      <c r="L29" s="121"/>
      <c r="M29" s="121"/>
      <c r="N29" s="121"/>
      <c r="O29" s="121"/>
      <c r="P29" s="121"/>
      <c r="Q29" s="121"/>
      <c r="R29" s="121"/>
    </row>
    <row r="30" spans="1:18" ht="16.95" customHeight="1" x14ac:dyDescent="0.3">
      <c r="A30" s="99"/>
      <c r="B30" s="99"/>
      <c r="C30" s="100"/>
      <c r="D30" s="100"/>
      <c r="E30" s="100"/>
      <c r="F30" s="100"/>
      <c r="G30" s="100"/>
      <c r="H30" s="100"/>
      <c r="I30" s="100"/>
      <c r="J30" s="100"/>
      <c r="K30" s="100"/>
      <c r="L30" s="100"/>
      <c r="M30" s="100"/>
      <c r="N30" s="100"/>
      <c r="O30" s="100"/>
      <c r="P30" s="100"/>
      <c r="Q30" s="100"/>
      <c r="R30" s="100"/>
    </row>
    <row r="31" spans="1:18" ht="16.95" customHeight="1" x14ac:dyDescent="0.3">
      <c r="B31" s="5"/>
      <c r="C31" s="4" t="s">
        <v>20</v>
      </c>
      <c r="D31" s="5"/>
      <c r="H31" s="4"/>
      <c r="I31" s="173" t="s">
        <v>159</v>
      </c>
      <c r="J31" s="173"/>
      <c r="K31" s="173"/>
      <c r="L31" s="173"/>
      <c r="M31" s="153" t="str">
        <f>INFORMACIÓN!B15</f>
        <v>ING. GABRIEL DURÁN</v>
      </c>
      <c r="N31" s="153"/>
      <c r="O31" s="153"/>
      <c r="P31" s="153"/>
      <c r="Q31" s="153"/>
      <c r="R31" s="153"/>
    </row>
    <row r="32" spans="1:18" ht="16.95" customHeight="1" x14ac:dyDescent="0.3">
      <c r="F32" s="4"/>
      <c r="G32" s="4"/>
      <c r="H32" s="4"/>
      <c r="I32" s="173" t="s">
        <v>158</v>
      </c>
      <c r="J32" s="173"/>
      <c r="K32" s="173"/>
      <c r="L32" s="173"/>
      <c r="M32" s="193">
        <f>INFORMACIÓN!B10</f>
        <v>45465</v>
      </c>
      <c r="N32" s="193"/>
      <c r="O32" s="193"/>
      <c r="P32" s="118"/>
      <c r="Q32" s="118"/>
      <c r="R32" s="4"/>
    </row>
    <row r="33" spans="1:19" ht="16.95" customHeight="1" x14ac:dyDescent="0.3">
      <c r="I33" s="173" t="s">
        <v>157</v>
      </c>
      <c r="J33" s="173"/>
      <c r="K33" s="173"/>
      <c r="L33" s="173"/>
      <c r="M33" s="102">
        <v>4</v>
      </c>
      <c r="N33" s="5"/>
      <c r="O33" s="5"/>
      <c r="P33" s="5"/>
      <c r="Q33" s="5"/>
      <c r="R33" s="118"/>
    </row>
    <row r="34" spans="1:19" ht="16.95" customHeight="1" x14ac:dyDescent="0.3"/>
    <row r="35" spans="1:19" ht="16.95" customHeight="1" x14ac:dyDescent="0.3">
      <c r="C35" s="120"/>
      <c r="D35" s="120"/>
      <c r="E35" s="120"/>
      <c r="F35" s="120"/>
      <c r="G35" s="120"/>
    </row>
    <row r="36" spans="1:19" x14ac:dyDescent="0.3">
      <c r="B36" s="96"/>
      <c r="C36" s="119" t="s">
        <v>156</v>
      </c>
      <c r="D36" s="96"/>
      <c r="E36" s="96"/>
      <c r="F36" s="96"/>
      <c r="H36" s="4"/>
      <c r="J36" s="4"/>
      <c r="K36" s="4"/>
      <c r="L36" s="4"/>
      <c r="N36" s="118"/>
      <c r="O36" s="118"/>
    </row>
    <row r="37" spans="1:19" ht="13.2" customHeight="1" x14ac:dyDescent="0.3">
      <c r="B37" s="96"/>
      <c r="C37" s="99" t="s">
        <v>155</v>
      </c>
      <c r="D37" s="99"/>
      <c r="E37" s="99"/>
      <c r="F37" s="99"/>
      <c r="G37" s="99"/>
      <c r="J37" s="4"/>
      <c r="K37" s="4"/>
      <c r="L37" s="4"/>
      <c r="N37" s="117"/>
      <c r="O37" s="116"/>
      <c r="P37" s="116"/>
      <c r="Q37" s="116"/>
    </row>
    <row r="38" spans="1:19" ht="16.95" customHeight="1" x14ac:dyDescent="0.3">
      <c r="B38" s="8"/>
      <c r="C38" s="8"/>
      <c r="D38" s="8"/>
      <c r="E38" s="8"/>
      <c r="G38" s="5"/>
      <c r="H38" s="5"/>
      <c r="I38" s="5"/>
      <c r="J38" s="4"/>
      <c r="K38" s="4"/>
      <c r="L38" s="4"/>
      <c r="M38" s="4"/>
      <c r="N38" s="5"/>
      <c r="O38" s="173" t="str">
        <f>O1</f>
        <v>CERTIFICADO N°:</v>
      </c>
      <c r="P38" s="173"/>
      <c r="Q38" s="173"/>
      <c r="R38" s="149" t="str">
        <f>R1</f>
        <v>JD1741-24</v>
      </c>
      <c r="S38" s="149"/>
    </row>
    <row r="39" spans="1:19" ht="10.5" customHeight="1" x14ac:dyDescent="0.3"/>
    <row r="40" spans="1:19" ht="16.95" customHeight="1" x14ac:dyDescent="0.3">
      <c r="B40" s="192" t="s">
        <v>154</v>
      </c>
      <c r="C40" s="192"/>
      <c r="D40" s="192"/>
      <c r="E40" s="192"/>
      <c r="F40" s="192"/>
      <c r="G40" s="192"/>
      <c r="H40" s="192"/>
      <c r="I40" s="192"/>
      <c r="J40" s="192"/>
      <c r="K40" s="192"/>
      <c r="L40" s="192"/>
      <c r="M40" s="192"/>
      <c r="N40" s="192"/>
      <c r="O40" s="192"/>
      <c r="P40" s="192"/>
      <c r="Q40" s="192"/>
      <c r="R40" s="192"/>
      <c r="S40" s="192"/>
    </row>
    <row r="41" spans="1:19" ht="16.95" customHeight="1" x14ac:dyDescent="0.3">
      <c r="B41" s="180" t="s">
        <v>221</v>
      </c>
      <c r="C41" s="180"/>
      <c r="D41" s="180"/>
      <c r="E41" s="180"/>
      <c r="F41" s="180"/>
      <c r="G41" s="180"/>
      <c r="H41" s="180"/>
      <c r="I41" s="180"/>
      <c r="J41" s="180"/>
      <c r="K41" s="180"/>
      <c r="L41" s="180"/>
      <c r="M41" s="180"/>
      <c r="N41" s="180"/>
      <c r="O41" s="180"/>
      <c r="P41" s="180"/>
      <c r="Q41" s="180"/>
      <c r="R41" s="180"/>
      <c r="S41" s="180"/>
    </row>
    <row r="42" spans="1:19" ht="16.95" customHeight="1" x14ac:dyDescent="0.3">
      <c r="A42" s="103"/>
      <c r="B42" s="181"/>
      <c r="C42" s="181"/>
      <c r="D42" s="181"/>
      <c r="E42" s="181"/>
      <c r="F42" s="181"/>
      <c r="G42" s="181"/>
      <c r="H42" s="181"/>
      <c r="I42" s="181"/>
      <c r="J42" s="181"/>
      <c r="K42" s="181"/>
      <c r="L42" s="181"/>
      <c r="M42" s="181"/>
      <c r="N42" s="181"/>
      <c r="O42" s="181"/>
      <c r="P42" s="181"/>
      <c r="Q42" s="181"/>
      <c r="R42" s="181"/>
      <c r="S42" s="181"/>
    </row>
    <row r="43" spans="1:19" ht="16.95" customHeight="1" x14ac:dyDescent="0.3">
      <c r="A43" s="103"/>
      <c r="B43" s="181"/>
      <c r="C43" s="181"/>
      <c r="D43" s="181"/>
      <c r="E43" s="181"/>
      <c r="F43" s="181"/>
      <c r="G43" s="181"/>
      <c r="H43" s="181"/>
      <c r="I43" s="181"/>
      <c r="J43" s="181"/>
      <c r="K43" s="181"/>
      <c r="L43" s="181"/>
      <c r="M43" s="181"/>
      <c r="N43" s="181"/>
      <c r="O43" s="181"/>
      <c r="P43" s="181"/>
      <c r="Q43" s="181"/>
      <c r="R43" s="181"/>
      <c r="S43" s="181"/>
    </row>
    <row r="44" spans="1:19" ht="9" customHeight="1" x14ac:dyDescent="0.3">
      <c r="C44" s="103"/>
      <c r="D44" s="103"/>
      <c r="E44" s="103"/>
      <c r="F44" s="103"/>
      <c r="G44" s="103"/>
      <c r="H44" s="103"/>
      <c r="I44" s="103"/>
      <c r="J44" s="103"/>
      <c r="K44" s="103"/>
      <c r="L44" s="103"/>
      <c r="M44" s="103"/>
      <c r="N44" s="103"/>
      <c r="O44" s="103"/>
      <c r="P44" s="103"/>
      <c r="Q44" s="103"/>
      <c r="R44" s="103"/>
    </row>
    <row r="45" spans="1:19" ht="16.95" customHeight="1" x14ac:dyDescent="0.3">
      <c r="E45" s="115"/>
      <c r="F45" s="197" t="s">
        <v>153</v>
      </c>
      <c r="G45" s="198"/>
      <c r="H45" s="198"/>
      <c r="I45" s="198"/>
      <c r="J45" s="199"/>
      <c r="K45" s="206" t="s">
        <v>152</v>
      </c>
      <c r="L45" s="207"/>
      <c r="M45" s="207"/>
      <c r="N45" s="207"/>
      <c r="O45" s="208"/>
    </row>
    <row r="46" spans="1:19" ht="16.95" customHeight="1" x14ac:dyDescent="0.3">
      <c r="E46" s="115"/>
      <c r="F46" s="201">
        <f>AVERAGE(INFORMACIÓN!B11:B12)</f>
        <v>24.3</v>
      </c>
      <c r="G46" s="202"/>
      <c r="H46" s="112" t="s">
        <v>41</v>
      </c>
      <c r="I46" s="114">
        <f>ABS(INFORMACIÓN!B11-INFORMACIÓN!B12)</f>
        <v>0.39999999999999858</v>
      </c>
      <c r="J46" s="113"/>
      <c r="K46" s="203">
        <f>AVERAGE(INFORMACIÓN!B13:B14)</f>
        <v>61.5</v>
      </c>
      <c r="L46" s="204"/>
      <c r="M46" s="112" t="s">
        <v>41</v>
      </c>
      <c r="N46" s="111">
        <f>ABS(INFORMACIÓN!B13-INFORMACIÓN!B14)</f>
        <v>3</v>
      </c>
      <c r="O46" s="110"/>
    </row>
    <row r="47" spans="1:19" ht="11.4" customHeight="1" x14ac:dyDescent="0.3">
      <c r="E47" s="5"/>
      <c r="F47" s="109"/>
      <c r="G47" s="106"/>
      <c r="H47" s="104"/>
      <c r="I47" s="108"/>
      <c r="K47" s="107"/>
      <c r="L47" s="106"/>
      <c r="M47" s="105"/>
    </row>
    <row r="48" spans="1:19" ht="16.95" customHeight="1" x14ac:dyDescent="0.3">
      <c r="B48" s="96"/>
      <c r="D48" s="96"/>
      <c r="F48" s="200" t="s">
        <v>222</v>
      </c>
      <c r="G48" s="200"/>
      <c r="H48" s="200"/>
      <c r="I48" s="200"/>
      <c r="J48" s="200"/>
      <c r="K48" s="205" t="s">
        <v>223</v>
      </c>
      <c r="L48" s="205"/>
      <c r="M48" s="205"/>
      <c r="N48" s="205"/>
      <c r="O48" s="205"/>
      <c r="P48" s="205"/>
    </row>
    <row r="49" spans="1:19" ht="7.95" customHeight="1" x14ac:dyDescent="0.3"/>
    <row r="50" spans="1:19" ht="16.95" customHeight="1" x14ac:dyDescent="0.3">
      <c r="B50" s="163" t="s">
        <v>151</v>
      </c>
      <c r="C50" s="163"/>
      <c r="D50" s="163"/>
      <c r="E50" s="163"/>
      <c r="F50" s="163"/>
      <c r="G50" s="163"/>
      <c r="H50" s="163"/>
      <c r="I50" s="163"/>
      <c r="J50" s="163"/>
      <c r="K50" s="163"/>
      <c r="L50" s="163"/>
      <c r="M50" s="163"/>
      <c r="N50" s="163"/>
      <c r="O50" s="163"/>
      <c r="P50" s="163"/>
      <c r="Q50" s="163"/>
      <c r="R50" s="163"/>
      <c r="S50" s="163"/>
    </row>
    <row r="51" spans="1:19" ht="16.95" customHeight="1" x14ac:dyDescent="0.3">
      <c r="B51" s="180" t="s">
        <v>224</v>
      </c>
      <c r="C51" s="180"/>
      <c r="D51" s="180"/>
      <c r="E51" s="180"/>
      <c r="F51" s="180"/>
      <c r="G51" s="180"/>
      <c r="H51" s="180"/>
      <c r="I51" s="180"/>
      <c r="J51" s="180"/>
      <c r="K51" s="180"/>
      <c r="L51" s="180"/>
      <c r="M51" s="180"/>
      <c r="N51" s="180"/>
      <c r="O51" s="180"/>
      <c r="P51" s="180"/>
      <c r="Q51" s="180"/>
      <c r="R51" s="180"/>
      <c r="S51" s="180"/>
    </row>
    <row r="52" spans="1:19" ht="16.95" customHeight="1" x14ac:dyDescent="0.3">
      <c r="A52" s="103"/>
      <c r="B52" s="181"/>
      <c r="C52" s="181"/>
      <c r="D52" s="181"/>
      <c r="E52" s="181"/>
      <c r="F52" s="181"/>
      <c r="G52" s="181"/>
      <c r="H52" s="181"/>
      <c r="I52" s="181"/>
      <c r="J52" s="181"/>
      <c r="K52" s="181"/>
      <c r="L52" s="181"/>
      <c r="M52" s="181"/>
      <c r="N52" s="181"/>
      <c r="O52" s="181"/>
      <c r="P52" s="181"/>
      <c r="Q52" s="181"/>
      <c r="R52" s="181"/>
      <c r="S52" s="181"/>
    </row>
    <row r="53" spans="1:19" ht="16.95" customHeight="1" x14ac:dyDescent="0.3">
      <c r="A53" s="103"/>
      <c r="B53" s="181"/>
      <c r="C53" s="181"/>
      <c r="D53" s="181"/>
      <c r="E53" s="181"/>
      <c r="F53" s="181"/>
      <c r="G53" s="181"/>
      <c r="H53" s="181"/>
      <c r="I53" s="181"/>
      <c r="J53" s="181"/>
      <c r="K53" s="181"/>
      <c r="L53" s="181"/>
      <c r="M53" s="181"/>
      <c r="N53" s="181"/>
      <c r="O53" s="181"/>
      <c r="P53" s="181"/>
      <c r="Q53" s="181"/>
      <c r="R53" s="181"/>
      <c r="S53" s="181"/>
    </row>
    <row r="54" spans="1:19" ht="16.95" customHeight="1" x14ac:dyDescent="0.3">
      <c r="A54" s="103"/>
      <c r="B54" s="181"/>
      <c r="C54" s="181"/>
      <c r="D54" s="181"/>
      <c r="E54" s="181"/>
      <c r="F54" s="181"/>
      <c r="G54" s="181"/>
      <c r="H54" s="181"/>
      <c r="I54" s="181"/>
      <c r="J54" s="181"/>
      <c r="K54" s="181"/>
      <c r="L54" s="181"/>
      <c r="M54" s="181"/>
      <c r="N54" s="181"/>
      <c r="O54" s="181"/>
      <c r="P54" s="181"/>
      <c r="Q54" s="181"/>
      <c r="R54" s="181"/>
      <c r="S54" s="181"/>
    </row>
    <row r="55" spans="1:19" ht="16.95" customHeight="1" x14ac:dyDescent="0.3">
      <c r="A55" s="103"/>
      <c r="B55" s="181"/>
      <c r="C55" s="181"/>
      <c r="D55" s="181"/>
      <c r="E55" s="181"/>
      <c r="F55" s="181"/>
      <c r="G55" s="181"/>
      <c r="H55" s="181"/>
      <c r="I55" s="181"/>
      <c r="J55" s="181"/>
      <c r="K55" s="181"/>
      <c r="L55" s="181"/>
      <c r="M55" s="181"/>
      <c r="N55" s="181"/>
      <c r="O55" s="181"/>
      <c r="P55" s="181"/>
      <c r="Q55" s="181"/>
      <c r="R55" s="181"/>
      <c r="S55" s="181"/>
    </row>
    <row r="56" spans="1:19" ht="16.95" customHeight="1" x14ac:dyDescent="0.3">
      <c r="A56" s="103"/>
      <c r="B56" s="181"/>
      <c r="C56" s="181"/>
      <c r="D56" s="181"/>
      <c r="E56" s="181"/>
      <c r="F56" s="181"/>
      <c r="G56" s="181"/>
      <c r="H56" s="181"/>
      <c r="I56" s="181"/>
      <c r="J56" s="181"/>
      <c r="K56" s="181"/>
      <c r="L56" s="181"/>
      <c r="M56" s="181"/>
      <c r="N56" s="181"/>
      <c r="O56" s="181"/>
      <c r="P56" s="181"/>
      <c r="Q56" s="181"/>
      <c r="R56" s="181"/>
      <c r="S56" s="181"/>
    </row>
    <row r="57" spans="1:19" ht="16.95" customHeight="1" x14ac:dyDescent="0.3">
      <c r="A57" s="103"/>
      <c r="B57" s="181"/>
      <c r="C57" s="181"/>
      <c r="D57" s="181"/>
      <c r="E57" s="181"/>
      <c r="F57" s="181"/>
      <c r="G57" s="181"/>
      <c r="H57" s="181"/>
      <c r="I57" s="181"/>
      <c r="J57" s="181"/>
      <c r="K57" s="181"/>
      <c r="L57" s="181"/>
      <c r="M57" s="181"/>
      <c r="N57" s="181"/>
      <c r="O57" s="181"/>
      <c r="P57" s="181"/>
      <c r="Q57" s="181"/>
      <c r="R57" s="181"/>
      <c r="S57" s="181"/>
    </row>
    <row r="58" spans="1:19" ht="16.95" customHeight="1" x14ac:dyDescent="0.3">
      <c r="A58" s="103"/>
      <c r="B58" s="181"/>
      <c r="C58" s="181"/>
      <c r="D58" s="181"/>
      <c r="E58" s="181"/>
      <c r="F58" s="181"/>
      <c r="G58" s="181"/>
      <c r="H58" s="181"/>
      <c r="I58" s="181"/>
      <c r="J58" s="181"/>
      <c r="K58" s="181"/>
      <c r="L58" s="181"/>
      <c r="M58" s="181"/>
      <c r="N58" s="181"/>
      <c r="O58" s="181"/>
      <c r="P58" s="181"/>
      <c r="Q58" s="181"/>
      <c r="R58" s="181"/>
      <c r="S58" s="181"/>
    </row>
    <row r="59" spans="1:19" ht="7.05" customHeight="1" x14ac:dyDescent="0.3">
      <c r="B59" s="103"/>
      <c r="C59" s="103"/>
      <c r="D59" s="103"/>
      <c r="E59" s="103"/>
      <c r="F59" s="103"/>
      <c r="G59" s="103"/>
      <c r="H59" s="103"/>
      <c r="I59" s="103"/>
      <c r="J59" s="103"/>
      <c r="K59" s="103"/>
      <c r="L59" s="103"/>
      <c r="M59" s="103"/>
      <c r="N59" s="103"/>
      <c r="O59" s="103"/>
      <c r="P59" s="103"/>
      <c r="Q59" s="103"/>
      <c r="R59" s="103"/>
      <c r="S59" s="103"/>
    </row>
    <row r="60" spans="1:19" ht="16.95" customHeight="1" x14ac:dyDescent="0.3">
      <c r="B60" s="192" t="s">
        <v>150</v>
      </c>
      <c r="C60" s="192"/>
      <c r="D60" s="192"/>
      <c r="E60" s="192"/>
      <c r="F60" s="192"/>
      <c r="G60" s="192"/>
      <c r="H60" s="192"/>
      <c r="I60" s="192"/>
      <c r="J60" s="192"/>
      <c r="K60" s="192"/>
      <c r="L60" s="192"/>
      <c r="M60" s="192"/>
      <c r="N60" s="192"/>
      <c r="O60" s="192"/>
      <c r="P60" s="192"/>
      <c r="Q60" s="192"/>
      <c r="R60" s="192"/>
      <c r="S60" s="192"/>
    </row>
    <row r="61" spans="1:19" ht="16.95" customHeight="1" x14ac:dyDescent="0.3">
      <c r="B61" s="180" t="s">
        <v>225</v>
      </c>
      <c r="C61" s="180"/>
      <c r="D61" s="180"/>
      <c r="E61" s="180"/>
      <c r="F61" s="180"/>
      <c r="G61" s="180"/>
      <c r="H61" s="180"/>
      <c r="I61" s="180"/>
      <c r="J61" s="180"/>
      <c r="K61" s="180"/>
      <c r="L61" s="180"/>
      <c r="M61" s="180"/>
      <c r="N61" s="180"/>
      <c r="O61" s="180"/>
      <c r="P61" s="180"/>
      <c r="Q61" s="180"/>
      <c r="R61" s="180"/>
      <c r="S61" s="180"/>
    </row>
    <row r="62" spans="1:19" ht="16.95" customHeight="1" x14ac:dyDescent="0.3">
      <c r="A62" s="103"/>
      <c r="B62" s="181"/>
      <c r="C62" s="181"/>
      <c r="D62" s="181"/>
      <c r="E62" s="181"/>
      <c r="F62" s="181"/>
      <c r="G62" s="181"/>
      <c r="H62" s="181"/>
      <c r="I62" s="181"/>
      <c r="J62" s="181"/>
      <c r="K62" s="181"/>
      <c r="L62" s="181"/>
      <c r="M62" s="181"/>
      <c r="N62" s="181"/>
      <c r="O62" s="181"/>
      <c r="P62" s="181"/>
      <c r="Q62" s="181"/>
      <c r="R62" s="181"/>
      <c r="S62" s="181"/>
    </row>
    <row r="63" spans="1:19" ht="7.05" customHeight="1" x14ac:dyDescent="0.3"/>
    <row r="64" spans="1:19" ht="15" customHeight="1" x14ac:dyDescent="0.3">
      <c r="B64" s="192" t="s">
        <v>149</v>
      </c>
      <c r="C64" s="192"/>
      <c r="D64" s="192"/>
      <c r="E64" s="192"/>
      <c r="F64" s="192"/>
      <c r="G64" s="192"/>
      <c r="H64" s="192"/>
      <c r="I64" s="192"/>
      <c r="J64" s="192"/>
      <c r="K64" s="192"/>
      <c r="L64" s="192"/>
      <c r="M64" s="192"/>
      <c r="N64" s="192"/>
      <c r="O64" s="192"/>
      <c r="P64" s="192"/>
      <c r="Q64" s="192"/>
      <c r="R64" s="192"/>
      <c r="S64" s="192"/>
    </row>
    <row r="65" spans="1:19" ht="19.2" customHeight="1" x14ac:dyDescent="0.3">
      <c r="B65" s="180" t="s">
        <v>226</v>
      </c>
      <c r="C65" s="180"/>
      <c r="D65" s="180"/>
      <c r="E65" s="180"/>
      <c r="F65" s="180"/>
      <c r="G65" s="180"/>
      <c r="H65" s="180"/>
      <c r="I65" s="180"/>
      <c r="J65" s="180"/>
      <c r="K65" s="180"/>
      <c r="L65" s="180"/>
      <c r="M65" s="180"/>
      <c r="N65" s="180"/>
      <c r="O65" s="180"/>
      <c r="P65" s="180"/>
      <c r="Q65" s="180"/>
      <c r="R65" s="180"/>
      <c r="S65" s="180"/>
    </row>
    <row r="66" spans="1:19" ht="16.95" customHeight="1" x14ac:dyDescent="0.3">
      <c r="A66" s="103"/>
      <c r="B66" s="181"/>
      <c r="C66" s="181"/>
      <c r="D66" s="181"/>
      <c r="E66" s="181"/>
      <c r="F66" s="181"/>
      <c r="G66" s="181"/>
      <c r="H66" s="181"/>
      <c r="I66" s="181"/>
      <c r="J66" s="181"/>
      <c r="K66" s="181"/>
      <c r="L66" s="181"/>
      <c r="M66" s="181"/>
      <c r="N66" s="181"/>
      <c r="O66" s="181"/>
      <c r="P66" s="181"/>
      <c r="Q66" s="181"/>
      <c r="R66" s="181"/>
      <c r="S66" s="181"/>
    </row>
    <row r="67" spans="1:19" ht="16.95" customHeight="1" x14ac:dyDescent="0.3">
      <c r="A67" s="103"/>
      <c r="B67" s="181"/>
      <c r="C67" s="181"/>
      <c r="D67" s="181"/>
      <c r="E67" s="181"/>
      <c r="F67" s="181"/>
      <c r="G67" s="181"/>
      <c r="H67" s="181"/>
      <c r="I67" s="181"/>
      <c r="J67" s="181"/>
      <c r="K67" s="181"/>
      <c r="L67" s="181"/>
      <c r="M67" s="181"/>
      <c r="N67" s="181"/>
      <c r="O67" s="181"/>
      <c r="P67" s="181"/>
      <c r="Q67" s="181"/>
      <c r="R67" s="181"/>
      <c r="S67" s="181"/>
    </row>
    <row r="68" spans="1:19" ht="16.95" customHeight="1" x14ac:dyDescent="0.3">
      <c r="A68" s="103"/>
      <c r="B68" s="181"/>
      <c r="C68" s="181"/>
      <c r="D68" s="181"/>
      <c r="E68" s="181"/>
      <c r="F68" s="181"/>
      <c r="G68" s="181"/>
      <c r="H68" s="181"/>
      <c r="I68" s="181"/>
      <c r="J68" s="181"/>
      <c r="K68" s="181"/>
      <c r="L68" s="181"/>
      <c r="M68" s="181"/>
      <c r="N68" s="181"/>
      <c r="O68" s="181"/>
      <c r="P68" s="181"/>
      <c r="Q68" s="181"/>
      <c r="R68" s="181"/>
      <c r="S68" s="181"/>
    </row>
    <row r="69" spans="1:19" ht="9.4499999999999993" customHeight="1" x14ac:dyDescent="0.3"/>
    <row r="70" spans="1:19" ht="16.95" customHeight="1" x14ac:dyDescent="0.3">
      <c r="B70" s="185" t="s">
        <v>148</v>
      </c>
      <c r="C70" s="185"/>
      <c r="D70" s="185"/>
      <c r="E70" s="185"/>
      <c r="F70" s="185"/>
      <c r="G70" s="185"/>
      <c r="H70" s="185" t="s">
        <v>61</v>
      </c>
      <c r="I70" s="185"/>
      <c r="J70" s="185"/>
      <c r="K70" s="185"/>
      <c r="L70" s="185"/>
      <c r="M70" s="185" t="s">
        <v>147</v>
      </c>
      <c r="N70" s="185"/>
      <c r="O70" s="185"/>
      <c r="P70" s="185" t="s">
        <v>63</v>
      </c>
      <c r="Q70" s="185"/>
      <c r="R70" s="185"/>
      <c r="S70" s="185"/>
    </row>
    <row r="71" spans="1:19" ht="20.399999999999999" customHeight="1" x14ac:dyDescent="0.3">
      <c r="B71" s="194" t="s">
        <v>177</v>
      </c>
      <c r="C71" s="195"/>
      <c r="D71" s="195"/>
      <c r="E71" s="195"/>
      <c r="F71" s="195"/>
      <c r="G71" s="196"/>
      <c r="H71" s="186" t="s">
        <v>108</v>
      </c>
      <c r="I71" s="187"/>
      <c r="J71" s="187"/>
      <c r="K71" s="187"/>
      <c r="L71" s="188"/>
      <c r="M71" s="189">
        <v>46041</v>
      </c>
      <c r="N71" s="190"/>
      <c r="O71" s="191"/>
      <c r="P71" s="182" t="s">
        <v>218</v>
      </c>
      <c r="Q71" s="183"/>
      <c r="R71" s="183"/>
      <c r="S71" s="184"/>
    </row>
    <row r="72" spans="1:19" ht="36.450000000000003" customHeight="1" x14ac:dyDescent="0.3">
      <c r="B72" s="194" t="s">
        <v>178</v>
      </c>
      <c r="C72" s="195"/>
      <c r="D72" s="195"/>
      <c r="E72" s="195"/>
      <c r="F72" s="195"/>
      <c r="G72" s="196"/>
      <c r="H72" s="209" t="s">
        <v>219</v>
      </c>
      <c r="I72" s="183"/>
      <c r="J72" s="183"/>
      <c r="K72" s="183"/>
      <c r="L72" s="184"/>
      <c r="M72" s="210" t="s">
        <v>227</v>
      </c>
      <c r="N72" s="211"/>
      <c r="O72" s="212"/>
      <c r="P72" s="182" t="s">
        <v>215</v>
      </c>
      <c r="Q72" s="183"/>
      <c r="R72" s="183"/>
      <c r="S72" s="184"/>
    </row>
    <row r="73" spans="1:19" ht="70.95" customHeight="1" x14ac:dyDescent="0.3">
      <c r="B73" s="194" t="s">
        <v>179</v>
      </c>
      <c r="C73" s="195"/>
      <c r="D73" s="195"/>
      <c r="E73" s="195"/>
      <c r="F73" s="195"/>
      <c r="G73" s="196"/>
      <c r="H73" s="182" t="s">
        <v>110</v>
      </c>
      <c r="I73" s="183"/>
      <c r="J73" s="183"/>
      <c r="K73" s="183"/>
      <c r="L73" s="184"/>
      <c r="M73" s="210" t="s">
        <v>216</v>
      </c>
      <c r="N73" s="211"/>
      <c r="O73" s="212"/>
      <c r="P73" s="182" t="s">
        <v>217</v>
      </c>
      <c r="Q73" s="183"/>
      <c r="R73" s="183"/>
      <c r="S73" s="184"/>
    </row>
    <row r="74" spans="1:19" ht="16.95" customHeight="1" x14ac:dyDescent="0.3">
      <c r="O74" s="173" t="str">
        <f>O1</f>
        <v>CERTIFICADO N°:</v>
      </c>
      <c r="P74" s="173"/>
      <c r="Q74" s="173"/>
      <c r="R74" s="149" t="str">
        <f>R1</f>
        <v>JD1741-24</v>
      </c>
      <c r="S74" s="149"/>
    </row>
    <row r="75" spans="1:19" ht="16.95" customHeight="1" x14ac:dyDescent="0.3"/>
    <row r="76" spans="1:19" ht="16.95" customHeight="1" x14ac:dyDescent="0.3">
      <c r="B76" s="150" t="s">
        <v>146</v>
      </c>
      <c r="C76" s="150"/>
      <c r="D76" s="150"/>
      <c r="E76" s="150"/>
      <c r="F76" s="150"/>
      <c r="G76" s="150"/>
      <c r="H76" s="150"/>
      <c r="I76" s="150"/>
      <c r="J76" s="150"/>
      <c r="K76" s="150"/>
      <c r="L76" s="150"/>
      <c r="M76" s="150"/>
      <c r="N76" s="150"/>
      <c r="O76" s="150"/>
      <c r="P76" s="150"/>
      <c r="Q76" s="150"/>
      <c r="R76" s="150"/>
      <c r="S76" s="150"/>
    </row>
    <row r="77" spans="1:19" ht="16.95" customHeight="1" x14ac:dyDescent="0.3">
      <c r="B77" s="3"/>
      <c r="C77" s="3"/>
      <c r="D77" s="3"/>
      <c r="E77" s="3"/>
      <c r="F77" s="3"/>
      <c r="G77" s="3"/>
      <c r="H77" s="3"/>
      <c r="I77" s="3"/>
      <c r="J77" s="3"/>
      <c r="K77" s="3"/>
      <c r="L77" s="3"/>
      <c r="M77" s="3"/>
      <c r="N77" s="3"/>
      <c r="O77" s="3"/>
      <c r="P77" s="3"/>
      <c r="Q77" s="3"/>
      <c r="R77" s="3"/>
      <c r="S77" s="3"/>
    </row>
    <row r="78" spans="1:19" ht="16.649999999999999" customHeight="1" x14ac:dyDescent="0.3"/>
    <row r="79" spans="1:19" ht="16.2" customHeight="1" x14ac:dyDescent="0.3">
      <c r="B79" s="1" t="s">
        <v>180</v>
      </c>
      <c r="H79" s="154" t="s">
        <v>27</v>
      </c>
      <c r="I79" s="154"/>
      <c r="J79" s="9">
        <f>MEDIDA!C10</f>
        <v>75</v>
      </c>
      <c r="K79" t="s">
        <v>6</v>
      </c>
    </row>
    <row r="80" spans="1:19" ht="16.95" customHeight="1" x14ac:dyDescent="0.3"/>
    <row r="81" spans="2:15" ht="16.95" customHeight="1" x14ac:dyDescent="0.3"/>
    <row r="82" spans="2:15" ht="16.05" customHeight="1" x14ac:dyDescent="0.3"/>
    <row r="83" spans="2:15" ht="30" customHeight="1" x14ac:dyDescent="0.3">
      <c r="F83" s="152" t="s">
        <v>28</v>
      </c>
      <c r="G83" s="152"/>
      <c r="H83" s="213" t="s">
        <v>29</v>
      </c>
      <c r="I83" s="214"/>
      <c r="J83" s="214"/>
      <c r="K83" s="7"/>
      <c r="L83" s="215" t="s">
        <v>30</v>
      </c>
      <c r="M83" s="152"/>
      <c r="N83" s="152"/>
      <c r="O83" s="152"/>
    </row>
    <row r="84" spans="2:15" ht="16.05" customHeight="1" x14ac:dyDescent="0.3">
      <c r="F84" s="151">
        <v>1</v>
      </c>
      <c r="G84" s="151"/>
      <c r="H84" s="216">
        <f>MEDIDA!E10</f>
        <v>75</v>
      </c>
      <c r="I84" s="216"/>
      <c r="J84" s="216"/>
      <c r="K84" s="7"/>
      <c r="L84" s="217">
        <f>STDEVA(H84:J88)</f>
        <v>0</v>
      </c>
      <c r="M84" s="217"/>
      <c r="N84" s="217"/>
      <c r="O84" s="217"/>
    </row>
    <row r="85" spans="2:15" ht="16.05" customHeight="1" x14ac:dyDescent="0.3">
      <c r="F85" s="151">
        <v>2</v>
      </c>
      <c r="G85" s="151"/>
      <c r="H85" s="216">
        <f>MEDIDA!E11</f>
        <v>75</v>
      </c>
      <c r="I85" s="216"/>
      <c r="J85" s="216"/>
      <c r="K85" s="7"/>
      <c r="L85" s="224" t="s">
        <v>181</v>
      </c>
      <c r="M85" s="224"/>
      <c r="N85" s="224"/>
      <c r="O85" s="224"/>
    </row>
    <row r="86" spans="2:15" ht="16.05" customHeight="1" x14ac:dyDescent="0.3">
      <c r="F86" s="151">
        <v>3</v>
      </c>
      <c r="G86" s="151"/>
      <c r="H86" s="216">
        <f>MEDIDA!E12</f>
        <v>75</v>
      </c>
      <c r="I86" s="216"/>
      <c r="J86" s="216"/>
      <c r="K86" s="7"/>
      <c r="L86" s="224"/>
      <c r="M86" s="224"/>
      <c r="N86" s="224"/>
      <c r="O86" s="224"/>
    </row>
    <row r="87" spans="2:15" ht="16.95" customHeight="1" x14ac:dyDescent="0.3">
      <c r="F87" s="151">
        <v>4</v>
      </c>
      <c r="G87" s="151"/>
      <c r="H87" s="216">
        <f>MEDIDA!E13</f>
        <v>75</v>
      </c>
      <c r="I87" s="216"/>
      <c r="J87" s="216"/>
      <c r="K87" s="7"/>
      <c r="L87" s="162"/>
      <c r="M87" s="162"/>
      <c r="N87" s="162"/>
      <c r="O87" s="162"/>
    </row>
    <row r="88" spans="2:15" ht="16.95" customHeight="1" x14ac:dyDescent="0.3">
      <c r="F88" s="151">
        <v>5</v>
      </c>
      <c r="G88" s="151"/>
      <c r="H88" s="216">
        <f>MEDIDA!E14</f>
        <v>75</v>
      </c>
      <c r="I88" s="216"/>
      <c r="J88" s="216"/>
      <c r="K88" s="7"/>
      <c r="L88" s="7"/>
      <c r="M88" s="7"/>
      <c r="N88" s="7"/>
      <c r="O88" s="7"/>
    </row>
    <row r="89" spans="2:15" ht="16.95" customHeight="1" x14ac:dyDescent="0.3"/>
    <row r="90" spans="2:15" ht="16.95" customHeight="1" x14ac:dyDescent="0.3"/>
    <row r="92" spans="2:15" x14ac:dyDescent="0.3">
      <c r="B92" s="1" t="s">
        <v>186</v>
      </c>
      <c r="H92" s="154" t="s">
        <v>27</v>
      </c>
      <c r="I92" s="154"/>
      <c r="J92" s="9">
        <f>MEDIDA!K13</f>
        <v>60</v>
      </c>
      <c r="K92" t="s">
        <v>6</v>
      </c>
    </row>
    <row r="93" spans="2:15" ht="16.05" customHeight="1" x14ac:dyDescent="0.3"/>
    <row r="94" spans="2:15" ht="16.05" customHeight="1" x14ac:dyDescent="0.3"/>
    <row r="95" spans="2:15" ht="31.2" customHeight="1" x14ac:dyDescent="0.3">
      <c r="F95" s="238" t="s">
        <v>31</v>
      </c>
      <c r="G95" s="239"/>
      <c r="H95" s="235" t="s">
        <v>29</v>
      </c>
      <c r="I95" s="237"/>
      <c r="J95" s="235" t="s">
        <v>32</v>
      </c>
      <c r="K95" s="237"/>
      <c r="L95" s="235" t="s">
        <v>228</v>
      </c>
      <c r="M95" s="236"/>
      <c r="N95" s="237"/>
    </row>
    <row r="96" spans="2:15" ht="16.05" customHeight="1" x14ac:dyDescent="0.3">
      <c r="F96" s="157" t="s">
        <v>33</v>
      </c>
      <c r="G96" s="158"/>
      <c r="H96" s="155">
        <f>MEDIDA!M14</f>
        <v>60</v>
      </c>
      <c r="I96" s="156"/>
      <c r="J96" s="155">
        <f>INCERTIDUMBRE!C24</f>
        <v>0</v>
      </c>
      <c r="K96" s="156"/>
      <c r="L96" s="232">
        <f>MAX(J96:K100)</f>
        <v>0</v>
      </c>
      <c r="M96" s="233"/>
      <c r="N96" s="234"/>
    </row>
    <row r="97" spans="2:19" ht="16.05" customHeight="1" x14ac:dyDescent="0.3">
      <c r="F97" s="157" t="s">
        <v>34</v>
      </c>
      <c r="G97" s="158"/>
      <c r="H97" s="155">
        <f>MEDIDA!M15</f>
        <v>60</v>
      </c>
      <c r="I97" s="156"/>
      <c r="J97" s="155">
        <f>INCERTIDUMBRE!C25</f>
        <v>0</v>
      </c>
      <c r="K97" s="156"/>
      <c r="L97" s="159"/>
      <c r="M97" s="160"/>
      <c r="N97" s="160"/>
    </row>
    <row r="98" spans="2:19" x14ac:dyDescent="0.3">
      <c r="F98" s="157" t="s">
        <v>35</v>
      </c>
      <c r="G98" s="158"/>
      <c r="H98" s="155">
        <f>MEDIDA!M16</f>
        <v>60</v>
      </c>
      <c r="I98" s="156"/>
      <c r="J98" s="155">
        <f>INCERTIDUMBRE!C26</f>
        <v>0</v>
      </c>
      <c r="K98" s="156"/>
      <c r="L98" s="161"/>
      <c r="M98" s="162"/>
      <c r="N98" s="162"/>
    </row>
    <row r="99" spans="2:19" x14ac:dyDescent="0.3">
      <c r="F99" s="157" t="s">
        <v>36</v>
      </c>
      <c r="G99" s="158"/>
      <c r="H99" s="155">
        <f>MEDIDA!M17</f>
        <v>60</v>
      </c>
      <c r="I99" s="156"/>
      <c r="J99" s="155">
        <f>INCERTIDUMBRE!C27</f>
        <v>0</v>
      </c>
      <c r="K99" s="156"/>
      <c r="L99" s="161"/>
      <c r="M99" s="162"/>
      <c r="N99" s="162"/>
    </row>
    <row r="100" spans="2:19" x14ac:dyDescent="0.3">
      <c r="F100" s="157" t="s">
        <v>37</v>
      </c>
      <c r="G100" s="158"/>
      <c r="H100" s="155">
        <f>MEDIDA!M18</f>
        <v>60</v>
      </c>
      <c r="I100" s="156"/>
      <c r="J100" s="155">
        <f>INCERTIDUMBRE!C28</f>
        <v>0</v>
      </c>
      <c r="K100" s="156"/>
      <c r="L100" s="161"/>
      <c r="M100" s="162"/>
      <c r="N100" s="162"/>
    </row>
    <row r="101" spans="2:19" ht="16.8" customHeight="1" x14ac:dyDescent="0.3">
      <c r="F101" s="9"/>
      <c r="G101" s="9"/>
      <c r="H101" s="131"/>
      <c r="I101" s="131"/>
      <c r="J101" s="101"/>
      <c r="K101" s="101"/>
      <c r="L101" s="9"/>
      <c r="M101" s="9"/>
      <c r="N101" s="9"/>
    </row>
    <row r="102" spans="2:19" ht="16.8" customHeight="1" thickBot="1" x14ac:dyDescent="0.35">
      <c r="F102" s="9"/>
      <c r="G102" s="9"/>
      <c r="H102" s="9"/>
      <c r="I102" s="9"/>
      <c r="J102" s="9"/>
      <c r="K102" s="9"/>
      <c r="L102" s="9"/>
      <c r="M102" s="9"/>
      <c r="N102" s="9"/>
    </row>
    <row r="103" spans="2:19" ht="15" thickBot="1" x14ac:dyDescent="0.35">
      <c r="F103" s="9"/>
      <c r="G103" s="9"/>
      <c r="H103" s="9"/>
      <c r="I103" s="18"/>
      <c r="J103" s="19"/>
      <c r="K103" s="20"/>
      <c r="L103" s="9"/>
      <c r="M103" s="9"/>
      <c r="N103" s="9"/>
    </row>
    <row r="104" spans="2:19" ht="16.05" customHeight="1" x14ac:dyDescent="0.3">
      <c r="H104" s="10" t="s">
        <v>35</v>
      </c>
      <c r="I104" s="11"/>
      <c r="J104" s="11"/>
      <c r="K104" s="11"/>
      <c r="L104" s="12" t="s">
        <v>34</v>
      </c>
    </row>
    <row r="105" spans="2:19" ht="16.05" customHeight="1" x14ac:dyDescent="0.3">
      <c r="H105" s="13"/>
      <c r="I105" s="3"/>
      <c r="J105" s="3"/>
      <c r="K105" s="3"/>
      <c r="L105" s="14"/>
    </row>
    <row r="106" spans="2:19" ht="16.05" customHeight="1" x14ac:dyDescent="0.3">
      <c r="H106" s="13"/>
      <c r="I106" s="3"/>
      <c r="J106" s="3" t="s">
        <v>33</v>
      </c>
      <c r="K106" s="3"/>
      <c r="L106" s="14"/>
    </row>
    <row r="107" spans="2:19" ht="16.05" customHeight="1" x14ac:dyDescent="0.3">
      <c r="H107" s="13"/>
      <c r="I107" s="3"/>
      <c r="J107" s="3"/>
      <c r="K107" s="3"/>
      <c r="L107" s="14"/>
    </row>
    <row r="108" spans="2:19" ht="16.05" customHeight="1" thickBot="1" x14ac:dyDescent="0.35">
      <c r="H108" s="15" t="s">
        <v>36</v>
      </c>
      <c r="I108" s="16"/>
      <c r="J108" s="16"/>
      <c r="K108" s="16"/>
      <c r="L108" s="17" t="s">
        <v>37</v>
      </c>
    </row>
    <row r="109" spans="2:19" ht="16.05" customHeight="1" x14ac:dyDescent="0.3"/>
    <row r="110" spans="2:19" ht="16.05" customHeight="1" x14ac:dyDescent="0.3">
      <c r="B110" s="9"/>
      <c r="C110" s="9"/>
      <c r="D110" s="9"/>
      <c r="E110" s="9"/>
      <c r="F110" s="9"/>
      <c r="G110" s="9"/>
      <c r="H110" s="101"/>
      <c r="I110" s="101"/>
      <c r="J110" s="9"/>
      <c r="K110" s="9"/>
      <c r="L110" s="9"/>
      <c r="M110" s="101"/>
    </row>
    <row r="111" spans="2:19" x14ac:dyDescent="0.3">
      <c r="O111" s="163" t="str">
        <f>O74</f>
        <v>CERTIFICADO N°:</v>
      </c>
      <c r="P111" s="163"/>
      <c r="Q111" s="163"/>
      <c r="R111" s="163" t="str">
        <f>R74</f>
        <v>JD1741-24</v>
      </c>
      <c r="S111" s="163"/>
    </row>
    <row r="112" spans="2:19" x14ac:dyDescent="0.3">
      <c r="O112" s="3"/>
      <c r="P112" s="3"/>
      <c r="Q112" s="3"/>
      <c r="R112" s="3"/>
      <c r="S112" s="3"/>
    </row>
    <row r="113" spans="2:19" x14ac:dyDescent="0.3">
      <c r="O113" s="3"/>
      <c r="P113" s="3"/>
      <c r="Q113" s="3"/>
      <c r="R113" s="3"/>
      <c r="S113" s="3"/>
    </row>
    <row r="114" spans="2:19" x14ac:dyDescent="0.3">
      <c r="B114" s="1" t="s">
        <v>187</v>
      </c>
      <c r="R114" s="3"/>
      <c r="S114" s="3"/>
    </row>
    <row r="115" spans="2:19" x14ac:dyDescent="0.3">
      <c r="R115" s="3"/>
      <c r="S115" s="3"/>
    </row>
    <row r="116" spans="2:19" x14ac:dyDescent="0.3">
      <c r="R116" s="3"/>
      <c r="S116" s="3"/>
    </row>
    <row r="117" spans="2:19" ht="21.6" customHeight="1" x14ac:dyDescent="0.3">
      <c r="E117" s="218" t="s">
        <v>182</v>
      </c>
      <c r="F117" s="220"/>
      <c r="G117" s="218" t="s">
        <v>183</v>
      </c>
      <c r="H117" s="219"/>
      <c r="I117" s="220"/>
      <c r="J117" s="218" t="s">
        <v>184</v>
      </c>
      <c r="K117" s="220"/>
      <c r="L117" s="218" t="s">
        <v>185</v>
      </c>
      <c r="M117" s="219"/>
      <c r="N117" s="220"/>
      <c r="O117" s="228" t="s">
        <v>40</v>
      </c>
      <c r="P117" s="229"/>
      <c r="Q117" s="3"/>
      <c r="R117" s="3"/>
    </row>
    <row r="118" spans="2:19" ht="18" customHeight="1" x14ac:dyDescent="0.3">
      <c r="E118" s="221"/>
      <c r="F118" s="223"/>
      <c r="G118" s="221"/>
      <c r="H118" s="222"/>
      <c r="I118" s="223"/>
      <c r="J118" s="221"/>
      <c r="K118" s="223"/>
      <c r="L118" s="221"/>
      <c r="M118" s="222"/>
      <c r="N118" s="223"/>
      <c r="O118" s="230"/>
      <c r="P118" s="231"/>
      <c r="Q118" s="3"/>
      <c r="R118" s="3"/>
    </row>
    <row r="119" spans="2:19" x14ac:dyDescent="0.3">
      <c r="E119" s="225">
        <f>INCERTIDUMBRE!B5</f>
        <v>0</v>
      </c>
      <c r="F119" s="225"/>
      <c r="G119" s="226">
        <f>INCERTIDUMBRE!C5</f>
        <v>0</v>
      </c>
      <c r="H119" s="226">
        <v>0</v>
      </c>
      <c r="I119" s="226"/>
      <c r="J119" s="226">
        <f>INCERTIDUMBRE!D5</f>
        <v>0</v>
      </c>
      <c r="K119" s="226"/>
      <c r="L119" s="227">
        <f>INCERTIDUMBRE!N5</f>
        <v>4.0952848550134251E-2</v>
      </c>
      <c r="M119" s="227"/>
      <c r="N119" s="227"/>
      <c r="O119" s="216">
        <f>INCERTIDUMBRE!L5</f>
        <v>2.0062716492261359</v>
      </c>
      <c r="P119" s="216"/>
      <c r="Q119" s="3"/>
      <c r="R119" s="3"/>
    </row>
    <row r="120" spans="2:19" x14ac:dyDescent="0.3">
      <c r="E120" s="225">
        <f>INCERTIDUMBRE!B6</f>
        <v>15.000067999999999</v>
      </c>
      <c r="F120" s="225"/>
      <c r="G120" s="226">
        <f>INCERTIDUMBRE!C6</f>
        <v>15</v>
      </c>
      <c r="H120" s="226">
        <v>1</v>
      </c>
      <c r="I120" s="226"/>
      <c r="J120" s="226">
        <f>INCERTIDUMBRE!D6</f>
        <v>-6.7999999998846761E-5</v>
      </c>
      <c r="K120" s="226"/>
      <c r="L120" s="227">
        <f>INCERTIDUMBRE!N6</f>
        <v>4.0962848125510279E-2</v>
      </c>
      <c r="M120" s="227"/>
      <c r="N120" s="227"/>
      <c r="O120" s="216">
        <f>INCERTIDUMBRE!L6</f>
        <v>2.0062716492261359</v>
      </c>
      <c r="P120" s="216"/>
      <c r="Q120" s="3"/>
      <c r="R120" s="3"/>
    </row>
    <row r="121" spans="2:19" x14ac:dyDescent="0.3">
      <c r="E121" s="225">
        <f>INCERTIDUMBRE!B7</f>
        <v>30.000010000000003</v>
      </c>
      <c r="F121" s="225"/>
      <c r="G121" s="226">
        <f>INCERTIDUMBRE!C7</f>
        <v>30</v>
      </c>
      <c r="H121" s="226">
        <v>2</v>
      </c>
      <c r="I121" s="226"/>
      <c r="J121" s="226">
        <f>INCERTIDUMBRE!D7</f>
        <v>-1.0000000003174137E-5</v>
      </c>
      <c r="K121" s="226"/>
      <c r="L121" s="217">
        <f>INCERTIDUMBRE!N7</f>
        <v>4.0992437716400945E-2</v>
      </c>
      <c r="M121" s="217"/>
      <c r="N121" s="217"/>
      <c r="O121" s="216">
        <f>INCERTIDUMBRE!L7</f>
        <v>2.0062559674616853</v>
      </c>
      <c r="P121" s="216"/>
      <c r="Q121" s="3"/>
      <c r="R121" s="3"/>
    </row>
    <row r="122" spans="2:19" x14ac:dyDescent="0.3">
      <c r="E122" s="225">
        <f>INCERTIDUMBRE!B8</f>
        <v>44.999838000000004</v>
      </c>
      <c r="F122" s="225"/>
      <c r="G122" s="226">
        <f>INCERTIDUMBRE!C8</f>
        <v>45</v>
      </c>
      <c r="H122" s="226">
        <v>3</v>
      </c>
      <c r="I122" s="226"/>
      <c r="J122" s="226">
        <f>INCERTIDUMBRE!D8</f>
        <v>1.6199999999599868E-4</v>
      </c>
      <c r="K122" s="226"/>
      <c r="L122" s="217">
        <f>INCERTIDUMBRE!N8</f>
        <v>4.1041504796085142E-2</v>
      </c>
      <c r="M122" s="217"/>
      <c r="N122" s="217"/>
      <c r="O122" s="216">
        <f>INCERTIDUMBRE!L8</f>
        <v>2.0062248381184355</v>
      </c>
      <c r="P122" s="216"/>
      <c r="Q122" s="3"/>
      <c r="R122" s="3"/>
    </row>
    <row r="123" spans="2:19" x14ac:dyDescent="0.3">
      <c r="E123" s="225">
        <f>INCERTIDUMBRE!B9</f>
        <v>59.999679999999998</v>
      </c>
      <c r="F123" s="225"/>
      <c r="G123" s="226">
        <f>INCERTIDUMBRE!C9</f>
        <v>60</v>
      </c>
      <c r="H123" s="226">
        <v>4</v>
      </c>
      <c r="I123" s="226"/>
      <c r="J123" s="226">
        <f>INCERTIDUMBRE!D9</f>
        <v>3.2000000000209639E-4</v>
      </c>
      <c r="K123" s="226"/>
      <c r="L123" s="217">
        <f>INCERTIDUMBRE!N9</f>
        <v>4.1110106616600361E-2</v>
      </c>
      <c r="M123" s="217"/>
      <c r="N123" s="217"/>
      <c r="O123" s="216">
        <f>INCERTIDUMBRE!L9</f>
        <v>2.0061787208895829</v>
      </c>
      <c r="P123" s="216"/>
      <c r="Q123" s="3"/>
      <c r="R123" s="3"/>
    </row>
    <row r="124" spans="2:19" x14ac:dyDescent="0.3">
      <c r="E124" s="225">
        <f>INCERTIDUMBRE!B10</f>
        <v>74.999948000000003</v>
      </c>
      <c r="F124" s="225"/>
      <c r="G124" s="226">
        <f>INCERTIDUMBRE!C10</f>
        <v>75</v>
      </c>
      <c r="H124" s="226">
        <v>5</v>
      </c>
      <c r="I124" s="226"/>
      <c r="J124" s="226">
        <f>INCERTIDUMBRE!D10</f>
        <v>5.1999999996610313E-5</v>
      </c>
      <c r="K124" s="226"/>
      <c r="L124" s="217">
        <f>INCERTIDUMBRE!N10</f>
        <v>4.1198594546963493E-2</v>
      </c>
      <c r="M124" s="217"/>
      <c r="N124" s="217"/>
      <c r="O124" s="216">
        <f>INCERTIDUMBRE!L10</f>
        <v>2.0061332822250795</v>
      </c>
      <c r="P124" s="216"/>
      <c r="Q124" s="3"/>
      <c r="R124" s="3"/>
    </row>
    <row r="125" spans="2:19" x14ac:dyDescent="0.3">
      <c r="E125" s="225">
        <f>INCERTIDUMBRE!B11</f>
        <v>90.000040000000013</v>
      </c>
      <c r="F125" s="225"/>
      <c r="G125" s="226">
        <f>INCERTIDUMBRE!C11</f>
        <v>90</v>
      </c>
      <c r="H125" s="226">
        <v>6</v>
      </c>
      <c r="I125" s="226"/>
      <c r="J125" s="226">
        <f>INCERTIDUMBRE!D11</f>
        <v>-4.0000000012696546E-5</v>
      </c>
      <c r="K125" s="226"/>
      <c r="L125" s="217">
        <f>INCERTIDUMBRE!N11</f>
        <v>4.1306207290415189E-2</v>
      </c>
      <c r="M125" s="217"/>
      <c r="N125" s="217"/>
      <c r="O125" s="216">
        <f>INCERTIDUMBRE!L11</f>
        <v>2.0060737272498681</v>
      </c>
      <c r="P125" s="216"/>
      <c r="Q125" s="3"/>
      <c r="R125" s="3"/>
    </row>
    <row r="126" spans="2:19" x14ac:dyDescent="0.3">
      <c r="E126" s="225">
        <f>INCERTIDUMBRE!B12</f>
        <v>104.999808</v>
      </c>
      <c r="F126" s="225"/>
      <c r="G126" s="226">
        <f>INCERTIDUMBRE!C12</f>
        <v>105</v>
      </c>
      <c r="H126" s="226">
        <v>7</v>
      </c>
      <c r="I126" s="226"/>
      <c r="J126" s="226">
        <f>INCERTIDUMBRE!D12</f>
        <v>1.9199999999841566E-4</v>
      </c>
      <c r="K126" s="226"/>
      <c r="L126" s="217">
        <f>INCERTIDUMBRE!N12</f>
        <v>4.1433203197619596E-2</v>
      </c>
      <c r="M126" s="217"/>
      <c r="N126" s="217"/>
      <c r="O126" s="216">
        <f>INCERTIDUMBRE!L12</f>
        <v>2.0060008910872194</v>
      </c>
      <c r="P126" s="216"/>
      <c r="Q126" s="3"/>
      <c r="R126" s="3"/>
    </row>
    <row r="127" spans="2:19" x14ac:dyDescent="0.3">
      <c r="E127" s="225">
        <f>INCERTIDUMBRE!B13</f>
        <v>120.00009</v>
      </c>
      <c r="F127" s="225"/>
      <c r="G127" s="226">
        <f>INCERTIDUMBRE!C13</f>
        <v>120</v>
      </c>
      <c r="H127" s="226">
        <v>8</v>
      </c>
      <c r="I127" s="226"/>
      <c r="J127" s="226">
        <f>INCERTIDUMBRE!D13</f>
        <v>-9.0000000000145519E-5</v>
      </c>
      <c r="K127" s="226"/>
      <c r="L127" s="217">
        <f>INCERTIDUMBRE!N13</f>
        <v>4.1579429120406158E-2</v>
      </c>
      <c r="M127" s="217"/>
      <c r="N127" s="217"/>
      <c r="O127" s="216">
        <f>INCERTIDUMBRE!L13</f>
        <v>2.0059157617894563</v>
      </c>
      <c r="P127" s="216"/>
      <c r="Q127" s="3"/>
      <c r="R127" s="3"/>
    </row>
    <row r="128" spans="2:19" x14ac:dyDescent="0.3">
      <c r="E128" s="225">
        <f>INCERTIDUMBRE!B14</f>
        <v>134.999908</v>
      </c>
      <c r="F128" s="225"/>
      <c r="G128" s="226">
        <f>INCERTIDUMBRE!C14</f>
        <v>135</v>
      </c>
      <c r="H128" s="226">
        <v>9</v>
      </c>
      <c r="I128" s="226"/>
      <c r="J128" s="226">
        <f>INCERTIDUMBRE!D14</f>
        <v>9.1999999995096005E-5</v>
      </c>
      <c r="K128" s="226"/>
      <c r="L128" s="217">
        <f>INCERTIDUMBRE!N14</f>
        <v>4.1744334892621651E-2</v>
      </c>
      <c r="M128" s="217"/>
      <c r="N128" s="217"/>
      <c r="O128" s="216">
        <f>INCERTIDUMBRE!L14</f>
        <v>2.005819448452272</v>
      </c>
      <c r="P128" s="216"/>
      <c r="Q128" s="3"/>
      <c r="R128" s="3"/>
    </row>
    <row r="129" spans="2:19" x14ac:dyDescent="0.3">
      <c r="E129" s="225">
        <f>INCERTIDUMBRE!B15</f>
        <v>149.99973599999998</v>
      </c>
      <c r="F129" s="225"/>
      <c r="G129" s="226">
        <f>INCERTIDUMBRE!C15</f>
        <v>150</v>
      </c>
      <c r="H129" s="226">
        <v>10</v>
      </c>
      <c r="I129" s="226"/>
      <c r="J129" s="226">
        <f>INCERTIDUMBRE!D15</f>
        <v>2.640000000155851E-4</v>
      </c>
      <c r="K129" s="226"/>
      <c r="L129" s="217">
        <f>INCERTIDUMBRE!N15</f>
        <v>4.1909373380413222E-2</v>
      </c>
      <c r="M129" s="217"/>
      <c r="N129" s="217"/>
      <c r="O129" s="216">
        <f>INCERTIDUMBRE!L15</f>
        <v>2.0057393569012056</v>
      </c>
      <c r="P129" s="216"/>
      <c r="Q129" s="3"/>
      <c r="R129" s="3"/>
    </row>
    <row r="133" spans="2:19" ht="16.8" customHeight="1" x14ac:dyDescent="0.3">
      <c r="B133" s="150" t="s">
        <v>145</v>
      </c>
      <c r="C133" s="150"/>
      <c r="D133" s="150"/>
      <c r="E133" s="150"/>
      <c r="F133" s="150"/>
      <c r="G133" s="150"/>
      <c r="H133" s="150"/>
      <c r="I133" s="150"/>
      <c r="J133" s="150"/>
      <c r="K133" s="150"/>
      <c r="L133" s="150"/>
      <c r="M133" s="150"/>
      <c r="N133" s="150"/>
      <c r="O133" s="150"/>
      <c r="P133" s="150"/>
      <c r="Q133" s="150"/>
      <c r="R133" s="150"/>
      <c r="S133" s="150"/>
    </row>
    <row r="134" spans="2:19" ht="16.8" customHeight="1" x14ac:dyDescent="0.3"/>
    <row r="135" spans="2:19" ht="16.8" customHeight="1" x14ac:dyDescent="0.3">
      <c r="B135" s="149" t="s">
        <v>21</v>
      </c>
      <c r="C135" s="149"/>
      <c r="D135" s="149"/>
      <c r="E135" s="149"/>
      <c r="F135" s="149"/>
      <c r="G135" s="149"/>
      <c r="H135" s="164" t="s">
        <v>106</v>
      </c>
      <c r="I135" s="164"/>
      <c r="J135" s="164"/>
      <c r="K135" s="164"/>
      <c r="L135" s="164"/>
      <c r="M135" s="164"/>
      <c r="N135" s="164"/>
      <c r="O135" s="164"/>
      <c r="P135" s="164"/>
      <c r="Q135" s="164"/>
      <c r="R135" s="164"/>
      <c r="S135" s="164"/>
    </row>
    <row r="136" spans="2:19" ht="16.8" customHeight="1" x14ac:dyDescent="0.3">
      <c r="B136" s="149" t="s">
        <v>22</v>
      </c>
      <c r="C136" s="149"/>
      <c r="D136" s="149"/>
      <c r="E136" s="149"/>
      <c r="F136" s="149"/>
      <c r="G136" s="149"/>
      <c r="H136" s="164" t="s">
        <v>106</v>
      </c>
      <c r="I136" s="164"/>
      <c r="J136" s="164"/>
      <c r="K136" s="164"/>
      <c r="L136" s="164"/>
      <c r="M136" s="164"/>
      <c r="N136" s="164"/>
      <c r="O136" s="164"/>
      <c r="P136" s="164"/>
      <c r="Q136" s="164"/>
      <c r="R136" s="164"/>
      <c r="S136" s="164"/>
    </row>
    <row r="137" spans="2:19" ht="16.8" customHeight="1" x14ac:dyDescent="0.3">
      <c r="B137" s="149" t="s">
        <v>23</v>
      </c>
      <c r="C137" s="149"/>
      <c r="D137" s="149"/>
      <c r="E137" s="149"/>
      <c r="F137" s="4"/>
      <c r="G137" s="4"/>
      <c r="H137" s="4"/>
    </row>
    <row r="138" spans="2:19" x14ac:dyDescent="0.3">
      <c r="B138" s="153" t="s">
        <v>24</v>
      </c>
      <c r="C138" s="153"/>
      <c r="D138" s="153"/>
      <c r="E138" s="153"/>
      <c r="F138" s="153"/>
      <c r="G138" s="153"/>
      <c r="H138" s="164" t="s">
        <v>213</v>
      </c>
      <c r="I138" s="164"/>
      <c r="J138" s="164"/>
      <c r="K138" s="164"/>
      <c r="L138" s="164"/>
      <c r="M138" s="164"/>
      <c r="N138" s="164"/>
      <c r="O138" s="164"/>
      <c r="P138" s="164"/>
      <c r="Q138" s="164"/>
      <c r="R138" s="164"/>
      <c r="S138" s="164"/>
    </row>
    <row r="139" spans="2:19" x14ac:dyDescent="0.3">
      <c r="B139" s="153" t="s">
        <v>25</v>
      </c>
      <c r="C139" s="153"/>
      <c r="D139" s="153"/>
      <c r="E139" s="153"/>
      <c r="F139" s="153"/>
      <c r="G139" s="153"/>
      <c r="H139" s="165" t="s">
        <v>214</v>
      </c>
      <c r="I139" s="165"/>
      <c r="J139" s="165"/>
      <c r="K139" s="165"/>
      <c r="L139" s="165"/>
      <c r="M139" s="165"/>
      <c r="N139" s="165"/>
      <c r="O139" s="165"/>
      <c r="P139" s="165"/>
      <c r="Q139" s="165"/>
      <c r="R139" s="165"/>
      <c r="S139" s="165"/>
    </row>
    <row r="140" spans="2:19" x14ac:dyDescent="0.3">
      <c r="B140" s="4" t="s">
        <v>26</v>
      </c>
      <c r="C140" s="4"/>
      <c r="D140" s="4"/>
      <c r="E140" s="4"/>
      <c r="F140" s="4"/>
      <c r="G140" s="4"/>
      <c r="H140" s="164" t="s">
        <v>106</v>
      </c>
      <c r="I140" s="164"/>
      <c r="J140" s="164"/>
      <c r="K140" s="164"/>
      <c r="L140" s="164"/>
      <c r="M140" s="164"/>
      <c r="N140" s="164"/>
      <c r="O140" s="164"/>
      <c r="P140" s="164"/>
      <c r="Q140" s="164"/>
      <c r="R140" s="164"/>
      <c r="S140" s="164"/>
    </row>
    <row r="141" spans="2:19" x14ac:dyDescent="0.3">
      <c r="B141" s="4"/>
      <c r="C141" s="4"/>
      <c r="D141" s="4"/>
      <c r="E141" s="4"/>
      <c r="F141" s="4"/>
      <c r="G141" s="4"/>
      <c r="H141" s="98"/>
      <c r="I141" s="98"/>
      <c r="J141" s="98"/>
      <c r="K141" s="98"/>
      <c r="L141" s="98"/>
      <c r="M141" s="98"/>
      <c r="N141" s="98"/>
      <c r="O141" s="98"/>
      <c r="P141" s="98"/>
      <c r="Q141" s="98"/>
      <c r="R141" s="98"/>
      <c r="S141" s="98"/>
    </row>
    <row r="143" spans="2:19" ht="24" customHeight="1" x14ac:dyDescent="0.3">
      <c r="B143" s="148" t="s">
        <v>229</v>
      </c>
      <c r="C143" s="148"/>
      <c r="D143" s="148"/>
      <c r="E143" s="148"/>
      <c r="F143" s="148"/>
      <c r="G143" s="148"/>
      <c r="H143" s="148"/>
      <c r="I143" s="148"/>
      <c r="J143" s="148"/>
      <c r="K143" s="148"/>
      <c r="L143" s="148"/>
      <c r="M143" s="148"/>
      <c r="N143" s="148"/>
      <c r="O143" s="148"/>
      <c r="P143" s="148"/>
      <c r="Q143" s="148"/>
      <c r="R143" s="148"/>
      <c r="S143" s="148"/>
    </row>
    <row r="155" ht="16.2" customHeight="1" x14ac:dyDescent="0.3"/>
    <row r="160" ht="16.8" customHeight="1" x14ac:dyDescent="0.3"/>
    <row r="161" ht="24" customHeight="1" x14ac:dyDescent="0.3"/>
    <row r="165" ht="16.8" customHeight="1" x14ac:dyDescent="0.3"/>
    <row r="169" ht="24" customHeight="1" x14ac:dyDescent="0.3"/>
  </sheetData>
  <mergeCells count="193">
    <mergeCell ref="E129:F129"/>
    <mergeCell ref="G129:I129"/>
    <mergeCell ref="J129:K129"/>
    <mergeCell ref="L129:N129"/>
    <mergeCell ref="O129:P129"/>
    <mergeCell ref="L95:N95"/>
    <mergeCell ref="J95:K95"/>
    <mergeCell ref="H95:I95"/>
    <mergeCell ref="F95:G95"/>
    <mergeCell ref="E117:F118"/>
    <mergeCell ref="E127:F127"/>
    <mergeCell ref="G127:I127"/>
    <mergeCell ref="J127:K127"/>
    <mergeCell ref="L127:N127"/>
    <mergeCell ref="O127:P127"/>
    <mergeCell ref="E128:F128"/>
    <mergeCell ref="G128:I128"/>
    <mergeCell ref="J128:K128"/>
    <mergeCell ref="L128:N128"/>
    <mergeCell ref="O128:P128"/>
    <mergeCell ref="E125:F125"/>
    <mergeCell ref="G125:I125"/>
    <mergeCell ref="J125:K125"/>
    <mergeCell ref="E122:F122"/>
    <mergeCell ref="G122:I122"/>
    <mergeCell ref="J122:K122"/>
    <mergeCell ref="L122:N122"/>
    <mergeCell ref="O122:P122"/>
    <mergeCell ref="L125:N125"/>
    <mergeCell ref="O125:P125"/>
    <mergeCell ref="E126:F126"/>
    <mergeCell ref="G126:I126"/>
    <mergeCell ref="J126:K126"/>
    <mergeCell ref="L126:N126"/>
    <mergeCell ref="O126:P126"/>
    <mergeCell ref="E123:F123"/>
    <mergeCell ref="G123:I123"/>
    <mergeCell ref="J123:K123"/>
    <mergeCell ref="L123:N123"/>
    <mergeCell ref="O123:P123"/>
    <mergeCell ref="E124:F124"/>
    <mergeCell ref="G124:I124"/>
    <mergeCell ref="J124:K124"/>
    <mergeCell ref="L124:N124"/>
    <mergeCell ref="O124:P124"/>
    <mergeCell ref="E120:F120"/>
    <mergeCell ref="G120:I120"/>
    <mergeCell ref="J120:K120"/>
    <mergeCell ref="L120:N120"/>
    <mergeCell ref="O120:P120"/>
    <mergeCell ref="E121:F121"/>
    <mergeCell ref="G121:I121"/>
    <mergeCell ref="J121:K121"/>
    <mergeCell ref="L121:N121"/>
    <mergeCell ref="O121:P121"/>
    <mergeCell ref="L100:N100"/>
    <mergeCell ref="L87:O87"/>
    <mergeCell ref="F88:G88"/>
    <mergeCell ref="H88:J88"/>
    <mergeCell ref="E119:F119"/>
    <mergeCell ref="G119:I119"/>
    <mergeCell ref="J119:K119"/>
    <mergeCell ref="L119:N119"/>
    <mergeCell ref="O119:P119"/>
    <mergeCell ref="O117:P118"/>
    <mergeCell ref="F97:G97"/>
    <mergeCell ref="J96:K96"/>
    <mergeCell ref="L96:N96"/>
    <mergeCell ref="J97:K97"/>
    <mergeCell ref="H140:S140"/>
    <mergeCell ref="H79:I79"/>
    <mergeCell ref="H83:J83"/>
    <mergeCell ref="L83:O83"/>
    <mergeCell ref="H84:J84"/>
    <mergeCell ref="L84:O84"/>
    <mergeCell ref="H85:J85"/>
    <mergeCell ref="H86:J86"/>
    <mergeCell ref="F87:G87"/>
    <mergeCell ref="H87:J87"/>
    <mergeCell ref="H135:S135"/>
    <mergeCell ref="H136:S136"/>
    <mergeCell ref="G117:I118"/>
    <mergeCell ref="J117:K118"/>
    <mergeCell ref="L117:N118"/>
    <mergeCell ref="L86:O86"/>
    <mergeCell ref="L85:O85"/>
    <mergeCell ref="F99:G99"/>
    <mergeCell ref="H99:I99"/>
    <mergeCell ref="J99:K99"/>
    <mergeCell ref="L99:N99"/>
    <mergeCell ref="F100:G100"/>
    <mergeCell ref="H100:I100"/>
    <mergeCell ref="J100:K100"/>
    <mergeCell ref="B72:G72"/>
    <mergeCell ref="B70:G70"/>
    <mergeCell ref="B71:G71"/>
    <mergeCell ref="B73:G73"/>
    <mergeCell ref="B64:S64"/>
    <mergeCell ref="F45:J45"/>
    <mergeCell ref="F48:J48"/>
    <mergeCell ref="F46:G46"/>
    <mergeCell ref="K46:L46"/>
    <mergeCell ref="K48:P48"/>
    <mergeCell ref="K45:O45"/>
    <mergeCell ref="B51:S58"/>
    <mergeCell ref="B61:S62"/>
    <mergeCell ref="H72:L72"/>
    <mergeCell ref="H73:L73"/>
    <mergeCell ref="M72:O72"/>
    <mergeCell ref="M73:O73"/>
    <mergeCell ref="P72:S72"/>
    <mergeCell ref="P73:S73"/>
    <mergeCell ref="M31:R31"/>
    <mergeCell ref="I31:L31"/>
    <mergeCell ref="B65:S68"/>
    <mergeCell ref="P71:S71"/>
    <mergeCell ref="H70:L70"/>
    <mergeCell ref="H71:L71"/>
    <mergeCell ref="M70:O70"/>
    <mergeCell ref="M71:O71"/>
    <mergeCell ref="P70:S70"/>
    <mergeCell ref="B60:S60"/>
    <mergeCell ref="I33:L33"/>
    <mergeCell ref="B50:S50"/>
    <mergeCell ref="B41:S43"/>
    <mergeCell ref="B40:S40"/>
    <mergeCell ref="M32:O32"/>
    <mergeCell ref="I32:L32"/>
    <mergeCell ref="R38:S38"/>
    <mergeCell ref="O38:Q38"/>
    <mergeCell ref="I1:K1"/>
    <mergeCell ref="J2:K2"/>
    <mergeCell ref="G2:I2"/>
    <mergeCell ref="C3:R3"/>
    <mergeCell ref="I9:R9"/>
    <mergeCell ref="I10:R10"/>
    <mergeCell ref="I7:R7"/>
    <mergeCell ref="I8:R8"/>
    <mergeCell ref="C9:G9"/>
    <mergeCell ref="C8:G8"/>
    <mergeCell ref="C7:G7"/>
    <mergeCell ref="C6:G6"/>
    <mergeCell ref="C5:G5"/>
    <mergeCell ref="I5:R5"/>
    <mergeCell ref="I6:R6"/>
    <mergeCell ref="I21:R21"/>
    <mergeCell ref="C23:R28"/>
    <mergeCell ref="O1:Q1"/>
    <mergeCell ref="R1:S1"/>
    <mergeCell ref="C13:G13"/>
    <mergeCell ref="C12:G12"/>
    <mergeCell ref="C11:G11"/>
    <mergeCell ref="C10:G10"/>
    <mergeCell ref="B76:S76"/>
    <mergeCell ref="I11:R11"/>
    <mergeCell ref="I12:R12"/>
    <mergeCell ref="C19:G19"/>
    <mergeCell ref="C20:G20"/>
    <mergeCell ref="C21:G21"/>
    <mergeCell ref="I17:R17"/>
    <mergeCell ref="I18:R18"/>
    <mergeCell ref="I19:R19"/>
    <mergeCell ref="I20:R20"/>
    <mergeCell ref="C15:R15"/>
    <mergeCell ref="C17:G17"/>
    <mergeCell ref="C18:G18"/>
    <mergeCell ref="I13:R13"/>
    <mergeCell ref="R74:S74"/>
    <mergeCell ref="O74:Q74"/>
    <mergeCell ref="B143:S143"/>
    <mergeCell ref="B135:G135"/>
    <mergeCell ref="B136:G136"/>
    <mergeCell ref="B133:S133"/>
    <mergeCell ref="F84:G84"/>
    <mergeCell ref="F83:G83"/>
    <mergeCell ref="B138:G138"/>
    <mergeCell ref="F86:G86"/>
    <mergeCell ref="F85:G85"/>
    <mergeCell ref="H92:I92"/>
    <mergeCell ref="H97:I97"/>
    <mergeCell ref="F98:G98"/>
    <mergeCell ref="H98:I98"/>
    <mergeCell ref="L97:N97"/>
    <mergeCell ref="J98:K98"/>
    <mergeCell ref="L98:N98"/>
    <mergeCell ref="R111:S111"/>
    <mergeCell ref="O111:Q111"/>
    <mergeCell ref="B137:E137"/>
    <mergeCell ref="H138:S138"/>
    <mergeCell ref="B139:G139"/>
    <mergeCell ref="H139:S139"/>
    <mergeCell ref="F96:G96"/>
    <mergeCell ref="H96:I96"/>
  </mergeCells>
  <phoneticPr fontId="30"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2023-12-14T01:06:01Z</cp:lastPrinted>
  <dcterms:created xsi:type="dcterms:W3CDTF">2021-02-01T13:40:27Z</dcterms:created>
  <dcterms:modified xsi:type="dcterms:W3CDTF">2026-05-05T01:06:41Z</dcterms:modified>
</cp:coreProperties>
</file>