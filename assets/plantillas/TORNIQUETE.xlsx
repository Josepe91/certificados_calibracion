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DB17860F-6C2F-4656-937E-E1F6D3465B8B}" xr6:coauthVersionLast="47" xr6:coauthVersionMax="47" xr10:uidLastSave="{00000000-0000-0000-0000-000000000000}"/>
  <bookViews>
    <workbookView xWindow="-108" yWindow="-108" windowWidth="23256" windowHeight="12456"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 i="20" l="1"/>
  <c r="P85" i="32" l="1"/>
  <c r="N85" i="32"/>
  <c r="F86" i="32"/>
  <c r="L85" i="32"/>
  <c r="J85" i="32"/>
  <c r="H85" i="32"/>
  <c r="F85" i="32"/>
  <c r="I5" i="21"/>
  <c r="F8" i="20"/>
  <c r="H8" i="20" s="1"/>
  <c r="M8" i="20" s="1"/>
  <c r="G8" i="20"/>
  <c r="I8" i="20" s="1"/>
  <c r="N46" i="32"/>
  <c r="K46" i="32"/>
  <c r="I46" i="32"/>
  <c r="F46" i="32"/>
  <c r="M31" i="32"/>
  <c r="I18" i="32"/>
  <c r="I19" i="32"/>
  <c r="I20" i="32"/>
  <c r="I21" i="32"/>
  <c r="I17" i="32"/>
  <c r="I12" i="32"/>
  <c r="I11" i="32"/>
  <c r="I10" i="32"/>
  <c r="I9" i="32"/>
  <c r="I8" i="32"/>
  <c r="I7" i="32"/>
  <c r="I6" i="32"/>
  <c r="I5" i="32"/>
  <c r="R1" i="32"/>
  <c r="L8" i="20" l="1"/>
  <c r="B10" i="23"/>
  <c r="M32" i="32" s="1"/>
  <c r="B9" i="23"/>
  <c r="I13" i="32" s="1"/>
  <c r="E9" i="20"/>
  <c r="L86" i="32" s="1"/>
  <c r="D9" i="20"/>
  <c r="J86" i="32" s="1"/>
  <c r="C9" i="20"/>
  <c r="H86" i="32" s="1"/>
  <c r="J9" i="20" l="1"/>
  <c r="N86" i="32" s="1"/>
  <c r="I6" i="21"/>
  <c r="K9" i="20"/>
  <c r="P86" i="32" s="1"/>
  <c r="G9" i="20"/>
  <c r="B10" i="20" s="1"/>
  <c r="F9" i="20"/>
  <c r="H9" i="20" s="1"/>
  <c r="R38" i="32"/>
  <c r="G6" i="21"/>
  <c r="G7" i="21"/>
  <c r="G8" i="21"/>
  <c r="G9" i="21"/>
  <c r="G10" i="21"/>
  <c r="G11" i="21"/>
  <c r="G5" i="21"/>
  <c r="E6" i="21"/>
  <c r="E7" i="21"/>
  <c r="E8" i="21"/>
  <c r="E9" i="21"/>
  <c r="E10" i="21"/>
  <c r="E11" i="21"/>
  <c r="E5" i="21"/>
  <c r="D6" i="21"/>
  <c r="D7" i="21"/>
  <c r="D8" i="21"/>
  <c r="D9" i="21"/>
  <c r="D10" i="21"/>
  <c r="D11" i="21"/>
  <c r="D5" i="21"/>
  <c r="G95" i="32"/>
  <c r="G96" i="32"/>
  <c r="G97" i="32"/>
  <c r="G98" i="32"/>
  <c r="G99" i="32"/>
  <c r="G100" i="32"/>
  <c r="G94" i="32"/>
  <c r="D86" i="32"/>
  <c r="D87" i="32"/>
  <c r="D88" i="32"/>
  <c r="D89" i="32"/>
  <c r="D90" i="32"/>
  <c r="D91" i="32"/>
  <c r="D85" i="32"/>
  <c r="J4" i="25"/>
  <c r="F6" i="25"/>
  <c r="F7" i="25"/>
  <c r="F8" i="25"/>
  <c r="F9" i="25"/>
  <c r="F10" i="25"/>
  <c r="F5" i="25"/>
  <c r="O38" i="32"/>
  <c r="O76" i="32"/>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B5" i="21"/>
  <c r="F4" i="25"/>
  <c r="N3" i="21"/>
  <c r="B7" i="21"/>
  <c r="B8" i="21"/>
  <c r="B9" i="21"/>
  <c r="B10" i="21"/>
  <c r="B11" i="21"/>
  <c r="B6" i="21"/>
  <c r="E12" i="21"/>
  <c r="F12" i="21"/>
  <c r="G12" i="21"/>
  <c r="H12" i="21"/>
  <c r="D12" i="21"/>
  <c r="E4" i="25"/>
  <c r="E5" i="25"/>
  <c r="E6" i="25"/>
  <c r="E7" i="25"/>
  <c r="E8" i="25"/>
  <c r="E9" i="25"/>
  <c r="E10" i="25"/>
  <c r="G4" i="25"/>
  <c r="H4" i="25"/>
  <c r="G10" i="25"/>
  <c r="H10" i="25"/>
  <c r="G9" i="25"/>
  <c r="H9" i="25"/>
  <c r="G8" i="25"/>
  <c r="H8" i="25"/>
  <c r="G6" i="25"/>
  <c r="H6" i="25"/>
  <c r="F164" i="29"/>
  <c r="G163" i="29"/>
  <c r="H163" i="29"/>
  <c r="E166" i="29"/>
  <c r="G7" i="25"/>
  <c r="H7" i="25"/>
  <c r="I166" i="29"/>
  <c r="G5" i="25"/>
  <c r="H5" i="25"/>
  <c r="I406" i="29"/>
  <c r="J406" i="29"/>
  <c r="F364" i="29"/>
  <c r="G363" i="29"/>
  <c r="H363" i="29"/>
  <c r="E366" i="29"/>
  <c r="G403" i="29"/>
  <c r="H403" i="29"/>
  <c r="E406" i="29"/>
  <c r="F404" i="29"/>
  <c r="J166" i="29"/>
  <c r="H166" i="29"/>
  <c r="E167" i="29"/>
  <c r="E168" i="29"/>
  <c r="F166" i="29"/>
  <c r="F444" i="29"/>
  <c r="G443" i="29"/>
  <c r="H443" i="29"/>
  <c r="J366" i="29"/>
  <c r="J5" i="21"/>
  <c r="D324" i="29"/>
  <c r="G329" i="29"/>
  <c r="I326" i="29"/>
  <c r="E332" i="29"/>
  <c r="F332" i="29"/>
  <c r="G332" i="29"/>
  <c r="L326" i="29"/>
  <c r="E323" i="29"/>
  <c r="F323" i="29"/>
  <c r="L327" i="29"/>
  <c r="H5" i="21"/>
  <c r="D94" i="32"/>
  <c r="C5" i="21"/>
  <c r="H406" i="29"/>
  <c r="F406" i="29"/>
  <c r="E407" i="29"/>
  <c r="E408" i="29"/>
  <c r="F169" i="29"/>
  <c r="F167" i="29"/>
  <c r="M166" i="29"/>
  <c r="C172" i="29"/>
  <c r="J163" i="29"/>
  <c r="F366" i="29"/>
  <c r="E367" i="29"/>
  <c r="E368" i="29"/>
  <c r="H326" i="29"/>
  <c r="J326" i="29"/>
  <c r="F324" i="29"/>
  <c r="G323" i="29"/>
  <c r="H323" i="29"/>
  <c r="E326" i="29"/>
  <c r="J94" i="32"/>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I334" i="29"/>
  <c r="J334" i="29"/>
  <c r="E335" i="29"/>
  <c r="E336" i="29"/>
  <c r="M334" i="29"/>
  <c r="C340" i="29"/>
  <c r="F334"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F337" i="29"/>
  <c r="F335" i="29"/>
  <c r="G345" i="29"/>
  <c r="E342" i="29"/>
  <c r="E348" i="29"/>
  <c r="F348" i="29"/>
  <c r="G348" i="29"/>
  <c r="L342" i="29"/>
  <c r="L343" i="29"/>
  <c r="G342" i="29"/>
  <c r="H345" i="29"/>
  <c r="H422" i="29"/>
  <c r="J422" i="29"/>
  <c r="H190" i="29"/>
  <c r="D364" i="29"/>
  <c r="C388" i="29"/>
  <c r="F385" i="29"/>
  <c r="F383" i="29"/>
  <c r="F423" i="29"/>
  <c r="F425" i="29"/>
  <c r="D404" i="29"/>
  <c r="C428" i="29"/>
  <c r="E191" i="29"/>
  <c r="E192" i="29"/>
  <c r="M190" i="29"/>
  <c r="C196" i="29"/>
  <c r="F190" i="29"/>
  <c r="H382" i="29"/>
  <c r="J382" i="29"/>
  <c r="F342" i="29"/>
  <c r="E343" i="29"/>
  <c r="E344" i="29"/>
  <c r="M342" i="29"/>
  <c r="C348" i="29"/>
  <c r="I342" i="29"/>
  <c r="J34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H342" i="29"/>
  <c r="L350" i="29"/>
  <c r="E350" i="29"/>
  <c r="G350" i="29"/>
  <c r="H353" i="29"/>
  <c r="G353" i="29"/>
  <c r="L351" i="29"/>
  <c r="E356" i="29"/>
  <c r="F356" i="29"/>
  <c r="G356" i="29"/>
  <c r="F345" i="29"/>
  <c r="F343" i="29"/>
  <c r="F430" i="29"/>
  <c r="E431" i="29"/>
  <c r="E432" i="29"/>
  <c r="M430" i="29"/>
  <c r="C436" i="29"/>
  <c r="H390" i="29"/>
  <c r="H201" i="29"/>
  <c r="I198" i="29"/>
  <c r="F198" i="29"/>
  <c r="E391" i="29"/>
  <c r="E392" i="29"/>
  <c r="M390" i="29"/>
  <c r="C396" i="29"/>
  <c r="F390" i="29"/>
  <c r="I430" i="29"/>
  <c r="J430" i="29"/>
  <c r="I350" i="29"/>
  <c r="J350" i="29"/>
  <c r="E351" i="29"/>
  <c r="E352" i="29"/>
  <c r="M350" i="29"/>
  <c r="C356" i="29"/>
  <c r="F350"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350" i="29"/>
  <c r="F353" i="29"/>
  <c r="F351" i="29"/>
  <c r="G358" i="29"/>
  <c r="L359" i="29"/>
  <c r="G361" i="29"/>
  <c r="L358" i="29"/>
  <c r="E358" i="29"/>
  <c r="E359" i="29"/>
  <c r="E360" i="29"/>
  <c r="M358" i="29"/>
  <c r="H441" i="29"/>
  <c r="F438" i="29"/>
  <c r="M438" i="29"/>
  <c r="F398" i="29"/>
  <c r="H401" i="29"/>
  <c r="I398" i="29"/>
  <c r="I438" i="29"/>
  <c r="J438" i="29"/>
  <c r="H361" i="29"/>
  <c r="I358" i="29"/>
  <c r="F358" i="29"/>
  <c r="J398" i="29"/>
  <c r="H398" i="29"/>
  <c r="F401" i="29"/>
  <c r="F399" i="29"/>
  <c r="F441" i="29"/>
  <c r="F439" i="29"/>
  <c r="H438" i="29"/>
  <c r="J358" i="29"/>
  <c r="H358" i="29"/>
  <c r="F359" i="29"/>
  <c r="F361" i="29"/>
  <c r="I4" i="25"/>
  <c r="I9" i="20" l="1"/>
  <c r="M9" i="20" s="1"/>
  <c r="L9" i="20"/>
  <c r="K5" i="21"/>
  <c r="L5" i="21" s="1"/>
  <c r="P94" i="32" s="1"/>
  <c r="R76" i="32"/>
  <c r="F87" i="32" l="1"/>
  <c r="E10" i="20"/>
  <c r="L87" i="32" s="1"/>
  <c r="D10" i="20"/>
  <c r="C10" i="20"/>
  <c r="J10" i="20" s="1"/>
  <c r="N87" i="32" s="1"/>
  <c r="M5" i="21"/>
  <c r="C6" i="21"/>
  <c r="D95" i="32"/>
  <c r="H6" i="21"/>
  <c r="J6" i="21" s="1"/>
  <c r="I7" i="21" l="1"/>
  <c r="F10" i="20"/>
  <c r="H10" i="20" s="1"/>
  <c r="J87" i="32"/>
  <c r="K10" i="20"/>
  <c r="P87" i="32" s="1"/>
  <c r="H87" i="32"/>
  <c r="G10" i="20"/>
  <c r="B11" i="20" s="1"/>
  <c r="M94" i="32"/>
  <c r="C3" i="29"/>
  <c r="K6" i="21"/>
  <c r="L6" i="21" s="1"/>
  <c r="P95" i="32" s="1"/>
  <c r="F88" i="32" l="1"/>
  <c r="C11" i="20"/>
  <c r="J11" i="20" s="1"/>
  <c r="N88" i="32" s="1"/>
  <c r="D11" i="20"/>
  <c r="F11" i="20" s="1"/>
  <c r="E11" i="20"/>
  <c r="L88" i="32" s="1"/>
  <c r="I10" i="20"/>
  <c r="M10" i="20" s="1"/>
  <c r="J96" i="32" s="1"/>
  <c r="C7" i="21"/>
  <c r="H7" i="21"/>
  <c r="J7" i="21" s="1"/>
  <c r="L10" i="20"/>
  <c r="D96" i="32" s="1"/>
  <c r="G5" i="29"/>
  <c r="H8" i="29" s="1"/>
  <c r="E11" i="29"/>
  <c r="F11" i="29" s="1"/>
  <c r="G11" i="29" s="1"/>
  <c r="L6" i="29"/>
  <c r="L5" i="29"/>
  <c r="G8" i="29"/>
  <c r="E2" i="29"/>
  <c r="F2" i="29" s="1"/>
  <c r="M6" i="21"/>
  <c r="I8" i="21" l="1"/>
  <c r="H11" i="20"/>
  <c r="J88" i="32"/>
  <c r="K11" i="20"/>
  <c r="P88" i="32" s="1"/>
  <c r="H88" i="32"/>
  <c r="G11" i="20"/>
  <c r="K7" i="21"/>
  <c r="L7" i="21" s="1"/>
  <c r="P96" i="32" s="1"/>
  <c r="I5" i="29"/>
  <c r="H5" i="29" s="1"/>
  <c r="G2" i="29"/>
  <c r="H2" i="29" s="1"/>
  <c r="E5" i="29" s="1"/>
  <c r="F3" i="29"/>
  <c r="M95" i="32"/>
  <c r="C43" i="29"/>
  <c r="H8" i="21" l="1"/>
  <c r="J8" i="21" s="1"/>
  <c r="K8" i="21" s="1"/>
  <c r="L8" i="21" s="1"/>
  <c r="P97" i="32" s="1"/>
  <c r="B12" i="20"/>
  <c r="I11" i="20"/>
  <c r="M11" i="20" s="1"/>
  <c r="J97" i="32" s="1"/>
  <c r="C8" i="21"/>
  <c r="L11" i="20"/>
  <c r="D97" i="32" s="1"/>
  <c r="M7" i="21"/>
  <c r="J5" i="29"/>
  <c r="E6" i="29"/>
  <c r="E7" i="29" s="1"/>
  <c r="F5" i="29"/>
  <c r="E42" i="29"/>
  <c r="F42" i="29" s="1"/>
  <c r="E51" i="29"/>
  <c r="F51" i="29" s="1"/>
  <c r="G51" i="29" s="1"/>
  <c r="L46" i="29"/>
  <c r="L45" i="29"/>
  <c r="G45" i="29"/>
  <c r="H48" i="29" s="1"/>
  <c r="G48" i="29"/>
  <c r="F89" i="32" l="1"/>
  <c r="E12" i="20"/>
  <c r="L89" i="32" s="1"/>
  <c r="C12" i="20"/>
  <c r="D12" i="20"/>
  <c r="F12" i="20" s="1"/>
  <c r="M8" i="21"/>
  <c r="M96" i="32"/>
  <c r="C83" i="29"/>
  <c r="F8" i="29"/>
  <c r="F6" i="29"/>
  <c r="J2" i="29"/>
  <c r="M5" i="29"/>
  <c r="C11" i="29" s="1"/>
  <c r="I45" i="29"/>
  <c r="J45" i="29" s="1"/>
  <c r="F43" i="29"/>
  <c r="G42" i="29"/>
  <c r="H42" i="29" s="1"/>
  <c r="E45" i="29" s="1"/>
  <c r="I9" i="21" l="1"/>
  <c r="J12" i="20"/>
  <c r="N89" i="32" s="1"/>
  <c r="M97" i="32"/>
  <c r="C124" i="29"/>
  <c r="H89" i="32"/>
  <c r="G12" i="20"/>
  <c r="H12" i="20"/>
  <c r="J89" i="32"/>
  <c r="K12" i="20"/>
  <c r="P89" i="32" s="1"/>
  <c r="G85" i="29"/>
  <c r="L86" i="29"/>
  <c r="E91" i="29"/>
  <c r="F91" i="29" s="1"/>
  <c r="G91" i="29" s="1"/>
  <c r="G88" i="29"/>
  <c r="L85" i="29"/>
  <c r="E82" i="29"/>
  <c r="F82" i="29" s="1"/>
  <c r="G13" i="29"/>
  <c r="H16" i="29" s="1"/>
  <c r="E19" i="29"/>
  <c r="F19" i="29" s="1"/>
  <c r="G19" i="29" s="1"/>
  <c r="E13" i="29"/>
  <c r="L14" i="29"/>
  <c r="G16" i="29"/>
  <c r="I13" i="29" s="1"/>
  <c r="J13" i="29" s="1"/>
  <c r="L13" i="29"/>
  <c r="H45" i="29"/>
  <c r="E46" i="29"/>
  <c r="E47" i="29" s="1"/>
  <c r="F45" i="29"/>
  <c r="C9" i="21" l="1"/>
  <c r="B13" i="20"/>
  <c r="L12" i="20"/>
  <c r="D98" i="32" s="1"/>
  <c r="H9" i="21"/>
  <c r="J9" i="21" s="1"/>
  <c r="K9" i="21" s="1"/>
  <c r="L9" i="21" s="1"/>
  <c r="P98" i="32" s="1"/>
  <c r="E123" i="29"/>
  <c r="F123" i="29" s="1"/>
  <c r="L126" i="29"/>
  <c r="G129" i="29"/>
  <c r="G126" i="29"/>
  <c r="E132" i="29"/>
  <c r="F132" i="29" s="1"/>
  <c r="G132" i="29" s="1"/>
  <c r="L127" i="29"/>
  <c r="I12" i="20"/>
  <c r="M12" i="20" s="1"/>
  <c r="J98" i="32" s="1"/>
  <c r="G82" i="29"/>
  <c r="H82" i="29" s="1"/>
  <c r="E85" i="29" s="1"/>
  <c r="F83" i="29"/>
  <c r="H88" i="29"/>
  <c r="I85" i="29" s="1"/>
  <c r="E14" i="29"/>
  <c r="E15" i="29" s="1"/>
  <c r="M13" i="29" s="1"/>
  <c r="C19" i="29" s="1"/>
  <c r="F13" i="29"/>
  <c r="H13" i="29"/>
  <c r="F46" i="29"/>
  <c r="F48" i="29"/>
  <c r="M45" i="29" s="1"/>
  <c r="C51" i="29" s="1"/>
  <c r="H129" i="29" l="1"/>
  <c r="I126" i="29" s="1"/>
  <c r="J126" i="29" s="1"/>
  <c r="G123" i="29"/>
  <c r="H123" i="29" s="1"/>
  <c r="E126" i="29" s="1"/>
  <c r="F124" i="29"/>
  <c r="F90" i="32"/>
  <c r="C13" i="20"/>
  <c r="D13" i="20"/>
  <c r="E13" i="20"/>
  <c r="L90" i="32" s="1"/>
  <c r="M9" i="21"/>
  <c r="J85" i="29"/>
  <c r="H85" i="29"/>
  <c r="F85" i="29"/>
  <c r="E86" i="29"/>
  <c r="E87" i="29" s="1"/>
  <c r="F14" i="29"/>
  <c r="F16" i="29"/>
  <c r="L22" i="29"/>
  <c r="E27" i="29"/>
  <c r="F27" i="29" s="1"/>
  <c r="G27" i="29" s="1"/>
  <c r="G24" i="29"/>
  <c r="I21" i="29" s="1"/>
  <c r="H21" i="29" s="1"/>
  <c r="E21" i="29"/>
  <c r="L21" i="29"/>
  <c r="G21" i="29"/>
  <c r="H24" i="29" s="1"/>
  <c r="J42" i="29"/>
  <c r="E53" i="29"/>
  <c r="L53" i="29"/>
  <c r="G56" i="29"/>
  <c r="G53" i="29"/>
  <c r="H56" i="29" s="1"/>
  <c r="E59" i="29"/>
  <c r="F59" i="29" s="1"/>
  <c r="G59" i="29" s="1"/>
  <c r="L54" i="29"/>
  <c r="I10" i="21" l="1"/>
  <c r="J13" i="20"/>
  <c r="N90" i="32" s="1"/>
  <c r="J90" i="32"/>
  <c r="K13" i="20"/>
  <c r="P90" i="32" s="1"/>
  <c r="M98" i="32"/>
  <c r="C204" i="29"/>
  <c r="F126" i="29"/>
  <c r="E127" i="29"/>
  <c r="E128" i="29" s="1"/>
  <c r="F13" i="20"/>
  <c r="H126" i="29"/>
  <c r="H90" i="32"/>
  <c r="G13" i="20"/>
  <c r="B14" i="20" s="1"/>
  <c r="F86" i="29"/>
  <c r="F88" i="29"/>
  <c r="J82" i="29" s="1"/>
  <c r="J21" i="29"/>
  <c r="F21" i="29"/>
  <c r="E22" i="29"/>
  <c r="E23" i="29" s="1"/>
  <c r="M21" i="29" s="1"/>
  <c r="I53" i="29"/>
  <c r="J53" i="29" s="1"/>
  <c r="E54" i="29"/>
  <c r="E55" i="29" s="1"/>
  <c r="F53" i="29"/>
  <c r="M85" i="29" l="1"/>
  <c r="C91" i="29" s="1"/>
  <c r="I13" i="20"/>
  <c r="F129" i="29"/>
  <c r="M126" i="29" s="1"/>
  <c r="C132" i="29" s="1"/>
  <c r="F127" i="29"/>
  <c r="G206" i="29"/>
  <c r="H209" i="29" s="1"/>
  <c r="G209" i="29"/>
  <c r="E212" i="29"/>
  <c r="F212" i="29" s="1"/>
  <c r="G212" i="29" s="1"/>
  <c r="L207" i="29"/>
  <c r="E203" i="29"/>
  <c r="F203" i="29" s="1"/>
  <c r="L206" i="29"/>
  <c r="H13" i="20"/>
  <c r="L13" i="20"/>
  <c r="D99" i="32" s="1"/>
  <c r="C10" i="21"/>
  <c r="H10" i="21"/>
  <c r="J10" i="21" s="1"/>
  <c r="C27" i="29"/>
  <c r="D3" i="29"/>
  <c r="N5" i="21" s="1"/>
  <c r="F22" i="29"/>
  <c r="F24" i="29"/>
  <c r="H53" i="29"/>
  <c r="F56" i="29"/>
  <c r="M53" i="29" s="1"/>
  <c r="C59" i="29" s="1"/>
  <c r="F54" i="29"/>
  <c r="M13" i="20" l="1"/>
  <c r="J99" i="32" s="1"/>
  <c r="J123" i="29"/>
  <c r="I206" i="29"/>
  <c r="J206" i="29" s="1"/>
  <c r="E93" i="29"/>
  <c r="E99" i="29"/>
  <c r="F99" i="29" s="1"/>
  <c r="G99" i="29" s="1"/>
  <c r="L94" i="29"/>
  <c r="G93" i="29"/>
  <c r="H96" i="29" s="1"/>
  <c r="L93" i="29"/>
  <c r="G96" i="29"/>
  <c r="K10" i="21"/>
  <c r="L10" i="21" s="1"/>
  <c r="P99" i="32" s="1"/>
  <c r="H206" i="29"/>
  <c r="L134" i="29"/>
  <c r="E140" i="29"/>
  <c r="F140" i="29" s="1"/>
  <c r="G140" i="29" s="1"/>
  <c r="G137" i="29"/>
  <c r="E134" i="29"/>
  <c r="G134" i="29"/>
  <c r="L135" i="29"/>
  <c r="F91" i="32"/>
  <c r="C14" i="20"/>
  <c r="D14" i="20"/>
  <c r="F14" i="20" s="1"/>
  <c r="E14" i="20"/>
  <c r="L91" i="32" s="1"/>
  <c r="G203" i="29"/>
  <c r="H203" i="29" s="1"/>
  <c r="E206" i="29" s="1"/>
  <c r="F204" i="29"/>
  <c r="L29" i="29"/>
  <c r="G29" i="29"/>
  <c r="H32" i="29" s="1"/>
  <c r="E35" i="29"/>
  <c r="F35" i="29" s="1"/>
  <c r="G35" i="29" s="1"/>
  <c r="E29" i="29"/>
  <c r="L30" i="29"/>
  <c r="G32" i="29"/>
  <c r="I29" i="29" s="1"/>
  <c r="J29" i="29" s="1"/>
  <c r="E61" i="29"/>
  <c r="F61" i="29" s="1"/>
  <c r="E67" i="29"/>
  <c r="F67" i="29" s="1"/>
  <c r="G67" i="29" s="1"/>
  <c r="L61" i="29"/>
  <c r="G61" i="29"/>
  <c r="H64" i="29" s="1"/>
  <c r="L62" i="29"/>
  <c r="G64" i="29"/>
  <c r="I93" i="29" l="1"/>
  <c r="H93" i="29" s="1"/>
  <c r="I11" i="21"/>
  <c r="J14" i="20"/>
  <c r="N91" i="32" s="1"/>
  <c r="E94" i="29"/>
  <c r="E95" i="29" s="1"/>
  <c r="F93" i="29"/>
  <c r="F206" i="29"/>
  <c r="E207" i="29"/>
  <c r="E208" i="29" s="1"/>
  <c r="H14" i="20"/>
  <c r="E135" i="29"/>
  <c r="E136" i="29" s="1"/>
  <c r="F134" i="29"/>
  <c r="J91" i="32"/>
  <c r="K14" i="20"/>
  <c r="P91" i="32" s="1"/>
  <c r="H91" i="32"/>
  <c r="G14" i="20"/>
  <c r="I14" i="20" s="1"/>
  <c r="H137" i="29"/>
  <c r="I134" i="29" s="1"/>
  <c r="M10" i="21"/>
  <c r="H29" i="29"/>
  <c r="E30" i="29"/>
  <c r="E31" i="29" s="1"/>
  <c r="M29" i="29" s="1"/>
  <c r="C35" i="29" s="1"/>
  <c r="F29" i="29"/>
  <c r="E62" i="29"/>
  <c r="E63" i="29" s="1"/>
  <c r="I61" i="29"/>
  <c r="J61" i="29" s="1"/>
  <c r="F64" i="29"/>
  <c r="F62" i="29"/>
  <c r="J93" i="29" l="1"/>
  <c r="F96" i="29"/>
  <c r="M93" i="29" s="1"/>
  <c r="C99" i="29" s="1"/>
  <c r="F94" i="29"/>
  <c r="C11" i="21"/>
  <c r="J134" i="29"/>
  <c r="H134" i="29"/>
  <c r="F137" i="29"/>
  <c r="M134" i="29" s="1"/>
  <c r="C140" i="29" s="1"/>
  <c r="F135" i="29"/>
  <c r="L14" i="20"/>
  <c r="D100" i="32" s="1"/>
  <c r="C244" i="29"/>
  <c r="M99" i="32"/>
  <c r="H11" i="21"/>
  <c r="J11" i="21" s="1"/>
  <c r="M14" i="20"/>
  <c r="J100" i="32" s="1"/>
  <c r="F209" i="29"/>
  <c r="M206" i="29" s="1"/>
  <c r="C212" i="29" s="1"/>
  <c r="F207" i="29"/>
  <c r="F30" i="29"/>
  <c r="F32" i="29"/>
  <c r="L38" i="29"/>
  <c r="G37" i="29"/>
  <c r="E37" i="29"/>
  <c r="E38" i="29" s="1"/>
  <c r="E39" i="29" s="1"/>
  <c r="M37" i="29" s="1"/>
  <c r="L37" i="29"/>
  <c r="G40" i="29"/>
  <c r="H61" i="29"/>
  <c r="M61" i="29"/>
  <c r="C67" i="29" s="1"/>
  <c r="E69" i="29" s="1"/>
  <c r="J203" i="29" l="1"/>
  <c r="E107" i="29"/>
  <c r="F107" i="29" s="1"/>
  <c r="G107" i="29" s="1"/>
  <c r="E101" i="29"/>
  <c r="G104" i="29"/>
  <c r="L102" i="29"/>
  <c r="L101" i="29"/>
  <c r="G101" i="29"/>
  <c r="H104" i="29" s="1"/>
  <c r="E243" i="29"/>
  <c r="F243" i="29" s="1"/>
  <c r="E252" i="29"/>
  <c r="F252" i="29" s="1"/>
  <c r="G252" i="29" s="1"/>
  <c r="G249" i="29"/>
  <c r="L246" i="29"/>
  <c r="G246" i="29"/>
  <c r="H249" i="29" s="1"/>
  <c r="L247" i="29"/>
  <c r="G145" i="29"/>
  <c r="G142" i="29"/>
  <c r="L142" i="29"/>
  <c r="L143" i="29"/>
  <c r="E148" i="29"/>
  <c r="F148" i="29" s="1"/>
  <c r="G148" i="29" s="1"/>
  <c r="E142" i="29"/>
  <c r="K11" i="21"/>
  <c r="L11" i="21" s="1"/>
  <c r="P100" i="32" s="1"/>
  <c r="E214" i="29"/>
  <c r="E220" i="29"/>
  <c r="F220" i="29" s="1"/>
  <c r="G220" i="29" s="1"/>
  <c r="G214" i="29"/>
  <c r="H217" i="29" s="1"/>
  <c r="L215" i="29"/>
  <c r="L214" i="29"/>
  <c r="G217" i="29"/>
  <c r="F37" i="29"/>
  <c r="H40" i="29"/>
  <c r="I37" i="29" s="1"/>
  <c r="E75" i="29"/>
  <c r="F75" i="29" s="1"/>
  <c r="G75" i="29" s="1"/>
  <c r="G69" i="29"/>
  <c r="H72" i="29" s="1"/>
  <c r="G72" i="29"/>
  <c r="L70" i="29"/>
  <c r="L69" i="29"/>
  <c r="F69" i="29"/>
  <c r="E70" i="29"/>
  <c r="E71" i="29" s="1"/>
  <c r="I101" i="29" l="1"/>
  <c r="J101" i="29" s="1"/>
  <c r="I214" i="29"/>
  <c r="J214" i="29" s="1"/>
  <c r="E102" i="29"/>
  <c r="E103" i="29" s="1"/>
  <c r="F101" i="29"/>
  <c r="F214" i="29"/>
  <c r="E215" i="29"/>
  <c r="E216" i="29" s="1"/>
  <c r="M11" i="21"/>
  <c r="I246" i="29"/>
  <c r="F142" i="29"/>
  <c r="E143" i="29"/>
  <c r="E144" i="29" s="1"/>
  <c r="H145" i="29"/>
  <c r="I142" i="29" s="1"/>
  <c r="F244" i="29"/>
  <c r="G243" i="29"/>
  <c r="H243" i="29" s="1"/>
  <c r="E246" i="29" s="1"/>
  <c r="J37" i="29"/>
  <c r="H37" i="29"/>
  <c r="F40" i="29"/>
  <c r="F38" i="29"/>
  <c r="I69" i="29"/>
  <c r="J69" i="29" s="1"/>
  <c r="D43" i="29"/>
  <c r="N6" i="21" s="1"/>
  <c r="F72" i="29"/>
  <c r="M69" i="29" s="1"/>
  <c r="C75" i="29" s="1"/>
  <c r="L77" i="29" s="1"/>
  <c r="F70" i="29"/>
  <c r="F102" i="29" l="1"/>
  <c r="F104" i="29"/>
  <c r="M101" i="29" s="1"/>
  <c r="H214" i="29"/>
  <c r="H101" i="29"/>
  <c r="J142" i="29"/>
  <c r="H142" i="29"/>
  <c r="E247" i="29"/>
  <c r="E248" i="29" s="1"/>
  <c r="F246" i="29"/>
  <c r="M100" i="32"/>
  <c r="C284" i="29"/>
  <c r="F145" i="29"/>
  <c r="M142" i="29" s="1"/>
  <c r="F143" i="29"/>
  <c r="J246" i="29"/>
  <c r="H246" i="29"/>
  <c r="F215" i="29"/>
  <c r="F217" i="29"/>
  <c r="M214" i="29" s="1"/>
  <c r="C220" i="29" s="1"/>
  <c r="H69" i="29"/>
  <c r="G80" i="29"/>
  <c r="L78" i="29"/>
  <c r="G77" i="29"/>
  <c r="H80" i="29" s="1"/>
  <c r="E77" i="29"/>
  <c r="E78" i="29" s="1"/>
  <c r="E79" i="29" s="1"/>
  <c r="C148" i="29" l="1"/>
  <c r="D124" i="29"/>
  <c r="N8" i="21" s="1"/>
  <c r="C107" i="29"/>
  <c r="D83" i="29"/>
  <c r="N7" i="21" s="1"/>
  <c r="E292" i="29"/>
  <c r="F292" i="29" s="1"/>
  <c r="G292" i="29" s="1"/>
  <c r="G289" i="29"/>
  <c r="E283" i="29"/>
  <c r="F283" i="29" s="1"/>
  <c r="L286" i="29"/>
  <c r="G286" i="29"/>
  <c r="H289" i="29" s="1"/>
  <c r="L287" i="29"/>
  <c r="G222" i="29"/>
  <c r="H225" i="29" s="1"/>
  <c r="G225" i="29"/>
  <c r="L222" i="29"/>
  <c r="E228" i="29"/>
  <c r="F228" i="29" s="1"/>
  <c r="G228" i="29" s="1"/>
  <c r="E222" i="29"/>
  <c r="L223" i="29"/>
  <c r="F247" i="29"/>
  <c r="F249" i="29"/>
  <c r="M246" i="29" s="1"/>
  <c r="C252" i="29" s="1"/>
  <c r="I77" i="29"/>
  <c r="H77" i="29" s="1"/>
  <c r="M77" i="29"/>
  <c r="F77" i="29"/>
  <c r="F78" i="29" s="1"/>
  <c r="E156" i="29" l="1"/>
  <c r="F156" i="29" s="1"/>
  <c r="G156" i="29" s="1"/>
  <c r="G153" i="29"/>
  <c r="E150" i="29"/>
  <c r="L151" i="29"/>
  <c r="L150" i="29"/>
  <c r="G150" i="29"/>
  <c r="G112" i="29"/>
  <c r="G109" i="29"/>
  <c r="H112" i="29" s="1"/>
  <c r="E109" i="29"/>
  <c r="L109" i="29"/>
  <c r="L110" i="29"/>
  <c r="E115" i="29"/>
  <c r="F115" i="29" s="1"/>
  <c r="G115" i="29" s="1"/>
  <c r="J243" i="29"/>
  <c r="F284" i="29"/>
  <c r="G283" i="29"/>
  <c r="H283" i="29" s="1"/>
  <c r="E286" i="29" s="1"/>
  <c r="F222" i="29"/>
  <c r="E223" i="29"/>
  <c r="E224" i="29" s="1"/>
  <c r="G257" i="29"/>
  <c r="G254" i="29"/>
  <c r="H257" i="29" s="1"/>
  <c r="L254" i="29"/>
  <c r="E260" i="29"/>
  <c r="F260" i="29" s="1"/>
  <c r="G260" i="29" s="1"/>
  <c r="L255" i="29"/>
  <c r="E254" i="29"/>
  <c r="I222" i="29"/>
  <c r="I286" i="29"/>
  <c r="J77" i="29"/>
  <c r="F80" i="29"/>
  <c r="I109" i="29" l="1"/>
  <c r="J109" i="29" s="1"/>
  <c r="H153" i="29"/>
  <c r="I150" i="29" s="1"/>
  <c r="J150" i="29" s="1"/>
  <c r="E151" i="29"/>
  <c r="E152" i="29" s="1"/>
  <c r="F150" i="29"/>
  <c r="F109" i="29"/>
  <c r="E110" i="29"/>
  <c r="E111" i="29" s="1"/>
  <c r="I254" i="29"/>
  <c r="J254" i="29" s="1"/>
  <c r="F225" i="29"/>
  <c r="M222" i="29" s="1"/>
  <c r="F223" i="29"/>
  <c r="F286" i="29"/>
  <c r="E287" i="29"/>
  <c r="E288" i="29" s="1"/>
  <c r="J286" i="29"/>
  <c r="H286" i="29"/>
  <c r="J222" i="29"/>
  <c r="H222" i="29"/>
  <c r="F254" i="29"/>
  <c r="E255" i="29"/>
  <c r="E256" i="29" s="1"/>
  <c r="H109" i="29" l="1"/>
  <c r="F153" i="29"/>
  <c r="M150" i="29" s="1"/>
  <c r="C156" i="29" s="1"/>
  <c r="F151" i="29"/>
  <c r="H150" i="29"/>
  <c r="H254" i="29"/>
  <c r="F112" i="29"/>
  <c r="M109" i="29" s="1"/>
  <c r="C115" i="29" s="1"/>
  <c r="F110" i="29"/>
  <c r="F289" i="29"/>
  <c r="J283" i="29" s="1"/>
  <c r="F287" i="29"/>
  <c r="F257" i="29"/>
  <c r="M254" i="29" s="1"/>
  <c r="C260" i="29" s="1"/>
  <c r="F255" i="29"/>
  <c r="C228" i="29"/>
  <c r="D204" i="29"/>
  <c r="N9" i="21" s="1"/>
  <c r="J95" i="32"/>
  <c r="L159" i="29" l="1"/>
  <c r="G161" i="29"/>
  <c r="E158" i="29"/>
  <c r="E159" i="29" s="1"/>
  <c r="E160" i="29" s="1"/>
  <c r="G158" i="29"/>
  <c r="L158" i="29"/>
  <c r="L117" i="29"/>
  <c r="E117" i="29"/>
  <c r="E118" i="29" s="1"/>
  <c r="E119" i="29" s="1"/>
  <c r="G117" i="29"/>
  <c r="H120" i="29" s="1"/>
  <c r="G120" i="29"/>
  <c r="L118" i="29"/>
  <c r="M286" i="29"/>
  <c r="C292" i="29" s="1"/>
  <c r="G265" i="29"/>
  <c r="E262" i="29"/>
  <c r="L262" i="29"/>
  <c r="E268" i="29"/>
  <c r="F268" i="29" s="1"/>
  <c r="G268" i="29" s="1"/>
  <c r="G262" i="29"/>
  <c r="H265" i="29" s="1"/>
  <c r="L263" i="29"/>
  <c r="L231" i="29"/>
  <c r="L230" i="29"/>
  <c r="E236" i="29"/>
  <c r="F236" i="29" s="1"/>
  <c r="G236" i="29" s="1"/>
  <c r="G233" i="29"/>
  <c r="E230" i="29"/>
  <c r="G230" i="29"/>
  <c r="H233" i="29" s="1"/>
  <c r="H161" i="29" l="1"/>
  <c r="I158" i="29" s="1"/>
  <c r="F158" i="29"/>
  <c r="M117" i="29"/>
  <c r="I117" i="29"/>
  <c r="J117" i="29" s="1"/>
  <c r="F117" i="29"/>
  <c r="F118" i="29" s="1"/>
  <c r="I262" i="29"/>
  <c r="J262" i="29" s="1"/>
  <c r="E294" i="29"/>
  <c r="E300" i="29"/>
  <c r="F300" i="29" s="1"/>
  <c r="G300" i="29" s="1"/>
  <c r="L294" i="29"/>
  <c r="G294" i="29"/>
  <c r="G297" i="29"/>
  <c r="L295" i="29"/>
  <c r="I230" i="29"/>
  <c r="E263" i="29"/>
  <c r="E264" i="29" s="1"/>
  <c r="F262" i="29"/>
  <c r="E231" i="29"/>
  <c r="E232" i="29" s="1"/>
  <c r="F230" i="29"/>
  <c r="F161" i="29" l="1"/>
  <c r="M158" i="29" s="1"/>
  <c r="F159" i="29"/>
  <c r="J158" i="29"/>
  <c r="H158" i="29"/>
  <c r="F120" i="29"/>
  <c r="H117" i="29"/>
  <c r="H262" i="29"/>
  <c r="H297" i="29"/>
  <c r="I294" i="29" s="1"/>
  <c r="F294" i="29"/>
  <c r="E295" i="29"/>
  <c r="E296" i="29" s="1"/>
  <c r="F233" i="29"/>
  <c r="M230" i="29" s="1"/>
  <c r="C236" i="29" s="1"/>
  <c r="F231" i="29"/>
  <c r="F263" i="29"/>
  <c r="F265" i="29"/>
  <c r="M262" i="29" s="1"/>
  <c r="J230" i="29"/>
  <c r="H230" i="29"/>
  <c r="J294" i="29" l="1"/>
  <c r="H294" i="29"/>
  <c r="F295" i="29"/>
  <c r="F297" i="29"/>
  <c r="M294" i="29" s="1"/>
  <c r="C300" i="29" s="1"/>
  <c r="C268" i="29"/>
  <c r="D244" i="29"/>
  <c r="N10" i="21" s="1"/>
  <c r="G241" i="29"/>
  <c r="L239" i="29"/>
  <c r="E238" i="29"/>
  <c r="E239" i="29" s="1"/>
  <c r="E240" i="29" s="1"/>
  <c r="G238" i="29"/>
  <c r="L238" i="29"/>
  <c r="G305" i="29" l="1"/>
  <c r="G302" i="29"/>
  <c r="H305" i="29" s="1"/>
  <c r="L302" i="29"/>
  <c r="L303" i="29"/>
  <c r="E308" i="29"/>
  <c r="F308" i="29" s="1"/>
  <c r="G308" i="29" s="1"/>
  <c r="E302" i="29"/>
  <c r="M238" i="29"/>
  <c r="F238" i="29"/>
  <c r="H241" i="29"/>
  <c r="I238" i="29" s="1"/>
  <c r="J238" i="29" s="1"/>
  <c r="E270" i="29"/>
  <c r="E276" i="29"/>
  <c r="F276" i="29" s="1"/>
  <c r="G276" i="29" s="1"/>
  <c r="L271" i="29"/>
  <c r="G273" i="29"/>
  <c r="L270" i="29"/>
  <c r="G270" i="29"/>
  <c r="H273" i="29" s="1"/>
  <c r="I302" i="29" l="1"/>
  <c r="J302" i="29" s="1"/>
  <c r="E303" i="29"/>
  <c r="E304" i="29" s="1"/>
  <c r="F302" i="29"/>
  <c r="H238" i="29"/>
  <c r="F270" i="29"/>
  <c r="E271" i="29"/>
  <c r="E272" i="29" s="1"/>
  <c r="I270" i="29"/>
  <c r="J270" i="29" s="1"/>
  <c r="F239" i="29"/>
  <c r="F241" i="29"/>
  <c r="H302" i="29" l="1"/>
  <c r="H270" i="29"/>
  <c r="F303" i="29"/>
  <c r="F305" i="29"/>
  <c r="M302" i="29" s="1"/>
  <c r="C308" i="29" s="1"/>
  <c r="F271" i="29"/>
  <c r="F273" i="29"/>
  <c r="M270" i="29" s="1"/>
  <c r="C276" i="29" s="1"/>
  <c r="G278" i="29" l="1"/>
  <c r="H281" i="29" s="1"/>
  <c r="L279" i="29"/>
  <c r="L278" i="29"/>
  <c r="G281" i="29"/>
  <c r="E278" i="29"/>
  <c r="E279" i="29" s="1"/>
  <c r="E280" i="29" s="1"/>
  <c r="E316" i="29"/>
  <c r="F316" i="29" s="1"/>
  <c r="G316" i="29" s="1"/>
  <c r="L311" i="29"/>
  <c r="G313" i="29"/>
  <c r="G310" i="29"/>
  <c r="H313" i="29" s="1"/>
  <c r="E310" i="29"/>
  <c r="F310" i="29" s="1"/>
  <c r="L310" i="29"/>
  <c r="F278" i="29" l="1"/>
  <c r="F281" i="29" s="1"/>
  <c r="M278" i="29" s="1"/>
  <c r="I278" i="29"/>
  <c r="E311" i="29"/>
  <c r="E312" i="29" s="1"/>
  <c r="I310" i="29"/>
  <c r="J310" i="29" s="1"/>
  <c r="F311" i="29"/>
  <c r="F313" i="29"/>
  <c r="J278" i="29" l="1"/>
  <c r="H278" i="29"/>
  <c r="F279" i="29"/>
  <c r="M310" i="29"/>
  <c r="C316" i="29" s="1"/>
  <c r="L318" i="29" s="1"/>
  <c r="H310" i="29"/>
  <c r="L319" i="29" l="1"/>
  <c r="G318" i="29"/>
  <c r="H321" i="29" s="1"/>
  <c r="E318" i="29"/>
  <c r="E319" i="29" s="1"/>
  <c r="E320" i="29" s="1"/>
  <c r="G321" i="29"/>
  <c r="I318" i="29" l="1"/>
  <c r="F318" i="29"/>
  <c r="F319" i="29" s="1"/>
  <c r="J318" i="29" l="1"/>
  <c r="H318" i="29"/>
  <c r="F321" i="29"/>
  <c r="M318" i="29" s="1"/>
  <c r="D284" i="29" s="1"/>
  <c r="N11" i="21" s="1"/>
</calcChain>
</file>

<file path=xl/sharedStrings.xml><?xml version="1.0" encoding="utf-8"?>
<sst xmlns="http://schemas.openxmlformats.org/spreadsheetml/2006/main" count="954" uniqueCount="209">
  <si>
    <t>Error</t>
  </si>
  <si>
    <t>Incertidumbre Expandida</t>
  </si>
  <si>
    <t>Promedio</t>
  </si>
  <si>
    <t>Factor de cobertura (k)</t>
  </si>
  <si>
    <t>Veff</t>
  </si>
  <si>
    <t>Fecha de emisión:</t>
  </si>
  <si>
    <t>Fecha de calibración:</t>
  </si>
  <si>
    <t>Lugar de calibración:</t>
  </si>
  <si>
    <t>Ciudad:</t>
  </si>
  <si>
    <t>Serie:</t>
  </si>
  <si>
    <t>Dirección:</t>
  </si>
  <si>
    <t>Modelo:</t>
  </si>
  <si>
    <t>Telefono:</t>
  </si>
  <si>
    <t>Marca:</t>
  </si>
  <si>
    <t>Nit:</t>
  </si>
  <si>
    <t>Fecha de Calibración:</t>
  </si>
  <si>
    <t>1 Lectura</t>
  </si>
  <si>
    <t>2 Lectura</t>
  </si>
  <si>
    <t>Histerisis</t>
  </si>
  <si>
    <t>Subida</t>
  </si>
  <si>
    <t>Bajada</t>
  </si>
  <si>
    <t xml:space="preserve"> 1 Lectura</t>
  </si>
  <si>
    <t>Lectura 1</t>
  </si>
  <si>
    <t>Lectura 2</t>
  </si>
  <si>
    <t>RESULTADOS DE CALIBRACIÓN DE PRESIÓN</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</si>
  <si>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</si>
  <si>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</si>
  <si>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</si>
  <si>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</si>
  <si>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</si>
  <si>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</si>
  <si>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</si>
  <si>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</si>
  <si>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</si>
  <si>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</si>
  <si>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</si>
  <si>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</si>
  <si>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</si>
  <si>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</si>
  <si>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</si>
  <si>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</si>
  <si>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</si>
  <si>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</si>
  <si>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</si>
  <si>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</si>
  <si>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</si>
  <si>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</si>
  <si>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</si>
  <si>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</si>
  <si>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</si>
  <si>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Promedio lecturas patrón</t>
  </si>
  <si>
    <t>Simulador de signos vitales</t>
  </si>
  <si>
    <t>Histéresis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</si>
  <si>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</si>
  <si>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</si>
  <si>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</si>
  <si>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</si>
  <si>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</si>
  <si>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</si>
  <si>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</si>
  <si>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</si>
  <si>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</si>
  <si>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</si>
  <si>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</si>
  <si>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</si>
  <si>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</si>
  <si>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</si>
  <si>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</si>
  <si>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</si>
  <si>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</si>
  <si>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</si>
  <si>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</si>
  <si>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</si>
  <si>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</si>
  <si>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</si>
  <si>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</si>
  <si>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</si>
  <si>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</si>
  <si>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</si>
  <si>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</si>
  <si>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</si>
  <si>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</si>
  <si>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</si>
  <si>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</si>
  <si>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</si>
  <si>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</si>
  <si>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</si>
  <si>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</si>
  <si>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</si>
  <si>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</si>
  <si>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</si>
  <si>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</si>
  <si>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</si>
  <si>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 xml:space="preserve">Comentarios: </t>
  </si>
  <si>
    <t>Datos Suministrados por el cliente:</t>
  </si>
  <si>
    <t>Declaración de cumplimiento según:</t>
  </si>
  <si>
    <t>REVISÓ Y AUTORIZÓ:</t>
  </si>
  <si>
    <t>Solicitante:</t>
  </si>
  <si>
    <t>73581403 Rev AH</t>
  </si>
  <si>
    <t>NIBP-1020</t>
  </si>
  <si>
    <t>Factor de conversión:</t>
  </si>
  <si>
    <t>8. INFORMACIÓN ADICIONAL</t>
  </si>
  <si>
    <t>Lectura 2 (Lat/min)</t>
  </si>
  <si>
    <t>7. RESULTADOS DE LA CALIBRACIÓN</t>
  </si>
  <si>
    <t>CERTIFICADO</t>
  </si>
  <si>
    <t>CALIBRACIÓN</t>
  </si>
  <si>
    <t>SERIE</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</si>
  <si>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</si>
  <si>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</si>
  <si>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</si>
  <si>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</si>
  <si>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</si>
  <si>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</si>
  <si>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</si>
  <si>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</si>
  <si>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</si>
  <si>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</si>
  <si>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</si>
  <si>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</si>
  <si>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</si>
  <si>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</si>
  <si>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</si>
  <si>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</si>
  <si>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</si>
  <si>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</si>
  <si>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</si>
  <si>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</si>
  <si>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</si>
  <si>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</si>
  <si>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</si>
  <si>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</si>
  <si>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</si>
  <si>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</si>
  <si>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</si>
  <si>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</si>
  <si>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</si>
  <si>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 xml:space="preserve">SIMULADOR DE SIGNOS VITALES </t>
  </si>
  <si>
    <t>Equipo bajo prueba</t>
  </si>
  <si>
    <t>Equipo bajo Prueba (mmHg)</t>
  </si>
  <si>
    <t>Subida (mmHg)</t>
  </si>
  <si>
    <t>Bajada (mmHg)</t>
  </si>
  <si>
    <t>Subida  (mmHg)</t>
  </si>
  <si>
    <t>Lectura 1 (mmHg)</t>
  </si>
  <si>
    <t>Equipo Patrón</t>
  </si>
  <si>
    <t>Calibración de presión</t>
  </si>
  <si>
    <t>Intervalo de medición (mmHg):</t>
  </si>
  <si>
    <t>Resolución (mmHg):</t>
  </si>
  <si>
    <t>Promedio Patrón (mmHg)</t>
  </si>
  <si>
    <t>Equipo bajo prueba  (mmHg)</t>
  </si>
  <si>
    <t>Error                   (mmHg)</t>
  </si>
  <si>
    <r>
      <t xml:space="preserve">Incertidumbre Expandida  </t>
    </r>
    <r>
      <rPr>
        <b/>
        <sz val="9"/>
        <color theme="1"/>
        <rFont val="Calibri"/>
        <family val="2"/>
      </rPr>
      <t>±</t>
    </r>
  </si>
  <si>
    <t>EQUIPO PATRÓN</t>
  </si>
  <si>
    <t>Equipo patrón:</t>
  </si>
  <si>
    <t>BC Biomedical</t>
  </si>
  <si>
    <t>No. Certificado:</t>
  </si>
  <si>
    <t>L4015</t>
  </si>
  <si>
    <t>Incertidumbre NIBP:</t>
  </si>
  <si>
    <t>Incertidumbre ECG:</t>
  </si>
  <si>
    <t>Deriva NIBP</t>
  </si>
  <si>
    <t>Deriva ECG</t>
  </si>
  <si>
    <t>Resolución NIBP</t>
  </si>
  <si>
    <t>Resolución ECG</t>
  </si>
  <si>
    <t>Factor de cobertura K:</t>
  </si>
  <si>
    <t xml:space="preserve"> 1 mmHg = 133,3224 Pa</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</si>
  <si>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</si>
  <si>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</si>
  <si>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</si>
  <si>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</si>
  <si>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</si>
  <si>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</si>
  <si>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</si>
  <si>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</si>
  <si>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</si>
  <si>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</si>
  <si>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</si>
  <si>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</si>
  <si>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</si>
  <si>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*mmHg= Milímetros de Mercurio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</si>
  <si>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</si>
  <si>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</si>
  <si>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</si>
  <si>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</si>
  <si>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</si>
  <si>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</si>
  <si>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</si>
  <si>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</si>
  <si>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</si>
  <si>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</si>
  <si>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</si>
  <si>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</si>
  <si>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</si>
  <si>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</si>
  <si>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TENSIOMETRO</t>
  </si>
  <si>
    <t>HILLROM</t>
  </si>
  <si>
    <t>7670-01</t>
  </si>
  <si>
    <t>220907150040</t>
  </si>
  <si>
    <t>CONSULTA EXTERNA</t>
  </si>
  <si>
    <t>0401005309</t>
  </si>
  <si>
    <t>JD1743-24</t>
  </si>
  <si>
    <t>0 a 700</t>
  </si>
  <si>
    <t>L5555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</si>
  <si>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</si>
  <si>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</si>
  <si>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</si>
  <si>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</si>
  <si>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</si>
  <si>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tensiómetros manuales BTM-P-002.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</si>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</sst>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1"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rgb="FF11E987"/>
        <bgColor rgb="FF11E987"/>
      </patternFill>
    </fill>
  </fills>
  <borders count="40">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style="thin">
        <color auto="1"/>
      </right>
      <top/>
      <bottom style="thin">
        <color auto="1"/>
      </bottom>
      <diagonal/>
    </border>
    <border>
      <left style="thin">
        <color indexed="64"/>
      </left>
      <right/>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15">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1" fillId="3" borderId="6" xfId="0" applyFont="1" applyFill="1" applyBorder="1" applyAlignment="1">
      <alignment horizontal="center" vertical="center"/>
    </xf>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5" fillId="0" borderId="0" xfId="0" applyFont="1" applyAlignment="1">
      <alignment vertical="center" wrapText="1"/>
    </xf>
    <xf numFmtId="1" fontId="15" fillId="0" borderId="0" xfId="0" applyNumberFormat="1" applyFont="1" applyAlignment="1">
      <alignment horizontal="left"/>
    </xf>
    <xf numFmtId="164" fontId="20"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3" xfId="0" applyBorder="1"/>
    <xf numFmtId="1" fontId="15" fillId="0" borderId="21" xfId="0" applyNumberFormat="1" applyFont="1" applyBorder="1" applyAlignment="1">
      <alignment horizontal="left"/>
    </xf>
    <xf numFmtId="164" fontId="20" fillId="0" borderId="21" xfId="0" applyNumberFormat="1" applyFont="1" applyBorder="1" applyAlignment="1">
      <alignment horizontal="center" vertical="center"/>
    </xf>
    <xf numFmtId="164" fontId="15" fillId="0" borderId="33"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4"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1" fillId="0" borderId="0" xfId="0" applyFont="1" applyAlignment="1">
      <alignment vertical="center"/>
    </xf>
    <xf numFmtId="0" fontId="0" fillId="0" borderId="29"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5" fillId="0" borderId="0" xfId="0" applyFont="1" applyAlignment="1">
      <alignment horizontal="center"/>
    </xf>
    <xf numFmtId="0" fontId="26" fillId="0" borderId="0" xfId="0" applyFont="1" applyAlignment="1">
      <alignment horizontal="right" vertical="center"/>
    </xf>
    <xf numFmtId="0" fontId="26" fillId="0" borderId="0" xfId="0" applyFont="1"/>
    <xf numFmtId="0" fontId="27" fillId="0" borderId="0" xfId="0" applyFont="1"/>
    <xf numFmtId="2" fontId="0" fillId="4" borderId="0" xfId="0" applyNumberFormat="1" applyFill="1"/>
    <xf numFmtId="170" fontId="0" fillId="0" borderId="0" xfId="0" applyNumberFormat="1"/>
    <xf numFmtId="0" fontId="1" fillId="10" borderId="6" xfId="0" applyFont="1" applyFill="1" applyBorder="1" applyAlignment="1">
      <alignment horizontal="center" vertical="center"/>
    </xf>
    <xf numFmtId="164" fontId="0" fillId="0" borderId="0" xfId="0" applyNumberFormat="1" applyAlignment="1">
      <alignment horizont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0" fillId="0" borderId="37" xfId="0" applyBorder="1" applyAlignment="1">
      <alignment vertical="center"/>
    </xf>
    <xf numFmtId="0" fontId="0" fillId="0" borderId="6" xfId="0" applyBorder="1" applyAlignment="1">
      <alignment vertical="center"/>
    </xf>
    <xf numFmtId="0" fontId="8" fillId="13" borderId="6" xfId="0" applyFont="1" applyFill="1" applyBorder="1" applyAlignment="1">
      <alignment horizontal="center"/>
    </xf>
    <xf numFmtId="164" fontId="1" fillId="4" borderId="6" xfId="0" applyNumberFormat="1" applyFont="1" applyFill="1" applyBorder="1" applyAlignment="1" applyProtection="1">
      <alignment horizontal="center" vertical="center" wrapText="1"/>
      <protection locked="0"/>
    </xf>
    <xf numFmtId="0" fontId="8" fillId="0" borderId="6" xfId="0" applyFont="1" applyBorder="1" applyAlignment="1">
      <alignment horizontal="center" vertical="center"/>
    </xf>
    <xf numFmtId="0" fontId="8" fillId="13" borderId="0" xfId="0" applyFont="1" applyFill="1" applyAlignment="1">
      <alignment horizontal="center"/>
    </xf>
    <xf numFmtId="0" fontId="8" fillId="0" borderId="6" xfId="0" applyFont="1" applyBorder="1"/>
    <xf numFmtId="0" fontId="0" fillId="0" borderId="0" xfId="0" applyAlignment="1">
      <alignment vertical="center"/>
    </xf>
    <xf numFmtId="0" fontId="0" fillId="0" borderId="0" xfId="0" applyAlignment="1">
      <alignment horizontal="left" vertical="center"/>
    </xf>
    <xf numFmtId="0" fontId="30" fillId="14" borderId="39" xfId="0" applyFont="1" applyFill="1" applyBorder="1" applyAlignment="1">
      <alignment horizontal="center" vertical="center" wrapText="1"/>
    </xf>
    <xf numFmtId="0" fontId="30" fillId="0" borderId="39" xfId="0" applyFont="1" applyBorder="1" applyAlignment="1">
      <alignment horizontal="center" vertical="center" wrapText="1"/>
    </xf>
    <xf numFmtId="49" fontId="30" fillId="0" borderId="39" xfId="0" applyNumberFormat="1" applyFont="1" applyBorder="1" applyAlignment="1">
      <alignment horizontal="center" vertical="center" wrapText="1"/>
    </xf>
    <xf numFmtId="49" fontId="29" fillId="0" borderId="6" xfId="0" applyNumberFormat="1" applyFont="1" applyBorder="1" applyAlignment="1">
      <alignment horizontal="center" vertical="center"/>
    </xf>
    <xf numFmtId="0" fontId="29" fillId="0" borderId="6" xfId="0" applyFont="1" applyBorder="1" applyAlignment="1">
      <alignment horizontal="center" vertical="center"/>
    </xf>
    <xf numFmtId="165" fontId="0" fillId="0" borderId="6" xfId="0" applyNumberFormat="1" applyBorder="1" applyAlignment="1">
      <alignment horizontal="center" vertical="center"/>
    </xf>
    <xf numFmtId="164" fontId="9" fillId="0" borderId="3" xfId="0" applyNumberFormat="1" applyFont="1" applyBorder="1" applyAlignment="1">
      <alignment horizontal="center" vertical="center"/>
    </xf>
    <xf numFmtId="164" fontId="9" fillId="0" borderId="5" xfId="0" applyNumberFormat="1" applyFont="1" applyBorder="1" applyAlignment="1">
      <alignment horizontal="center" vertical="center"/>
    </xf>
    <xf numFmtId="0" fontId="9" fillId="0" borderId="0" xfId="0" applyFont="1"/>
    <xf numFmtId="164" fontId="9" fillId="0" borderId="6" xfId="0" applyNumberFormat="1" applyFont="1" applyBorder="1" applyAlignment="1">
      <alignment horizontal="center" vertical="center"/>
    </xf>
    <xf numFmtId="2" fontId="9" fillId="0" borderId="6" xfId="0" applyNumberFormat="1" applyFont="1" applyBorder="1" applyAlignment="1">
      <alignment horizontal="center" vertical="center"/>
    </xf>
    <xf numFmtId="0" fontId="16" fillId="0" borderId="6" xfId="0" applyFont="1" applyBorder="1" applyAlignment="1">
      <alignment horizontal="center" vertical="center" wrapText="1"/>
    </xf>
    <xf numFmtId="0" fontId="16" fillId="0" borderId="6" xfId="0" applyFont="1" applyBorder="1" applyAlignment="1">
      <alignment horizontal="center" wrapText="1"/>
    </xf>
    <xf numFmtId="0" fontId="16" fillId="0" borderId="6" xfId="0" applyFont="1" applyBorder="1" applyAlignment="1">
      <alignment horizontal="center" vertical="center"/>
    </xf>
    <xf numFmtId="0" fontId="8" fillId="0" borderId="0" xfId="0" applyFont="1" applyAlignment="1">
      <alignment horizontal="right"/>
    </xf>
    <xf numFmtId="0" fontId="16" fillId="0" borderId="31" xfId="0" applyFont="1" applyBorder="1" applyAlignment="1">
      <alignment horizontal="center" wrapText="1"/>
    </xf>
    <xf numFmtId="0" fontId="16" fillId="0" borderId="30" xfId="0" applyFont="1" applyBorder="1" applyAlignment="1">
      <alignment horizontal="center" wrapText="1"/>
    </xf>
    <xf numFmtId="0" fontId="16" fillId="0" borderId="28" xfId="0" applyFont="1" applyBorder="1" applyAlignment="1">
      <alignment horizontal="center" wrapText="1"/>
    </xf>
    <xf numFmtId="0" fontId="16" fillId="0" borderId="27" xfId="0" applyFont="1" applyBorder="1" applyAlignment="1">
      <alignment horizont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8" fillId="0" borderId="0" xfId="0" applyFont="1" applyAlignment="1">
      <alignment horizontal="center" vertical="center"/>
    </xf>
    <xf numFmtId="0" fontId="8" fillId="0" borderId="26" xfId="0" applyFont="1" applyBorder="1" applyAlignment="1">
      <alignment horizontal="center" vertical="center"/>
    </xf>
    <xf numFmtId="0" fontId="18" fillId="0" borderId="0" xfId="0" applyFont="1" applyAlignment="1">
      <alignment horizontal="right" vertical="center"/>
    </xf>
    <xf numFmtId="0" fontId="18" fillId="0" borderId="0" xfId="0" applyFont="1" applyAlignment="1">
      <alignment horizontal="left" vertical="center"/>
    </xf>
    <xf numFmtId="0" fontId="8" fillId="0" borderId="26" xfId="0" applyFont="1" applyBorder="1" applyAlignment="1">
      <alignment horizontal="center"/>
    </xf>
    <xf numFmtId="0" fontId="15" fillId="0" borderId="0" xfId="0" applyFont="1" applyAlignment="1">
      <alignment horizontal="left" vertical="center"/>
    </xf>
    <xf numFmtId="1" fontId="15" fillId="0" borderId="0" xfId="0" applyNumberFormat="1" applyFont="1" applyAlignment="1">
      <alignment horizontal="left" vertical="center"/>
    </xf>
    <xf numFmtId="0" fontId="18" fillId="0" borderId="0" xfId="0" applyFont="1" applyAlignment="1">
      <alignment horizontal="right"/>
    </xf>
    <xf numFmtId="165" fontId="15" fillId="0" borderId="0" xfId="0" applyNumberFormat="1" applyFont="1" applyAlignment="1">
      <alignment horizontal="left" vertical="center"/>
    </xf>
    <xf numFmtId="0" fontId="15" fillId="0" borderId="0" xfId="0" applyFont="1" applyAlignment="1">
      <alignment horizontal="left"/>
    </xf>
    <xf numFmtId="0" fontId="18" fillId="0" borderId="0" xfId="0" applyFont="1" applyAlignment="1">
      <alignment horizontal="left"/>
    </xf>
    <xf numFmtId="0" fontId="9" fillId="0" borderId="0" xfId="0"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6" fillId="0" borderId="3" xfId="0" applyFont="1" applyBorder="1" applyAlignment="1">
      <alignment horizontal="center" wrapText="1"/>
    </xf>
    <xf numFmtId="0" fontId="16" fillId="0" borderId="5" xfId="0" applyFont="1" applyBorder="1" applyAlignment="1">
      <alignment horizontal="center" wrapText="1"/>
    </xf>
    <xf numFmtId="0" fontId="15" fillId="0" borderId="32" xfId="0" applyFont="1" applyBorder="1" applyAlignment="1">
      <alignment horizontal="justify" vertical="center" wrapText="1"/>
    </xf>
    <xf numFmtId="0" fontId="15" fillId="0" borderId="0" xfId="0" applyFont="1" applyAlignment="1">
      <alignment horizontal="justify" vertical="center" wrapText="1"/>
    </xf>
    <xf numFmtId="0" fontId="25" fillId="0" borderId="0" xfId="0" applyFont="1" applyAlignment="1">
      <alignment horizontal="left" vertical="center"/>
    </xf>
    <xf numFmtId="0" fontId="24" fillId="0" borderId="0" xfId="0" applyFont="1" applyAlignment="1">
      <alignment horizontal="left"/>
    </xf>
    <xf numFmtId="0" fontId="24" fillId="0" borderId="0" xfId="0" applyFont="1" applyAlignment="1">
      <alignment horizontal="right"/>
    </xf>
    <xf numFmtId="0" fontId="23" fillId="0" borderId="21" xfId="0" applyFont="1" applyBorder="1" applyAlignment="1">
      <alignment horizontal="center" vertical="center"/>
    </xf>
    <xf numFmtId="49" fontId="15" fillId="0" borderId="0" xfId="0" applyNumberFormat="1" applyFont="1" applyAlignment="1">
      <alignment horizontal="left" vertical="center"/>
    </xf>
    <xf numFmtId="0" fontId="9" fillId="0" borderId="35"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8" fillId="0" borderId="22" xfId="0" applyFont="1" applyBorder="1" applyAlignment="1">
      <alignment horizontal="center" vertical="center"/>
    </xf>
    <xf numFmtId="165" fontId="15" fillId="0" borderId="0" xfId="0" applyNumberFormat="1" applyFont="1" applyAlignment="1">
      <alignment horizontal="left"/>
    </xf>
    <xf numFmtId="0" fontId="8" fillId="0" borderId="0" xfId="0" applyFont="1" applyAlignment="1">
      <alignment horizontal="center"/>
    </xf>
    <xf numFmtId="0" fontId="16" fillId="0" borderId="22" xfId="0" applyFont="1" applyBorder="1" applyAlignment="1">
      <alignment horizontal="center" vertical="center"/>
    </xf>
    <xf numFmtId="0" fontId="9" fillId="0" borderId="22" xfId="0" applyFont="1" applyBorder="1" applyAlignment="1">
      <alignment horizontal="center" vertical="center"/>
    </xf>
    <xf numFmtId="165" fontId="16" fillId="0" borderId="22" xfId="0" applyNumberFormat="1" applyFont="1" applyBorder="1" applyAlignment="1">
      <alignment horizontal="center" vertical="center"/>
    </xf>
    <xf numFmtId="0" fontId="28" fillId="0" borderId="38" xfId="0" applyFont="1" applyBorder="1" applyAlignment="1">
      <alignment horizontal="left" vertical="center"/>
    </xf>
    <xf numFmtId="0" fontId="28" fillId="0" borderId="0" xfId="0" applyFont="1" applyAlignment="1">
      <alignment horizontal="left" vertical="center"/>
    </xf>
    <xf numFmtId="0" fontId="8" fillId="13" borderId="6" xfId="0" applyFont="1" applyFill="1" applyBorder="1" applyAlignment="1">
      <alignment horizontal="center"/>
    </xf>
    <xf numFmtId="0" fontId="0" fillId="11" borderId="8" xfId="0" applyFill="1" applyBorder="1" applyAlignment="1">
      <alignment horizontal="center"/>
    </xf>
    <xf numFmtId="0" fontId="0" fillId="11" borderId="0" xfId="0" applyFill="1" applyAlignment="1">
      <alignment horizontal="center"/>
    </xf>
    <xf numFmtId="0" fontId="0" fillId="11" borderId="16" xfId="0" applyFill="1" applyBorder="1" applyAlignment="1">
      <alignment horizontal="center"/>
    </xf>
    <xf numFmtId="0" fontId="0" fillId="12" borderId="13" xfId="0" applyFill="1" applyBorder="1" applyAlignment="1">
      <alignment horizontal="center"/>
    </xf>
    <xf numFmtId="0" fontId="0" fillId="12" borderId="14" xfId="0" applyFill="1" applyBorder="1" applyAlignment="1">
      <alignment horizontal="center"/>
    </xf>
    <xf numFmtId="0" fontId="0" fillId="12" borderId="15" xfId="0" applyFill="1" applyBorder="1" applyAlignment="1">
      <alignment horizontal="center"/>
    </xf>
    <xf numFmtId="0" fontId="7" fillId="6" borderId="6" xfId="0" applyFont="1" applyFill="1" applyBorder="1" applyAlignment="1">
      <alignment horizontal="center" vertical="center"/>
    </xf>
    <xf numFmtId="0" fontId="2" fillId="0" borderId="6" xfId="0" applyFont="1" applyBorder="1" applyAlignment="1">
      <alignment horizontal="center" vertical="center"/>
    </xf>
    <xf numFmtId="0" fontId="1" fillId="3" borderId="36"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2" fillId="0" borderId="0" xfId="0" applyFont="1" applyAlignment="1">
      <alignment vertical="center"/>
    </xf>
    <xf numFmtId="0" fontId="2" fillId="0" borderId="2"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5" fontId="1" fillId="0" borderId="6" xfId="0" applyNumberFormat="1" applyFont="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PATRON!$D$89:$D$94</c:f>
              <c:numCache>
                <c:formatCode>General</c:formatCode>
                <c:ptCount val="6"/>
              </c:numCache>
            </c:numRef>
          </c:xVal>
          <c:yVal>
            <c:numRef>
              <c:f>PATRON!$E$89:$E$94</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PATRON!$O$90:$O$96</c:f>
              <c:numCache>
                <c:formatCode>General</c:formatCode>
                <c:ptCount val="7"/>
              </c:numCache>
            </c:numRef>
          </c:xVal>
          <c:yVal>
            <c:numRef>
              <c:f>PATRON!$P$90:$P$96</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86</xdr:row>
      <xdr:rowOff>52387</xdr:rowOff>
    </xdr:from>
    <xdr:to>
      <xdr:col>11</xdr:col>
      <xdr:colOff>266700</xdr:colOff>
      <xdr:row>100</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84</xdr:row>
      <xdr:rowOff>33337</xdr:rowOff>
    </xdr:from>
    <xdr:to>
      <xdr:col>23</xdr:col>
      <xdr:colOff>228600</xdr:colOff>
      <xdr:row>98</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B26" sqref="B26"/>
    </sheetView>
  </sheetViews>
  <sheetFormatPr baseColWidth="10" defaultColWidth="3.6640625" defaultRowHeight="12.75" customHeight="1" x14ac:dyDescent="0.3"/>
  <cols>
    <col min="1" max="1" width="26.6640625" style="1" customWidth="1"/>
    <col min="2" max="2" width="33.44140625" style="1" bestFit="1" customWidth="1"/>
    <col min="3" max="3" width="26.5546875" style="1" customWidth="1"/>
    <col min="4" max="4" width="22.88671875" style="1" customWidth="1"/>
    <col min="5" max="5" width="23" style="1" customWidth="1"/>
    <col min="6" max="6" width="16"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92" t="s">
        <v>165</v>
      </c>
      <c r="B1" s="192"/>
      <c r="C1" s="192"/>
      <c r="D1" s="192"/>
      <c r="E1" s="192"/>
      <c r="F1" s="192"/>
      <c r="G1" s="192"/>
      <c r="H1" s="192"/>
      <c r="I1"/>
      <c r="J1"/>
      <c r="K1"/>
      <c r="L1"/>
      <c r="M1"/>
      <c r="N1" t="s">
        <v>167</v>
      </c>
      <c r="O1" t="s">
        <v>167</v>
      </c>
      <c r="P1"/>
      <c r="Q1"/>
      <c r="R1"/>
      <c r="S1"/>
      <c r="T1"/>
      <c r="U1"/>
      <c r="V1"/>
      <c r="W1"/>
      <c r="X1"/>
      <c r="Y1"/>
      <c r="Z1"/>
      <c r="AA1"/>
      <c r="AB1"/>
      <c r="AC1"/>
      <c r="AD1"/>
      <c r="AE1"/>
    </row>
    <row r="2" spans="1:31" ht="14.4" x14ac:dyDescent="0.3">
      <c r="A2" s="118" t="s">
        <v>178</v>
      </c>
      <c r="B2" s="118" t="s">
        <v>179</v>
      </c>
      <c r="C2" s="118" t="s">
        <v>180</v>
      </c>
      <c r="D2" s="118" t="s">
        <v>181</v>
      </c>
      <c r="E2" s="118" t="s">
        <v>182</v>
      </c>
      <c r="F2" s="118" t="s">
        <v>183</v>
      </c>
      <c r="G2" s="118" t="s">
        <v>184</v>
      </c>
      <c r="H2" s="118" t="s">
        <v>185</v>
      </c>
      <c r="I2"/>
      <c r="J2"/>
      <c r="K2"/>
      <c r="L2"/>
      <c r="M2"/>
      <c r="N2" t="s">
        <v>174</v>
      </c>
      <c r="O2" t="s">
        <v>174</v>
      </c>
      <c r="P2"/>
      <c r="Q2"/>
      <c r="R2"/>
      <c r="S2"/>
      <c r="T2"/>
      <c r="U2"/>
      <c r="V2"/>
      <c r="W2"/>
      <c r="X2"/>
      <c r="Y2"/>
      <c r="Z2"/>
      <c r="AA2"/>
      <c r="AB2"/>
      <c r="AC2"/>
      <c r="AD2"/>
      <c r="AE2"/>
    </row>
    <row r="3" spans="1:31" ht="12.75" customHeight="1" x14ac:dyDescent="0.3">
      <c r="A3" s="123" t="s">
        <v>192</v>
      </c>
      <c r="B3" s="123" t="s">
        <v>193</v>
      </c>
      <c r="C3" s="124" t="s">
        <v>194</v>
      </c>
      <c r="D3" s="125" t="s">
        <v>195</v>
      </c>
      <c r="E3" s="124" t="s">
        <v>196</v>
      </c>
      <c r="F3" s="126" t="s">
        <v>197</v>
      </c>
      <c r="G3" s="127" t="s">
        <v>198</v>
      </c>
      <c r="H3" s="128">
        <v>45465</v>
      </c>
      <c r="I3"/>
      <c r="J3"/>
      <c r="K3"/>
      <c r="L3"/>
      <c r="M3"/>
      <c r="N3"/>
      <c r="O3"/>
      <c r="P3"/>
      <c r="Q3"/>
      <c r="R3"/>
      <c r="S3"/>
      <c r="T3"/>
      <c r="U3"/>
      <c r="V3"/>
      <c r="W3"/>
      <c r="X3"/>
      <c r="Y3"/>
      <c r="Z3"/>
      <c r="AA3"/>
      <c r="AB3"/>
      <c r="AC3"/>
      <c r="AD3"/>
      <c r="AE3"/>
    </row>
    <row r="4" spans="1:31" ht="12.75" customHeight="1" x14ac:dyDescent="0.3">
      <c r="C4"/>
      <c r="D4"/>
      <c r="E4"/>
      <c r="F4"/>
      <c r="G4"/>
      <c r="I4"/>
      <c r="J4"/>
      <c r="K4"/>
      <c r="L4"/>
      <c r="M4"/>
      <c r="N4" t="s">
        <v>168</v>
      </c>
      <c r="O4" t="s">
        <v>168</v>
      </c>
      <c r="P4"/>
      <c r="Q4"/>
      <c r="R4"/>
      <c r="S4"/>
      <c r="T4"/>
      <c r="U4"/>
      <c r="V4"/>
      <c r="W4"/>
      <c r="X4"/>
      <c r="Y4"/>
      <c r="Z4"/>
      <c r="AA4"/>
      <c r="AB4"/>
      <c r="AC4"/>
      <c r="AD4"/>
      <c r="AE4"/>
    </row>
    <row r="5" spans="1:31" ht="12.75" customHeight="1" x14ac:dyDescent="0.3">
      <c r="A5"/>
      <c r="B5"/>
      <c r="C5"/>
      <c r="D5"/>
      <c r="E5"/>
      <c r="F5"/>
      <c r="G5"/>
      <c r="I5"/>
      <c r="J5"/>
      <c r="K5"/>
      <c r="L5"/>
      <c r="M5"/>
      <c r="N5" t="s">
        <v>175</v>
      </c>
      <c r="O5" t="s">
        <v>175</v>
      </c>
      <c r="P5"/>
      <c r="Q5"/>
      <c r="R5"/>
      <c r="S5"/>
      <c r="T5"/>
      <c r="U5"/>
      <c r="V5"/>
      <c r="W5"/>
      <c r="X5"/>
      <c r="Y5"/>
      <c r="Z5"/>
      <c r="AA5"/>
      <c r="AB5"/>
      <c r="AC5"/>
      <c r="AD5"/>
      <c r="AE5"/>
    </row>
    <row r="6" spans="1:31" ht="12.75" customHeight="1" x14ac:dyDescent="0.3">
      <c r="A6" s="192" t="s">
        <v>166</v>
      </c>
      <c r="B6" s="192"/>
      <c r="C6"/>
      <c r="D6" s="116" t="s">
        <v>164</v>
      </c>
      <c r="E6" s="116"/>
      <c r="F6" s="119"/>
      <c r="I6"/>
      <c r="J6"/>
      <c r="K6"/>
      <c r="L6"/>
      <c r="M6"/>
      <c r="N6" t="s">
        <v>176</v>
      </c>
      <c r="O6" t="s">
        <v>176</v>
      </c>
      <c r="P6"/>
      <c r="Q6"/>
      <c r="R6"/>
      <c r="S6"/>
      <c r="T6"/>
      <c r="U6"/>
      <c r="V6"/>
      <c r="W6"/>
      <c r="X6"/>
      <c r="Y6"/>
      <c r="Z6"/>
      <c r="AA6"/>
      <c r="AB6"/>
      <c r="AC6"/>
      <c r="AD6"/>
      <c r="AE6"/>
    </row>
    <row r="7" spans="1:31" ht="12.75" customHeight="1" x14ac:dyDescent="0.3">
      <c r="A7" s="120" t="s">
        <v>7</v>
      </c>
      <c r="B7" s="112" t="s">
        <v>167</v>
      </c>
      <c r="C7"/>
      <c r="D7" s="120" t="s">
        <v>97</v>
      </c>
      <c r="E7" s="114" t="s">
        <v>186</v>
      </c>
      <c r="F7" s="121"/>
      <c r="I7"/>
      <c r="J7"/>
      <c r="K7"/>
      <c r="L7"/>
      <c r="M7"/>
      <c r="N7"/>
      <c r="O7"/>
      <c r="P7"/>
      <c r="Q7"/>
      <c r="R7"/>
      <c r="S7"/>
      <c r="T7"/>
      <c r="U7"/>
      <c r="V7"/>
      <c r="W7"/>
      <c r="X7"/>
      <c r="Y7"/>
      <c r="Z7"/>
      <c r="AA7"/>
      <c r="AB7"/>
      <c r="AC7"/>
      <c r="AD7"/>
      <c r="AE7"/>
    </row>
    <row r="8" spans="1:31" ht="12.75" customHeight="1" x14ac:dyDescent="0.3">
      <c r="A8" s="120" t="s">
        <v>187</v>
      </c>
      <c r="B8" s="112" t="s">
        <v>168</v>
      </c>
      <c r="C8"/>
      <c r="D8" s="120" t="s">
        <v>14</v>
      </c>
      <c r="E8" s="112" t="s">
        <v>188</v>
      </c>
      <c r="F8" s="122"/>
      <c r="I8"/>
      <c r="J8"/>
      <c r="K8"/>
      <c r="L8"/>
      <c r="M8"/>
      <c r="N8"/>
      <c r="O8"/>
      <c r="P8"/>
      <c r="Q8"/>
      <c r="R8"/>
      <c r="S8"/>
      <c r="T8"/>
      <c r="U8"/>
      <c r="V8"/>
      <c r="W8"/>
      <c r="X8"/>
      <c r="Y8"/>
      <c r="Z8"/>
      <c r="AA8"/>
      <c r="AB8"/>
      <c r="AC8"/>
      <c r="AD8"/>
      <c r="AE8"/>
    </row>
    <row r="9" spans="1:31" ht="12.75" customHeight="1" x14ac:dyDescent="0.3">
      <c r="A9" s="120" t="s">
        <v>6</v>
      </c>
      <c r="B9" s="113">
        <f>H3</f>
        <v>45465</v>
      </c>
      <c r="C9"/>
      <c r="D9" s="120" t="s">
        <v>12</v>
      </c>
      <c r="E9" s="112">
        <v>3007835072</v>
      </c>
      <c r="F9" s="122"/>
      <c r="I9"/>
      <c r="J9"/>
      <c r="K9"/>
      <c r="L9"/>
      <c r="M9"/>
      <c r="N9"/>
      <c r="O9"/>
      <c r="P9"/>
      <c r="Q9"/>
      <c r="R9"/>
      <c r="S9"/>
      <c r="T9"/>
      <c r="U9"/>
      <c r="V9"/>
      <c r="W9"/>
      <c r="X9"/>
      <c r="Y9"/>
      <c r="Z9"/>
      <c r="AA9"/>
      <c r="AB9"/>
      <c r="AC9"/>
      <c r="AD9"/>
      <c r="AE9"/>
    </row>
    <row r="10" spans="1:31" ht="12.75" customHeight="1" x14ac:dyDescent="0.3">
      <c r="A10" s="120" t="s">
        <v>5</v>
      </c>
      <c r="B10" s="113">
        <f>H3</f>
        <v>45465</v>
      </c>
      <c r="C10"/>
      <c r="D10" s="120" t="s">
        <v>10</v>
      </c>
      <c r="E10" s="115" t="s">
        <v>189</v>
      </c>
      <c r="F10" s="121"/>
      <c r="H10"/>
      <c r="I10"/>
      <c r="J10"/>
      <c r="K10"/>
      <c r="L10"/>
      <c r="M10"/>
      <c r="N10"/>
      <c r="O10"/>
      <c r="P10"/>
      <c r="Q10"/>
      <c r="R10"/>
      <c r="S10"/>
      <c r="T10"/>
      <c r="U10"/>
      <c r="V10"/>
      <c r="W10"/>
      <c r="X10"/>
      <c r="Y10"/>
      <c r="Z10"/>
      <c r="AA10"/>
      <c r="AB10"/>
      <c r="AC10"/>
      <c r="AD10"/>
      <c r="AE10"/>
    </row>
    <row r="11" spans="1:31" ht="12.75" customHeight="1" x14ac:dyDescent="0.3">
      <c r="A11" s="120" t="s">
        <v>169</v>
      </c>
      <c r="B11" s="112">
        <v>24.1</v>
      </c>
      <c r="C11"/>
      <c r="D11" s="120" t="s">
        <v>8</v>
      </c>
      <c r="E11" s="115" t="s">
        <v>190</v>
      </c>
      <c r="F11" s="121"/>
      <c r="H11"/>
      <c r="I11"/>
      <c r="J11"/>
      <c r="K11"/>
      <c r="L11"/>
      <c r="M11"/>
      <c r="N11"/>
      <c r="O11"/>
      <c r="P11"/>
      <c r="Q11"/>
      <c r="R11"/>
      <c r="S11"/>
      <c r="T11"/>
      <c r="U11"/>
      <c r="V11"/>
      <c r="W11"/>
      <c r="X11"/>
      <c r="Y11"/>
      <c r="Z11"/>
      <c r="AA11"/>
      <c r="AB11"/>
      <c r="AC11"/>
      <c r="AD11"/>
      <c r="AE11"/>
    </row>
    <row r="12" spans="1:31" ht="12.75" customHeight="1" x14ac:dyDescent="0.3">
      <c r="A12" s="120" t="s">
        <v>170</v>
      </c>
      <c r="B12" s="112">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20" t="s">
        <v>171</v>
      </c>
      <c r="B13" s="112">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20" t="s">
        <v>172</v>
      </c>
      <c r="B14" s="112">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20" t="s">
        <v>173</v>
      </c>
      <c r="B15" s="112" t="s">
        <v>191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D23"/>
      <c r="E23"/>
      <c r="F23"/>
      <c r="G23"/>
      <c r="H23"/>
      <c r="I23"/>
      <c r="J23"/>
      <c r="K23"/>
      <c r="L23"/>
      <c r="M23"/>
      <c r="N23"/>
      <c r="O23"/>
      <c r="P23"/>
      <c r="Q23"/>
      <c r="R23"/>
      <c r="S23"/>
      <c r="T23"/>
      <c r="U23"/>
      <c r="V23"/>
      <c r="W23"/>
      <c r="X23"/>
      <c r="Y23"/>
      <c r="Z23"/>
      <c r="AA23"/>
      <c r="AB23"/>
      <c r="AC23"/>
      <c r="AD23"/>
      <c r="AE23"/>
    </row>
    <row r="24" spans="1:31" ht="12.75" customHeight="1" x14ac:dyDescent="0.3">
      <c r="A24"/>
      <c r="B24"/>
      <c r="C24"/>
      <c r="D24"/>
      <c r="E24"/>
      <c r="F24"/>
      <c r="G24"/>
      <c r="H24"/>
      <c r="I24"/>
      <c r="J24"/>
      <c r="K24"/>
      <c r="L24"/>
      <c r="M24"/>
      <c r="N24"/>
      <c r="O24"/>
      <c r="P24"/>
      <c r="Q24"/>
      <c r="R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dataValidations count="2">
    <dataValidation type="list" allowBlank="1" showInputMessage="1" showErrorMessage="1" sqref="B8" xr:uid="{F2DA6CA4-1ABD-4912-8848-48EA56E1026A}">
      <formula1>$N$4:$N$6</formula1>
    </dataValidation>
    <dataValidation type="list" allowBlank="1" showInputMessage="1" showErrorMessage="1" sqref="B7" xr:uid="{9AE5575F-2DAB-4683-967D-D2CC47887A94}">
      <formula1>$N$1:$N$2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196" t="s">
        <v>81</v>
      </c>
      <c r="D1" s="197"/>
      <c r="E1" s="197"/>
      <c r="F1" s="197"/>
      <c r="G1" s="197"/>
      <c r="H1" s="197"/>
      <c r="I1" s="197"/>
      <c r="J1" s="197"/>
      <c r="K1" s="197"/>
      <c r="L1" s="197"/>
      <c r="M1" s="198"/>
    </row>
    <row r="2" spans="1:13" ht="15" thickBot="1" x14ac:dyDescent="0.35">
      <c r="A2" s="40"/>
      <c r="C2" s="40" t="s">
        <v>62</v>
      </c>
      <c r="D2" s="22" t="s">
        <v>63</v>
      </c>
      <c r="E2" t="str">
        <f>FIXED(C3,6)</f>
        <v>0,593971</v>
      </c>
      <c r="F2" t="str">
        <f>RIGHT(E2,1)</f>
        <v>1</v>
      </c>
      <c r="G2">
        <f>F2/1000000</f>
        <v>9.9999999999999995E-7</v>
      </c>
      <c r="H2" s="49">
        <f>C3-G2</f>
        <v>0.59396980955619316</v>
      </c>
      <c r="J2" t="str">
        <f>IF(E7=5,IF(AND(F3=0,F8=FALSE),L5,L6),L6)</f>
        <v>0,5940</v>
      </c>
      <c r="M2" s="50"/>
    </row>
    <row r="3" spans="1:13" ht="18.600000000000001" thickBot="1" x14ac:dyDescent="0.4">
      <c r="A3" s="40"/>
      <c r="C3" s="41">
        <f>INCERTIDUMBRE!M5</f>
        <v>0.59397080955619319</v>
      </c>
      <c r="D3" s="51" t="str">
        <f>IF(C3&gt;=10,M37,IF(C3&gt;=1,M29,IF(C3&gt;=0.1,M21,IF(C3&gt;=0.01,M13,IF(C3&gt;=0.001,M5)))))</f>
        <v>0,59</v>
      </c>
      <c r="E3" t="s">
        <v>64</v>
      </c>
      <c r="F3">
        <f>F2+0</f>
        <v>1</v>
      </c>
      <c r="M3" s="50"/>
    </row>
    <row r="4" spans="1:13" ht="29.4" hidden="1" thickBot="1" x14ac:dyDescent="0.35">
      <c r="A4" s="40"/>
      <c r="C4" s="42"/>
      <c r="D4" s="42"/>
      <c r="E4" t="s">
        <v>65</v>
      </c>
      <c r="F4" t="s">
        <v>66</v>
      </c>
      <c r="G4" t="s">
        <v>67</v>
      </c>
      <c r="H4" t="s">
        <v>68</v>
      </c>
      <c r="I4" s="44" t="s">
        <v>69</v>
      </c>
      <c r="J4" s="44" t="s">
        <v>70</v>
      </c>
      <c r="K4" s="44" t="s">
        <v>71</v>
      </c>
      <c r="L4" s="44" t="s">
        <v>72</v>
      </c>
      <c r="M4" s="52" t="s">
        <v>73</v>
      </c>
    </row>
    <row r="5" spans="1:13" ht="18.600000000000001" hidden="1" thickBot="1" x14ac:dyDescent="0.4">
      <c r="A5" s="40"/>
      <c r="C5" s="45"/>
      <c r="E5" t="str">
        <f>RIGHT(H2,2)</f>
        <v>93</v>
      </c>
      <c r="F5" t="str">
        <f>LEFT(E5,1)</f>
        <v>9</v>
      </c>
      <c r="G5" s="49">
        <f>TRUNC(C3)</f>
        <v>0</v>
      </c>
      <c r="H5" s="21" t="str">
        <f>FIXED(C3-G5,I5)</f>
        <v>0,593970809556193</v>
      </c>
      <c r="I5">
        <f>ABS(G8-H8)</f>
        <v>15</v>
      </c>
      <c r="J5" t="str">
        <f>RIGHT(C3,I5)</f>
        <v>593970809556193</v>
      </c>
      <c r="K5">
        <v>5.0000000000000002E-5</v>
      </c>
      <c r="L5" s="21">
        <f>(C3-K5)</f>
        <v>0.5939208095561932</v>
      </c>
      <c r="M5" s="53" t="str">
        <f>IF(E7=5,IF(AND(F3=0,F8=FALSE),L5,L6),L6)</f>
        <v>0,5940</v>
      </c>
    </row>
    <row r="6" spans="1:13" ht="15" hidden="1" thickBot="1" x14ac:dyDescent="0.35">
      <c r="A6" s="40"/>
      <c r="C6" s="40"/>
      <c r="E6" t="str">
        <f>RIGHT(E5,1)</f>
        <v>3</v>
      </c>
      <c r="F6">
        <f>F5+0</f>
        <v>9</v>
      </c>
      <c r="L6" t="str">
        <f>FIXED(C3,4)</f>
        <v>0,5940</v>
      </c>
      <c r="M6" s="50"/>
    </row>
    <row r="7" spans="1:13" ht="15" hidden="1" thickBot="1" x14ac:dyDescent="0.35">
      <c r="A7" s="40"/>
      <c r="C7" s="40"/>
      <c r="E7">
        <f>E6+0</f>
        <v>3</v>
      </c>
      <c r="F7" t="s">
        <v>74</v>
      </c>
      <c r="G7" t="s">
        <v>75</v>
      </c>
      <c r="H7" t="s">
        <v>76</v>
      </c>
      <c r="M7" s="50"/>
    </row>
    <row r="8" spans="1:13" ht="15" hidden="1" thickBot="1" x14ac:dyDescent="0.35">
      <c r="A8" s="40"/>
      <c r="C8" s="40"/>
      <c r="F8" t="b">
        <f>ISODD(F5)</f>
        <v>1</v>
      </c>
      <c r="G8">
        <f>LEN(C3)</f>
        <v>17</v>
      </c>
      <c r="H8">
        <f>LEN(G5)+1</f>
        <v>2</v>
      </c>
      <c r="M8" s="50"/>
    </row>
    <row r="9" spans="1:13" ht="15" hidden="1" thickBot="1" x14ac:dyDescent="0.35">
      <c r="A9" s="40"/>
      <c r="C9" s="40"/>
      <c r="M9" s="50"/>
    </row>
    <row r="10" spans="1:13" ht="15" hidden="1" thickBot="1" x14ac:dyDescent="0.35">
      <c r="A10" s="40"/>
      <c r="C10" s="193" t="s">
        <v>77</v>
      </c>
      <c r="D10" s="194"/>
      <c r="E10" s="194"/>
      <c r="F10" s="194"/>
      <c r="G10" s="194"/>
      <c r="H10" s="194"/>
      <c r="I10" s="194"/>
      <c r="J10" s="194"/>
      <c r="K10" s="194"/>
      <c r="L10" s="194"/>
      <c r="M10" s="195"/>
    </row>
    <row r="11" spans="1:13" ht="15" hidden="1" thickBot="1" x14ac:dyDescent="0.35">
      <c r="A11" s="40"/>
      <c r="C11" s="54" t="str">
        <f>M5</f>
        <v>0,5940</v>
      </c>
      <c r="E11" t="str">
        <f>FIXED(C3,5)</f>
        <v>0,59397</v>
      </c>
      <c r="F11" t="str">
        <f>RIGHT(E11,1)</f>
        <v>7</v>
      </c>
      <c r="G11">
        <f>F11+0</f>
        <v>7</v>
      </c>
      <c r="M11" s="50"/>
    </row>
    <row r="12" spans="1:13" ht="29.4" hidden="1" thickBot="1" x14ac:dyDescent="0.35">
      <c r="A12" s="40"/>
      <c r="C12" s="40"/>
      <c r="E12" t="s">
        <v>65</v>
      </c>
      <c r="F12" t="s">
        <v>66</v>
      </c>
      <c r="G12" t="s">
        <v>67</v>
      </c>
      <c r="H12" t="s">
        <v>68</v>
      </c>
      <c r="I12" s="44" t="s">
        <v>69</v>
      </c>
      <c r="J12" s="44" t="s">
        <v>70</v>
      </c>
      <c r="K12" s="44" t="s">
        <v>71</v>
      </c>
      <c r="L12" s="44" t="s">
        <v>72</v>
      </c>
      <c r="M12" s="52" t="s">
        <v>73</v>
      </c>
    </row>
    <row r="13" spans="1:13" ht="18.600000000000001" hidden="1" thickBot="1" x14ac:dyDescent="0.4">
      <c r="A13" s="40"/>
      <c r="C13" s="40"/>
      <c r="E13" t="str">
        <f>RIGHT(C11,2)</f>
        <v>40</v>
      </c>
      <c r="F13" t="str">
        <f>LEFT(E13,1)</f>
        <v>4</v>
      </c>
      <c r="G13" s="46">
        <f>TRUNC(C11)</f>
        <v>0</v>
      </c>
      <c r="H13" s="21" t="str">
        <f>FIXED(C11-G13,I13)</f>
        <v>0,5940</v>
      </c>
      <c r="I13">
        <f>ABS(G16-H16)</f>
        <v>4</v>
      </c>
      <c r="J13" t="str">
        <f>RIGHT(C11,I13)</f>
        <v>5940</v>
      </c>
      <c r="K13">
        <v>5.0000000000000001E-4</v>
      </c>
      <c r="L13" s="24">
        <f>(C11-K13)</f>
        <v>0.59350000000000003</v>
      </c>
      <c r="M13" s="55" t="str">
        <f>IF(E15=5,IF(AND(G11=0,F16=FALSE),L13,L14),L14)</f>
        <v>0,594</v>
      </c>
    </row>
    <row r="14" spans="1:13" ht="15" hidden="1" thickBot="1" x14ac:dyDescent="0.35">
      <c r="A14" s="40"/>
      <c r="C14" s="40"/>
      <c r="E14" t="str">
        <f>RIGHT(E13,1)</f>
        <v>0</v>
      </c>
      <c r="F14">
        <f>F13+0</f>
        <v>4</v>
      </c>
      <c r="L14" t="str">
        <f>FIXED(C11,3)</f>
        <v>0,594</v>
      </c>
      <c r="M14" s="50"/>
    </row>
    <row r="15" spans="1:13" ht="15" hidden="1" thickBot="1" x14ac:dyDescent="0.35">
      <c r="A15" s="40"/>
      <c r="C15" s="40"/>
      <c r="E15">
        <f>E14+0</f>
        <v>0</v>
      </c>
      <c r="F15" t="s">
        <v>74</v>
      </c>
      <c r="G15" t="s">
        <v>75</v>
      </c>
      <c r="H15" t="s">
        <v>76</v>
      </c>
      <c r="M15" s="50"/>
    </row>
    <row r="16" spans="1:13" ht="15" hidden="1" thickBot="1" x14ac:dyDescent="0.35">
      <c r="A16" s="40"/>
      <c r="C16" s="40"/>
      <c r="F16" t="b">
        <f>ISODD(F13)</f>
        <v>0</v>
      </c>
      <c r="G16">
        <f>LEN(C11)</f>
        <v>6</v>
      </c>
      <c r="H16">
        <f>LEN(G13)+1</f>
        <v>2</v>
      </c>
      <c r="M16" s="50"/>
    </row>
    <row r="17" spans="1:13" ht="15" hidden="1" thickBot="1" x14ac:dyDescent="0.35">
      <c r="A17" s="40"/>
      <c r="C17" s="40"/>
      <c r="M17" s="50"/>
    </row>
    <row r="18" spans="1:13" ht="15" hidden="1" thickBot="1" x14ac:dyDescent="0.35">
      <c r="A18" s="40"/>
      <c r="C18" s="193" t="s">
        <v>78</v>
      </c>
      <c r="D18" s="194"/>
      <c r="E18" s="194"/>
      <c r="F18" s="194"/>
      <c r="G18" s="194"/>
      <c r="H18" s="194"/>
      <c r="I18" s="194"/>
      <c r="J18" s="194"/>
      <c r="K18" s="194"/>
      <c r="L18" s="194"/>
      <c r="M18" s="195"/>
    </row>
    <row r="19" spans="1:13" ht="15" hidden="1" thickBot="1" x14ac:dyDescent="0.35">
      <c r="A19" s="40"/>
      <c r="C19" s="54" t="str">
        <f>M13</f>
        <v>0,594</v>
      </c>
      <c r="E19" t="str">
        <f>FIXED(C11,4)</f>
        <v>0,5940</v>
      </c>
      <c r="F19" t="str">
        <f>RIGHT(E19,1)</f>
        <v>0</v>
      </c>
      <c r="G19">
        <f>F19+0</f>
        <v>0</v>
      </c>
      <c r="M19" s="50"/>
    </row>
    <row r="20" spans="1:13" ht="29.4" hidden="1" thickBot="1" x14ac:dyDescent="0.35">
      <c r="A20" s="40"/>
      <c r="C20" s="40"/>
      <c r="E20" t="s">
        <v>65</v>
      </c>
      <c r="F20" t="s">
        <v>66</v>
      </c>
      <c r="G20" t="s">
        <v>67</v>
      </c>
      <c r="H20" t="s">
        <v>68</v>
      </c>
      <c r="I20" s="44" t="s">
        <v>69</v>
      </c>
      <c r="J20" s="44" t="s">
        <v>70</v>
      </c>
      <c r="K20" s="44" t="s">
        <v>71</v>
      </c>
      <c r="L20" s="44" t="s">
        <v>72</v>
      </c>
      <c r="M20" s="52" t="s">
        <v>73</v>
      </c>
    </row>
    <row r="21" spans="1:13" ht="18.600000000000001" hidden="1" thickBot="1" x14ac:dyDescent="0.4">
      <c r="A21" s="40"/>
      <c r="C21" s="40"/>
      <c r="E21" t="str">
        <f>RIGHT(C19,2)</f>
        <v>94</v>
      </c>
      <c r="F21" t="str">
        <f>LEFT(E21,1)</f>
        <v>9</v>
      </c>
      <c r="G21" s="46">
        <f>TRUNC(C19)</f>
        <v>0</v>
      </c>
      <c r="H21" s="21" t="str">
        <f>FIXED(C19-G21,I21)</f>
        <v>0,594</v>
      </c>
      <c r="I21">
        <f>ABS(G24-H24)</f>
        <v>3</v>
      </c>
      <c r="J21" t="str">
        <f>RIGHT(C19,I21)</f>
        <v>594</v>
      </c>
      <c r="K21">
        <v>5.0000000000000001E-3</v>
      </c>
      <c r="L21" s="47">
        <f>(C19-K21)</f>
        <v>0.58899999999999997</v>
      </c>
      <c r="M21" s="56" t="str">
        <f>IF(E23=5,IF(AND(G19=0,F24=FALSE),L21,L22),L22)</f>
        <v>0,59</v>
      </c>
    </row>
    <row r="22" spans="1:13" ht="18.600000000000001" hidden="1" thickBot="1" x14ac:dyDescent="0.4">
      <c r="A22" s="40"/>
      <c r="C22" s="40"/>
      <c r="E22" t="str">
        <f>RIGHT(E21,1)</f>
        <v>4</v>
      </c>
      <c r="F22">
        <f>F21+0</f>
        <v>9</v>
      </c>
      <c r="L22" t="str">
        <f>FIXED(C19,2)</f>
        <v>0,59</v>
      </c>
      <c r="M22" s="56"/>
    </row>
    <row r="23" spans="1:13" ht="15" hidden="1" thickBot="1" x14ac:dyDescent="0.35">
      <c r="A23" s="40"/>
      <c r="C23" s="40"/>
      <c r="E23">
        <f>E22+0</f>
        <v>4</v>
      </c>
      <c r="F23" t="s">
        <v>74</v>
      </c>
      <c r="G23" t="s">
        <v>75</v>
      </c>
      <c r="H23" t="s">
        <v>76</v>
      </c>
      <c r="M23" s="50"/>
    </row>
    <row r="24" spans="1:13" ht="15" hidden="1" thickBot="1" x14ac:dyDescent="0.35">
      <c r="A24" s="40"/>
      <c r="C24" s="40"/>
      <c r="F24" t="b">
        <f>ISODD(F21)</f>
        <v>1</v>
      </c>
      <c r="G24">
        <f>LEN(C19)</f>
        <v>5</v>
      </c>
      <c r="H24">
        <f>LEN(G21)+1</f>
        <v>2</v>
      </c>
      <c r="M24" s="50"/>
    </row>
    <row r="25" spans="1:13" ht="15" hidden="1" thickBot="1" x14ac:dyDescent="0.35">
      <c r="A25" s="40"/>
      <c r="C25" s="40"/>
      <c r="M25" s="50"/>
    </row>
    <row r="26" spans="1:13" ht="15" hidden="1" thickBot="1" x14ac:dyDescent="0.35">
      <c r="A26" s="40"/>
      <c r="C26" s="193" t="s">
        <v>79</v>
      </c>
      <c r="D26" s="194"/>
      <c r="E26" s="194"/>
      <c r="F26" s="194"/>
      <c r="G26" s="194"/>
      <c r="H26" s="194"/>
      <c r="I26" s="194"/>
      <c r="J26" s="194"/>
      <c r="K26" s="194"/>
      <c r="L26" s="194"/>
      <c r="M26" s="195"/>
    </row>
    <row r="27" spans="1:13" ht="15" hidden="1" thickBot="1" x14ac:dyDescent="0.35">
      <c r="A27" s="40"/>
      <c r="C27" s="57" t="str">
        <f>M21</f>
        <v>0,59</v>
      </c>
      <c r="E27" t="str">
        <f>FIXED(C19,3)</f>
        <v>0,594</v>
      </c>
      <c r="F27" t="str">
        <f>RIGHT(E27,1)</f>
        <v>4</v>
      </c>
      <c r="G27">
        <f>F27+0</f>
        <v>4</v>
      </c>
      <c r="M27" s="50"/>
    </row>
    <row r="28" spans="1:13" ht="29.4" hidden="1" thickBot="1" x14ac:dyDescent="0.35">
      <c r="A28" s="40"/>
      <c r="C28" s="40"/>
      <c r="E28" t="s">
        <v>65</v>
      </c>
      <c r="F28" t="s">
        <v>66</v>
      </c>
      <c r="G28" t="s">
        <v>67</v>
      </c>
      <c r="H28" t="s">
        <v>68</v>
      </c>
      <c r="I28" s="44" t="s">
        <v>69</v>
      </c>
      <c r="J28" s="44" t="s">
        <v>70</v>
      </c>
      <c r="K28" s="44" t="s">
        <v>71</v>
      </c>
      <c r="L28" s="44" t="s">
        <v>72</v>
      </c>
      <c r="M28" s="52" t="s">
        <v>73</v>
      </c>
    </row>
    <row r="29" spans="1:13" ht="18.600000000000001" hidden="1" thickBot="1" x14ac:dyDescent="0.4">
      <c r="A29" s="40"/>
      <c r="C29" s="40"/>
      <c r="E29" t="str">
        <f>RIGHT(C27,2)</f>
        <v>59</v>
      </c>
      <c r="F29" t="str">
        <f>LEFT(E29,1)</f>
        <v>5</v>
      </c>
      <c r="G29" s="46">
        <f>TRUNC(C27)</f>
        <v>0</v>
      </c>
      <c r="H29" s="21" t="str">
        <f>FIXED(C27-G29,I29)</f>
        <v>0,59</v>
      </c>
      <c r="I29">
        <f>ABS(G32-H32)</f>
        <v>2</v>
      </c>
      <c r="J29" t="str">
        <f>RIGHT(C27,I29)</f>
        <v>59</v>
      </c>
      <c r="K29">
        <v>0.05</v>
      </c>
      <c r="L29" s="47">
        <f>(C27-K29)</f>
        <v>0.53999999999999992</v>
      </c>
      <c r="M29" s="56" t="str">
        <f>IF(E31=5,IF(AND(G27=0,F32=FALSE),L29,L30),L30)</f>
        <v>0,6</v>
      </c>
    </row>
    <row r="30" spans="1:13" ht="15" hidden="1" thickBot="1" x14ac:dyDescent="0.35">
      <c r="A30" s="40"/>
      <c r="C30" s="40"/>
      <c r="E30" t="str">
        <f>RIGHT(E29,1)</f>
        <v>9</v>
      </c>
      <c r="F30">
        <f>F29+0</f>
        <v>5</v>
      </c>
      <c r="L30" t="str">
        <f>FIXED(C27,1)</f>
        <v>0,6</v>
      </c>
      <c r="M30" s="58"/>
    </row>
    <row r="31" spans="1:13" ht="15" hidden="1" thickBot="1" x14ac:dyDescent="0.35">
      <c r="A31" s="40"/>
      <c r="C31" s="40"/>
      <c r="E31">
        <f>E30+0</f>
        <v>9</v>
      </c>
      <c r="F31" t="s">
        <v>74</v>
      </c>
      <c r="G31" t="s">
        <v>75</v>
      </c>
      <c r="H31" t="s">
        <v>76</v>
      </c>
      <c r="M31" s="50"/>
    </row>
    <row r="32" spans="1:13" ht="15" hidden="1" thickBot="1" x14ac:dyDescent="0.35">
      <c r="A32" s="40"/>
      <c r="C32" s="40"/>
      <c r="F32" t="b">
        <f>ISODD(F29)</f>
        <v>1</v>
      </c>
      <c r="G32">
        <f>LEN(C27)</f>
        <v>4</v>
      </c>
      <c r="H32">
        <f>LEN(G29)+1</f>
        <v>2</v>
      </c>
      <c r="M32" s="50"/>
    </row>
    <row r="33" spans="1:13" ht="15" hidden="1" thickBot="1" x14ac:dyDescent="0.35">
      <c r="A33" s="40"/>
      <c r="C33" s="40"/>
      <c r="M33" s="50"/>
    </row>
    <row r="34" spans="1:13" ht="15" hidden="1" thickBot="1" x14ac:dyDescent="0.35">
      <c r="A34" s="40"/>
      <c r="C34" s="193" t="s">
        <v>80</v>
      </c>
      <c r="D34" s="194"/>
      <c r="E34" s="194"/>
      <c r="F34" s="194"/>
      <c r="G34" s="194"/>
      <c r="H34" s="194"/>
      <c r="I34" s="194"/>
      <c r="J34" s="194"/>
      <c r="K34" s="194"/>
      <c r="L34" s="194"/>
      <c r="M34" s="195"/>
    </row>
    <row r="35" spans="1:13" ht="15" hidden="1" thickBot="1" x14ac:dyDescent="0.35">
      <c r="A35" s="40"/>
      <c r="C35" s="57" t="str">
        <f>M29</f>
        <v>0,6</v>
      </c>
      <c r="E35" t="str">
        <f>FIXED(C27,2)</f>
        <v>0,59</v>
      </c>
      <c r="F35" t="str">
        <f>RIGHT(E35,1)</f>
        <v>9</v>
      </c>
      <c r="G35">
        <f>F35+0</f>
        <v>9</v>
      </c>
      <c r="M35" s="50"/>
    </row>
    <row r="36" spans="1:13" ht="29.4" hidden="1" thickBot="1" x14ac:dyDescent="0.35">
      <c r="A36" s="40"/>
      <c r="C36" s="40"/>
      <c r="E36" t="s">
        <v>65</v>
      </c>
      <c r="F36" t="s">
        <v>66</v>
      </c>
      <c r="G36" t="s">
        <v>67</v>
      </c>
      <c r="H36" t="s">
        <v>68</v>
      </c>
      <c r="I36" s="44" t="s">
        <v>69</v>
      </c>
      <c r="J36" s="44" t="s">
        <v>70</v>
      </c>
      <c r="K36" s="44" t="s">
        <v>71</v>
      </c>
      <c r="L36" s="44" t="s">
        <v>72</v>
      </c>
      <c r="M36" s="52" t="s">
        <v>73</v>
      </c>
    </row>
    <row r="37" spans="1:13" ht="18.600000000000001" hidden="1" thickBot="1" x14ac:dyDescent="0.4">
      <c r="A37" s="40"/>
      <c r="C37" s="40"/>
      <c r="E37" t="str">
        <f>RIGHT(C35,2)</f>
        <v>,6</v>
      </c>
      <c r="F37" t="str">
        <f>RIGHT(G37,1)</f>
        <v>0</v>
      </c>
      <c r="G37" s="46">
        <f>TRUNC(C35)</f>
        <v>0</v>
      </c>
      <c r="H37" s="21" t="str">
        <f>FIXED(C35-G37,I37)</f>
        <v>0,6</v>
      </c>
      <c r="I37">
        <f>ABS(G40-H40)</f>
        <v>1</v>
      </c>
      <c r="J37" t="str">
        <f>RIGHT(C35,I37)</f>
        <v>6</v>
      </c>
      <c r="K37">
        <v>0.5</v>
      </c>
      <c r="L37" s="17">
        <f>(C35-K37)</f>
        <v>9.9999999999999978E-2</v>
      </c>
      <c r="M37" s="59" t="str">
        <f>IF(E39=5,IF(AND(G35=0,F40=FALSE),L37,L38),L38)</f>
        <v>1</v>
      </c>
    </row>
    <row r="38" spans="1:13" ht="15" hidden="1" thickBot="1" x14ac:dyDescent="0.35">
      <c r="A38" s="40"/>
      <c r="C38" s="40"/>
      <c r="E38" t="str">
        <f>RIGHT(E37,1)</f>
        <v>6</v>
      </c>
      <c r="F38">
        <f>F37+0</f>
        <v>0</v>
      </c>
      <c r="L38" t="str">
        <f>FIXED(C35,0)</f>
        <v>1</v>
      </c>
      <c r="M38" s="60"/>
    </row>
    <row r="39" spans="1:13" ht="15" hidden="1" thickBot="1" x14ac:dyDescent="0.35">
      <c r="A39" s="40"/>
      <c r="C39" s="40"/>
      <c r="E39">
        <f>E38+0</f>
        <v>6</v>
      </c>
      <c r="F39" t="s">
        <v>74</v>
      </c>
      <c r="G39" t="s">
        <v>75</v>
      </c>
      <c r="H39" t="s">
        <v>76</v>
      </c>
      <c r="M39" s="50"/>
    </row>
    <row r="40" spans="1:13" ht="15" hidden="1" thickBot="1" x14ac:dyDescent="0.35">
      <c r="A40" s="63"/>
      <c r="B40" s="48"/>
      <c r="C40" s="48"/>
      <c r="D40" s="48"/>
      <c r="E40" s="48"/>
      <c r="F40" s="48" t="b">
        <f>ISODD(F37)</f>
        <v>0</v>
      </c>
      <c r="G40" s="48">
        <f>LEN(C35)</f>
        <v>3</v>
      </c>
      <c r="H40" s="48">
        <f>LEN(G37)+1</f>
        <v>2</v>
      </c>
      <c r="I40" s="48"/>
      <c r="J40" s="48"/>
      <c r="K40" s="48"/>
      <c r="L40" s="48"/>
      <c r="M40" s="61"/>
    </row>
    <row r="41" spans="1:13" ht="15" thickBot="1" x14ac:dyDescent="0.35">
      <c r="C41" s="196" t="s">
        <v>82</v>
      </c>
      <c r="D41" s="197"/>
      <c r="E41" s="197"/>
      <c r="F41" s="197"/>
      <c r="G41" s="197"/>
      <c r="H41" s="197"/>
      <c r="I41" s="197"/>
      <c r="J41" s="197"/>
      <c r="K41" s="197"/>
      <c r="L41" s="197"/>
      <c r="M41" s="198"/>
    </row>
    <row r="42" spans="1:13" ht="15" thickBot="1" x14ac:dyDescent="0.35">
      <c r="C42" s="40" t="s">
        <v>62</v>
      </c>
      <c r="D42" s="22" t="s">
        <v>63</v>
      </c>
      <c r="E42" t="str">
        <f ca="1">FIXED(C43,6)</f>
        <v>0,688782</v>
      </c>
      <c r="F42" t="str">
        <f ca="1">RIGHT(E42,1)</f>
        <v>2</v>
      </c>
      <c r="G42">
        <f ca="1">F42/1000000</f>
        <v>1.9999999999999999E-6</v>
      </c>
      <c r="H42" s="49">
        <f ca="1">C43-G42</f>
        <v>0.68878043962355684</v>
      </c>
      <c r="J42" t="str">
        <f ca="1">IF(E47=5,IF(AND(F43=0,F48=FALSE),L45,L46),L46)</f>
        <v>0,6888</v>
      </c>
      <c r="M42" s="50"/>
    </row>
    <row r="43" spans="1:13" ht="18.600000000000001" thickBot="1" x14ac:dyDescent="0.4">
      <c r="C43" s="41">
        <f ca="1">INCERTIDUMBRE!M6</f>
        <v>0.68878243962355679</v>
      </c>
      <c r="D43" s="51" t="str">
        <f ca="1">IF(C43&gt;=10,M77,IF(C43&gt;=1,M69,IF(C43&gt;=0.1,M61,IF(C43&gt;=0.01,M53,IF(C43&gt;=0.001,M45)))))</f>
        <v>0,69</v>
      </c>
      <c r="E43" t="s">
        <v>64</v>
      </c>
      <c r="F43">
        <f ca="1">F42+0</f>
        <v>2</v>
      </c>
      <c r="M43" s="50"/>
    </row>
    <row r="44" spans="1:13" ht="29.4" hidden="1" thickBot="1" x14ac:dyDescent="0.35">
      <c r="C44" s="42"/>
      <c r="D44" s="42"/>
      <c r="E44" t="s">
        <v>65</v>
      </c>
      <c r="F44" t="s">
        <v>66</v>
      </c>
      <c r="G44" t="s">
        <v>67</v>
      </c>
      <c r="H44" t="s">
        <v>68</v>
      </c>
      <c r="I44" s="44" t="s">
        <v>69</v>
      </c>
      <c r="J44" s="44" t="s">
        <v>70</v>
      </c>
      <c r="K44" s="44" t="s">
        <v>71</v>
      </c>
      <c r="L44" s="44" t="s">
        <v>72</v>
      </c>
      <c r="M44" s="52" t="s">
        <v>73</v>
      </c>
    </row>
    <row r="45" spans="1:13" ht="18.600000000000001" hidden="1" thickBot="1" x14ac:dyDescent="0.4">
      <c r="C45" s="45"/>
      <c r="E45" t="str">
        <f ca="1">RIGHT(H42,2)</f>
        <v>57</v>
      </c>
      <c r="F45" t="str">
        <f ca="1">LEFT(E45,1)</f>
        <v>5</v>
      </c>
      <c r="G45" s="49">
        <f ca="1">TRUNC(C43)</f>
        <v>0</v>
      </c>
      <c r="H45" s="21" t="str">
        <f ca="1">FIXED(C43-G45,I45)</f>
        <v>0,688782439623557</v>
      </c>
      <c r="I45">
        <f ca="1">ABS(G48-H48)</f>
        <v>15</v>
      </c>
      <c r="J45" t="str">
        <f ca="1">RIGHT(C43,I45)</f>
        <v>688782439623557</v>
      </c>
      <c r="K45">
        <v>5.0000000000000002E-5</v>
      </c>
      <c r="L45" s="21">
        <f ca="1">(C43-K45)</f>
        <v>0.68873243962355679</v>
      </c>
      <c r="M45" s="53" t="str">
        <f ca="1">IF(E47=5,IF(AND(F43=0,F48=FALSE),L45,L46),L46)</f>
        <v>0,6888</v>
      </c>
    </row>
    <row r="46" spans="1:13" ht="15" hidden="1" thickBot="1" x14ac:dyDescent="0.35">
      <c r="C46" s="40"/>
      <c r="E46" t="str">
        <f ca="1">RIGHT(E45,1)</f>
        <v>7</v>
      </c>
      <c r="F46">
        <f ca="1">F45+0</f>
        <v>5</v>
      </c>
      <c r="L46" t="str">
        <f ca="1">FIXED(C43,4)</f>
        <v>0,6888</v>
      </c>
      <c r="M46" s="50"/>
    </row>
    <row r="47" spans="1:13" ht="15" hidden="1" thickBot="1" x14ac:dyDescent="0.35">
      <c r="C47" s="40"/>
      <c r="E47">
        <f ca="1">E46+0</f>
        <v>7</v>
      </c>
      <c r="F47" t="s">
        <v>74</v>
      </c>
      <c r="G47" t="s">
        <v>75</v>
      </c>
      <c r="H47" t="s">
        <v>76</v>
      </c>
      <c r="M47" s="50"/>
    </row>
    <row r="48" spans="1:13" ht="15" hidden="1" thickBot="1" x14ac:dyDescent="0.35">
      <c r="C48" s="40"/>
      <c r="F48" t="b">
        <f ca="1">ISODD(F45)</f>
        <v>1</v>
      </c>
      <c r="G48">
        <f ca="1">LEN(C43)</f>
        <v>17</v>
      </c>
      <c r="H48">
        <f ca="1">LEN(G45)+1</f>
        <v>2</v>
      </c>
      <c r="M48" s="50"/>
    </row>
    <row r="49" spans="3:13" ht="15" hidden="1" thickBot="1" x14ac:dyDescent="0.35">
      <c r="C49" s="40"/>
      <c r="M49" s="50"/>
    </row>
    <row r="50" spans="3:13" ht="15" hidden="1" thickBot="1" x14ac:dyDescent="0.35">
      <c r="C50" s="193" t="s">
        <v>77</v>
      </c>
      <c r="D50" s="194"/>
      <c r="E50" s="194"/>
      <c r="F50" s="194"/>
      <c r="G50" s="194"/>
      <c r="H50" s="194"/>
      <c r="I50" s="194"/>
      <c r="J50" s="194"/>
      <c r="K50" s="194"/>
      <c r="L50" s="194"/>
      <c r="M50" s="195"/>
    </row>
    <row r="51" spans="3:13" ht="15" hidden="1" thickBot="1" x14ac:dyDescent="0.35">
      <c r="C51" s="54" t="str">
        <f ca="1">M45</f>
        <v>0,6888</v>
      </c>
      <c r="E51" t="str">
        <f ca="1">FIXED(C43,5)</f>
        <v>0,68878</v>
      </c>
      <c r="F51" t="str">
        <f ca="1">RIGHT(E51,1)</f>
        <v>8</v>
      </c>
      <c r="G51">
        <f ca="1">F51+0</f>
        <v>8</v>
      </c>
      <c r="M51" s="50"/>
    </row>
    <row r="52" spans="3:13" ht="29.4" hidden="1" thickBot="1" x14ac:dyDescent="0.35">
      <c r="C52" s="40"/>
      <c r="E52" t="s">
        <v>65</v>
      </c>
      <c r="F52" t="s">
        <v>66</v>
      </c>
      <c r="G52" t="s">
        <v>67</v>
      </c>
      <c r="H52" t="s">
        <v>68</v>
      </c>
      <c r="I52" s="44" t="s">
        <v>69</v>
      </c>
      <c r="J52" s="44" t="s">
        <v>70</v>
      </c>
      <c r="K52" s="44" t="s">
        <v>71</v>
      </c>
      <c r="L52" s="44" t="s">
        <v>72</v>
      </c>
      <c r="M52" s="52" t="s">
        <v>73</v>
      </c>
    </row>
    <row r="53" spans="3:13" ht="18.600000000000001" hidden="1" thickBot="1" x14ac:dyDescent="0.4">
      <c r="C53" s="40"/>
      <c r="E53" t="str">
        <f ca="1">RIGHT(C51,2)</f>
        <v>88</v>
      </c>
      <c r="F53" t="str">
        <f ca="1">LEFT(E53,1)</f>
        <v>8</v>
      </c>
      <c r="G53" s="46">
        <f ca="1">TRUNC(C51)</f>
        <v>0</v>
      </c>
      <c r="H53" s="21" t="str">
        <f ca="1">FIXED(C51-G53,I53)</f>
        <v>0,6888</v>
      </c>
      <c r="I53">
        <f ca="1">ABS(G56-H56)</f>
        <v>4</v>
      </c>
      <c r="J53" t="str">
        <f ca="1">RIGHT(C51,I53)</f>
        <v>6888</v>
      </c>
      <c r="K53">
        <v>5.0000000000000001E-4</v>
      </c>
      <c r="L53" s="24">
        <f ca="1">(C51-K53)</f>
        <v>0.68830000000000002</v>
      </c>
      <c r="M53" s="55" t="str">
        <f ca="1">IF(E55=5,IF(AND(G51=0,F56=FALSE),L53,L54),L54)</f>
        <v>0,689</v>
      </c>
    </row>
    <row r="54" spans="3:13" ht="15" hidden="1" thickBot="1" x14ac:dyDescent="0.35">
      <c r="C54" s="40"/>
      <c r="E54" t="str">
        <f ca="1">RIGHT(E53,1)</f>
        <v>8</v>
      </c>
      <c r="F54">
        <f ca="1">F53+0</f>
        <v>8</v>
      </c>
      <c r="L54" t="str">
        <f ca="1">FIXED(C51,3)</f>
        <v>0,689</v>
      </c>
      <c r="M54" s="50"/>
    </row>
    <row r="55" spans="3:13" ht="15" hidden="1" thickBot="1" x14ac:dyDescent="0.35">
      <c r="C55" s="40"/>
      <c r="E55">
        <f ca="1">E54+0</f>
        <v>8</v>
      </c>
      <c r="F55" t="s">
        <v>74</v>
      </c>
      <c r="G55" t="s">
        <v>75</v>
      </c>
      <c r="H55" t="s">
        <v>76</v>
      </c>
      <c r="M55" s="50"/>
    </row>
    <row r="56" spans="3:13" ht="15" hidden="1" thickBot="1" x14ac:dyDescent="0.35">
      <c r="C56" s="40"/>
      <c r="F56" t="b">
        <f ca="1">ISODD(F53)</f>
        <v>0</v>
      </c>
      <c r="G56">
        <f ca="1">LEN(C51)</f>
        <v>6</v>
      </c>
      <c r="H56">
        <f ca="1">LEN(G53)+1</f>
        <v>2</v>
      </c>
      <c r="M56" s="50"/>
    </row>
    <row r="57" spans="3:13" ht="15" hidden="1" thickBot="1" x14ac:dyDescent="0.35">
      <c r="C57" s="40"/>
      <c r="M57" s="50"/>
    </row>
    <row r="58" spans="3:13" ht="15" hidden="1" thickBot="1" x14ac:dyDescent="0.35">
      <c r="C58" s="193" t="s">
        <v>78</v>
      </c>
      <c r="D58" s="194"/>
      <c r="E58" s="194"/>
      <c r="F58" s="194"/>
      <c r="G58" s="194"/>
      <c r="H58" s="194"/>
      <c r="I58" s="194"/>
      <c r="J58" s="194"/>
      <c r="K58" s="194"/>
      <c r="L58" s="194"/>
      <c r="M58" s="195"/>
    </row>
    <row r="59" spans="3:13" ht="15" hidden="1" thickBot="1" x14ac:dyDescent="0.35">
      <c r="C59" s="54" t="str">
        <f ca="1">M53</f>
        <v>0,689</v>
      </c>
      <c r="E59" t="str">
        <f ca="1">FIXED(C51,4)</f>
        <v>0,6888</v>
      </c>
      <c r="F59" t="str">
        <f ca="1">RIGHT(E59,1)</f>
        <v>8</v>
      </c>
      <c r="G59">
        <f ca="1">F59+0</f>
        <v>8</v>
      </c>
      <c r="M59" s="50"/>
    </row>
    <row r="60" spans="3:13" ht="29.4" hidden="1" thickBot="1" x14ac:dyDescent="0.35">
      <c r="C60" s="40"/>
      <c r="E60" t="s">
        <v>65</v>
      </c>
      <c r="F60" t="s">
        <v>66</v>
      </c>
      <c r="G60" t="s">
        <v>67</v>
      </c>
      <c r="H60" t="s">
        <v>68</v>
      </c>
      <c r="I60" s="44" t="s">
        <v>69</v>
      </c>
      <c r="J60" s="44" t="s">
        <v>70</v>
      </c>
      <c r="K60" s="44" t="s">
        <v>71</v>
      </c>
      <c r="L60" s="44" t="s">
        <v>72</v>
      </c>
      <c r="M60" s="52" t="s">
        <v>73</v>
      </c>
    </row>
    <row r="61" spans="3:13" ht="18.600000000000001" hidden="1" thickBot="1" x14ac:dyDescent="0.4">
      <c r="C61" s="40"/>
      <c r="E61" t="str">
        <f ca="1">RIGHT(C59,2)</f>
        <v>89</v>
      </c>
      <c r="F61" t="str">
        <f ca="1">LEFT(E61,1)</f>
        <v>8</v>
      </c>
      <c r="G61" s="46">
        <f ca="1">TRUNC(C59)</f>
        <v>0</v>
      </c>
      <c r="H61" s="21" t="str">
        <f ca="1">FIXED(C59-G61,I61)</f>
        <v>0,689</v>
      </c>
      <c r="I61">
        <f ca="1">ABS(G64-H64)</f>
        <v>3</v>
      </c>
      <c r="J61" t="str">
        <f ca="1">RIGHT(C59,I61)</f>
        <v>689</v>
      </c>
      <c r="K61">
        <v>5.0000000000000001E-3</v>
      </c>
      <c r="L61" s="47">
        <f ca="1">(C59-K61)</f>
        <v>0.68399999999999994</v>
      </c>
      <c r="M61" s="56" t="str">
        <f ca="1">IF(E63=5,IF(AND(G59=0,F64=FALSE),L61,L62),L62)</f>
        <v>0,69</v>
      </c>
    </row>
    <row r="62" spans="3:13" ht="18.600000000000001" hidden="1" thickBot="1" x14ac:dyDescent="0.4">
      <c r="C62" s="40"/>
      <c r="E62" t="str">
        <f ca="1">RIGHT(E61,1)</f>
        <v>9</v>
      </c>
      <c r="F62">
        <f ca="1">F61+0</f>
        <v>8</v>
      </c>
      <c r="L62" t="str">
        <f ca="1">FIXED(C59,2)</f>
        <v>0,69</v>
      </c>
      <c r="M62" s="56"/>
    </row>
    <row r="63" spans="3:13" ht="15" hidden="1" thickBot="1" x14ac:dyDescent="0.35">
      <c r="C63" s="40"/>
      <c r="E63">
        <f ca="1">E62+0</f>
        <v>9</v>
      </c>
      <c r="F63" t="s">
        <v>74</v>
      </c>
      <c r="G63" t="s">
        <v>75</v>
      </c>
      <c r="H63" t="s">
        <v>76</v>
      </c>
      <c r="M63" s="50"/>
    </row>
    <row r="64" spans="3:13" ht="15" hidden="1" thickBot="1" x14ac:dyDescent="0.35">
      <c r="C64" s="40"/>
      <c r="F64" t="b">
        <f ca="1">ISODD(F61)</f>
        <v>0</v>
      </c>
      <c r="G64">
        <f ca="1">LEN(C59)</f>
        <v>5</v>
      </c>
      <c r="H64">
        <f ca="1">LEN(G61)+1</f>
        <v>2</v>
      </c>
      <c r="M64" s="50"/>
    </row>
    <row r="65" spans="3:13" ht="15" hidden="1" thickBot="1" x14ac:dyDescent="0.35">
      <c r="C65" s="40"/>
      <c r="M65" s="50"/>
    </row>
    <row r="66" spans="3:13" ht="15" hidden="1" thickBot="1" x14ac:dyDescent="0.35">
      <c r="C66" s="193" t="s">
        <v>79</v>
      </c>
      <c r="D66" s="194"/>
      <c r="E66" s="194"/>
      <c r="F66" s="194"/>
      <c r="G66" s="194"/>
      <c r="H66" s="194"/>
      <c r="I66" s="194"/>
      <c r="J66" s="194"/>
      <c r="K66" s="194"/>
      <c r="L66" s="194"/>
      <c r="M66" s="195"/>
    </row>
    <row r="67" spans="3:13" ht="15" hidden="1" thickBot="1" x14ac:dyDescent="0.35">
      <c r="C67" s="57" t="str">
        <f ca="1">M61</f>
        <v>0,69</v>
      </c>
      <c r="E67" t="str">
        <f ca="1">FIXED(C59,3)</f>
        <v>0,689</v>
      </c>
      <c r="F67" t="str">
        <f ca="1">RIGHT(E67,1)</f>
        <v>9</v>
      </c>
      <c r="G67">
        <f ca="1">F67+0</f>
        <v>9</v>
      </c>
      <c r="M67" s="50"/>
    </row>
    <row r="68" spans="3:13" ht="29.4" hidden="1" thickBot="1" x14ac:dyDescent="0.35">
      <c r="C68" s="40"/>
      <c r="E68" t="s">
        <v>65</v>
      </c>
      <c r="F68" t="s">
        <v>66</v>
      </c>
      <c r="G68" t="s">
        <v>67</v>
      </c>
      <c r="H68" t="s">
        <v>68</v>
      </c>
      <c r="I68" s="44" t="s">
        <v>69</v>
      </c>
      <c r="J68" s="44" t="s">
        <v>70</v>
      </c>
      <c r="K68" s="44" t="s">
        <v>71</v>
      </c>
      <c r="L68" s="44" t="s">
        <v>72</v>
      </c>
      <c r="M68" s="52" t="s">
        <v>73</v>
      </c>
    </row>
    <row r="69" spans="3:13" ht="18.600000000000001" hidden="1" thickBot="1" x14ac:dyDescent="0.4">
      <c r="C69" s="40"/>
      <c r="E69" t="str">
        <f ca="1">RIGHT(C67,2)</f>
        <v>69</v>
      </c>
      <c r="F69" t="str">
        <f ca="1">LEFT(E69,1)</f>
        <v>6</v>
      </c>
      <c r="G69" s="46">
        <f ca="1">TRUNC(C67)</f>
        <v>0</v>
      </c>
      <c r="H69" s="21" t="str">
        <f ca="1">FIXED(C67-G69,I69)</f>
        <v>0,69</v>
      </c>
      <c r="I69">
        <f ca="1">ABS(G72-H72)</f>
        <v>2</v>
      </c>
      <c r="J69" t="str">
        <f ca="1">RIGHT(C67,I69)</f>
        <v>69</v>
      </c>
      <c r="K69">
        <v>0.05</v>
      </c>
      <c r="L69" s="47">
        <f ca="1">(C67-K69)</f>
        <v>0.6399999999999999</v>
      </c>
      <c r="M69" s="56" t="str">
        <f ca="1">IF(E71=5,IF(AND(G67=0,F72=FALSE),L69,L70),L70)</f>
        <v>0,7</v>
      </c>
    </row>
    <row r="70" spans="3:13" ht="15" hidden="1" thickBot="1" x14ac:dyDescent="0.35">
      <c r="C70" s="40"/>
      <c r="E70" t="str">
        <f ca="1">RIGHT(E69,1)</f>
        <v>9</v>
      </c>
      <c r="F70">
        <f ca="1">F69+0</f>
        <v>6</v>
      </c>
      <c r="L70" t="str">
        <f ca="1">FIXED(C67,1)</f>
        <v>0,7</v>
      </c>
      <c r="M70" s="58"/>
    </row>
    <row r="71" spans="3:13" ht="15" hidden="1" thickBot="1" x14ac:dyDescent="0.35">
      <c r="C71" s="40"/>
      <c r="E71">
        <f ca="1">E70+0</f>
        <v>9</v>
      </c>
      <c r="F71" t="s">
        <v>74</v>
      </c>
      <c r="G71" t="s">
        <v>75</v>
      </c>
      <c r="H71" t="s">
        <v>76</v>
      </c>
      <c r="M71" s="50"/>
    </row>
    <row r="72" spans="3:13" ht="15" hidden="1" thickBot="1" x14ac:dyDescent="0.35">
      <c r="C72" s="40"/>
      <c r="F72" t="b">
        <f ca="1">ISODD(F69)</f>
        <v>0</v>
      </c>
      <c r="G72">
        <f ca="1">LEN(C67)</f>
        <v>4</v>
      </c>
      <c r="H72">
        <f ca="1">LEN(G69)+1</f>
        <v>2</v>
      </c>
      <c r="M72" s="50"/>
    </row>
    <row r="73" spans="3:13" ht="15" hidden="1" thickBot="1" x14ac:dyDescent="0.35">
      <c r="C73" s="40"/>
      <c r="M73" s="50"/>
    </row>
    <row r="74" spans="3:13" ht="15" hidden="1" thickBot="1" x14ac:dyDescent="0.35">
      <c r="C74" s="193" t="s">
        <v>80</v>
      </c>
      <c r="D74" s="194"/>
      <c r="E74" s="194"/>
      <c r="F74" s="194"/>
      <c r="G74" s="194"/>
      <c r="H74" s="194"/>
      <c r="I74" s="194"/>
      <c r="J74" s="194"/>
      <c r="K74" s="194"/>
      <c r="L74" s="194"/>
      <c r="M74" s="195"/>
    </row>
    <row r="75" spans="3:13" ht="15" hidden="1" thickBot="1" x14ac:dyDescent="0.35">
      <c r="C75" s="57" t="str">
        <f ca="1">M69</f>
        <v>0,7</v>
      </c>
      <c r="E75" t="str">
        <f ca="1">FIXED(C67,2)</f>
        <v>0,69</v>
      </c>
      <c r="F75" t="str">
        <f ca="1">RIGHT(E75,1)</f>
        <v>9</v>
      </c>
      <c r="G75">
        <f ca="1">F75+0</f>
        <v>9</v>
      </c>
      <c r="M75" s="50"/>
    </row>
    <row r="76" spans="3:13" ht="29.4" hidden="1" thickBot="1" x14ac:dyDescent="0.35">
      <c r="C76" s="40"/>
      <c r="E76" t="s">
        <v>65</v>
      </c>
      <c r="F76" t="s">
        <v>66</v>
      </c>
      <c r="G76" t="s">
        <v>67</v>
      </c>
      <c r="H76" t="s">
        <v>68</v>
      </c>
      <c r="I76" s="44" t="s">
        <v>69</v>
      </c>
      <c r="J76" s="44" t="s">
        <v>70</v>
      </c>
      <c r="K76" s="44" t="s">
        <v>71</v>
      </c>
      <c r="L76" s="44" t="s">
        <v>72</v>
      </c>
      <c r="M76" s="52" t="s">
        <v>73</v>
      </c>
    </row>
    <row r="77" spans="3:13" ht="18.600000000000001" hidden="1" thickBot="1" x14ac:dyDescent="0.4">
      <c r="C77" s="40"/>
      <c r="E77" t="str">
        <f ca="1">RIGHT(C75,2)</f>
        <v>,7</v>
      </c>
      <c r="F77" t="str">
        <f ca="1">RIGHT(G77,1)</f>
        <v>0</v>
      </c>
      <c r="G77" s="46">
        <f ca="1">TRUNC(C75)</f>
        <v>0</v>
      </c>
      <c r="H77" s="21" t="str">
        <f ca="1">FIXED(C75-G77,I77)</f>
        <v>0,7</v>
      </c>
      <c r="I77">
        <f ca="1">ABS(G80-H80)</f>
        <v>1</v>
      </c>
      <c r="J77" t="str">
        <f ca="1">RIGHT(C75,I77)</f>
        <v>7</v>
      </c>
      <c r="K77">
        <v>0.5</v>
      </c>
      <c r="L77" s="17">
        <f ca="1">(C75-K77)</f>
        <v>0.19999999999999996</v>
      </c>
      <c r="M77" s="59" t="str">
        <f ca="1">IF(E79=5,IF(AND(G75=0,F80=FALSE),L77,L78),L78)</f>
        <v>1</v>
      </c>
    </row>
    <row r="78" spans="3:13" ht="15" hidden="1" thickBot="1" x14ac:dyDescent="0.35">
      <c r="C78" s="40"/>
      <c r="E78" t="str">
        <f ca="1">RIGHT(E77,1)</f>
        <v>7</v>
      </c>
      <c r="F78">
        <f ca="1">F77+0</f>
        <v>0</v>
      </c>
      <c r="L78" t="str">
        <f ca="1">FIXED(C75,0)</f>
        <v>1</v>
      </c>
      <c r="M78" s="60"/>
    </row>
    <row r="79" spans="3:13" ht="15" hidden="1" thickBot="1" x14ac:dyDescent="0.35">
      <c r="C79" s="40"/>
      <c r="E79">
        <f ca="1">E78+0</f>
        <v>7</v>
      </c>
      <c r="F79" t="s">
        <v>74</v>
      </c>
      <c r="G79" t="s">
        <v>75</v>
      </c>
      <c r="H79" t="s">
        <v>76</v>
      </c>
      <c r="M79" s="50"/>
    </row>
    <row r="80" spans="3:13" ht="15" hidden="1" thickBot="1" x14ac:dyDescent="0.35">
      <c r="C80" s="48"/>
      <c r="D80" s="48"/>
      <c r="E80" s="48"/>
      <c r="F80" s="48" t="b">
        <f ca="1">ISODD(F77)</f>
        <v>0</v>
      </c>
      <c r="G80" s="48">
        <f ca="1">LEN(C75)</f>
        <v>3</v>
      </c>
      <c r="H80" s="48">
        <f ca="1">LEN(G77)+1</f>
        <v>2</v>
      </c>
      <c r="I80" s="48"/>
      <c r="J80" s="48"/>
      <c r="K80" s="48"/>
      <c r="L80" s="48"/>
      <c r="M80" s="61"/>
    </row>
    <row r="81" spans="3:13" ht="15" thickBot="1" x14ac:dyDescent="0.35">
      <c r="C81" s="196" t="s">
        <v>83</v>
      </c>
      <c r="D81" s="197"/>
      <c r="E81" s="197"/>
      <c r="F81" s="197"/>
      <c r="G81" s="197"/>
      <c r="H81" s="197"/>
      <c r="I81" s="197"/>
      <c r="J81" s="197"/>
      <c r="K81" s="197"/>
      <c r="L81" s="197"/>
      <c r="M81" s="198"/>
    </row>
    <row r="82" spans="3:13" ht="15" thickBot="1" x14ac:dyDescent="0.35">
      <c r="C82" s="40" t="s">
        <v>62</v>
      </c>
      <c r="D82" s="22" t="s">
        <v>63</v>
      </c>
      <c r="E82" t="str">
        <f ca="1">FIXED(C83,6)</f>
        <v>0,776996</v>
      </c>
      <c r="F82" t="str">
        <f ca="1">RIGHT(E82,1)</f>
        <v>6</v>
      </c>
      <c r="G82">
        <f ca="1">F82/1000000</f>
        <v>6.0000000000000002E-6</v>
      </c>
      <c r="H82" s="49">
        <f ca="1">C83-G82</f>
        <v>0.77699010737950835</v>
      </c>
      <c r="J82" t="str">
        <f ca="1">IF(E87=5,IF(AND(F83=0,F88=FALSE),L85,L86),L86)</f>
        <v>0,7770</v>
      </c>
      <c r="M82" s="50"/>
    </row>
    <row r="83" spans="3:13" ht="18.600000000000001" thickBot="1" x14ac:dyDescent="0.4">
      <c r="C83" s="41">
        <f ca="1">INCERTIDUMBRE!M7</f>
        <v>0.77699610737950831</v>
      </c>
      <c r="D83" s="51" t="str">
        <f ca="1">IF(C83&gt;=10,M117,IF(C83&gt;=1,M109,IF(C83&gt;=0.1,M101,IF(C83&gt;=0.01,M93,IF(C83&gt;=0.001,M85)))))</f>
        <v>0,78</v>
      </c>
      <c r="E83" t="s">
        <v>64</v>
      </c>
      <c r="F83">
        <f ca="1">F82+0</f>
        <v>6</v>
      </c>
      <c r="M83" s="50"/>
    </row>
    <row r="84" spans="3:13" ht="29.4" hidden="1" thickBot="1" x14ac:dyDescent="0.35">
      <c r="C84" s="42"/>
      <c r="D84" s="42"/>
      <c r="E84" t="s">
        <v>65</v>
      </c>
      <c r="F84" t="s">
        <v>66</v>
      </c>
      <c r="G84" t="s">
        <v>67</v>
      </c>
      <c r="H84" t="s">
        <v>68</v>
      </c>
      <c r="I84" s="44" t="s">
        <v>69</v>
      </c>
      <c r="J84" s="44" t="s">
        <v>70</v>
      </c>
      <c r="K84" s="44" t="s">
        <v>71</v>
      </c>
      <c r="L84" s="44" t="s">
        <v>72</v>
      </c>
      <c r="M84" s="52" t="s">
        <v>73</v>
      </c>
    </row>
    <row r="85" spans="3:13" ht="18.600000000000001" hidden="1" thickBot="1" x14ac:dyDescent="0.4">
      <c r="C85" s="45"/>
      <c r="E85" t="str">
        <f ca="1">RIGHT(H82,2)</f>
        <v>08</v>
      </c>
      <c r="F85" t="str">
        <f ca="1">LEFT(E85,1)</f>
        <v>0</v>
      </c>
      <c r="G85" s="49">
        <f ca="1">TRUNC(C83)</f>
        <v>0</v>
      </c>
      <c r="H85" s="21" t="str">
        <f ca="1">FIXED(C83-G85,I85)</f>
        <v>0,776996107379508</v>
      </c>
      <c r="I85">
        <f ca="1">ABS(G88-H88)</f>
        <v>15</v>
      </c>
      <c r="J85" t="str">
        <f ca="1">RIGHT(C83,I85)</f>
        <v>776996107379508</v>
      </c>
      <c r="K85">
        <v>5.0000000000000002E-5</v>
      </c>
      <c r="L85" s="21">
        <f ca="1">(C83-K85)</f>
        <v>0.77694610737950831</v>
      </c>
      <c r="M85" s="53" t="str">
        <f ca="1">IF(E87=5,IF(AND(F83=0,F88=FALSE),L85,L86),L86)</f>
        <v>0,7770</v>
      </c>
    </row>
    <row r="86" spans="3:13" ht="15" hidden="1" thickBot="1" x14ac:dyDescent="0.35">
      <c r="C86" s="40"/>
      <c r="E86" t="str">
        <f ca="1">RIGHT(E85,1)</f>
        <v>8</v>
      </c>
      <c r="F86">
        <f ca="1">F85+0</f>
        <v>0</v>
      </c>
      <c r="L86" t="str">
        <f ca="1">FIXED(C83,4)</f>
        <v>0,7770</v>
      </c>
      <c r="M86" s="50"/>
    </row>
    <row r="87" spans="3:13" ht="15" hidden="1" thickBot="1" x14ac:dyDescent="0.35">
      <c r="C87" s="40"/>
      <c r="E87">
        <f ca="1">E86+0</f>
        <v>8</v>
      </c>
      <c r="F87" t="s">
        <v>74</v>
      </c>
      <c r="G87" t="s">
        <v>75</v>
      </c>
      <c r="H87" t="s">
        <v>76</v>
      </c>
      <c r="M87" s="50"/>
    </row>
    <row r="88" spans="3:13" ht="15" hidden="1" thickBot="1" x14ac:dyDescent="0.35">
      <c r="C88" s="40"/>
      <c r="F88" t="b">
        <f ca="1">ISODD(F85)</f>
        <v>0</v>
      </c>
      <c r="G88">
        <f ca="1">LEN(C83)</f>
        <v>17</v>
      </c>
      <c r="H88">
        <f ca="1">LEN(G85)+1</f>
        <v>2</v>
      </c>
      <c r="M88" s="50"/>
    </row>
    <row r="89" spans="3:13" ht="15" hidden="1" thickBot="1" x14ac:dyDescent="0.35">
      <c r="C89" s="40"/>
      <c r="M89" s="50"/>
    </row>
    <row r="90" spans="3:13" ht="15" hidden="1" thickBot="1" x14ac:dyDescent="0.35">
      <c r="C90" s="193" t="s">
        <v>77</v>
      </c>
      <c r="D90" s="194"/>
      <c r="E90" s="194"/>
      <c r="F90" s="194"/>
      <c r="G90" s="194"/>
      <c r="H90" s="194"/>
      <c r="I90" s="194"/>
      <c r="J90" s="194"/>
      <c r="K90" s="194"/>
      <c r="L90" s="194"/>
      <c r="M90" s="195"/>
    </row>
    <row r="91" spans="3:13" ht="15" hidden="1" thickBot="1" x14ac:dyDescent="0.35">
      <c r="C91" s="54" t="str">
        <f ca="1">M85</f>
        <v>0,7770</v>
      </c>
      <c r="E91" t="str">
        <f ca="1">FIXED(C83,5)</f>
        <v>0,77700</v>
      </c>
      <c r="F91" t="str">
        <f ca="1">RIGHT(E91,1)</f>
        <v>0</v>
      </c>
      <c r="G91">
        <f ca="1">F91+0</f>
        <v>0</v>
      </c>
      <c r="M91" s="50"/>
    </row>
    <row r="92" spans="3:13" ht="29.4" hidden="1" thickBot="1" x14ac:dyDescent="0.35">
      <c r="C92" s="40"/>
      <c r="E92" t="s">
        <v>65</v>
      </c>
      <c r="F92" t="s">
        <v>66</v>
      </c>
      <c r="G92" t="s">
        <v>67</v>
      </c>
      <c r="H92" t="s">
        <v>68</v>
      </c>
      <c r="I92" s="44" t="s">
        <v>69</v>
      </c>
      <c r="J92" s="44" t="s">
        <v>70</v>
      </c>
      <c r="K92" s="44" t="s">
        <v>71</v>
      </c>
      <c r="L92" s="44" t="s">
        <v>72</v>
      </c>
      <c r="M92" s="52" t="s">
        <v>73</v>
      </c>
    </row>
    <row r="93" spans="3:13" ht="18.600000000000001" hidden="1" thickBot="1" x14ac:dyDescent="0.4">
      <c r="C93" s="40"/>
      <c r="E93" t="str">
        <f ca="1">RIGHT(C91,2)</f>
        <v>70</v>
      </c>
      <c r="F93" t="str">
        <f ca="1">LEFT(E93,1)</f>
        <v>7</v>
      </c>
      <c r="G93" s="46">
        <f ca="1">TRUNC(C91)</f>
        <v>0</v>
      </c>
      <c r="H93" s="21" t="str">
        <f ca="1">FIXED(C91-G93,I93)</f>
        <v>0,7770</v>
      </c>
      <c r="I93">
        <f ca="1">ABS(G96-H96)</f>
        <v>4</v>
      </c>
      <c r="J93" t="str">
        <f ca="1">RIGHT(C91,I93)</f>
        <v>7770</v>
      </c>
      <c r="K93">
        <v>5.0000000000000001E-4</v>
      </c>
      <c r="L93" s="24">
        <f ca="1">(C91-K93)</f>
        <v>0.77650000000000008</v>
      </c>
      <c r="M93" s="55" t="str">
        <f ca="1">IF(E95=5,IF(AND(G91=0,F96=FALSE),L93,L94),L94)</f>
        <v>0,777</v>
      </c>
    </row>
    <row r="94" spans="3:13" ht="15" hidden="1" thickBot="1" x14ac:dyDescent="0.35">
      <c r="C94" s="40"/>
      <c r="E94" t="str">
        <f ca="1">RIGHT(E93,1)</f>
        <v>0</v>
      </c>
      <c r="F94">
        <f ca="1">F93+0</f>
        <v>7</v>
      </c>
      <c r="L94" t="str">
        <f ca="1">FIXED(C91,3)</f>
        <v>0,777</v>
      </c>
      <c r="M94" s="50"/>
    </row>
    <row r="95" spans="3:13" ht="15" hidden="1" thickBot="1" x14ac:dyDescent="0.35">
      <c r="C95" s="40"/>
      <c r="E95">
        <f ca="1">E94+0</f>
        <v>0</v>
      </c>
      <c r="F95" t="s">
        <v>74</v>
      </c>
      <c r="G95" t="s">
        <v>75</v>
      </c>
      <c r="H95" t="s">
        <v>76</v>
      </c>
      <c r="M95" s="50"/>
    </row>
    <row r="96" spans="3:13" ht="15" hidden="1" thickBot="1" x14ac:dyDescent="0.35">
      <c r="C96" s="40"/>
      <c r="F96" t="b">
        <f ca="1">ISODD(F93)</f>
        <v>1</v>
      </c>
      <c r="G96">
        <f ca="1">LEN(C91)</f>
        <v>6</v>
      </c>
      <c r="H96">
        <f ca="1">LEN(G93)+1</f>
        <v>2</v>
      </c>
      <c r="M96" s="50"/>
    </row>
    <row r="97" spans="3:13" ht="15" hidden="1" thickBot="1" x14ac:dyDescent="0.35">
      <c r="C97" s="40"/>
      <c r="M97" s="50"/>
    </row>
    <row r="98" spans="3:13" ht="15" hidden="1" thickBot="1" x14ac:dyDescent="0.35">
      <c r="C98" s="193" t="s">
        <v>78</v>
      </c>
      <c r="D98" s="194"/>
      <c r="E98" s="194"/>
      <c r="F98" s="194"/>
      <c r="G98" s="194"/>
      <c r="H98" s="194"/>
      <c r="I98" s="194"/>
      <c r="J98" s="194"/>
      <c r="K98" s="194"/>
      <c r="L98" s="194"/>
      <c r="M98" s="195"/>
    </row>
    <row r="99" spans="3:13" ht="15" hidden="1" thickBot="1" x14ac:dyDescent="0.35">
      <c r="C99" s="54" t="str">
        <f ca="1">M93</f>
        <v>0,777</v>
      </c>
      <c r="E99" t="str">
        <f ca="1">FIXED(C91,4)</f>
        <v>0,7770</v>
      </c>
      <c r="F99" t="str">
        <f ca="1">RIGHT(E99,1)</f>
        <v>0</v>
      </c>
      <c r="G99">
        <f ca="1">F99+0</f>
        <v>0</v>
      </c>
      <c r="M99" s="50"/>
    </row>
    <row r="100" spans="3:13" ht="29.4" hidden="1" thickBot="1" x14ac:dyDescent="0.35">
      <c r="C100" s="40"/>
      <c r="E100" t="s">
        <v>65</v>
      </c>
      <c r="F100" t="s">
        <v>66</v>
      </c>
      <c r="G100" t="s">
        <v>67</v>
      </c>
      <c r="H100" t="s">
        <v>68</v>
      </c>
      <c r="I100" s="44" t="s">
        <v>69</v>
      </c>
      <c r="J100" s="44" t="s">
        <v>70</v>
      </c>
      <c r="K100" s="44" t="s">
        <v>71</v>
      </c>
      <c r="L100" s="44" t="s">
        <v>72</v>
      </c>
      <c r="M100" s="52" t="s">
        <v>73</v>
      </c>
    </row>
    <row r="101" spans="3:13" ht="18.600000000000001" hidden="1" thickBot="1" x14ac:dyDescent="0.4">
      <c r="C101" s="40"/>
      <c r="E101" t="str">
        <f ca="1">RIGHT(C99,2)</f>
        <v>77</v>
      </c>
      <c r="F101" t="str">
        <f ca="1">LEFT(E101,1)</f>
        <v>7</v>
      </c>
      <c r="G101" s="46">
        <f ca="1">TRUNC(C99)</f>
        <v>0</v>
      </c>
      <c r="H101" s="21" t="str">
        <f ca="1">FIXED(C99-G101,I101)</f>
        <v>0,777</v>
      </c>
      <c r="I101">
        <f ca="1">ABS(G104-H104)</f>
        <v>3</v>
      </c>
      <c r="J101" t="str">
        <f ca="1">RIGHT(C99,I101)</f>
        <v>777</v>
      </c>
      <c r="K101">
        <v>5.0000000000000001E-3</v>
      </c>
      <c r="L101" s="47">
        <f ca="1">(C99-K101)</f>
        <v>0.77200000000000002</v>
      </c>
      <c r="M101" s="56" t="str">
        <f ca="1">IF(E103=5,IF(AND(G99=0,F104=FALSE),L101,L102),L102)</f>
        <v>0,78</v>
      </c>
    </row>
    <row r="102" spans="3:13" ht="18.600000000000001" hidden="1" thickBot="1" x14ac:dyDescent="0.4">
      <c r="C102" s="40"/>
      <c r="E102" t="str">
        <f ca="1">RIGHT(E101,1)</f>
        <v>7</v>
      </c>
      <c r="F102">
        <f ca="1">F101+0</f>
        <v>7</v>
      </c>
      <c r="L102" t="str">
        <f ca="1">FIXED(C99,2)</f>
        <v>0,78</v>
      </c>
      <c r="M102" s="56"/>
    </row>
    <row r="103" spans="3:13" ht="15" hidden="1" thickBot="1" x14ac:dyDescent="0.35">
      <c r="C103" s="40"/>
      <c r="E103">
        <f ca="1">E102+0</f>
        <v>7</v>
      </c>
      <c r="F103" t="s">
        <v>74</v>
      </c>
      <c r="G103" t="s">
        <v>75</v>
      </c>
      <c r="H103" t="s">
        <v>76</v>
      </c>
      <c r="M103" s="50"/>
    </row>
    <row r="104" spans="3:13" ht="15" hidden="1" thickBot="1" x14ac:dyDescent="0.35">
      <c r="C104" s="40"/>
      <c r="F104" t="b">
        <f ca="1">ISODD(F101)</f>
        <v>1</v>
      </c>
      <c r="G104">
        <f ca="1">LEN(C99)</f>
        <v>5</v>
      </c>
      <c r="H104">
        <f ca="1">LEN(G101)+1</f>
        <v>2</v>
      </c>
      <c r="M104" s="50"/>
    </row>
    <row r="105" spans="3:13" ht="15" hidden="1" thickBot="1" x14ac:dyDescent="0.35">
      <c r="C105" s="40"/>
      <c r="M105" s="50"/>
    </row>
    <row r="106" spans="3:13" ht="15" hidden="1" thickBot="1" x14ac:dyDescent="0.35">
      <c r="C106" s="193" t="s">
        <v>79</v>
      </c>
      <c r="D106" s="194"/>
      <c r="E106" s="194"/>
      <c r="F106" s="194"/>
      <c r="G106" s="194"/>
      <c r="H106" s="194"/>
      <c r="I106" s="194"/>
      <c r="J106" s="194"/>
      <c r="K106" s="194"/>
      <c r="L106" s="194"/>
      <c r="M106" s="195"/>
    </row>
    <row r="107" spans="3:13" ht="15" hidden="1" thickBot="1" x14ac:dyDescent="0.35">
      <c r="C107" s="57" t="str">
        <f ca="1">M101</f>
        <v>0,78</v>
      </c>
      <c r="E107" t="str">
        <f ca="1">FIXED(C99,3)</f>
        <v>0,777</v>
      </c>
      <c r="F107" t="str">
        <f ca="1">RIGHT(E107,1)</f>
        <v>7</v>
      </c>
      <c r="G107">
        <f ca="1">F107+0</f>
        <v>7</v>
      </c>
      <c r="M107" s="50"/>
    </row>
    <row r="108" spans="3:13" ht="29.4" hidden="1" thickBot="1" x14ac:dyDescent="0.35">
      <c r="C108" s="40"/>
      <c r="E108" t="s">
        <v>65</v>
      </c>
      <c r="F108" t="s">
        <v>66</v>
      </c>
      <c r="G108" t="s">
        <v>67</v>
      </c>
      <c r="H108" t="s">
        <v>68</v>
      </c>
      <c r="I108" s="44" t="s">
        <v>69</v>
      </c>
      <c r="J108" s="44" t="s">
        <v>70</v>
      </c>
      <c r="K108" s="44" t="s">
        <v>71</v>
      </c>
      <c r="L108" s="44" t="s">
        <v>72</v>
      </c>
      <c r="M108" s="52" t="s">
        <v>73</v>
      </c>
    </row>
    <row r="109" spans="3:13" ht="18.600000000000001" hidden="1" thickBot="1" x14ac:dyDescent="0.4">
      <c r="C109" s="40"/>
      <c r="E109" t="str">
        <f ca="1">RIGHT(C107,2)</f>
        <v>78</v>
      </c>
      <c r="F109" t="str">
        <f ca="1">LEFT(E109,1)</f>
        <v>7</v>
      </c>
      <c r="G109" s="46">
        <f ca="1">TRUNC(C107)</f>
        <v>0</v>
      </c>
      <c r="H109" s="21" t="str">
        <f ca="1">FIXED(C107-G109,I109)</f>
        <v>0,78</v>
      </c>
      <c r="I109">
        <f ca="1">ABS(G112-H112)</f>
        <v>2</v>
      </c>
      <c r="J109" t="str">
        <f ca="1">RIGHT(C107,I109)</f>
        <v>78</v>
      </c>
      <c r="K109">
        <v>0.05</v>
      </c>
      <c r="L109" s="47">
        <f ca="1">(C107-K109)</f>
        <v>0.73</v>
      </c>
      <c r="M109" s="56" t="str">
        <f ca="1">IF(E111=5,IF(AND(G107=0,F112=FALSE),L109,L110),L110)</f>
        <v>0,8</v>
      </c>
    </row>
    <row r="110" spans="3:13" ht="15" hidden="1" thickBot="1" x14ac:dyDescent="0.35">
      <c r="C110" s="40"/>
      <c r="E110" t="str">
        <f ca="1">RIGHT(E109,1)</f>
        <v>8</v>
      </c>
      <c r="F110">
        <f ca="1">F109+0</f>
        <v>7</v>
      </c>
      <c r="L110" t="str">
        <f ca="1">FIXED(C107,1)</f>
        <v>0,8</v>
      </c>
      <c r="M110" s="58"/>
    </row>
    <row r="111" spans="3:13" ht="15" hidden="1" thickBot="1" x14ac:dyDescent="0.35">
      <c r="C111" s="40"/>
      <c r="E111">
        <f ca="1">E110+0</f>
        <v>8</v>
      </c>
      <c r="F111" t="s">
        <v>74</v>
      </c>
      <c r="G111" t="s">
        <v>75</v>
      </c>
      <c r="H111" t="s">
        <v>76</v>
      </c>
      <c r="M111" s="50"/>
    </row>
    <row r="112" spans="3:13" ht="15" hidden="1" thickBot="1" x14ac:dyDescent="0.35">
      <c r="C112" s="40"/>
      <c r="F112" t="b">
        <f ca="1">ISODD(F109)</f>
        <v>1</v>
      </c>
      <c r="G112">
        <f ca="1">LEN(C107)</f>
        <v>4</v>
      </c>
      <c r="H112">
        <f ca="1">LEN(G109)+1</f>
        <v>2</v>
      </c>
      <c r="M112" s="50"/>
    </row>
    <row r="113" spans="3:13" ht="15" hidden="1" thickBot="1" x14ac:dyDescent="0.35">
      <c r="C113" s="40"/>
      <c r="M113" s="50"/>
    </row>
    <row r="114" spans="3:13" ht="15" hidden="1" thickBot="1" x14ac:dyDescent="0.35">
      <c r="C114" s="193" t="s">
        <v>80</v>
      </c>
      <c r="D114" s="194"/>
      <c r="E114" s="194"/>
      <c r="F114" s="194"/>
      <c r="G114" s="194"/>
      <c r="H114" s="194"/>
      <c r="I114" s="194"/>
      <c r="J114" s="194"/>
      <c r="K114" s="194"/>
      <c r="L114" s="194"/>
      <c r="M114" s="195"/>
    </row>
    <row r="115" spans="3:13" ht="15" hidden="1" thickBot="1" x14ac:dyDescent="0.35">
      <c r="C115" s="57" t="str">
        <f ca="1">M109</f>
        <v>0,8</v>
      </c>
      <c r="E115" t="str">
        <f ca="1">FIXED(C107,2)</f>
        <v>0,78</v>
      </c>
      <c r="F115" t="str">
        <f ca="1">RIGHT(E115,1)</f>
        <v>8</v>
      </c>
      <c r="G115">
        <f ca="1">F115+0</f>
        <v>8</v>
      </c>
      <c r="M115" s="50"/>
    </row>
    <row r="116" spans="3:13" ht="29.4" hidden="1" thickBot="1" x14ac:dyDescent="0.35">
      <c r="C116" s="40"/>
      <c r="E116" t="s">
        <v>65</v>
      </c>
      <c r="F116" t="s">
        <v>66</v>
      </c>
      <c r="G116" t="s">
        <v>67</v>
      </c>
      <c r="H116" t="s">
        <v>68</v>
      </c>
      <c r="I116" s="44" t="s">
        <v>69</v>
      </c>
      <c r="J116" s="44" t="s">
        <v>70</v>
      </c>
      <c r="K116" s="44" t="s">
        <v>71</v>
      </c>
      <c r="L116" s="44" t="s">
        <v>72</v>
      </c>
      <c r="M116" s="52" t="s">
        <v>73</v>
      </c>
    </row>
    <row r="117" spans="3:13" ht="18.600000000000001" hidden="1" thickBot="1" x14ac:dyDescent="0.4">
      <c r="C117" s="40"/>
      <c r="E117" t="str">
        <f ca="1">RIGHT(C115,2)</f>
        <v>,8</v>
      </c>
      <c r="F117" t="str">
        <f ca="1">RIGHT(G117,1)</f>
        <v>0</v>
      </c>
      <c r="G117" s="46">
        <f ca="1">TRUNC(C115)</f>
        <v>0</v>
      </c>
      <c r="H117" s="21" t="str">
        <f ca="1">FIXED(C115-G117,I117)</f>
        <v>0,8</v>
      </c>
      <c r="I117">
        <f ca="1">ABS(G120-H120)</f>
        <v>1</v>
      </c>
      <c r="J117" t="str">
        <f ca="1">RIGHT(C115,I117)</f>
        <v>8</v>
      </c>
      <c r="K117">
        <v>0.5</v>
      </c>
      <c r="L117" s="17">
        <f ca="1">(C115-K117)</f>
        <v>0.30000000000000004</v>
      </c>
      <c r="M117" s="59" t="str">
        <f ca="1">IF(E119=5,IF(AND(G115=0,F120=FALSE),L117,L118),L118)</f>
        <v>1</v>
      </c>
    </row>
    <row r="118" spans="3:13" ht="15" hidden="1" thickBot="1" x14ac:dyDescent="0.35">
      <c r="C118" s="40"/>
      <c r="E118" t="str">
        <f ca="1">RIGHT(E117,1)</f>
        <v>8</v>
      </c>
      <c r="F118">
        <f ca="1">F117+0</f>
        <v>0</v>
      </c>
      <c r="L118" t="str">
        <f ca="1">FIXED(C115,0)</f>
        <v>1</v>
      </c>
      <c r="M118" s="60"/>
    </row>
    <row r="119" spans="3:13" ht="15" hidden="1" thickBot="1" x14ac:dyDescent="0.35">
      <c r="C119" s="40"/>
      <c r="E119">
        <f ca="1">E118+0</f>
        <v>8</v>
      </c>
      <c r="F119" t="s">
        <v>74</v>
      </c>
      <c r="G119" t="s">
        <v>75</v>
      </c>
      <c r="H119" t="s">
        <v>76</v>
      </c>
      <c r="M119" s="50"/>
    </row>
    <row r="120" spans="3:13" ht="15" hidden="1" thickBot="1" x14ac:dyDescent="0.35">
      <c r="C120" s="48"/>
      <c r="D120" s="48"/>
      <c r="E120" s="48"/>
      <c r="F120" s="48" t="b">
        <f ca="1">ISODD(F117)</f>
        <v>0</v>
      </c>
      <c r="G120" s="48">
        <f ca="1">LEN(C115)</f>
        <v>3</v>
      </c>
      <c r="H120" s="48">
        <f ca="1">LEN(G117)+1</f>
        <v>2</v>
      </c>
      <c r="I120" s="48"/>
      <c r="J120" s="48"/>
      <c r="K120" s="48"/>
      <c r="L120" s="48"/>
      <c r="M120" s="61"/>
    </row>
    <row r="121" spans="3:13" ht="15" hidden="1" thickBot="1" x14ac:dyDescent="0.35"/>
    <row r="122" spans="3:13" ht="15" thickBot="1" x14ac:dyDescent="0.35">
      <c r="C122" s="196" t="s">
        <v>84</v>
      </c>
      <c r="D122" s="197"/>
      <c r="E122" s="197"/>
      <c r="F122" s="197"/>
      <c r="G122" s="197"/>
      <c r="H122" s="197"/>
      <c r="I122" s="197"/>
      <c r="J122" s="197"/>
      <c r="K122" s="197"/>
      <c r="L122" s="197"/>
      <c r="M122" s="198"/>
    </row>
    <row r="123" spans="3:13" ht="15" thickBot="1" x14ac:dyDescent="0.35">
      <c r="C123" s="40" t="s">
        <v>62</v>
      </c>
      <c r="D123" s="22" t="s">
        <v>63</v>
      </c>
      <c r="E123" t="str">
        <f ca="1">FIXED(C124,6)</f>
        <v>0,639100</v>
      </c>
      <c r="F123" t="str">
        <f ca="1">RIGHT(E123,1)</f>
        <v>0</v>
      </c>
      <c r="G123">
        <f ca="1">F123/1000000</f>
        <v>0</v>
      </c>
      <c r="H123" s="49">
        <f ca="1">C124-G123</f>
        <v>0.63910003400470394</v>
      </c>
      <c r="J123" t="str">
        <f ca="1">IF(E128=5,IF(AND(F124=0,F129=FALSE),L126,L127),L127)</f>
        <v>0,6391</v>
      </c>
      <c r="M123" s="50"/>
    </row>
    <row r="124" spans="3:13" ht="18.600000000000001" thickBot="1" x14ac:dyDescent="0.4">
      <c r="C124" s="41">
        <f ca="1">INCERTIDUMBRE!M8</f>
        <v>0.63910003400470394</v>
      </c>
      <c r="D124" s="51" t="str">
        <f ca="1">IF(C124&gt;=10,M158,IF(C124&gt;=1,M150,IF(C124&gt;=0.1,M142,IF(C124&gt;=0.01,M134,IF(C124&gt;=0.001,M126)))))</f>
        <v>0,64</v>
      </c>
      <c r="E124" t="s">
        <v>64</v>
      </c>
      <c r="F124">
        <f ca="1">F123+0</f>
        <v>0</v>
      </c>
      <c r="M124" s="50"/>
    </row>
    <row r="125" spans="3:13" ht="29.4" hidden="1" thickBot="1" x14ac:dyDescent="0.35">
      <c r="C125" s="42"/>
      <c r="D125" s="42"/>
      <c r="E125" t="s">
        <v>65</v>
      </c>
      <c r="F125" t="s">
        <v>66</v>
      </c>
      <c r="G125" t="s">
        <v>67</v>
      </c>
      <c r="H125" t="s">
        <v>68</v>
      </c>
      <c r="I125" s="44" t="s">
        <v>69</v>
      </c>
      <c r="J125" s="44" t="s">
        <v>70</v>
      </c>
      <c r="K125" s="44" t="s">
        <v>71</v>
      </c>
      <c r="L125" s="44" t="s">
        <v>72</v>
      </c>
      <c r="M125" s="52" t="s">
        <v>73</v>
      </c>
    </row>
    <row r="126" spans="3:13" ht="18.600000000000001" hidden="1" thickBot="1" x14ac:dyDescent="0.4">
      <c r="C126" s="45"/>
      <c r="E126" t="str">
        <f ca="1">RIGHT(H123,2)</f>
        <v>04</v>
      </c>
      <c r="F126" t="str">
        <f ca="1">LEFT(E126,1)</f>
        <v>0</v>
      </c>
      <c r="G126" s="49">
        <f ca="1">TRUNC(C124)</f>
        <v>0</v>
      </c>
      <c r="H126" s="21" t="str">
        <f ca="1">FIXED(C124-G126,I126)</f>
        <v>0,639100034004704</v>
      </c>
      <c r="I126">
        <f ca="1">ABS(G129-H129)</f>
        <v>15</v>
      </c>
      <c r="J126" t="str">
        <f ca="1">RIGHT(C124,I126)</f>
        <v>639100034004704</v>
      </c>
      <c r="K126">
        <v>5.0000000000000002E-5</v>
      </c>
      <c r="L126" s="21">
        <f ca="1">(C124-K126)</f>
        <v>0.63905003400470395</v>
      </c>
      <c r="M126" s="53" t="str">
        <f ca="1">IF(E128=5,IF(AND(F124=0,F129=FALSE),L126,L127),L127)</f>
        <v>0,6391</v>
      </c>
    </row>
    <row r="127" spans="3:13" ht="15" hidden="1" thickBot="1" x14ac:dyDescent="0.35">
      <c r="C127" s="40"/>
      <c r="E127" t="str">
        <f ca="1">RIGHT(E126,1)</f>
        <v>4</v>
      </c>
      <c r="F127">
        <f ca="1">F126+0</f>
        <v>0</v>
      </c>
      <c r="L127" t="str">
        <f ca="1">FIXED(C124,4)</f>
        <v>0,6391</v>
      </c>
      <c r="M127" s="50"/>
    </row>
    <row r="128" spans="3:13" ht="15" hidden="1" thickBot="1" x14ac:dyDescent="0.35">
      <c r="C128" s="40"/>
      <c r="E128">
        <f ca="1">E127+0</f>
        <v>4</v>
      </c>
      <c r="F128" t="s">
        <v>74</v>
      </c>
      <c r="G128" t="s">
        <v>75</v>
      </c>
      <c r="H128" t="s">
        <v>76</v>
      </c>
      <c r="M128" s="50"/>
    </row>
    <row r="129" spans="3:13" ht="15" hidden="1" thickBot="1" x14ac:dyDescent="0.35">
      <c r="C129" s="40"/>
      <c r="F129" t="b">
        <f ca="1">ISODD(F126)</f>
        <v>0</v>
      </c>
      <c r="G129">
        <f ca="1">LEN(C124)</f>
        <v>17</v>
      </c>
      <c r="H129">
        <f ca="1">LEN(G126)+1</f>
        <v>2</v>
      </c>
      <c r="M129" s="50"/>
    </row>
    <row r="130" spans="3:13" ht="15" hidden="1" thickBot="1" x14ac:dyDescent="0.35">
      <c r="C130" s="40"/>
      <c r="M130" s="50"/>
    </row>
    <row r="131" spans="3:13" ht="15" hidden="1" thickBot="1" x14ac:dyDescent="0.35">
      <c r="C131" s="193" t="s">
        <v>77</v>
      </c>
      <c r="D131" s="194"/>
      <c r="E131" s="194"/>
      <c r="F131" s="194"/>
      <c r="G131" s="194"/>
      <c r="H131" s="194"/>
      <c r="I131" s="194"/>
      <c r="J131" s="194"/>
      <c r="K131" s="194"/>
      <c r="L131" s="194"/>
      <c r="M131" s="195"/>
    </row>
    <row r="132" spans="3:13" ht="15" hidden="1" thickBot="1" x14ac:dyDescent="0.35">
      <c r="C132" s="54" t="str">
        <f ca="1">M126</f>
        <v>0,6391</v>
      </c>
      <c r="E132" t="str">
        <f ca="1">FIXED(C124,5)</f>
        <v>0,63910</v>
      </c>
      <c r="F132" t="str">
        <f ca="1">RIGHT(E132,1)</f>
        <v>0</v>
      </c>
      <c r="G132">
        <f ca="1">F132+0</f>
        <v>0</v>
      </c>
      <c r="M132" s="50"/>
    </row>
    <row r="133" spans="3:13" ht="29.4" hidden="1" thickBot="1" x14ac:dyDescent="0.35">
      <c r="C133" s="40"/>
      <c r="E133" t="s">
        <v>65</v>
      </c>
      <c r="F133" t="s">
        <v>66</v>
      </c>
      <c r="G133" t="s">
        <v>67</v>
      </c>
      <c r="H133" t="s">
        <v>68</v>
      </c>
      <c r="I133" s="44" t="s">
        <v>69</v>
      </c>
      <c r="J133" s="44" t="s">
        <v>70</v>
      </c>
      <c r="K133" s="44" t="s">
        <v>71</v>
      </c>
      <c r="L133" s="44" t="s">
        <v>72</v>
      </c>
      <c r="M133" s="52" t="s">
        <v>73</v>
      </c>
    </row>
    <row r="134" spans="3:13" ht="18.600000000000001" hidden="1" thickBot="1" x14ac:dyDescent="0.4">
      <c r="C134" s="40"/>
      <c r="E134" t="str">
        <f ca="1">RIGHT(C132,2)</f>
        <v>91</v>
      </c>
      <c r="F134" t="str">
        <f ca="1">LEFT(E134,1)</f>
        <v>9</v>
      </c>
      <c r="G134" s="46">
        <f ca="1">TRUNC(C132)</f>
        <v>0</v>
      </c>
      <c r="H134" s="21" t="str">
        <f ca="1">FIXED(C132-G134,I134)</f>
        <v>0,6391</v>
      </c>
      <c r="I134">
        <f ca="1">ABS(G137-H137)</f>
        <v>4</v>
      </c>
      <c r="J134" t="str">
        <f ca="1">RIGHT(C132,I134)</f>
        <v>6391</v>
      </c>
      <c r="K134">
        <v>5.0000000000000001E-4</v>
      </c>
      <c r="L134" s="24">
        <f ca="1">(C132-K134)</f>
        <v>0.63860000000000006</v>
      </c>
      <c r="M134" s="55" t="str">
        <f ca="1">IF(E136=5,IF(AND(G132=0,F137=FALSE),L134,L135),L135)</f>
        <v>0,639</v>
      </c>
    </row>
    <row r="135" spans="3:13" ht="15" hidden="1" thickBot="1" x14ac:dyDescent="0.35">
      <c r="C135" s="40"/>
      <c r="E135" t="str">
        <f ca="1">RIGHT(E134,1)</f>
        <v>1</v>
      </c>
      <c r="F135">
        <f ca="1">F134+0</f>
        <v>9</v>
      </c>
      <c r="L135" t="str">
        <f ca="1">FIXED(C132,3)</f>
        <v>0,639</v>
      </c>
      <c r="M135" s="50"/>
    </row>
    <row r="136" spans="3:13" ht="15" hidden="1" thickBot="1" x14ac:dyDescent="0.35">
      <c r="C136" s="40"/>
      <c r="E136">
        <f ca="1">E135+0</f>
        <v>1</v>
      </c>
      <c r="F136" t="s">
        <v>74</v>
      </c>
      <c r="G136" t="s">
        <v>75</v>
      </c>
      <c r="H136" t="s">
        <v>76</v>
      </c>
      <c r="M136" s="50"/>
    </row>
    <row r="137" spans="3:13" ht="15" hidden="1" thickBot="1" x14ac:dyDescent="0.35">
      <c r="C137" s="40"/>
      <c r="F137" t="b">
        <f ca="1">ISODD(F134)</f>
        <v>1</v>
      </c>
      <c r="G137">
        <f ca="1">LEN(C132)</f>
        <v>6</v>
      </c>
      <c r="H137">
        <f ca="1">LEN(G134)+1</f>
        <v>2</v>
      </c>
      <c r="M137" s="50"/>
    </row>
    <row r="138" spans="3:13" ht="15" hidden="1" thickBot="1" x14ac:dyDescent="0.35">
      <c r="C138" s="40"/>
      <c r="M138" s="50"/>
    </row>
    <row r="139" spans="3:13" ht="15" hidden="1" thickBot="1" x14ac:dyDescent="0.35">
      <c r="C139" s="193" t="s">
        <v>78</v>
      </c>
      <c r="D139" s="194"/>
      <c r="E139" s="194"/>
      <c r="F139" s="194"/>
      <c r="G139" s="194"/>
      <c r="H139" s="194"/>
      <c r="I139" s="194"/>
      <c r="J139" s="194"/>
      <c r="K139" s="194"/>
      <c r="L139" s="194"/>
      <c r="M139" s="195"/>
    </row>
    <row r="140" spans="3:13" ht="15" hidden="1" thickBot="1" x14ac:dyDescent="0.35">
      <c r="C140" s="54" t="str">
        <f ca="1">M134</f>
        <v>0,639</v>
      </c>
      <c r="E140" t="str">
        <f ca="1">FIXED(C132,4)</f>
        <v>0,6391</v>
      </c>
      <c r="F140" t="str">
        <f ca="1">RIGHT(E140,1)</f>
        <v>1</v>
      </c>
      <c r="G140">
        <f ca="1">F140+0</f>
        <v>1</v>
      </c>
      <c r="M140" s="50"/>
    </row>
    <row r="141" spans="3:13" ht="29.4" hidden="1" thickBot="1" x14ac:dyDescent="0.35">
      <c r="C141" s="40"/>
      <c r="E141" t="s">
        <v>65</v>
      </c>
      <c r="F141" t="s">
        <v>66</v>
      </c>
      <c r="G141" t="s">
        <v>67</v>
      </c>
      <c r="H141" t="s">
        <v>68</v>
      </c>
      <c r="I141" s="44" t="s">
        <v>69</v>
      </c>
      <c r="J141" s="44" t="s">
        <v>70</v>
      </c>
      <c r="K141" s="44" t="s">
        <v>71</v>
      </c>
      <c r="L141" s="44" t="s">
        <v>72</v>
      </c>
      <c r="M141" s="52" t="s">
        <v>73</v>
      </c>
    </row>
    <row r="142" spans="3:13" ht="18.600000000000001" hidden="1" thickBot="1" x14ac:dyDescent="0.4">
      <c r="C142" s="40"/>
      <c r="E142" t="str">
        <f ca="1">RIGHT(C140,2)</f>
        <v>39</v>
      </c>
      <c r="F142" t="str">
        <f ca="1">LEFT(E142,1)</f>
        <v>3</v>
      </c>
      <c r="G142" s="46">
        <f ca="1">TRUNC(C140)</f>
        <v>0</v>
      </c>
      <c r="H142" s="21" t="str">
        <f ca="1">FIXED(C140-G142,I142)</f>
        <v>0,639</v>
      </c>
      <c r="I142">
        <f ca="1">ABS(G145-H145)</f>
        <v>3</v>
      </c>
      <c r="J142" t="str">
        <f ca="1">RIGHT(C140,I142)</f>
        <v>639</v>
      </c>
      <c r="K142">
        <v>5.0000000000000001E-3</v>
      </c>
      <c r="L142" s="47">
        <f ca="1">(C140-K142)</f>
        <v>0.63400000000000001</v>
      </c>
      <c r="M142" s="56" t="str">
        <f ca="1">IF(E144=5,IF(AND(G140=0,F145=FALSE),L142,L143),L143)</f>
        <v>0,64</v>
      </c>
    </row>
    <row r="143" spans="3:13" ht="18.600000000000001" hidden="1" thickBot="1" x14ac:dyDescent="0.4">
      <c r="C143" s="40"/>
      <c r="E143" t="str">
        <f ca="1">RIGHT(E142,1)</f>
        <v>9</v>
      </c>
      <c r="F143">
        <f ca="1">F142+0</f>
        <v>3</v>
      </c>
      <c r="L143" t="str">
        <f ca="1">FIXED(C140,2)</f>
        <v>0,64</v>
      </c>
      <c r="M143" s="56"/>
    </row>
    <row r="144" spans="3:13" ht="15" hidden="1" thickBot="1" x14ac:dyDescent="0.35">
      <c r="C144" s="40"/>
      <c r="E144">
        <f ca="1">E143+0</f>
        <v>9</v>
      </c>
      <c r="F144" t="s">
        <v>74</v>
      </c>
      <c r="G144" t="s">
        <v>75</v>
      </c>
      <c r="H144" t="s">
        <v>76</v>
      </c>
      <c r="M144" s="50"/>
    </row>
    <row r="145" spans="3:13" ht="15" hidden="1" thickBot="1" x14ac:dyDescent="0.35">
      <c r="C145" s="40"/>
      <c r="F145" t="b">
        <f ca="1">ISODD(F142)</f>
        <v>1</v>
      </c>
      <c r="G145">
        <f ca="1">LEN(C140)</f>
        <v>5</v>
      </c>
      <c r="H145">
        <f ca="1">LEN(G142)+1</f>
        <v>2</v>
      </c>
      <c r="M145" s="50"/>
    </row>
    <row r="146" spans="3:13" ht="15" hidden="1" thickBot="1" x14ac:dyDescent="0.35">
      <c r="C146" s="40"/>
      <c r="M146" s="50"/>
    </row>
    <row r="147" spans="3:13" ht="15" hidden="1" thickBot="1" x14ac:dyDescent="0.35">
      <c r="C147" s="193" t="s">
        <v>79</v>
      </c>
      <c r="D147" s="194"/>
      <c r="E147" s="194"/>
      <c r="F147" s="194"/>
      <c r="G147" s="194"/>
      <c r="H147" s="194"/>
      <c r="I147" s="194"/>
      <c r="J147" s="194"/>
      <c r="K147" s="194"/>
      <c r="L147" s="194"/>
      <c r="M147" s="195"/>
    </row>
    <row r="148" spans="3:13" ht="15" hidden="1" thickBot="1" x14ac:dyDescent="0.35">
      <c r="C148" s="57" t="str">
        <f ca="1">M142</f>
        <v>0,64</v>
      </c>
      <c r="E148" t="str">
        <f ca="1">FIXED(C140,3)</f>
        <v>0,639</v>
      </c>
      <c r="F148" t="str">
        <f ca="1">RIGHT(E148,1)</f>
        <v>9</v>
      </c>
      <c r="G148">
        <f ca="1">F148+0</f>
        <v>9</v>
      </c>
      <c r="M148" s="50"/>
    </row>
    <row r="149" spans="3:13" ht="29.4" hidden="1" thickBot="1" x14ac:dyDescent="0.35">
      <c r="C149" s="40"/>
      <c r="E149" t="s">
        <v>65</v>
      </c>
      <c r="F149" t="s">
        <v>66</v>
      </c>
      <c r="G149" t="s">
        <v>67</v>
      </c>
      <c r="H149" t="s">
        <v>68</v>
      </c>
      <c r="I149" s="44" t="s">
        <v>69</v>
      </c>
      <c r="J149" s="44" t="s">
        <v>70</v>
      </c>
      <c r="K149" s="44" t="s">
        <v>71</v>
      </c>
      <c r="L149" s="44" t="s">
        <v>72</v>
      </c>
      <c r="M149" s="52" t="s">
        <v>73</v>
      </c>
    </row>
    <row r="150" spans="3:13" ht="18.600000000000001" hidden="1" thickBot="1" x14ac:dyDescent="0.4">
      <c r="C150" s="40"/>
      <c r="E150" t="str">
        <f ca="1">RIGHT(C148,2)</f>
        <v>64</v>
      </c>
      <c r="F150" t="str">
        <f ca="1">LEFT(E150,1)</f>
        <v>6</v>
      </c>
      <c r="G150" s="46">
        <f ca="1">TRUNC(C148)</f>
        <v>0</v>
      </c>
      <c r="H150" s="21" t="str">
        <f ca="1">FIXED(C148-G150,I150)</f>
        <v>0,64</v>
      </c>
      <c r="I150">
        <f ca="1">ABS(G153-H153)</f>
        <v>2</v>
      </c>
      <c r="J150" t="str">
        <f ca="1">RIGHT(C148,I150)</f>
        <v>64</v>
      </c>
      <c r="K150">
        <v>0.05</v>
      </c>
      <c r="L150" s="47">
        <f ca="1">(C148-K150)</f>
        <v>0.59</v>
      </c>
      <c r="M150" s="56" t="str">
        <f ca="1">IF(E152=5,IF(AND(G148=0,F153=FALSE),L150,L151),L151)</f>
        <v>0,6</v>
      </c>
    </row>
    <row r="151" spans="3:13" ht="15" hidden="1" thickBot="1" x14ac:dyDescent="0.35">
      <c r="C151" s="40"/>
      <c r="E151" t="str">
        <f ca="1">RIGHT(E150,1)</f>
        <v>4</v>
      </c>
      <c r="F151">
        <f ca="1">F150+0</f>
        <v>6</v>
      </c>
      <c r="L151" t="str">
        <f ca="1">FIXED(C148,1)</f>
        <v>0,6</v>
      </c>
      <c r="M151" s="58"/>
    </row>
    <row r="152" spans="3:13" ht="15" hidden="1" thickBot="1" x14ac:dyDescent="0.35">
      <c r="C152" s="40"/>
      <c r="E152">
        <f ca="1">E151+0</f>
        <v>4</v>
      </c>
      <c r="F152" t="s">
        <v>74</v>
      </c>
      <c r="G152" t="s">
        <v>75</v>
      </c>
      <c r="H152" t="s">
        <v>76</v>
      </c>
      <c r="M152" s="50"/>
    </row>
    <row r="153" spans="3:13" ht="15" hidden="1" thickBot="1" x14ac:dyDescent="0.35">
      <c r="C153" s="40"/>
      <c r="F153" t="b">
        <f ca="1">ISODD(F150)</f>
        <v>0</v>
      </c>
      <c r="G153">
        <f ca="1">LEN(C148)</f>
        <v>4</v>
      </c>
      <c r="H153">
        <f ca="1">LEN(G150)+1</f>
        <v>2</v>
      </c>
      <c r="M153" s="50"/>
    </row>
    <row r="154" spans="3:13" ht="15" hidden="1" thickBot="1" x14ac:dyDescent="0.35">
      <c r="C154" s="40"/>
      <c r="M154" s="50"/>
    </row>
    <row r="155" spans="3:13" ht="15" hidden="1" thickBot="1" x14ac:dyDescent="0.35">
      <c r="C155" s="193" t="s">
        <v>80</v>
      </c>
      <c r="D155" s="194"/>
      <c r="E155" s="194"/>
      <c r="F155" s="194"/>
      <c r="G155" s="194"/>
      <c r="H155" s="194"/>
      <c r="I155" s="194"/>
      <c r="J155" s="194"/>
      <c r="K155" s="194"/>
      <c r="L155" s="194"/>
      <c r="M155" s="195"/>
    </row>
    <row r="156" spans="3:13" ht="15" hidden="1" thickBot="1" x14ac:dyDescent="0.35">
      <c r="C156" s="57" t="str">
        <f ca="1">M150</f>
        <v>0,6</v>
      </c>
      <c r="E156" t="str">
        <f ca="1">FIXED(C148,2)</f>
        <v>0,64</v>
      </c>
      <c r="F156" t="str">
        <f ca="1">RIGHT(E156,1)</f>
        <v>4</v>
      </c>
      <c r="G156">
        <f ca="1">F156+0</f>
        <v>4</v>
      </c>
      <c r="M156" s="50"/>
    </row>
    <row r="157" spans="3:13" ht="29.4" hidden="1" thickBot="1" x14ac:dyDescent="0.35">
      <c r="C157" s="40"/>
      <c r="E157" t="s">
        <v>65</v>
      </c>
      <c r="F157" t="s">
        <v>66</v>
      </c>
      <c r="G157" t="s">
        <v>67</v>
      </c>
      <c r="H157" t="s">
        <v>68</v>
      </c>
      <c r="I157" s="44" t="s">
        <v>69</v>
      </c>
      <c r="J157" s="44" t="s">
        <v>70</v>
      </c>
      <c r="K157" s="44" t="s">
        <v>71</v>
      </c>
      <c r="L157" s="44" t="s">
        <v>72</v>
      </c>
      <c r="M157" s="52" t="s">
        <v>73</v>
      </c>
    </row>
    <row r="158" spans="3:13" ht="18.600000000000001" hidden="1" thickBot="1" x14ac:dyDescent="0.4">
      <c r="C158" s="40"/>
      <c r="E158" t="str">
        <f ca="1">RIGHT(C156,2)</f>
        <v>,6</v>
      </c>
      <c r="F158" t="str">
        <f ca="1">RIGHT(G158,1)</f>
        <v>0</v>
      </c>
      <c r="G158" s="46">
        <f ca="1">TRUNC(C156)</f>
        <v>0</v>
      </c>
      <c r="H158" s="21" t="str">
        <f ca="1">FIXED(C156-G158,I158)</f>
        <v>0,6</v>
      </c>
      <c r="I158">
        <f ca="1">ABS(G161-H161)</f>
        <v>1</v>
      </c>
      <c r="J158" t="str">
        <f ca="1">RIGHT(C156,I158)</f>
        <v>6</v>
      </c>
      <c r="K158">
        <v>0.5</v>
      </c>
      <c r="L158" s="17">
        <f ca="1">(C156-K158)</f>
        <v>9.9999999999999978E-2</v>
      </c>
      <c r="M158" s="59" t="str">
        <f ca="1">IF(E160=5,IF(AND(G156=0,F161=FALSE),L158,L159),L159)</f>
        <v>1</v>
      </c>
    </row>
    <row r="159" spans="3:13" ht="15" hidden="1" thickBot="1" x14ac:dyDescent="0.35">
      <c r="C159" s="40"/>
      <c r="E159" t="str">
        <f ca="1">RIGHT(E158,1)</f>
        <v>6</v>
      </c>
      <c r="F159">
        <f ca="1">F158+0</f>
        <v>0</v>
      </c>
      <c r="L159" t="str">
        <f ca="1">FIXED(C156,0)</f>
        <v>1</v>
      </c>
      <c r="M159" s="60"/>
    </row>
    <row r="160" spans="3:13" ht="15" hidden="1" thickBot="1" x14ac:dyDescent="0.35">
      <c r="C160" s="40"/>
      <c r="E160">
        <f ca="1">E159+0</f>
        <v>6</v>
      </c>
      <c r="F160" t="s">
        <v>74</v>
      </c>
      <c r="G160" t="s">
        <v>75</v>
      </c>
      <c r="H160" t="s">
        <v>76</v>
      </c>
      <c r="M160" s="50"/>
    </row>
    <row r="161" spans="3:13" ht="15" hidden="1" thickBot="1" x14ac:dyDescent="0.35">
      <c r="C161" s="48"/>
      <c r="D161" s="48"/>
      <c r="E161" s="48"/>
      <c r="F161" s="48" t="b">
        <f ca="1">ISODD(F158)</f>
        <v>0</v>
      </c>
      <c r="G161" s="48">
        <f ca="1">LEN(C156)</f>
        <v>3</v>
      </c>
      <c r="H161" s="48">
        <f ca="1">LEN(G158)+1</f>
        <v>2</v>
      </c>
      <c r="I161" s="48"/>
      <c r="J161" s="48"/>
      <c r="K161" s="48"/>
      <c r="L161" s="48"/>
      <c r="M161" s="61"/>
    </row>
    <row r="162" spans="3:13" ht="15" hidden="1" thickBot="1" x14ac:dyDescent="0.35">
      <c r="C162" s="196" t="s">
        <v>85</v>
      </c>
      <c r="D162" s="197"/>
      <c r="E162" s="197"/>
      <c r="F162" s="197"/>
      <c r="G162" s="197"/>
      <c r="H162" s="197"/>
      <c r="I162" s="197"/>
      <c r="J162" s="197"/>
      <c r="K162" s="197"/>
      <c r="L162" s="197"/>
      <c r="M162" s="198"/>
    </row>
    <row r="163" spans="3:13" ht="15" hidden="1" thickBot="1" x14ac:dyDescent="0.35">
      <c r="C163" s="40" t="s">
        <v>62</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63</v>
      </c>
      <c r="E164" t="s">
        <v>64</v>
      </c>
      <c r="F164">
        <f>F163+0</f>
        <v>0</v>
      </c>
      <c r="M164" s="50"/>
    </row>
    <row r="165" spans="3:13" ht="29.4" hidden="1" thickBot="1" x14ac:dyDescent="0.35">
      <c r="C165" s="42"/>
      <c r="D165" s="43" t="str">
        <f>IF(C164&gt;=10,M198,IF(C164&gt;=1,M190,IF(C164&gt;=0.1,M182,IF(C164&gt;=0.01,M174,IF(C164&gt;=0.001,M166)))))</f>
        <v>23</v>
      </c>
      <c r="E165" t="s">
        <v>65</v>
      </c>
      <c r="F165" t="s">
        <v>66</v>
      </c>
      <c r="G165" t="s">
        <v>67</v>
      </c>
      <c r="H165" t="s">
        <v>68</v>
      </c>
      <c r="I165" s="44" t="s">
        <v>69</v>
      </c>
      <c r="J165" s="44" t="s">
        <v>70</v>
      </c>
      <c r="K165" s="44" t="s">
        <v>71</v>
      </c>
      <c r="L165" s="44" t="s">
        <v>72</v>
      </c>
      <c r="M165" s="52" t="s">
        <v>73</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74</v>
      </c>
      <c r="G168" t="s">
        <v>75</v>
      </c>
      <c r="H168" t="s">
        <v>76</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93" t="s">
        <v>77</v>
      </c>
      <c r="D171" s="194"/>
      <c r="E171" s="194"/>
      <c r="F171" s="194"/>
      <c r="G171" s="194"/>
      <c r="H171" s="194"/>
      <c r="I171" s="194"/>
      <c r="J171" s="194"/>
      <c r="K171" s="194"/>
      <c r="L171" s="194"/>
      <c r="M171" s="195"/>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65</v>
      </c>
      <c r="F173" t="s">
        <v>66</v>
      </c>
      <c r="G173" t="s">
        <v>67</v>
      </c>
      <c r="H173" t="s">
        <v>68</v>
      </c>
      <c r="I173" s="44" t="s">
        <v>69</v>
      </c>
      <c r="J173" s="44" t="s">
        <v>70</v>
      </c>
      <c r="K173" s="44" t="s">
        <v>71</v>
      </c>
      <c r="L173" s="44" t="s">
        <v>72</v>
      </c>
      <c r="M173" s="52" t="s">
        <v>73</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74</v>
      </c>
      <c r="G176" t="s">
        <v>75</v>
      </c>
      <c r="H176" t="s">
        <v>76</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93" t="s">
        <v>78</v>
      </c>
      <c r="D179" s="194"/>
      <c r="E179" s="194"/>
      <c r="F179" s="194"/>
      <c r="G179" s="194"/>
      <c r="H179" s="194"/>
      <c r="I179" s="194"/>
      <c r="J179" s="194"/>
      <c r="K179" s="194"/>
      <c r="L179" s="194"/>
      <c r="M179" s="195"/>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65</v>
      </c>
      <c r="F181" t="s">
        <v>66</v>
      </c>
      <c r="G181" t="s">
        <v>67</v>
      </c>
      <c r="H181" t="s">
        <v>68</v>
      </c>
      <c r="I181" s="44" t="s">
        <v>69</v>
      </c>
      <c r="J181" s="44" t="s">
        <v>70</v>
      </c>
      <c r="K181" s="44" t="s">
        <v>71</v>
      </c>
      <c r="L181" s="44" t="s">
        <v>72</v>
      </c>
      <c r="M181" s="52" t="s">
        <v>73</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74</v>
      </c>
      <c r="G184" t="s">
        <v>75</v>
      </c>
      <c r="H184" t="s">
        <v>76</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93" t="s">
        <v>79</v>
      </c>
      <c r="D187" s="194"/>
      <c r="E187" s="194"/>
      <c r="F187" s="194"/>
      <c r="G187" s="194"/>
      <c r="H187" s="194"/>
      <c r="I187" s="194"/>
      <c r="J187" s="194"/>
      <c r="K187" s="194"/>
      <c r="L187" s="194"/>
      <c r="M187" s="195"/>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65</v>
      </c>
      <c r="F189" t="s">
        <v>66</v>
      </c>
      <c r="G189" t="s">
        <v>67</v>
      </c>
      <c r="H189" t="s">
        <v>68</v>
      </c>
      <c r="I189" s="44" t="s">
        <v>69</v>
      </c>
      <c r="J189" s="44" t="s">
        <v>70</v>
      </c>
      <c r="K189" s="44" t="s">
        <v>71</v>
      </c>
      <c r="L189" s="44" t="s">
        <v>72</v>
      </c>
      <c r="M189" s="52" t="s">
        <v>73</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74</v>
      </c>
      <c r="G192" t="s">
        <v>75</v>
      </c>
      <c r="H192" t="s">
        <v>76</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93" t="s">
        <v>80</v>
      </c>
      <c r="D195" s="194"/>
      <c r="E195" s="194"/>
      <c r="F195" s="194"/>
      <c r="G195" s="194"/>
      <c r="H195" s="194"/>
      <c r="I195" s="194"/>
      <c r="J195" s="194"/>
      <c r="K195" s="194"/>
      <c r="L195" s="194"/>
      <c r="M195" s="195"/>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65</v>
      </c>
      <c r="F197" t="s">
        <v>66</v>
      </c>
      <c r="G197" t="s">
        <v>67</v>
      </c>
      <c r="H197" t="s">
        <v>68</v>
      </c>
      <c r="I197" s="44" t="s">
        <v>69</v>
      </c>
      <c r="J197" s="44" t="s">
        <v>70</v>
      </c>
      <c r="K197" s="44" t="s">
        <v>71</v>
      </c>
      <c r="L197" s="44" t="s">
        <v>72</v>
      </c>
      <c r="M197" s="52" t="s">
        <v>73</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74</v>
      </c>
      <c r="G200" t="s">
        <v>75</v>
      </c>
      <c r="H200" t="s">
        <v>76</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196" t="s">
        <v>85</v>
      </c>
      <c r="D202" s="197"/>
      <c r="E202" s="197"/>
      <c r="F202" s="197"/>
      <c r="G202" s="197"/>
      <c r="H202" s="197"/>
      <c r="I202" s="197"/>
      <c r="J202" s="197"/>
      <c r="K202" s="197"/>
      <c r="L202" s="197"/>
      <c r="M202" s="198"/>
    </row>
    <row r="203" spans="3:13" ht="15" thickBot="1" x14ac:dyDescent="0.35">
      <c r="C203" s="40" t="s">
        <v>62</v>
      </c>
      <c r="D203" s="22" t="s">
        <v>63</v>
      </c>
      <c r="E203" t="str">
        <f ca="1">FIXED(C204,6)</f>
        <v>0,645286</v>
      </c>
      <c r="F203" t="str">
        <f ca="1">RIGHT(E203,1)</f>
        <v>6</v>
      </c>
      <c r="G203">
        <f ca="1">F203/1000000</f>
        <v>6.0000000000000002E-6</v>
      </c>
      <c r="H203" s="49">
        <f ca="1">C204-G203</f>
        <v>0.64527983636566022</v>
      </c>
      <c r="J203" t="str">
        <f ca="1">IF(E208=5,IF(AND(F204=0,F209=FALSE),L206,L207),L207)</f>
        <v>0,6453</v>
      </c>
      <c r="M203" s="50"/>
    </row>
    <row r="204" spans="3:13" ht="18.600000000000001" thickBot="1" x14ac:dyDescent="0.4">
      <c r="C204" s="41">
        <f ca="1">INCERTIDUMBRE!M9</f>
        <v>0.64528583636566017</v>
      </c>
      <c r="D204" s="51" t="str">
        <f ca="1">IF(C204&gt;=10,M238,IF(C204&gt;=1,M230,IF(C204&gt;=0.1,M222,IF(C204&gt;=0.01,M214,IF(C204&gt;=0.001,M206)))))</f>
        <v>0,65</v>
      </c>
      <c r="E204" t="s">
        <v>64</v>
      </c>
      <c r="F204">
        <f ca="1">F203+0</f>
        <v>6</v>
      </c>
      <c r="M204" s="50"/>
    </row>
    <row r="205" spans="3:13" ht="29.4" hidden="1" thickBot="1" x14ac:dyDescent="0.35">
      <c r="C205" s="42"/>
      <c r="D205" s="42"/>
      <c r="E205" t="s">
        <v>65</v>
      </c>
      <c r="F205" t="s">
        <v>66</v>
      </c>
      <c r="G205" t="s">
        <v>67</v>
      </c>
      <c r="H205" t="s">
        <v>68</v>
      </c>
      <c r="I205" s="44" t="s">
        <v>69</v>
      </c>
      <c r="J205" s="44" t="s">
        <v>70</v>
      </c>
      <c r="K205" s="44" t="s">
        <v>71</v>
      </c>
      <c r="L205" s="44" t="s">
        <v>72</v>
      </c>
      <c r="M205" s="52" t="s">
        <v>73</v>
      </c>
    </row>
    <row r="206" spans="3:13" ht="18.600000000000001" hidden="1" thickBot="1" x14ac:dyDescent="0.4">
      <c r="C206" s="45"/>
      <c r="E206" t="str">
        <f ca="1">RIGHT(H203,2)</f>
        <v>66</v>
      </c>
      <c r="F206" t="str">
        <f ca="1">LEFT(E206,1)</f>
        <v>6</v>
      </c>
      <c r="G206" s="49">
        <f ca="1">TRUNC(C204)</f>
        <v>0</v>
      </c>
      <c r="H206" s="21" t="str">
        <f ca="1">FIXED(C204-G206,I206)</f>
        <v>0,64528583636566</v>
      </c>
      <c r="I206">
        <f ca="1">ABS(G209-H209)</f>
        <v>14</v>
      </c>
      <c r="J206" t="str">
        <f ca="1">RIGHT(C204,I206)</f>
        <v>64528583636566</v>
      </c>
      <c r="K206">
        <v>5.0000000000000002E-5</v>
      </c>
      <c r="L206" s="21">
        <f ca="1">(C204-K206)</f>
        <v>0.64523583636566018</v>
      </c>
      <c r="M206" s="53" t="str">
        <f ca="1">IF(E208=5,IF(AND(F204=0,F209=FALSE),L206,L207),L207)</f>
        <v>0,6453</v>
      </c>
    </row>
    <row r="207" spans="3:13" ht="15" hidden="1" thickBot="1" x14ac:dyDescent="0.35">
      <c r="C207" s="40"/>
      <c r="E207" t="str">
        <f ca="1">RIGHT(E206,1)</f>
        <v>6</v>
      </c>
      <c r="F207">
        <f ca="1">F206+0</f>
        <v>6</v>
      </c>
      <c r="L207" t="str">
        <f ca="1">FIXED(C204,4)</f>
        <v>0,6453</v>
      </c>
      <c r="M207" s="50"/>
    </row>
    <row r="208" spans="3:13" ht="15" hidden="1" thickBot="1" x14ac:dyDescent="0.35">
      <c r="C208" s="40"/>
      <c r="E208">
        <f ca="1">E207+0</f>
        <v>6</v>
      </c>
      <c r="F208" t="s">
        <v>74</v>
      </c>
      <c r="G208" t="s">
        <v>75</v>
      </c>
      <c r="H208" t="s">
        <v>76</v>
      </c>
      <c r="M208" s="50"/>
    </row>
    <row r="209" spans="3:13" ht="15" hidden="1" thickBot="1" x14ac:dyDescent="0.35">
      <c r="C209" s="40"/>
      <c r="F209" t="b">
        <f ca="1">ISODD(F206)</f>
        <v>0</v>
      </c>
      <c r="G209">
        <f ca="1">LEN(C204)</f>
        <v>16</v>
      </c>
      <c r="H209">
        <f ca="1">LEN(G206)+1</f>
        <v>2</v>
      </c>
      <c r="M209" s="50"/>
    </row>
    <row r="210" spans="3:13" ht="15" hidden="1" thickBot="1" x14ac:dyDescent="0.35">
      <c r="C210" s="40"/>
      <c r="M210" s="50"/>
    </row>
    <row r="211" spans="3:13" ht="15" hidden="1" thickBot="1" x14ac:dyDescent="0.35">
      <c r="C211" s="193" t="s">
        <v>77</v>
      </c>
      <c r="D211" s="194"/>
      <c r="E211" s="194"/>
      <c r="F211" s="194"/>
      <c r="G211" s="194"/>
      <c r="H211" s="194"/>
      <c r="I211" s="194"/>
      <c r="J211" s="194"/>
      <c r="K211" s="194"/>
      <c r="L211" s="194"/>
      <c r="M211" s="195"/>
    </row>
    <row r="212" spans="3:13" ht="15" hidden="1" thickBot="1" x14ac:dyDescent="0.35">
      <c r="C212" s="54" t="str">
        <f ca="1">M206</f>
        <v>0,6453</v>
      </c>
      <c r="E212" t="str">
        <f ca="1">FIXED(C204,5)</f>
        <v>0,64529</v>
      </c>
      <c r="F212" t="str">
        <f ca="1">RIGHT(E212,1)</f>
        <v>9</v>
      </c>
      <c r="G212">
        <f ca="1">F212+0</f>
        <v>9</v>
      </c>
      <c r="M212" s="50"/>
    </row>
    <row r="213" spans="3:13" ht="29.4" hidden="1" thickBot="1" x14ac:dyDescent="0.35">
      <c r="C213" s="40"/>
      <c r="E213" t="s">
        <v>65</v>
      </c>
      <c r="F213" t="s">
        <v>66</v>
      </c>
      <c r="G213" t="s">
        <v>67</v>
      </c>
      <c r="H213" t="s">
        <v>68</v>
      </c>
      <c r="I213" s="44" t="s">
        <v>69</v>
      </c>
      <c r="J213" s="44" t="s">
        <v>70</v>
      </c>
      <c r="K213" s="44" t="s">
        <v>71</v>
      </c>
      <c r="L213" s="44" t="s">
        <v>72</v>
      </c>
      <c r="M213" s="52" t="s">
        <v>73</v>
      </c>
    </row>
    <row r="214" spans="3:13" ht="18.600000000000001" hidden="1" thickBot="1" x14ac:dyDescent="0.4">
      <c r="C214" s="40"/>
      <c r="E214" t="str">
        <f ca="1">RIGHT(C212,2)</f>
        <v>53</v>
      </c>
      <c r="F214" t="str">
        <f ca="1">LEFT(E214,1)</f>
        <v>5</v>
      </c>
      <c r="G214" s="46">
        <f ca="1">TRUNC(C212)</f>
        <v>0</v>
      </c>
      <c r="H214" s="21" t="str">
        <f ca="1">FIXED(C212-G214,I214)</f>
        <v>0,6453</v>
      </c>
      <c r="I214">
        <f ca="1">ABS(G217-H217)</f>
        <v>4</v>
      </c>
      <c r="J214" t="str">
        <f ca="1">RIGHT(C212,I214)</f>
        <v>6453</v>
      </c>
      <c r="K214">
        <v>5.0000000000000001E-4</v>
      </c>
      <c r="L214" s="24">
        <f ca="1">(C212-K214)</f>
        <v>0.64480000000000004</v>
      </c>
      <c r="M214" s="55" t="str">
        <f ca="1">IF(E216=5,IF(AND(G212=0,F217=FALSE),L214,L215),L215)</f>
        <v>0,645</v>
      </c>
    </row>
    <row r="215" spans="3:13" ht="15" hidden="1" thickBot="1" x14ac:dyDescent="0.35">
      <c r="C215" s="40"/>
      <c r="E215" t="str">
        <f ca="1">RIGHT(E214,1)</f>
        <v>3</v>
      </c>
      <c r="F215">
        <f ca="1">F214+0</f>
        <v>5</v>
      </c>
      <c r="L215" t="str">
        <f ca="1">FIXED(C212,3)</f>
        <v>0,645</v>
      </c>
      <c r="M215" s="50"/>
    </row>
    <row r="216" spans="3:13" ht="15" hidden="1" thickBot="1" x14ac:dyDescent="0.35">
      <c r="C216" s="40"/>
      <c r="E216">
        <f ca="1">E215+0</f>
        <v>3</v>
      </c>
      <c r="F216" t="s">
        <v>74</v>
      </c>
      <c r="G216" t="s">
        <v>75</v>
      </c>
      <c r="H216" t="s">
        <v>76</v>
      </c>
      <c r="M216" s="50"/>
    </row>
    <row r="217" spans="3:13" ht="15" hidden="1" thickBot="1" x14ac:dyDescent="0.35">
      <c r="C217" s="40"/>
      <c r="F217" t="b">
        <f ca="1">ISODD(F214)</f>
        <v>1</v>
      </c>
      <c r="G217">
        <f ca="1">LEN(C212)</f>
        <v>6</v>
      </c>
      <c r="H217">
        <f ca="1">LEN(G214)+1</f>
        <v>2</v>
      </c>
      <c r="M217" s="50"/>
    </row>
    <row r="218" spans="3:13" ht="15" hidden="1" thickBot="1" x14ac:dyDescent="0.35">
      <c r="C218" s="40"/>
      <c r="M218" s="50"/>
    </row>
    <row r="219" spans="3:13" ht="15" hidden="1" thickBot="1" x14ac:dyDescent="0.35">
      <c r="C219" s="193" t="s">
        <v>78</v>
      </c>
      <c r="D219" s="194"/>
      <c r="E219" s="194"/>
      <c r="F219" s="194"/>
      <c r="G219" s="194"/>
      <c r="H219" s="194"/>
      <c r="I219" s="194"/>
      <c r="J219" s="194"/>
      <c r="K219" s="194"/>
      <c r="L219" s="194"/>
      <c r="M219" s="195"/>
    </row>
    <row r="220" spans="3:13" ht="15" hidden="1" thickBot="1" x14ac:dyDescent="0.35">
      <c r="C220" s="54" t="str">
        <f ca="1">M214</f>
        <v>0,645</v>
      </c>
      <c r="E220" t="str">
        <f ca="1">FIXED(C212,4)</f>
        <v>0,6453</v>
      </c>
      <c r="F220" t="str">
        <f ca="1">RIGHT(E220,1)</f>
        <v>3</v>
      </c>
      <c r="G220">
        <f ca="1">F220+0</f>
        <v>3</v>
      </c>
      <c r="M220" s="50"/>
    </row>
    <row r="221" spans="3:13" ht="29.4" hidden="1" thickBot="1" x14ac:dyDescent="0.35">
      <c r="C221" s="40"/>
      <c r="E221" t="s">
        <v>65</v>
      </c>
      <c r="F221" t="s">
        <v>66</v>
      </c>
      <c r="G221" t="s">
        <v>67</v>
      </c>
      <c r="H221" t="s">
        <v>68</v>
      </c>
      <c r="I221" s="44" t="s">
        <v>69</v>
      </c>
      <c r="J221" s="44" t="s">
        <v>70</v>
      </c>
      <c r="K221" s="44" t="s">
        <v>71</v>
      </c>
      <c r="L221" s="44" t="s">
        <v>72</v>
      </c>
      <c r="M221" s="52" t="s">
        <v>73</v>
      </c>
    </row>
    <row r="222" spans="3:13" ht="18.600000000000001" hidden="1" thickBot="1" x14ac:dyDescent="0.4">
      <c r="C222" s="40"/>
      <c r="E222" t="str">
        <f ca="1">RIGHT(C220,2)</f>
        <v>45</v>
      </c>
      <c r="F222" t="str">
        <f ca="1">LEFT(E222,1)</f>
        <v>4</v>
      </c>
      <c r="G222" s="46">
        <f ca="1">TRUNC(C220)</f>
        <v>0</v>
      </c>
      <c r="H222" s="21" t="str">
        <f ca="1">FIXED(C220-G222,I222)</f>
        <v>0,645</v>
      </c>
      <c r="I222">
        <f ca="1">ABS(G225-H225)</f>
        <v>3</v>
      </c>
      <c r="J222" t="str">
        <f ca="1">RIGHT(C220,I222)</f>
        <v>645</v>
      </c>
      <c r="K222">
        <v>5.0000000000000001E-3</v>
      </c>
      <c r="L222" s="47">
        <f ca="1">(C220-K222)</f>
        <v>0.64</v>
      </c>
      <c r="M222" s="56" t="str">
        <f ca="1">IF(E224=5,IF(AND(G220=0,F225=FALSE),L222,L223),L223)</f>
        <v>0,65</v>
      </c>
    </row>
    <row r="223" spans="3:13" ht="18.600000000000001" hidden="1" thickBot="1" x14ac:dyDescent="0.4">
      <c r="C223" s="40"/>
      <c r="E223" t="str">
        <f ca="1">RIGHT(E222,1)</f>
        <v>5</v>
      </c>
      <c r="F223">
        <f ca="1">F222+0</f>
        <v>4</v>
      </c>
      <c r="L223" t="str">
        <f ca="1">FIXED(C220,2)</f>
        <v>0,65</v>
      </c>
      <c r="M223" s="56"/>
    </row>
    <row r="224" spans="3:13" ht="15" hidden="1" thickBot="1" x14ac:dyDescent="0.35">
      <c r="C224" s="40"/>
      <c r="E224">
        <f ca="1">E223+0</f>
        <v>5</v>
      </c>
      <c r="F224" t="s">
        <v>74</v>
      </c>
      <c r="G224" t="s">
        <v>75</v>
      </c>
      <c r="H224" t="s">
        <v>76</v>
      </c>
      <c r="M224" s="50"/>
    </row>
    <row r="225" spans="3:13" ht="15" hidden="1" thickBot="1" x14ac:dyDescent="0.35">
      <c r="C225" s="40"/>
      <c r="F225" t="b">
        <f ca="1">ISODD(F222)</f>
        <v>0</v>
      </c>
      <c r="G225">
        <f ca="1">LEN(C220)</f>
        <v>5</v>
      </c>
      <c r="H225">
        <f ca="1">LEN(G222)+1</f>
        <v>2</v>
      </c>
      <c r="M225" s="50"/>
    </row>
    <row r="226" spans="3:13" ht="15" hidden="1" thickBot="1" x14ac:dyDescent="0.35">
      <c r="C226" s="40"/>
      <c r="M226" s="50"/>
    </row>
    <row r="227" spans="3:13" ht="15" hidden="1" thickBot="1" x14ac:dyDescent="0.35">
      <c r="C227" s="193" t="s">
        <v>79</v>
      </c>
      <c r="D227" s="194"/>
      <c r="E227" s="194"/>
      <c r="F227" s="194"/>
      <c r="G227" s="194"/>
      <c r="H227" s="194"/>
      <c r="I227" s="194"/>
      <c r="J227" s="194"/>
      <c r="K227" s="194"/>
      <c r="L227" s="194"/>
      <c r="M227" s="195"/>
    </row>
    <row r="228" spans="3:13" ht="15" hidden="1" thickBot="1" x14ac:dyDescent="0.35">
      <c r="C228" s="57" t="str">
        <f ca="1">M222</f>
        <v>0,65</v>
      </c>
      <c r="E228" t="str">
        <f ca="1">FIXED(C220,3)</f>
        <v>0,645</v>
      </c>
      <c r="F228" t="str">
        <f ca="1">RIGHT(E228,1)</f>
        <v>5</v>
      </c>
      <c r="G228">
        <f ca="1">F228+0</f>
        <v>5</v>
      </c>
      <c r="M228" s="50"/>
    </row>
    <row r="229" spans="3:13" ht="29.4" hidden="1" thickBot="1" x14ac:dyDescent="0.35">
      <c r="C229" s="40"/>
      <c r="E229" t="s">
        <v>65</v>
      </c>
      <c r="F229" t="s">
        <v>66</v>
      </c>
      <c r="G229" t="s">
        <v>67</v>
      </c>
      <c r="H229" t="s">
        <v>68</v>
      </c>
      <c r="I229" s="44" t="s">
        <v>69</v>
      </c>
      <c r="J229" s="44" t="s">
        <v>70</v>
      </c>
      <c r="K229" s="44" t="s">
        <v>71</v>
      </c>
      <c r="L229" s="44" t="s">
        <v>72</v>
      </c>
      <c r="M229" s="52" t="s">
        <v>73</v>
      </c>
    </row>
    <row r="230" spans="3:13" ht="18.600000000000001" hidden="1" thickBot="1" x14ac:dyDescent="0.4">
      <c r="C230" s="40"/>
      <c r="E230" t="str">
        <f ca="1">RIGHT(C228,2)</f>
        <v>65</v>
      </c>
      <c r="F230" t="str">
        <f ca="1">LEFT(E230,1)</f>
        <v>6</v>
      </c>
      <c r="G230" s="46">
        <f ca="1">TRUNC(C228)</f>
        <v>0</v>
      </c>
      <c r="H230" s="21" t="str">
        <f ca="1">FIXED(C228-G230,I230)</f>
        <v>0,65</v>
      </c>
      <c r="I230">
        <f ca="1">ABS(G233-H233)</f>
        <v>2</v>
      </c>
      <c r="J230" t="str">
        <f ca="1">RIGHT(C228,I230)</f>
        <v>65</v>
      </c>
      <c r="K230">
        <v>0.05</v>
      </c>
      <c r="L230" s="47">
        <f ca="1">(C228-K230)</f>
        <v>0.6</v>
      </c>
      <c r="M230" s="56" t="str">
        <f ca="1">IF(E232=5,IF(AND(G228=0,F233=FALSE),L230,L231),L231)</f>
        <v>0,7</v>
      </c>
    </row>
    <row r="231" spans="3:13" ht="15" hidden="1" thickBot="1" x14ac:dyDescent="0.35">
      <c r="C231" s="40"/>
      <c r="E231" t="str">
        <f ca="1">RIGHT(E230,1)</f>
        <v>5</v>
      </c>
      <c r="F231">
        <f ca="1">F230+0</f>
        <v>6</v>
      </c>
      <c r="L231" t="str">
        <f ca="1">FIXED(C228,1)</f>
        <v>0,7</v>
      </c>
      <c r="M231" s="58"/>
    </row>
    <row r="232" spans="3:13" ht="15" hidden="1" thickBot="1" x14ac:dyDescent="0.35">
      <c r="C232" s="40"/>
      <c r="E232">
        <f ca="1">E231+0</f>
        <v>5</v>
      </c>
      <c r="F232" t="s">
        <v>74</v>
      </c>
      <c r="G232" t="s">
        <v>75</v>
      </c>
      <c r="H232" t="s">
        <v>76</v>
      </c>
      <c r="M232" s="50"/>
    </row>
    <row r="233" spans="3:13" ht="15" hidden="1" thickBot="1" x14ac:dyDescent="0.35">
      <c r="C233" s="40"/>
      <c r="F233" t="b">
        <f ca="1">ISODD(F230)</f>
        <v>0</v>
      </c>
      <c r="G233">
        <f ca="1">LEN(C228)</f>
        <v>4</v>
      </c>
      <c r="H233">
        <f ca="1">LEN(G230)+1</f>
        <v>2</v>
      </c>
      <c r="M233" s="50"/>
    </row>
    <row r="234" spans="3:13" ht="15" hidden="1" thickBot="1" x14ac:dyDescent="0.35">
      <c r="C234" s="40"/>
      <c r="M234" s="50"/>
    </row>
    <row r="235" spans="3:13" ht="15" hidden="1" thickBot="1" x14ac:dyDescent="0.35">
      <c r="C235" s="193" t="s">
        <v>80</v>
      </c>
      <c r="D235" s="194"/>
      <c r="E235" s="194"/>
      <c r="F235" s="194"/>
      <c r="G235" s="194"/>
      <c r="H235" s="194"/>
      <c r="I235" s="194"/>
      <c r="J235" s="194"/>
      <c r="K235" s="194"/>
      <c r="L235" s="194"/>
      <c r="M235" s="195"/>
    </row>
    <row r="236" spans="3:13" ht="15" hidden="1" thickBot="1" x14ac:dyDescent="0.35">
      <c r="C236" s="57" t="str">
        <f ca="1">M230</f>
        <v>0,7</v>
      </c>
      <c r="E236" t="str">
        <f ca="1">FIXED(C228,2)</f>
        <v>0,65</v>
      </c>
      <c r="F236" t="str">
        <f ca="1">RIGHT(E236,1)</f>
        <v>5</v>
      </c>
      <c r="G236">
        <f ca="1">F236+0</f>
        <v>5</v>
      </c>
      <c r="M236" s="50"/>
    </row>
    <row r="237" spans="3:13" ht="29.4" hidden="1" thickBot="1" x14ac:dyDescent="0.35">
      <c r="C237" s="40"/>
      <c r="E237" t="s">
        <v>65</v>
      </c>
      <c r="F237" t="s">
        <v>66</v>
      </c>
      <c r="G237" t="s">
        <v>67</v>
      </c>
      <c r="H237" t="s">
        <v>68</v>
      </c>
      <c r="I237" s="44" t="s">
        <v>69</v>
      </c>
      <c r="J237" s="44" t="s">
        <v>70</v>
      </c>
      <c r="K237" s="44" t="s">
        <v>71</v>
      </c>
      <c r="L237" s="44" t="s">
        <v>72</v>
      </c>
      <c r="M237" s="52" t="s">
        <v>73</v>
      </c>
    </row>
    <row r="238" spans="3:13" ht="18.600000000000001" hidden="1" thickBot="1" x14ac:dyDescent="0.4">
      <c r="C238" s="40"/>
      <c r="E238" t="str">
        <f ca="1">RIGHT(C236,2)</f>
        <v>,7</v>
      </c>
      <c r="F238" t="str">
        <f ca="1">RIGHT(G238,1)</f>
        <v>0</v>
      </c>
      <c r="G238" s="46">
        <f ca="1">TRUNC(C236)</f>
        <v>0</v>
      </c>
      <c r="H238" s="21" t="str">
        <f ca="1">FIXED(C236-G238,I238)</f>
        <v>0,7</v>
      </c>
      <c r="I238">
        <f ca="1">ABS(G241-H241)</f>
        <v>1</v>
      </c>
      <c r="J238" t="str">
        <f ca="1">RIGHT(C236,I238)</f>
        <v>7</v>
      </c>
      <c r="K238">
        <v>0.5</v>
      </c>
      <c r="L238" s="17">
        <f ca="1">(C236-K238)</f>
        <v>0.19999999999999996</v>
      </c>
      <c r="M238" s="59" t="str">
        <f ca="1">IF(E240=5,IF(AND(G236=0,F241=FALSE),L238,L239),L239)</f>
        <v>1</v>
      </c>
    </row>
    <row r="239" spans="3:13" ht="15" hidden="1" thickBot="1" x14ac:dyDescent="0.35">
      <c r="C239" s="40"/>
      <c r="E239" t="str">
        <f ca="1">RIGHT(E238,1)</f>
        <v>7</v>
      </c>
      <c r="F239">
        <f ca="1">F238+0</f>
        <v>0</v>
      </c>
      <c r="L239" t="str">
        <f ca="1">FIXED(C236,0)</f>
        <v>1</v>
      </c>
      <c r="M239" s="60"/>
    </row>
    <row r="240" spans="3:13" ht="15" hidden="1" thickBot="1" x14ac:dyDescent="0.35">
      <c r="C240" s="40"/>
      <c r="E240">
        <f ca="1">E239+0</f>
        <v>7</v>
      </c>
      <c r="F240" t="s">
        <v>74</v>
      </c>
      <c r="G240" t="s">
        <v>75</v>
      </c>
      <c r="H240" t="s">
        <v>76</v>
      </c>
      <c r="M240" s="50"/>
    </row>
    <row r="241" spans="3:13" ht="15" hidden="1" thickBot="1" x14ac:dyDescent="0.35">
      <c r="C241" s="48"/>
      <c r="D241" s="48"/>
      <c r="E241" s="48"/>
      <c r="F241" s="48" t="b">
        <f ca="1">ISODD(F238)</f>
        <v>0</v>
      </c>
      <c r="G241" s="48">
        <f ca="1">LEN(C236)</f>
        <v>3</v>
      </c>
      <c r="H241" s="48">
        <f ca="1">LEN(G238)+1</f>
        <v>2</v>
      </c>
      <c r="I241" s="48"/>
      <c r="J241" s="48"/>
      <c r="K241" s="48"/>
      <c r="L241" s="48"/>
      <c r="M241" s="61"/>
    </row>
    <row r="242" spans="3:13" ht="15" thickBot="1" x14ac:dyDescent="0.35">
      <c r="C242" s="196" t="s">
        <v>86</v>
      </c>
      <c r="D242" s="197"/>
      <c r="E242" s="197"/>
      <c r="F242" s="197"/>
      <c r="G242" s="197"/>
      <c r="H242" s="197"/>
      <c r="I242" s="197"/>
      <c r="J242" s="197"/>
      <c r="K242" s="197"/>
      <c r="L242" s="197"/>
      <c r="M242" s="198"/>
    </row>
    <row r="243" spans="3:13" ht="15" thickBot="1" x14ac:dyDescent="0.35">
      <c r="C243" s="40" t="s">
        <v>62</v>
      </c>
      <c r="D243" s="22" t="s">
        <v>63</v>
      </c>
      <c r="E243" t="str">
        <f ca="1">FIXED(C244,6)</f>
        <v>0,614331</v>
      </c>
      <c r="F243" t="str">
        <f ca="1">RIGHT(E243,1)</f>
        <v>1</v>
      </c>
      <c r="G243">
        <f ca="1">F243/1000000</f>
        <v>9.9999999999999995E-7</v>
      </c>
      <c r="H243" s="49">
        <f ca="1">C244-G243</f>
        <v>0.61432955978700166</v>
      </c>
      <c r="J243" t="str">
        <f ca="1">IF(E248=5,IF(AND(F244=0,F249=FALSE),L246,L247),L247)</f>
        <v>0,6143</v>
      </c>
      <c r="M243" s="50"/>
    </row>
    <row r="244" spans="3:13" ht="18.600000000000001" thickBot="1" x14ac:dyDescent="0.4">
      <c r="C244" s="41">
        <f ca="1">INCERTIDUMBRE!M10</f>
        <v>0.61433055978700168</v>
      </c>
      <c r="D244" s="51" t="str">
        <f ca="1">IF(C244&gt;=10,M278,IF(C244&gt;=1,M270,IF(C244&gt;=0.1,M262,IF(C244&gt;=0.01,M254,IF(C244&gt;=0.001,M246)))))</f>
        <v>0,61</v>
      </c>
      <c r="E244" t="s">
        <v>64</v>
      </c>
      <c r="F244">
        <f ca="1">F243+0</f>
        <v>1</v>
      </c>
      <c r="M244" s="50"/>
    </row>
    <row r="245" spans="3:13" ht="29.4" hidden="1" thickBot="1" x14ac:dyDescent="0.35">
      <c r="C245" s="42"/>
      <c r="D245" s="42"/>
      <c r="E245" t="s">
        <v>65</v>
      </c>
      <c r="F245" t="s">
        <v>66</v>
      </c>
      <c r="G245" t="s">
        <v>67</v>
      </c>
      <c r="H245" t="s">
        <v>68</v>
      </c>
      <c r="I245" s="44" t="s">
        <v>69</v>
      </c>
      <c r="J245" s="44" t="s">
        <v>70</v>
      </c>
      <c r="K245" s="44" t="s">
        <v>71</v>
      </c>
      <c r="L245" s="44" t="s">
        <v>72</v>
      </c>
      <c r="M245" s="52" t="s">
        <v>73</v>
      </c>
    </row>
    <row r="246" spans="3:13" ht="18.600000000000001" hidden="1" thickBot="1" x14ac:dyDescent="0.4">
      <c r="C246" s="45"/>
      <c r="E246" t="str">
        <f ca="1">RIGHT(H243,2)</f>
        <v>02</v>
      </c>
      <c r="F246" t="str">
        <f ca="1">LEFT(E246,1)</f>
        <v>0</v>
      </c>
      <c r="G246" s="49">
        <f ca="1">TRUNC(C244)</f>
        <v>0</v>
      </c>
      <c r="H246" s="21" t="str">
        <f ca="1">FIXED(C244-G246,I246)</f>
        <v>0,614330559787002</v>
      </c>
      <c r="I246">
        <f ca="1">ABS(G249-H249)</f>
        <v>15</v>
      </c>
      <c r="J246" t="str">
        <f ca="1">RIGHT(C244,I246)</f>
        <v>614330559787002</v>
      </c>
      <c r="K246">
        <v>5.0000000000000002E-5</v>
      </c>
      <c r="L246" s="21">
        <f ca="1">(C244-K246)</f>
        <v>0.61428055978700169</v>
      </c>
      <c r="M246" s="53" t="str">
        <f ca="1">IF(E248=5,IF(AND(F244=0,F249=FALSE),L246,L247),L247)</f>
        <v>0,6143</v>
      </c>
    </row>
    <row r="247" spans="3:13" ht="15" hidden="1" thickBot="1" x14ac:dyDescent="0.35">
      <c r="C247" s="40"/>
      <c r="E247" t="str">
        <f ca="1">RIGHT(E246,1)</f>
        <v>2</v>
      </c>
      <c r="F247">
        <f ca="1">F246+0</f>
        <v>0</v>
      </c>
      <c r="L247" t="str">
        <f ca="1">FIXED(C244,4)</f>
        <v>0,6143</v>
      </c>
      <c r="M247" s="50"/>
    </row>
    <row r="248" spans="3:13" ht="15" hidden="1" thickBot="1" x14ac:dyDescent="0.35">
      <c r="C248" s="40"/>
      <c r="E248">
        <f ca="1">E247+0</f>
        <v>2</v>
      </c>
      <c r="F248" t="s">
        <v>74</v>
      </c>
      <c r="G248" t="s">
        <v>75</v>
      </c>
      <c r="H248" t="s">
        <v>76</v>
      </c>
      <c r="M248" s="50"/>
    </row>
    <row r="249" spans="3:13" ht="15" hidden="1" thickBot="1" x14ac:dyDescent="0.35">
      <c r="C249" s="40"/>
      <c r="F249" t="b">
        <f ca="1">ISODD(F246)</f>
        <v>0</v>
      </c>
      <c r="G249">
        <f ca="1">LEN(C244)</f>
        <v>17</v>
      </c>
      <c r="H249">
        <f ca="1">LEN(G246)+1</f>
        <v>2</v>
      </c>
      <c r="M249" s="50"/>
    </row>
    <row r="250" spans="3:13" ht="15" hidden="1" thickBot="1" x14ac:dyDescent="0.35">
      <c r="C250" s="40"/>
      <c r="M250" s="50"/>
    </row>
    <row r="251" spans="3:13" ht="15" hidden="1" thickBot="1" x14ac:dyDescent="0.35">
      <c r="C251" s="193" t="s">
        <v>77</v>
      </c>
      <c r="D251" s="194"/>
      <c r="E251" s="194"/>
      <c r="F251" s="194"/>
      <c r="G251" s="194"/>
      <c r="H251" s="194"/>
      <c r="I251" s="194"/>
      <c r="J251" s="194"/>
      <c r="K251" s="194"/>
      <c r="L251" s="194"/>
      <c r="M251" s="195"/>
    </row>
    <row r="252" spans="3:13" ht="15" hidden="1" thickBot="1" x14ac:dyDescent="0.35">
      <c r="C252" s="54" t="str">
        <f ca="1">M246</f>
        <v>0,6143</v>
      </c>
      <c r="E252" t="str">
        <f ca="1">FIXED(C244,5)</f>
        <v>0,61433</v>
      </c>
      <c r="F252" t="str">
        <f ca="1">RIGHT(E252,1)</f>
        <v>3</v>
      </c>
      <c r="G252">
        <f ca="1">F252+0</f>
        <v>3</v>
      </c>
      <c r="M252" s="50"/>
    </row>
    <row r="253" spans="3:13" ht="29.4" hidden="1" thickBot="1" x14ac:dyDescent="0.35">
      <c r="C253" s="40"/>
      <c r="E253" t="s">
        <v>65</v>
      </c>
      <c r="F253" t="s">
        <v>66</v>
      </c>
      <c r="G253" t="s">
        <v>67</v>
      </c>
      <c r="H253" t="s">
        <v>68</v>
      </c>
      <c r="I253" s="44" t="s">
        <v>69</v>
      </c>
      <c r="J253" s="44" t="s">
        <v>70</v>
      </c>
      <c r="K253" s="44" t="s">
        <v>71</v>
      </c>
      <c r="L253" s="44" t="s">
        <v>72</v>
      </c>
      <c r="M253" s="52" t="s">
        <v>73</v>
      </c>
    </row>
    <row r="254" spans="3:13" ht="18.600000000000001" hidden="1" thickBot="1" x14ac:dyDescent="0.4">
      <c r="C254" s="40"/>
      <c r="E254" t="str">
        <f ca="1">RIGHT(C252,2)</f>
        <v>43</v>
      </c>
      <c r="F254" t="str">
        <f ca="1">LEFT(E254,1)</f>
        <v>4</v>
      </c>
      <c r="G254" s="46">
        <f ca="1">TRUNC(C252)</f>
        <v>0</v>
      </c>
      <c r="H254" s="21" t="str">
        <f ca="1">FIXED(C252-G254,I254)</f>
        <v>0,6143</v>
      </c>
      <c r="I254">
        <f ca="1">ABS(G257-H257)</f>
        <v>4</v>
      </c>
      <c r="J254" t="str">
        <f ca="1">RIGHT(C252,I254)</f>
        <v>6143</v>
      </c>
      <c r="K254">
        <v>5.0000000000000001E-4</v>
      </c>
      <c r="L254" s="24">
        <f ca="1">(C252-K254)</f>
        <v>0.61380000000000001</v>
      </c>
      <c r="M254" s="55" t="str">
        <f ca="1">IF(E256=5,IF(AND(G252=0,F257=FALSE),L254,L255),L255)</f>
        <v>0,614</v>
      </c>
    </row>
    <row r="255" spans="3:13" ht="15" hidden="1" thickBot="1" x14ac:dyDescent="0.35">
      <c r="C255" s="40"/>
      <c r="E255" t="str">
        <f ca="1">RIGHT(E254,1)</f>
        <v>3</v>
      </c>
      <c r="F255">
        <f ca="1">F254+0</f>
        <v>4</v>
      </c>
      <c r="L255" t="str">
        <f ca="1">FIXED(C252,3)</f>
        <v>0,614</v>
      </c>
      <c r="M255" s="50"/>
    </row>
    <row r="256" spans="3:13" ht="15" hidden="1" thickBot="1" x14ac:dyDescent="0.35">
      <c r="C256" s="40"/>
      <c r="E256">
        <f ca="1">E255+0</f>
        <v>3</v>
      </c>
      <c r="F256" t="s">
        <v>74</v>
      </c>
      <c r="G256" t="s">
        <v>75</v>
      </c>
      <c r="H256" t="s">
        <v>76</v>
      </c>
      <c r="M256" s="50"/>
    </row>
    <row r="257" spans="3:13" ht="15" hidden="1" thickBot="1" x14ac:dyDescent="0.35">
      <c r="C257" s="40"/>
      <c r="F257" t="b">
        <f ca="1">ISODD(F254)</f>
        <v>0</v>
      </c>
      <c r="G257">
        <f ca="1">LEN(C252)</f>
        <v>6</v>
      </c>
      <c r="H257">
        <f ca="1">LEN(G254)+1</f>
        <v>2</v>
      </c>
      <c r="M257" s="50"/>
    </row>
    <row r="258" spans="3:13" ht="15" hidden="1" thickBot="1" x14ac:dyDescent="0.35">
      <c r="C258" s="40"/>
      <c r="M258" s="50"/>
    </row>
    <row r="259" spans="3:13" ht="15" hidden="1" thickBot="1" x14ac:dyDescent="0.35">
      <c r="C259" s="193" t="s">
        <v>78</v>
      </c>
      <c r="D259" s="194"/>
      <c r="E259" s="194"/>
      <c r="F259" s="194"/>
      <c r="G259" s="194"/>
      <c r="H259" s="194"/>
      <c r="I259" s="194"/>
      <c r="J259" s="194"/>
      <c r="K259" s="194"/>
      <c r="L259" s="194"/>
      <c r="M259" s="195"/>
    </row>
    <row r="260" spans="3:13" ht="15" hidden="1" thickBot="1" x14ac:dyDescent="0.35">
      <c r="C260" s="54" t="str">
        <f ca="1">M254</f>
        <v>0,614</v>
      </c>
      <c r="E260" t="str">
        <f ca="1">FIXED(C252,4)</f>
        <v>0,6143</v>
      </c>
      <c r="F260" t="str">
        <f ca="1">RIGHT(E260,1)</f>
        <v>3</v>
      </c>
      <c r="G260">
        <f ca="1">F260+0</f>
        <v>3</v>
      </c>
      <c r="M260" s="50"/>
    </row>
    <row r="261" spans="3:13" ht="29.4" hidden="1" thickBot="1" x14ac:dyDescent="0.35">
      <c r="C261" s="40"/>
      <c r="E261" t="s">
        <v>65</v>
      </c>
      <c r="F261" t="s">
        <v>66</v>
      </c>
      <c r="G261" t="s">
        <v>67</v>
      </c>
      <c r="H261" t="s">
        <v>68</v>
      </c>
      <c r="I261" s="44" t="s">
        <v>69</v>
      </c>
      <c r="J261" s="44" t="s">
        <v>70</v>
      </c>
      <c r="K261" s="44" t="s">
        <v>71</v>
      </c>
      <c r="L261" s="44" t="s">
        <v>72</v>
      </c>
      <c r="M261" s="52" t="s">
        <v>73</v>
      </c>
    </row>
    <row r="262" spans="3:13" ht="18.600000000000001" hidden="1" thickBot="1" x14ac:dyDescent="0.4">
      <c r="C262" s="40"/>
      <c r="E262" t="str">
        <f ca="1">RIGHT(C260,2)</f>
        <v>14</v>
      </c>
      <c r="F262" t="str">
        <f ca="1">LEFT(E262,1)</f>
        <v>1</v>
      </c>
      <c r="G262" s="46">
        <f ca="1">TRUNC(C260)</f>
        <v>0</v>
      </c>
      <c r="H262" s="21" t="str">
        <f ca="1">FIXED(C260-G262,I262)</f>
        <v>0,614</v>
      </c>
      <c r="I262">
        <f ca="1">ABS(G265-H265)</f>
        <v>3</v>
      </c>
      <c r="J262" t="str">
        <f ca="1">RIGHT(C260,I262)</f>
        <v>614</v>
      </c>
      <c r="K262">
        <v>5.0000000000000001E-3</v>
      </c>
      <c r="L262" s="47">
        <f ca="1">(C260-K262)</f>
        <v>0.60899999999999999</v>
      </c>
      <c r="M262" s="56" t="str">
        <f ca="1">IF(E264=5,IF(AND(G260=0,F265=FALSE),L262,L263),L263)</f>
        <v>0,61</v>
      </c>
    </row>
    <row r="263" spans="3:13" ht="18.600000000000001" hidden="1" thickBot="1" x14ac:dyDescent="0.4">
      <c r="C263" s="40"/>
      <c r="E263" t="str">
        <f ca="1">RIGHT(E262,1)</f>
        <v>4</v>
      </c>
      <c r="F263">
        <f ca="1">F262+0</f>
        <v>1</v>
      </c>
      <c r="L263" t="str">
        <f ca="1">FIXED(C260,2)</f>
        <v>0,61</v>
      </c>
      <c r="M263" s="56"/>
    </row>
    <row r="264" spans="3:13" ht="15" hidden="1" thickBot="1" x14ac:dyDescent="0.35">
      <c r="C264" s="40"/>
      <c r="E264">
        <f ca="1">E263+0</f>
        <v>4</v>
      </c>
      <c r="F264" t="s">
        <v>74</v>
      </c>
      <c r="G264" t="s">
        <v>75</v>
      </c>
      <c r="H264" t="s">
        <v>76</v>
      </c>
      <c r="M264" s="50"/>
    </row>
    <row r="265" spans="3:13" ht="15" hidden="1" thickBot="1" x14ac:dyDescent="0.35">
      <c r="C265" s="40"/>
      <c r="F265" t="b">
        <f ca="1">ISODD(F262)</f>
        <v>1</v>
      </c>
      <c r="G265">
        <f ca="1">LEN(C260)</f>
        <v>5</v>
      </c>
      <c r="H265">
        <f ca="1">LEN(G262)+1</f>
        <v>2</v>
      </c>
      <c r="M265" s="50"/>
    </row>
    <row r="266" spans="3:13" ht="15" hidden="1" thickBot="1" x14ac:dyDescent="0.35">
      <c r="C266" s="40"/>
      <c r="M266" s="50"/>
    </row>
    <row r="267" spans="3:13" ht="15" hidden="1" thickBot="1" x14ac:dyDescent="0.35">
      <c r="C267" s="193" t="s">
        <v>79</v>
      </c>
      <c r="D267" s="194"/>
      <c r="E267" s="194"/>
      <c r="F267" s="194"/>
      <c r="G267" s="194"/>
      <c r="H267" s="194"/>
      <c r="I267" s="194"/>
      <c r="J267" s="194"/>
      <c r="K267" s="194"/>
      <c r="L267" s="194"/>
      <c r="M267" s="195"/>
    </row>
    <row r="268" spans="3:13" ht="15" hidden="1" thickBot="1" x14ac:dyDescent="0.35">
      <c r="C268" s="57" t="str">
        <f ca="1">M262</f>
        <v>0,61</v>
      </c>
      <c r="E268" t="str">
        <f ca="1">FIXED(C260,3)</f>
        <v>0,614</v>
      </c>
      <c r="F268" t="str">
        <f ca="1">RIGHT(E268,1)</f>
        <v>4</v>
      </c>
      <c r="G268">
        <f ca="1">F268+0</f>
        <v>4</v>
      </c>
      <c r="M268" s="50"/>
    </row>
    <row r="269" spans="3:13" ht="29.4" hidden="1" thickBot="1" x14ac:dyDescent="0.35">
      <c r="C269" s="40"/>
      <c r="E269" t="s">
        <v>65</v>
      </c>
      <c r="F269" t="s">
        <v>66</v>
      </c>
      <c r="G269" t="s">
        <v>67</v>
      </c>
      <c r="H269" t="s">
        <v>68</v>
      </c>
      <c r="I269" s="44" t="s">
        <v>69</v>
      </c>
      <c r="J269" s="44" t="s">
        <v>70</v>
      </c>
      <c r="K269" s="44" t="s">
        <v>71</v>
      </c>
      <c r="L269" s="44" t="s">
        <v>72</v>
      </c>
      <c r="M269" s="52" t="s">
        <v>73</v>
      </c>
    </row>
    <row r="270" spans="3:13" ht="18.600000000000001" hidden="1" thickBot="1" x14ac:dyDescent="0.4">
      <c r="C270" s="40"/>
      <c r="E270" t="str">
        <f ca="1">RIGHT(C268,2)</f>
        <v>61</v>
      </c>
      <c r="F270" t="str">
        <f ca="1">LEFT(E270,1)</f>
        <v>6</v>
      </c>
      <c r="G270" s="46">
        <f ca="1">TRUNC(C268)</f>
        <v>0</v>
      </c>
      <c r="H270" s="21" t="str">
        <f ca="1">FIXED(C268-G270,I270)</f>
        <v>0,61</v>
      </c>
      <c r="I270">
        <f ca="1">ABS(G273-H273)</f>
        <v>2</v>
      </c>
      <c r="J270" t="str">
        <f ca="1">RIGHT(C268,I270)</f>
        <v>61</v>
      </c>
      <c r="K270">
        <v>0.05</v>
      </c>
      <c r="L270" s="47">
        <f ca="1">(C268-K270)</f>
        <v>0.55999999999999994</v>
      </c>
      <c r="M270" s="56" t="str">
        <f ca="1">IF(E272=5,IF(AND(G268=0,F273=FALSE),L270,L271),L271)</f>
        <v>0,6</v>
      </c>
    </row>
    <row r="271" spans="3:13" ht="15" hidden="1" thickBot="1" x14ac:dyDescent="0.35">
      <c r="C271" s="40"/>
      <c r="E271" t="str">
        <f ca="1">RIGHT(E270,1)</f>
        <v>1</v>
      </c>
      <c r="F271">
        <f ca="1">F270+0</f>
        <v>6</v>
      </c>
      <c r="L271" t="str">
        <f ca="1">FIXED(C268,1)</f>
        <v>0,6</v>
      </c>
      <c r="M271" s="58"/>
    </row>
    <row r="272" spans="3:13" ht="15" hidden="1" thickBot="1" x14ac:dyDescent="0.35">
      <c r="C272" s="40"/>
      <c r="E272">
        <f ca="1">E271+0</f>
        <v>1</v>
      </c>
      <c r="F272" t="s">
        <v>74</v>
      </c>
      <c r="G272" t="s">
        <v>75</v>
      </c>
      <c r="H272" t="s">
        <v>76</v>
      </c>
      <c r="M272" s="50"/>
    </row>
    <row r="273" spans="3:13" ht="15" hidden="1" thickBot="1" x14ac:dyDescent="0.35">
      <c r="C273" s="40"/>
      <c r="F273" t="b">
        <f ca="1">ISODD(F270)</f>
        <v>0</v>
      </c>
      <c r="G273">
        <f ca="1">LEN(C268)</f>
        <v>4</v>
      </c>
      <c r="H273">
        <f ca="1">LEN(G270)+1</f>
        <v>2</v>
      </c>
      <c r="M273" s="50"/>
    </row>
    <row r="274" spans="3:13" ht="15" hidden="1" thickBot="1" x14ac:dyDescent="0.35">
      <c r="C274" s="40"/>
      <c r="M274" s="50"/>
    </row>
    <row r="275" spans="3:13" ht="15" hidden="1" thickBot="1" x14ac:dyDescent="0.35">
      <c r="C275" s="193" t="s">
        <v>80</v>
      </c>
      <c r="D275" s="194"/>
      <c r="E275" s="194"/>
      <c r="F275" s="194"/>
      <c r="G275" s="194"/>
      <c r="H275" s="194"/>
      <c r="I275" s="194"/>
      <c r="J275" s="194"/>
      <c r="K275" s="194"/>
      <c r="L275" s="194"/>
      <c r="M275" s="195"/>
    </row>
    <row r="276" spans="3:13" ht="15" hidden="1" thickBot="1" x14ac:dyDescent="0.35">
      <c r="C276" s="57" t="str">
        <f ca="1">M270</f>
        <v>0,6</v>
      </c>
      <c r="E276" t="str">
        <f ca="1">FIXED(C268,2)</f>
        <v>0,61</v>
      </c>
      <c r="F276" t="str">
        <f ca="1">RIGHT(E276,1)</f>
        <v>1</v>
      </c>
      <c r="G276">
        <f ca="1">F276+0</f>
        <v>1</v>
      </c>
      <c r="M276" s="50"/>
    </row>
    <row r="277" spans="3:13" ht="29.4" hidden="1" thickBot="1" x14ac:dyDescent="0.35">
      <c r="C277" s="40"/>
      <c r="E277" t="s">
        <v>65</v>
      </c>
      <c r="F277" t="s">
        <v>66</v>
      </c>
      <c r="G277" t="s">
        <v>67</v>
      </c>
      <c r="H277" t="s">
        <v>68</v>
      </c>
      <c r="I277" s="44" t="s">
        <v>69</v>
      </c>
      <c r="J277" s="44" t="s">
        <v>70</v>
      </c>
      <c r="K277" s="44" t="s">
        <v>71</v>
      </c>
      <c r="L277" s="44" t="s">
        <v>72</v>
      </c>
      <c r="M277" s="52" t="s">
        <v>73</v>
      </c>
    </row>
    <row r="278" spans="3:13" ht="18.600000000000001" hidden="1" thickBot="1" x14ac:dyDescent="0.4">
      <c r="C278" s="40"/>
      <c r="E278" t="str">
        <f ca="1">RIGHT(C276,2)</f>
        <v>,6</v>
      </c>
      <c r="F278" t="str">
        <f ca="1">RIGHT(G278,1)</f>
        <v>0</v>
      </c>
      <c r="G278" s="46">
        <f ca="1">TRUNC(C276)</f>
        <v>0</v>
      </c>
      <c r="H278" s="21" t="str">
        <f ca="1">FIXED(C276-G278,I278)</f>
        <v>0,6</v>
      </c>
      <c r="I278">
        <f ca="1">ABS(G281-H281)</f>
        <v>1</v>
      </c>
      <c r="J278" t="str">
        <f ca="1">RIGHT(C276,I278)</f>
        <v>6</v>
      </c>
      <c r="K278">
        <v>0.5</v>
      </c>
      <c r="L278" s="17">
        <f ca="1">(C276-K278)</f>
        <v>9.9999999999999978E-2</v>
      </c>
      <c r="M278" s="59" t="str">
        <f ca="1">IF(E280=5,IF(AND(G276=0,F281=FALSE),L278,L279),L279)</f>
        <v>1</v>
      </c>
    </row>
    <row r="279" spans="3:13" ht="15" hidden="1" thickBot="1" x14ac:dyDescent="0.35">
      <c r="C279" s="40"/>
      <c r="E279" t="str">
        <f ca="1">RIGHT(E278,1)</f>
        <v>6</v>
      </c>
      <c r="F279">
        <f ca="1">F278+0</f>
        <v>0</v>
      </c>
      <c r="L279" t="str">
        <f ca="1">FIXED(C276,0)</f>
        <v>1</v>
      </c>
      <c r="M279" s="60"/>
    </row>
    <row r="280" spans="3:13" ht="15" hidden="1" thickBot="1" x14ac:dyDescent="0.35">
      <c r="C280" s="40"/>
      <c r="E280">
        <f ca="1">E279+0</f>
        <v>6</v>
      </c>
      <c r="F280" t="s">
        <v>74</v>
      </c>
      <c r="G280" t="s">
        <v>75</v>
      </c>
      <c r="H280" t="s">
        <v>76</v>
      </c>
      <c r="M280" s="50"/>
    </row>
    <row r="281" spans="3:13" ht="15" hidden="1" thickBot="1" x14ac:dyDescent="0.35">
      <c r="C281" s="48"/>
      <c r="D281" s="48"/>
      <c r="E281" s="48"/>
      <c r="F281" s="48" t="b">
        <f ca="1">ISODD(F278)</f>
        <v>0</v>
      </c>
      <c r="G281" s="48">
        <f ca="1">LEN(C276)</f>
        <v>3</v>
      </c>
      <c r="H281" s="48">
        <f ca="1">LEN(G278)+1</f>
        <v>2</v>
      </c>
      <c r="I281" s="48"/>
      <c r="J281" s="48"/>
      <c r="K281" s="48"/>
      <c r="L281" s="48"/>
      <c r="M281" s="61"/>
    </row>
    <row r="282" spans="3:13" ht="15" thickBot="1" x14ac:dyDescent="0.35">
      <c r="C282" s="196" t="s">
        <v>87</v>
      </c>
      <c r="D282" s="197"/>
      <c r="E282" s="197"/>
      <c r="F282" s="197"/>
      <c r="G282" s="197"/>
      <c r="H282" s="197"/>
      <c r="I282" s="197"/>
      <c r="J282" s="197"/>
      <c r="K282" s="197"/>
      <c r="L282" s="197"/>
      <c r="M282" s="198"/>
    </row>
    <row r="283" spans="3:13" ht="15" thickBot="1" x14ac:dyDescent="0.35">
      <c r="C283" s="40" t="s">
        <v>62</v>
      </c>
      <c r="D283" s="22" t="s">
        <v>63</v>
      </c>
      <c r="E283" t="str">
        <f ca="1">FIXED(C284,6)</f>
        <v>0,650610</v>
      </c>
      <c r="F283" t="str">
        <f ca="1">RIGHT(E283,1)</f>
        <v>0</v>
      </c>
      <c r="G283">
        <f ca="1">F283/1000000</f>
        <v>0</v>
      </c>
      <c r="H283" s="49">
        <f ca="1">C284-G283</f>
        <v>0.65061003507609239</v>
      </c>
      <c r="J283" t="str">
        <f ca="1">IF(E288=5,IF(AND(F284=0,F289=FALSE),L286,L287),L287)</f>
        <v>0,6506</v>
      </c>
      <c r="M283" s="50"/>
    </row>
    <row r="284" spans="3:13" ht="18.600000000000001" thickBot="1" x14ac:dyDescent="0.4">
      <c r="C284" s="41">
        <f ca="1">INCERTIDUMBRE!M11</f>
        <v>0.65061003507609239</v>
      </c>
      <c r="D284" s="51" t="str">
        <f ca="1">IF(C284&gt;=10,M318,IF(C284&gt;=1,M310,IF(C284&gt;=0.1,M302,IF(C284&gt;=0.01,M294,IF(C284&gt;=0.001,M286)))))</f>
        <v>0,65</v>
      </c>
      <c r="E284" t="s">
        <v>64</v>
      </c>
      <c r="F284">
        <f ca="1">F283+0</f>
        <v>0</v>
      </c>
      <c r="M284" s="50"/>
    </row>
    <row r="285" spans="3:13" ht="29.4" hidden="1" thickBot="1" x14ac:dyDescent="0.35">
      <c r="C285" s="42"/>
      <c r="D285" s="42"/>
      <c r="E285" t="s">
        <v>65</v>
      </c>
      <c r="F285" t="s">
        <v>66</v>
      </c>
      <c r="G285" t="s">
        <v>67</v>
      </c>
      <c r="H285" t="s">
        <v>68</v>
      </c>
      <c r="I285" s="44" t="s">
        <v>69</v>
      </c>
      <c r="J285" s="44" t="s">
        <v>70</v>
      </c>
      <c r="K285" s="44" t="s">
        <v>71</v>
      </c>
      <c r="L285" s="44" t="s">
        <v>72</v>
      </c>
      <c r="M285" s="52" t="s">
        <v>73</v>
      </c>
    </row>
    <row r="286" spans="3:13" ht="18.600000000000001" hidden="1" thickBot="1" x14ac:dyDescent="0.4">
      <c r="C286" s="45"/>
      <c r="E286" t="str">
        <f ca="1">RIGHT(H283,2)</f>
        <v>92</v>
      </c>
      <c r="F286" t="str">
        <f ca="1">LEFT(E286,1)</f>
        <v>9</v>
      </c>
      <c r="G286" s="49">
        <f ca="1">TRUNC(C284)</f>
        <v>0</v>
      </c>
      <c r="H286" s="21" t="str">
        <f ca="1">FIXED(C284-G286,I286)</f>
        <v>0,650610035076092</v>
      </c>
      <c r="I286">
        <f ca="1">ABS(G289-H289)</f>
        <v>15</v>
      </c>
      <c r="J286" t="str">
        <f ca="1">RIGHT(C284,I286)</f>
        <v>650610035076092</v>
      </c>
      <c r="K286">
        <v>5.0000000000000002E-5</v>
      </c>
      <c r="L286" s="21">
        <f ca="1">(C284-K286)</f>
        <v>0.65056003507609239</v>
      </c>
      <c r="M286" s="53" t="str">
        <f ca="1">IF(E288=5,IF(AND(F284=0,F289=FALSE),L286,L287),L287)</f>
        <v>0,6506</v>
      </c>
    </row>
    <row r="287" spans="3:13" ht="15" hidden="1" thickBot="1" x14ac:dyDescent="0.35">
      <c r="C287" s="40"/>
      <c r="E287" t="str">
        <f ca="1">RIGHT(E286,1)</f>
        <v>2</v>
      </c>
      <c r="F287">
        <f ca="1">F286+0</f>
        <v>9</v>
      </c>
      <c r="L287" t="str">
        <f ca="1">FIXED(C284,4)</f>
        <v>0,6506</v>
      </c>
      <c r="M287" s="50"/>
    </row>
    <row r="288" spans="3:13" ht="15" hidden="1" thickBot="1" x14ac:dyDescent="0.35">
      <c r="C288" s="40"/>
      <c r="E288">
        <f ca="1">E287+0</f>
        <v>2</v>
      </c>
      <c r="F288" t="s">
        <v>74</v>
      </c>
      <c r="G288" t="s">
        <v>75</v>
      </c>
      <c r="H288" t="s">
        <v>76</v>
      </c>
      <c r="M288" s="50"/>
    </row>
    <row r="289" spans="3:13" ht="15" hidden="1" thickBot="1" x14ac:dyDescent="0.35">
      <c r="C289" s="40"/>
      <c r="F289" t="b">
        <f ca="1">ISODD(F286)</f>
        <v>1</v>
      </c>
      <c r="G289">
        <f ca="1">LEN(C284)</f>
        <v>17</v>
      </c>
      <c r="H289">
        <f ca="1">LEN(G286)+1</f>
        <v>2</v>
      </c>
      <c r="M289" s="50"/>
    </row>
    <row r="290" spans="3:13" ht="15" hidden="1" thickBot="1" x14ac:dyDescent="0.35">
      <c r="C290" s="40"/>
      <c r="M290" s="50"/>
    </row>
    <row r="291" spans="3:13" ht="15" hidden="1" thickBot="1" x14ac:dyDescent="0.35">
      <c r="C291" s="193" t="s">
        <v>77</v>
      </c>
      <c r="D291" s="194"/>
      <c r="E291" s="194"/>
      <c r="F291" s="194"/>
      <c r="G291" s="194"/>
      <c r="H291" s="194"/>
      <c r="I291" s="194"/>
      <c r="J291" s="194"/>
      <c r="K291" s="194"/>
      <c r="L291" s="194"/>
      <c r="M291" s="195"/>
    </row>
    <row r="292" spans="3:13" ht="15" hidden="1" thickBot="1" x14ac:dyDescent="0.35">
      <c r="C292" s="54" t="str">
        <f ca="1">M286</f>
        <v>0,6506</v>
      </c>
      <c r="E292" t="str">
        <f ca="1">FIXED(C284,5)</f>
        <v>0,65061</v>
      </c>
      <c r="F292" t="str">
        <f ca="1">RIGHT(E292,1)</f>
        <v>1</v>
      </c>
      <c r="G292">
        <f ca="1">F292+0</f>
        <v>1</v>
      </c>
      <c r="M292" s="50"/>
    </row>
    <row r="293" spans="3:13" ht="29.4" hidden="1" thickBot="1" x14ac:dyDescent="0.35">
      <c r="C293" s="40"/>
      <c r="E293" t="s">
        <v>65</v>
      </c>
      <c r="F293" t="s">
        <v>66</v>
      </c>
      <c r="G293" t="s">
        <v>67</v>
      </c>
      <c r="H293" t="s">
        <v>68</v>
      </c>
      <c r="I293" s="44" t="s">
        <v>69</v>
      </c>
      <c r="J293" s="44" t="s">
        <v>70</v>
      </c>
      <c r="K293" s="44" t="s">
        <v>71</v>
      </c>
      <c r="L293" s="44" t="s">
        <v>72</v>
      </c>
      <c r="M293" s="52" t="s">
        <v>73</v>
      </c>
    </row>
    <row r="294" spans="3:13" ht="18.600000000000001" hidden="1" thickBot="1" x14ac:dyDescent="0.4">
      <c r="C294" s="40"/>
      <c r="E294" t="str">
        <f ca="1">RIGHT(C292,2)</f>
        <v>06</v>
      </c>
      <c r="F294" t="str">
        <f ca="1">LEFT(E294,1)</f>
        <v>0</v>
      </c>
      <c r="G294" s="46">
        <f ca="1">TRUNC(C292)</f>
        <v>0</v>
      </c>
      <c r="H294" s="21" t="str">
        <f ca="1">FIXED(C292-G294,I294)</f>
        <v>0,6506</v>
      </c>
      <c r="I294">
        <f ca="1">ABS(G297-H297)</f>
        <v>4</v>
      </c>
      <c r="J294" t="str">
        <f ca="1">RIGHT(C292,I294)</f>
        <v>6506</v>
      </c>
      <c r="K294">
        <v>5.0000000000000001E-4</v>
      </c>
      <c r="L294" s="24">
        <f ca="1">(C292-K294)</f>
        <v>0.65010000000000001</v>
      </c>
      <c r="M294" s="55" t="str">
        <f ca="1">IF(E296=5,IF(AND(G292=0,F297=FALSE),L294,L295),L295)</f>
        <v>0,651</v>
      </c>
    </row>
    <row r="295" spans="3:13" ht="15" hidden="1" thickBot="1" x14ac:dyDescent="0.35">
      <c r="C295" s="40"/>
      <c r="E295" t="str">
        <f ca="1">RIGHT(E294,1)</f>
        <v>6</v>
      </c>
      <c r="F295">
        <f ca="1">F294+0</f>
        <v>0</v>
      </c>
      <c r="L295" t="str">
        <f ca="1">FIXED(C292,3)</f>
        <v>0,651</v>
      </c>
      <c r="M295" s="50"/>
    </row>
    <row r="296" spans="3:13" ht="15" hidden="1" thickBot="1" x14ac:dyDescent="0.35">
      <c r="C296" s="40"/>
      <c r="E296">
        <f ca="1">E295+0</f>
        <v>6</v>
      </c>
      <c r="F296" t="s">
        <v>74</v>
      </c>
      <c r="G296" t="s">
        <v>75</v>
      </c>
      <c r="H296" t="s">
        <v>76</v>
      </c>
      <c r="M296" s="50"/>
    </row>
    <row r="297" spans="3:13" ht="15" hidden="1" thickBot="1" x14ac:dyDescent="0.35">
      <c r="C297" s="40"/>
      <c r="F297" t="b">
        <f ca="1">ISODD(F294)</f>
        <v>0</v>
      </c>
      <c r="G297">
        <f ca="1">LEN(C292)</f>
        <v>6</v>
      </c>
      <c r="H297">
        <f ca="1">LEN(G294)+1</f>
        <v>2</v>
      </c>
      <c r="M297" s="50"/>
    </row>
    <row r="298" spans="3:13" ht="15" hidden="1" thickBot="1" x14ac:dyDescent="0.35">
      <c r="C298" s="40"/>
      <c r="M298" s="50"/>
    </row>
    <row r="299" spans="3:13" ht="15" hidden="1" thickBot="1" x14ac:dyDescent="0.35">
      <c r="C299" s="193" t="s">
        <v>78</v>
      </c>
      <c r="D299" s="194"/>
      <c r="E299" s="194"/>
      <c r="F299" s="194"/>
      <c r="G299" s="194"/>
      <c r="H299" s="194"/>
      <c r="I299" s="194"/>
      <c r="J299" s="194"/>
      <c r="K299" s="194"/>
      <c r="L299" s="194"/>
      <c r="M299" s="195"/>
    </row>
    <row r="300" spans="3:13" ht="15" hidden="1" thickBot="1" x14ac:dyDescent="0.35">
      <c r="C300" s="54" t="str">
        <f ca="1">M294</f>
        <v>0,651</v>
      </c>
      <c r="E300" t="str">
        <f ca="1">FIXED(C292,4)</f>
        <v>0,6506</v>
      </c>
      <c r="F300" t="str">
        <f ca="1">RIGHT(E300,1)</f>
        <v>6</v>
      </c>
      <c r="G300">
        <f ca="1">F300+0</f>
        <v>6</v>
      </c>
      <c r="M300" s="50"/>
    </row>
    <row r="301" spans="3:13" ht="29.4" hidden="1" thickBot="1" x14ac:dyDescent="0.35">
      <c r="C301" s="40"/>
      <c r="E301" t="s">
        <v>65</v>
      </c>
      <c r="F301" t="s">
        <v>66</v>
      </c>
      <c r="G301" t="s">
        <v>67</v>
      </c>
      <c r="H301" t="s">
        <v>68</v>
      </c>
      <c r="I301" s="44" t="s">
        <v>69</v>
      </c>
      <c r="J301" s="44" t="s">
        <v>70</v>
      </c>
      <c r="K301" s="44" t="s">
        <v>71</v>
      </c>
      <c r="L301" s="44" t="s">
        <v>72</v>
      </c>
      <c r="M301" s="52" t="s">
        <v>73</v>
      </c>
    </row>
    <row r="302" spans="3:13" ht="18.600000000000001" hidden="1" thickBot="1" x14ac:dyDescent="0.4">
      <c r="C302" s="40"/>
      <c r="E302" t="str">
        <f ca="1">RIGHT(C300,2)</f>
        <v>51</v>
      </c>
      <c r="F302" t="str">
        <f ca="1">LEFT(E302,1)</f>
        <v>5</v>
      </c>
      <c r="G302" s="46">
        <f ca="1">TRUNC(C300)</f>
        <v>0</v>
      </c>
      <c r="H302" s="21" t="str">
        <f ca="1">FIXED(C300-G302,I302)</f>
        <v>0,651</v>
      </c>
      <c r="I302">
        <f ca="1">ABS(G305-H305)</f>
        <v>3</v>
      </c>
      <c r="J302" t="str">
        <f ca="1">RIGHT(C300,I302)</f>
        <v>651</v>
      </c>
      <c r="K302">
        <v>5.0000000000000001E-3</v>
      </c>
      <c r="L302" s="47">
        <f ca="1">(C300-K302)</f>
        <v>0.64600000000000002</v>
      </c>
      <c r="M302" s="56" t="str">
        <f ca="1">IF(E304=5,IF(AND(G300=0,F305=FALSE),L302,L303),L303)</f>
        <v>0,65</v>
      </c>
    </row>
    <row r="303" spans="3:13" ht="18.600000000000001" hidden="1" thickBot="1" x14ac:dyDescent="0.4">
      <c r="C303" s="40"/>
      <c r="E303" t="str">
        <f ca="1">RIGHT(E302,1)</f>
        <v>1</v>
      </c>
      <c r="F303">
        <f ca="1">F302+0</f>
        <v>5</v>
      </c>
      <c r="L303" t="str">
        <f ca="1">FIXED(C300,2)</f>
        <v>0,65</v>
      </c>
      <c r="M303" s="56"/>
    </row>
    <row r="304" spans="3:13" ht="15" hidden="1" thickBot="1" x14ac:dyDescent="0.35">
      <c r="C304" s="40"/>
      <c r="E304">
        <f ca="1">E303+0</f>
        <v>1</v>
      </c>
      <c r="F304" t="s">
        <v>74</v>
      </c>
      <c r="G304" t="s">
        <v>75</v>
      </c>
      <c r="H304" t="s">
        <v>76</v>
      </c>
      <c r="M304" s="50"/>
    </row>
    <row r="305" spans="3:13" ht="15" hidden="1" thickBot="1" x14ac:dyDescent="0.35">
      <c r="C305" s="40"/>
      <c r="F305" t="b">
        <f ca="1">ISODD(F302)</f>
        <v>1</v>
      </c>
      <c r="G305">
        <f ca="1">LEN(C300)</f>
        <v>5</v>
      </c>
      <c r="H305">
        <f ca="1">LEN(G302)+1</f>
        <v>2</v>
      </c>
      <c r="M305" s="50"/>
    </row>
    <row r="306" spans="3:13" ht="15" hidden="1" thickBot="1" x14ac:dyDescent="0.35">
      <c r="C306" s="40"/>
      <c r="M306" s="50"/>
    </row>
    <row r="307" spans="3:13" ht="15" hidden="1" thickBot="1" x14ac:dyDescent="0.35">
      <c r="C307" s="193" t="s">
        <v>79</v>
      </c>
      <c r="D307" s="194"/>
      <c r="E307" s="194"/>
      <c r="F307" s="194"/>
      <c r="G307" s="194"/>
      <c r="H307" s="194"/>
      <c r="I307" s="194"/>
      <c r="J307" s="194"/>
      <c r="K307" s="194"/>
      <c r="L307" s="194"/>
      <c r="M307" s="195"/>
    </row>
    <row r="308" spans="3:13" ht="15" hidden="1" thickBot="1" x14ac:dyDescent="0.35">
      <c r="C308" s="57" t="str">
        <f ca="1">M302</f>
        <v>0,65</v>
      </c>
      <c r="E308" t="str">
        <f ca="1">FIXED(C300,3)</f>
        <v>0,651</v>
      </c>
      <c r="F308" t="str">
        <f ca="1">RIGHT(E308,1)</f>
        <v>1</v>
      </c>
      <c r="G308">
        <f ca="1">F308+0</f>
        <v>1</v>
      </c>
      <c r="M308" s="50"/>
    </row>
    <row r="309" spans="3:13" ht="29.4" hidden="1" thickBot="1" x14ac:dyDescent="0.35">
      <c r="C309" s="40"/>
      <c r="E309" t="s">
        <v>65</v>
      </c>
      <c r="F309" t="s">
        <v>66</v>
      </c>
      <c r="G309" t="s">
        <v>67</v>
      </c>
      <c r="H309" t="s">
        <v>68</v>
      </c>
      <c r="I309" s="44" t="s">
        <v>69</v>
      </c>
      <c r="J309" s="44" t="s">
        <v>70</v>
      </c>
      <c r="K309" s="44" t="s">
        <v>71</v>
      </c>
      <c r="L309" s="44" t="s">
        <v>72</v>
      </c>
      <c r="M309" s="52" t="s">
        <v>73</v>
      </c>
    </row>
    <row r="310" spans="3:13" ht="18.600000000000001" hidden="1" thickBot="1" x14ac:dyDescent="0.4">
      <c r="C310" s="40"/>
      <c r="E310" t="str">
        <f ca="1">RIGHT(C308,2)</f>
        <v>65</v>
      </c>
      <c r="F310" t="str">
        <f ca="1">LEFT(E310,1)</f>
        <v>6</v>
      </c>
      <c r="G310" s="46">
        <f ca="1">TRUNC(C308)</f>
        <v>0</v>
      </c>
      <c r="H310" s="21" t="str">
        <f ca="1">FIXED(C308-G310,I310)</f>
        <v>0,65</v>
      </c>
      <c r="I310">
        <f ca="1">ABS(G313-H313)</f>
        <v>2</v>
      </c>
      <c r="J310" t="str">
        <f ca="1">RIGHT(C308,I310)</f>
        <v>65</v>
      </c>
      <c r="K310">
        <v>0.05</v>
      </c>
      <c r="L310" s="47">
        <f ca="1">(C308-K310)</f>
        <v>0.6</v>
      </c>
      <c r="M310" s="56" t="str">
        <f ca="1">IF(E312=5,IF(AND(G308=0,F313=FALSE),L310,L311),L311)</f>
        <v>0,7</v>
      </c>
    </row>
    <row r="311" spans="3:13" ht="15" hidden="1" thickBot="1" x14ac:dyDescent="0.35">
      <c r="C311" s="40"/>
      <c r="E311" t="str">
        <f ca="1">RIGHT(E310,1)</f>
        <v>5</v>
      </c>
      <c r="F311">
        <f ca="1">F310+0</f>
        <v>6</v>
      </c>
      <c r="L311" t="str">
        <f ca="1">FIXED(C308,1)</f>
        <v>0,7</v>
      </c>
      <c r="M311" s="58"/>
    </row>
    <row r="312" spans="3:13" ht="15" hidden="1" thickBot="1" x14ac:dyDescent="0.35">
      <c r="C312" s="40"/>
      <c r="E312">
        <f ca="1">E311+0</f>
        <v>5</v>
      </c>
      <c r="F312" t="s">
        <v>74</v>
      </c>
      <c r="G312" t="s">
        <v>75</v>
      </c>
      <c r="H312" t="s">
        <v>76</v>
      </c>
      <c r="M312" s="50"/>
    </row>
    <row r="313" spans="3:13" ht="15" hidden="1" thickBot="1" x14ac:dyDescent="0.35">
      <c r="C313" s="40"/>
      <c r="F313" t="b">
        <f ca="1">ISODD(F310)</f>
        <v>0</v>
      </c>
      <c r="G313">
        <f ca="1">LEN(C308)</f>
        <v>4</v>
      </c>
      <c r="H313">
        <f ca="1">LEN(G310)+1</f>
        <v>2</v>
      </c>
      <c r="M313" s="50"/>
    </row>
    <row r="314" spans="3:13" ht="15" hidden="1" thickBot="1" x14ac:dyDescent="0.35">
      <c r="C314" s="40"/>
      <c r="M314" s="50"/>
    </row>
    <row r="315" spans="3:13" ht="15" hidden="1" thickBot="1" x14ac:dyDescent="0.35">
      <c r="C315" s="193" t="s">
        <v>80</v>
      </c>
      <c r="D315" s="194"/>
      <c r="E315" s="194"/>
      <c r="F315" s="194"/>
      <c r="G315" s="194"/>
      <c r="H315" s="194"/>
      <c r="I315" s="194"/>
      <c r="J315" s="194"/>
      <c r="K315" s="194"/>
      <c r="L315" s="194"/>
      <c r="M315" s="195"/>
    </row>
    <row r="316" spans="3:13" ht="15" hidden="1" thickBot="1" x14ac:dyDescent="0.35">
      <c r="C316" s="57" t="str">
        <f ca="1">M310</f>
        <v>0,7</v>
      </c>
      <c r="E316" t="str">
        <f ca="1">FIXED(C308,2)</f>
        <v>0,65</v>
      </c>
      <c r="F316" t="str">
        <f ca="1">RIGHT(E316,1)</f>
        <v>5</v>
      </c>
      <c r="G316">
        <f ca="1">F316+0</f>
        <v>5</v>
      </c>
      <c r="M316" s="50"/>
    </row>
    <row r="317" spans="3:13" ht="29.4" hidden="1" thickBot="1" x14ac:dyDescent="0.35">
      <c r="C317" s="40"/>
      <c r="E317" t="s">
        <v>65</v>
      </c>
      <c r="F317" t="s">
        <v>66</v>
      </c>
      <c r="G317" t="s">
        <v>67</v>
      </c>
      <c r="H317" t="s">
        <v>68</v>
      </c>
      <c r="I317" s="44" t="s">
        <v>69</v>
      </c>
      <c r="J317" s="44" t="s">
        <v>70</v>
      </c>
      <c r="K317" s="44" t="s">
        <v>71</v>
      </c>
      <c r="L317" s="44" t="s">
        <v>72</v>
      </c>
      <c r="M317" s="52" t="s">
        <v>73</v>
      </c>
    </row>
    <row r="318" spans="3:13" ht="18.600000000000001" hidden="1" thickBot="1" x14ac:dyDescent="0.4">
      <c r="C318" s="40"/>
      <c r="E318" t="str">
        <f ca="1">RIGHT(C316,2)</f>
        <v>,7</v>
      </c>
      <c r="F318" t="str">
        <f ca="1">RIGHT(G318,1)</f>
        <v>0</v>
      </c>
      <c r="G318" s="46">
        <f ca="1">TRUNC(C316)</f>
        <v>0</v>
      </c>
      <c r="H318" s="21" t="str">
        <f ca="1">FIXED(C316-G318,I318)</f>
        <v>0,7</v>
      </c>
      <c r="I318">
        <f ca="1">ABS(G321-H321)</f>
        <v>1</v>
      </c>
      <c r="J318" t="str">
        <f ca="1">RIGHT(C316,I318)</f>
        <v>7</v>
      </c>
      <c r="K318">
        <v>0.5</v>
      </c>
      <c r="L318" s="17">
        <f ca="1">(C316-K318)</f>
        <v>0.19999999999999996</v>
      </c>
      <c r="M318" s="59" t="str">
        <f ca="1">IF(E320=5,IF(AND(G316=0,F321=FALSE),L318,L319),L319)</f>
        <v>1</v>
      </c>
    </row>
    <row r="319" spans="3:13" ht="15" hidden="1" thickBot="1" x14ac:dyDescent="0.35">
      <c r="C319" s="40"/>
      <c r="E319" t="str">
        <f ca="1">RIGHT(E318,1)</f>
        <v>7</v>
      </c>
      <c r="F319">
        <f ca="1">F318+0</f>
        <v>0</v>
      </c>
      <c r="L319" t="str">
        <f ca="1">FIXED(C316,0)</f>
        <v>1</v>
      </c>
      <c r="M319" s="60"/>
    </row>
    <row r="320" spans="3:13" ht="15" hidden="1" thickBot="1" x14ac:dyDescent="0.35">
      <c r="C320" s="40"/>
      <c r="E320">
        <f ca="1">E319+0</f>
        <v>7</v>
      </c>
      <c r="F320" t="s">
        <v>74</v>
      </c>
      <c r="G320" t="s">
        <v>75</v>
      </c>
      <c r="H320" t="s">
        <v>76</v>
      </c>
      <c r="M320" s="50"/>
    </row>
    <row r="321" spans="3:13" ht="15" hidden="1" thickBot="1" x14ac:dyDescent="0.35">
      <c r="C321" s="48"/>
      <c r="D321" s="48"/>
      <c r="E321" s="48"/>
      <c r="F321" s="48" t="b">
        <f ca="1">ISODD(F318)</f>
        <v>0</v>
      </c>
      <c r="G321" s="48">
        <f ca="1">LEN(C316)</f>
        <v>3</v>
      </c>
      <c r="H321" s="48">
        <f ca="1">LEN(G318)+1</f>
        <v>2</v>
      </c>
      <c r="I321" s="48"/>
      <c r="J321" s="48"/>
      <c r="K321" s="48"/>
      <c r="L321" s="48"/>
      <c r="M321" s="61"/>
    </row>
    <row r="322" spans="3:13" ht="15" thickBot="1" x14ac:dyDescent="0.35">
      <c r="C322" s="196" t="s">
        <v>88</v>
      </c>
      <c r="D322" s="197"/>
      <c r="E322" s="197"/>
      <c r="F322" s="197"/>
      <c r="G322" s="197"/>
      <c r="H322" s="197"/>
      <c r="I322" s="197"/>
      <c r="J322" s="197"/>
      <c r="K322" s="197"/>
      <c r="L322" s="197"/>
      <c r="M322" s="198"/>
    </row>
    <row r="323" spans="3:13" ht="15" thickBot="1" x14ac:dyDescent="0.35">
      <c r="C323" s="40" t="s">
        <v>62</v>
      </c>
      <c r="D323" s="22" t="s">
        <v>63</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INCERTIDUMBRE!M12</f>
        <v>0</v>
      </c>
      <c r="D324" s="51" t="b">
        <f>IF(C324&gt;=10,M358,IF(C324&gt;=1,M350,IF(C324&gt;=0.1,M342,IF(C324&gt;=0.01,M334,IF(C324&gt;=0.001,M326)))))</f>
        <v>0</v>
      </c>
      <c r="E324" t="s">
        <v>64</v>
      </c>
      <c r="F324">
        <f>F323+0</f>
        <v>0</v>
      </c>
      <c r="M324" s="50"/>
    </row>
    <row r="325" spans="3:13" ht="29.4" hidden="1" thickBot="1" x14ac:dyDescent="0.35">
      <c r="C325" s="42"/>
      <c r="D325" s="42"/>
      <c r="E325" t="s">
        <v>65</v>
      </c>
      <c r="F325" t="s">
        <v>66</v>
      </c>
      <c r="G325" t="s">
        <v>67</v>
      </c>
      <c r="H325" t="s">
        <v>68</v>
      </c>
      <c r="I325" s="44" t="s">
        <v>69</v>
      </c>
      <c r="J325" s="44" t="s">
        <v>70</v>
      </c>
      <c r="K325" s="44" t="s">
        <v>71</v>
      </c>
      <c r="L325" s="44" t="s">
        <v>72</v>
      </c>
      <c r="M325" s="52" t="s">
        <v>73</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74</v>
      </c>
      <c r="G328" t="s">
        <v>75</v>
      </c>
      <c r="H328" t="s">
        <v>76</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93" t="s">
        <v>77</v>
      </c>
      <c r="D331" s="194"/>
      <c r="E331" s="194"/>
      <c r="F331" s="194"/>
      <c r="G331" s="194"/>
      <c r="H331" s="194"/>
      <c r="I331" s="194"/>
      <c r="J331" s="194"/>
      <c r="K331" s="194"/>
      <c r="L331" s="194"/>
      <c r="M331" s="195"/>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65</v>
      </c>
      <c r="F333" t="s">
        <v>66</v>
      </c>
      <c r="G333" t="s">
        <v>67</v>
      </c>
      <c r="H333" t="s">
        <v>68</v>
      </c>
      <c r="I333" s="44" t="s">
        <v>69</v>
      </c>
      <c r="J333" s="44" t="s">
        <v>70</v>
      </c>
      <c r="K333" s="44" t="s">
        <v>71</v>
      </c>
      <c r="L333" s="44" t="s">
        <v>72</v>
      </c>
      <c r="M333" s="52" t="s">
        <v>73</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74</v>
      </c>
      <c r="G336" t="s">
        <v>75</v>
      </c>
      <c r="H336" t="s">
        <v>76</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93" t="s">
        <v>78</v>
      </c>
      <c r="D339" s="194"/>
      <c r="E339" s="194"/>
      <c r="F339" s="194"/>
      <c r="G339" s="194"/>
      <c r="H339" s="194"/>
      <c r="I339" s="194"/>
      <c r="J339" s="194"/>
      <c r="K339" s="194"/>
      <c r="L339" s="194"/>
      <c r="M339" s="195"/>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65</v>
      </c>
      <c r="F341" t="s">
        <v>66</v>
      </c>
      <c r="G341" t="s">
        <v>67</v>
      </c>
      <c r="H341" t="s">
        <v>68</v>
      </c>
      <c r="I341" s="44" t="s">
        <v>69</v>
      </c>
      <c r="J341" s="44" t="s">
        <v>70</v>
      </c>
      <c r="K341" s="44" t="s">
        <v>71</v>
      </c>
      <c r="L341" s="44" t="s">
        <v>72</v>
      </c>
      <c r="M341" s="52" t="s">
        <v>73</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74</v>
      </c>
      <c r="G344" t="s">
        <v>75</v>
      </c>
      <c r="H344" t="s">
        <v>76</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93" t="s">
        <v>79</v>
      </c>
      <c r="D347" s="194"/>
      <c r="E347" s="194"/>
      <c r="F347" s="194"/>
      <c r="G347" s="194"/>
      <c r="H347" s="194"/>
      <c r="I347" s="194"/>
      <c r="J347" s="194"/>
      <c r="K347" s="194"/>
      <c r="L347" s="194"/>
      <c r="M347" s="195"/>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65</v>
      </c>
      <c r="F349" t="s">
        <v>66</v>
      </c>
      <c r="G349" t="s">
        <v>67</v>
      </c>
      <c r="H349" t="s">
        <v>68</v>
      </c>
      <c r="I349" s="44" t="s">
        <v>69</v>
      </c>
      <c r="J349" s="44" t="s">
        <v>70</v>
      </c>
      <c r="K349" s="44" t="s">
        <v>71</v>
      </c>
      <c r="L349" s="44" t="s">
        <v>72</v>
      </c>
      <c r="M349" s="52" t="s">
        <v>73</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74</v>
      </c>
      <c r="G352" t="s">
        <v>75</v>
      </c>
      <c r="H352" t="s">
        <v>76</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93" t="s">
        <v>80</v>
      </c>
      <c r="D355" s="194"/>
      <c r="E355" s="194"/>
      <c r="F355" s="194"/>
      <c r="G355" s="194"/>
      <c r="H355" s="194"/>
      <c r="I355" s="194"/>
      <c r="J355" s="194"/>
      <c r="K355" s="194"/>
      <c r="L355" s="194"/>
      <c r="M355" s="195"/>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65</v>
      </c>
      <c r="F357" t="s">
        <v>66</v>
      </c>
      <c r="G357" t="s">
        <v>67</v>
      </c>
      <c r="H357" t="s">
        <v>68</v>
      </c>
      <c r="I357" s="44" t="s">
        <v>69</v>
      </c>
      <c r="J357" s="44" t="s">
        <v>70</v>
      </c>
      <c r="K357" s="44" t="s">
        <v>71</v>
      </c>
      <c r="L357" s="44" t="s">
        <v>72</v>
      </c>
      <c r="M357" s="52" t="s">
        <v>73</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74</v>
      </c>
      <c r="G360" t="s">
        <v>75</v>
      </c>
      <c r="H360" t="s">
        <v>76</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196" t="s">
        <v>89</v>
      </c>
      <c r="D362" s="197"/>
      <c r="E362" s="197"/>
      <c r="F362" s="197"/>
      <c r="G362" s="197"/>
      <c r="H362" s="197"/>
      <c r="I362" s="197"/>
      <c r="J362" s="197"/>
      <c r="K362" s="197"/>
      <c r="L362" s="197"/>
      <c r="M362" s="198"/>
    </row>
    <row r="363" spans="3:13" ht="15" thickBot="1" x14ac:dyDescent="0.35">
      <c r="C363" s="40" t="s">
        <v>62</v>
      </c>
      <c r="D363" s="22" t="s">
        <v>63</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64</v>
      </c>
      <c r="F364">
        <f>F363+0</f>
        <v>5</v>
      </c>
      <c r="M364" s="50"/>
    </row>
    <row r="365" spans="3:13" ht="29.4" hidden="1" thickBot="1" x14ac:dyDescent="0.35">
      <c r="C365" s="42"/>
      <c r="D365" s="42"/>
      <c r="E365" t="s">
        <v>65</v>
      </c>
      <c r="F365" t="s">
        <v>66</v>
      </c>
      <c r="G365" t="s">
        <v>67</v>
      </c>
      <c r="H365" t="s">
        <v>68</v>
      </c>
      <c r="I365" s="44" t="s">
        <v>69</v>
      </c>
      <c r="J365" s="44" t="s">
        <v>70</v>
      </c>
      <c r="K365" s="44" t="s">
        <v>71</v>
      </c>
      <c r="L365" s="44" t="s">
        <v>72</v>
      </c>
      <c r="M365" s="52" t="s">
        <v>73</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74</v>
      </c>
      <c r="G368" t="s">
        <v>75</v>
      </c>
      <c r="H368" t="s">
        <v>76</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93" t="s">
        <v>77</v>
      </c>
      <c r="D371" s="194"/>
      <c r="E371" s="194"/>
      <c r="F371" s="194"/>
      <c r="G371" s="194"/>
      <c r="H371" s="194"/>
      <c r="I371" s="194"/>
      <c r="J371" s="194"/>
      <c r="K371" s="194"/>
      <c r="L371" s="194"/>
      <c r="M371" s="195"/>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65</v>
      </c>
      <c r="F373" t="s">
        <v>66</v>
      </c>
      <c r="G373" t="s">
        <v>67</v>
      </c>
      <c r="H373" t="s">
        <v>68</v>
      </c>
      <c r="I373" s="44" t="s">
        <v>69</v>
      </c>
      <c r="J373" s="44" t="s">
        <v>70</v>
      </c>
      <c r="K373" s="44" t="s">
        <v>71</v>
      </c>
      <c r="L373" s="44" t="s">
        <v>72</v>
      </c>
      <c r="M373" s="52" t="s">
        <v>73</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74</v>
      </c>
      <c r="G376" t="s">
        <v>75</v>
      </c>
      <c r="H376" t="s">
        <v>76</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93" t="s">
        <v>78</v>
      </c>
      <c r="D379" s="194"/>
      <c r="E379" s="194"/>
      <c r="F379" s="194"/>
      <c r="G379" s="194"/>
      <c r="H379" s="194"/>
      <c r="I379" s="194"/>
      <c r="J379" s="194"/>
      <c r="K379" s="194"/>
      <c r="L379" s="194"/>
      <c r="M379" s="195"/>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65</v>
      </c>
      <c r="F381" t="s">
        <v>66</v>
      </c>
      <c r="G381" t="s">
        <v>67</v>
      </c>
      <c r="H381" t="s">
        <v>68</v>
      </c>
      <c r="I381" s="44" t="s">
        <v>69</v>
      </c>
      <c r="J381" s="44" t="s">
        <v>70</v>
      </c>
      <c r="K381" s="44" t="s">
        <v>71</v>
      </c>
      <c r="L381" s="44" t="s">
        <v>72</v>
      </c>
      <c r="M381" s="52" t="s">
        <v>73</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74</v>
      </c>
      <c r="G384" t="s">
        <v>75</v>
      </c>
      <c r="H384" t="s">
        <v>76</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93" t="s">
        <v>79</v>
      </c>
      <c r="D387" s="194"/>
      <c r="E387" s="194"/>
      <c r="F387" s="194"/>
      <c r="G387" s="194"/>
      <c r="H387" s="194"/>
      <c r="I387" s="194"/>
      <c r="J387" s="194"/>
      <c r="K387" s="194"/>
      <c r="L387" s="194"/>
      <c r="M387" s="195"/>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65</v>
      </c>
      <c r="F389" t="s">
        <v>66</v>
      </c>
      <c r="G389" t="s">
        <v>67</v>
      </c>
      <c r="H389" t="s">
        <v>68</v>
      </c>
      <c r="I389" s="44" t="s">
        <v>69</v>
      </c>
      <c r="J389" s="44" t="s">
        <v>70</v>
      </c>
      <c r="K389" s="44" t="s">
        <v>71</v>
      </c>
      <c r="L389" s="44" t="s">
        <v>72</v>
      </c>
      <c r="M389" s="52" t="s">
        <v>73</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74</v>
      </c>
      <c r="G392" t="s">
        <v>75</v>
      </c>
      <c r="H392" t="s">
        <v>76</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93" t="s">
        <v>80</v>
      </c>
      <c r="D395" s="194"/>
      <c r="E395" s="194"/>
      <c r="F395" s="194"/>
      <c r="G395" s="194"/>
      <c r="H395" s="194"/>
      <c r="I395" s="194"/>
      <c r="J395" s="194"/>
      <c r="K395" s="194"/>
      <c r="L395" s="194"/>
      <c r="M395" s="195"/>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65</v>
      </c>
      <c r="F397" t="s">
        <v>66</v>
      </c>
      <c r="G397" t="s">
        <v>67</v>
      </c>
      <c r="H397" t="s">
        <v>68</v>
      </c>
      <c r="I397" s="44" t="s">
        <v>69</v>
      </c>
      <c r="J397" s="44" t="s">
        <v>70</v>
      </c>
      <c r="K397" s="44" t="s">
        <v>71</v>
      </c>
      <c r="L397" s="44" t="s">
        <v>72</v>
      </c>
      <c r="M397" s="52" t="s">
        <v>73</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74</v>
      </c>
      <c r="G400" t="s">
        <v>75</v>
      </c>
      <c r="H400" t="s">
        <v>76</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196" t="s">
        <v>90</v>
      </c>
      <c r="D402" s="197"/>
      <c r="E402" s="197"/>
      <c r="F402" s="197"/>
      <c r="G402" s="197"/>
      <c r="H402" s="197"/>
      <c r="I402" s="197"/>
      <c r="J402" s="197"/>
      <c r="K402" s="197"/>
      <c r="L402" s="197"/>
      <c r="M402" s="198"/>
    </row>
    <row r="403" spans="3:13" ht="15" thickBot="1" x14ac:dyDescent="0.35">
      <c r="C403" s="40" t="s">
        <v>62</v>
      </c>
      <c r="D403" s="22" t="s">
        <v>63</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64</v>
      </c>
      <c r="F404">
        <f>F403+0</f>
        <v>0</v>
      </c>
      <c r="M404" s="50"/>
    </row>
    <row r="405" spans="3:13" ht="29.4" hidden="1" thickBot="1" x14ac:dyDescent="0.35">
      <c r="C405" s="42"/>
      <c r="D405" s="42"/>
      <c r="E405" t="s">
        <v>65</v>
      </c>
      <c r="F405" t="s">
        <v>66</v>
      </c>
      <c r="G405" t="s">
        <v>67</v>
      </c>
      <c r="H405" t="s">
        <v>68</v>
      </c>
      <c r="I405" s="44" t="s">
        <v>69</v>
      </c>
      <c r="J405" s="44" t="s">
        <v>70</v>
      </c>
      <c r="K405" s="44" t="s">
        <v>71</v>
      </c>
      <c r="L405" s="44" t="s">
        <v>72</v>
      </c>
      <c r="M405" s="52" t="s">
        <v>73</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74</v>
      </c>
      <c r="G408" t="s">
        <v>75</v>
      </c>
      <c r="H408" t="s">
        <v>76</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93" t="s">
        <v>77</v>
      </c>
      <c r="D411" s="194"/>
      <c r="E411" s="194"/>
      <c r="F411" s="194"/>
      <c r="G411" s="194"/>
      <c r="H411" s="194"/>
      <c r="I411" s="194"/>
      <c r="J411" s="194"/>
      <c r="K411" s="194"/>
      <c r="L411" s="194"/>
      <c r="M411" s="195"/>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65</v>
      </c>
      <c r="F413" t="s">
        <v>66</v>
      </c>
      <c r="G413" t="s">
        <v>67</v>
      </c>
      <c r="H413" t="s">
        <v>68</v>
      </c>
      <c r="I413" s="44" t="s">
        <v>69</v>
      </c>
      <c r="J413" s="44" t="s">
        <v>70</v>
      </c>
      <c r="K413" s="44" t="s">
        <v>71</v>
      </c>
      <c r="L413" s="44" t="s">
        <v>72</v>
      </c>
      <c r="M413" s="52" t="s">
        <v>73</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74</v>
      </c>
      <c r="G416" t="s">
        <v>75</v>
      </c>
      <c r="H416" t="s">
        <v>76</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93" t="s">
        <v>78</v>
      </c>
      <c r="D419" s="194"/>
      <c r="E419" s="194"/>
      <c r="F419" s="194"/>
      <c r="G419" s="194"/>
      <c r="H419" s="194"/>
      <c r="I419" s="194"/>
      <c r="J419" s="194"/>
      <c r="K419" s="194"/>
      <c r="L419" s="194"/>
      <c r="M419" s="195"/>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65</v>
      </c>
      <c r="F421" t="s">
        <v>66</v>
      </c>
      <c r="G421" t="s">
        <v>67</v>
      </c>
      <c r="H421" t="s">
        <v>68</v>
      </c>
      <c r="I421" s="44" t="s">
        <v>69</v>
      </c>
      <c r="J421" s="44" t="s">
        <v>70</v>
      </c>
      <c r="K421" s="44" t="s">
        <v>71</v>
      </c>
      <c r="L421" s="44" t="s">
        <v>72</v>
      </c>
      <c r="M421" s="52" t="s">
        <v>73</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74</v>
      </c>
      <c r="G424" t="s">
        <v>75</v>
      </c>
      <c r="H424" t="s">
        <v>76</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93" t="s">
        <v>79</v>
      </c>
      <c r="D427" s="194"/>
      <c r="E427" s="194"/>
      <c r="F427" s="194"/>
      <c r="G427" s="194"/>
      <c r="H427" s="194"/>
      <c r="I427" s="194"/>
      <c r="J427" s="194"/>
      <c r="K427" s="194"/>
      <c r="L427" s="194"/>
      <c r="M427" s="195"/>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65</v>
      </c>
      <c r="F429" t="s">
        <v>66</v>
      </c>
      <c r="G429" t="s">
        <v>67</v>
      </c>
      <c r="H429" t="s">
        <v>68</v>
      </c>
      <c r="I429" s="44" t="s">
        <v>69</v>
      </c>
      <c r="J429" s="44" t="s">
        <v>70</v>
      </c>
      <c r="K429" s="44" t="s">
        <v>71</v>
      </c>
      <c r="L429" s="44" t="s">
        <v>72</v>
      </c>
      <c r="M429" s="52" t="s">
        <v>73</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74</v>
      </c>
      <c r="G432" t="s">
        <v>75</v>
      </c>
      <c r="H432" t="s">
        <v>76</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93" t="s">
        <v>80</v>
      </c>
      <c r="D435" s="194"/>
      <c r="E435" s="194"/>
      <c r="F435" s="194"/>
      <c r="G435" s="194"/>
      <c r="H435" s="194"/>
      <c r="I435" s="194"/>
      <c r="J435" s="194"/>
      <c r="K435" s="194"/>
      <c r="L435" s="194"/>
      <c r="M435" s="195"/>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65</v>
      </c>
      <c r="F437" t="s">
        <v>66</v>
      </c>
      <c r="G437" t="s">
        <v>67</v>
      </c>
      <c r="H437" t="s">
        <v>68</v>
      </c>
      <c r="I437" s="44" t="s">
        <v>69</v>
      </c>
      <c r="J437" s="44" t="s">
        <v>70</v>
      </c>
      <c r="K437" s="44" t="s">
        <v>71</v>
      </c>
      <c r="L437" s="44" t="s">
        <v>72</v>
      </c>
      <c r="M437" s="52" t="s">
        <v>73</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74</v>
      </c>
      <c r="G440" t="s">
        <v>75</v>
      </c>
      <c r="H440" t="s">
        <v>76</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196" t="s">
        <v>91</v>
      </c>
      <c r="D442" s="197"/>
      <c r="E442" s="197"/>
      <c r="F442" s="197"/>
      <c r="G442" s="197"/>
      <c r="H442" s="197"/>
      <c r="I442" s="197"/>
      <c r="J442" s="197"/>
      <c r="K442" s="197"/>
      <c r="L442" s="197"/>
      <c r="M442" s="198"/>
    </row>
    <row r="443" spans="3:13" ht="15" thickBot="1" x14ac:dyDescent="0.35">
      <c r="C443" s="40" t="s">
        <v>62</v>
      </c>
      <c r="D443" s="22" t="s">
        <v>63</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64</v>
      </c>
      <c r="F444">
        <f>F443+0</f>
        <v>4</v>
      </c>
      <c r="M444" s="50"/>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3"/>
  <sheetViews>
    <sheetView zoomScaleNormal="100" workbookViewId="0">
      <selection activeCell="J17" sqref="J17"/>
    </sheetView>
  </sheetViews>
  <sheetFormatPr baseColWidth="10" defaultRowHeight="14.4" x14ac:dyDescent="0.3"/>
  <cols>
    <col min="2" max="2" width="14" bestFit="1" customWidth="1"/>
    <col min="16" max="16" width="14.6640625" customWidth="1"/>
    <col min="20" max="20" width="12.44140625" bestFit="1" customWidth="1"/>
    <col min="24" max="25" width="13.33203125" customWidth="1"/>
  </cols>
  <sheetData>
    <row r="3" spans="2:26" x14ac:dyDescent="0.3">
      <c r="B3" s="9"/>
      <c r="C3" s="9"/>
      <c r="D3" s="9"/>
      <c r="E3" s="199" t="s">
        <v>36</v>
      </c>
      <c r="F3" s="199"/>
      <c r="G3" s="199"/>
      <c r="H3" s="199" t="s">
        <v>37</v>
      </c>
      <c r="I3" s="199"/>
      <c r="J3" s="199"/>
      <c r="L3" s="11" t="s">
        <v>53</v>
      </c>
      <c r="M3" s="9"/>
      <c r="N3" s="11">
        <f>INFORMACIÓN!W12</f>
        <v>0</v>
      </c>
      <c r="O3" s="9"/>
      <c r="P3" s="9"/>
      <c r="Q3" s="9"/>
      <c r="R3" s="9"/>
      <c r="S3" s="9"/>
      <c r="T3" s="9"/>
      <c r="U3" s="9"/>
      <c r="V3" s="9"/>
      <c r="W3" s="9"/>
      <c r="X3" s="10"/>
    </row>
    <row r="4" spans="2:26" ht="39.6" x14ac:dyDescent="0.3">
      <c r="B4" s="5" t="s">
        <v>31</v>
      </c>
      <c r="C4" s="5" t="s">
        <v>50</v>
      </c>
      <c r="D4" s="5" t="s">
        <v>32</v>
      </c>
      <c r="E4" s="12" t="s">
        <v>33</v>
      </c>
      <c r="F4" s="5" t="s">
        <v>39</v>
      </c>
      <c r="G4" s="5" t="s">
        <v>34</v>
      </c>
      <c r="H4" s="5" t="s">
        <v>35</v>
      </c>
      <c r="I4" s="5" t="s">
        <v>38</v>
      </c>
      <c r="J4" s="13" t="s">
        <v>46</v>
      </c>
      <c r="K4" s="5" t="s">
        <v>4</v>
      </c>
      <c r="L4" s="5" t="s">
        <v>3</v>
      </c>
      <c r="M4" s="5" t="s">
        <v>1</v>
      </c>
      <c r="N4" s="44"/>
    </row>
    <row r="5" spans="2:26" x14ac:dyDescent="0.3">
      <c r="B5" s="6">
        <f>MEDIDA!A8</f>
        <v>0</v>
      </c>
      <c r="C5" s="7">
        <f>(MEDIDA!F8+MEDIDA!G8)/2</f>
        <v>0</v>
      </c>
      <c r="D5" s="27">
        <f>PATRON!H$40/2</f>
        <v>5.5E-2</v>
      </c>
      <c r="E5" s="27">
        <f>PATRON!H$42/SQRT(3)</f>
        <v>0.28867513459481292</v>
      </c>
      <c r="F5" s="27">
        <v>0</v>
      </c>
      <c r="G5" s="8">
        <f>PATRON!H$44/SQRT(12)</f>
        <v>2.8867513459481291E-2</v>
      </c>
      <c r="H5" s="27">
        <f>ABS(MEDIDA!F8-MEDIDA!G8)/SQRT(12)</f>
        <v>0</v>
      </c>
      <c r="I5" s="7">
        <f>STDEV(MEDIDA!B8:E8)/SQRT(4)</f>
        <v>0</v>
      </c>
      <c r="J5" s="8">
        <f t="shared" ref="J5:J11" si="0">SQRT(SUMSQ(D5:I5))</f>
        <v>0.29528235075376025</v>
      </c>
      <c r="K5" s="28">
        <f>J5^4/(D5^4/$D$12+E5^4/$E$12+F5^4/$F$12+G5^4/$G$12+H5^4/$H$12+I5^4/$I$12)</f>
        <v>218.63877599366114</v>
      </c>
      <c r="L5" s="16">
        <f>TINV(0.0455,K5)</f>
        <v>2.0115350885008128</v>
      </c>
      <c r="M5" s="8">
        <f>J5*L5</f>
        <v>0.59397080955619319</v>
      </c>
      <c r="N5" t="str">
        <f>Redondeo!D3</f>
        <v>0,59</v>
      </c>
    </row>
    <row r="6" spans="2:26" x14ac:dyDescent="0.3">
      <c r="B6" s="6">
        <f>MEDIDA!A9</f>
        <v>100</v>
      </c>
      <c r="C6" s="7">
        <f ca="1">(MEDIDA!F9+MEDIDA!G9)/2</f>
        <v>99.186917182430278</v>
      </c>
      <c r="D6" s="27">
        <f>PATRON!H$40/2</f>
        <v>5.5E-2</v>
      </c>
      <c r="E6" s="27">
        <f>PATRON!H$42/SQRT(3)</f>
        <v>0.28867513459481292</v>
      </c>
      <c r="F6" s="27">
        <v>0</v>
      </c>
      <c r="G6" s="8">
        <f>PATRON!H$44/SQRT(12)</f>
        <v>2.8867513459481291E-2</v>
      </c>
      <c r="H6" s="27">
        <f ca="1">ABS(MEDIDA!F9-MEDIDA!G9)/SQRT(12)</f>
        <v>0.10791668559228752</v>
      </c>
      <c r="I6" s="7">
        <f ca="1">STDEV(MEDIDA!B9:E9)/SQRT(4)</f>
        <v>0.12991908380697562</v>
      </c>
      <c r="J6" s="8">
        <f t="shared" ca="1" si="0"/>
        <v>0.34017149503321892</v>
      </c>
      <c r="K6" s="28">
        <f t="shared" ref="K6:K11" ca="1" si="1">J6^4/(D6^4/$D$12+E6^4/$E$12+F6^4/$F$12+G6^4/$G$12+H6^4/$H$12+I6^4/$I$12)</f>
        <v>102.67398096832193</v>
      </c>
      <c r="L6" s="16">
        <f ca="1">TINV(0.0455,K6)</f>
        <v>2.0248093966729774</v>
      </c>
      <c r="M6" s="8">
        <f ca="1">J6*L6</f>
        <v>0.68878243962355679</v>
      </c>
      <c r="N6" s="17" t="str">
        <f ca="1">Redondeo!D43</f>
        <v>0,69</v>
      </c>
      <c r="O6" s="17"/>
    </row>
    <row r="7" spans="2:26" x14ac:dyDescent="0.3">
      <c r="B7" s="6">
        <f>MEDIDA!A10</f>
        <v>300</v>
      </c>
      <c r="C7" s="7">
        <f ca="1">(MEDIDA!F10+MEDIDA!G10)/2</f>
        <v>299.34637276597562</v>
      </c>
      <c r="D7" s="27">
        <f>PATRON!H$40/2</f>
        <v>5.5E-2</v>
      </c>
      <c r="E7" s="27">
        <f>PATRON!H$42/SQRT(3)</f>
        <v>0.28867513459481292</v>
      </c>
      <c r="F7" s="27">
        <v>0</v>
      </c>
      <c r="G7" s="8">
        <f>PATRON!H$44/SQRT(12)</f>
        <v>2.8867513459481291E-2</v>
      </c>
      <c r="H7" s="27">
        <f ca="1">ABS(MEDIDA!F10-MEDIDA!G10)/SQRT(12)</f>
        <v>0.10143594934557899</v>
      </c>
      <c r="I7" s="7">
        <f ca="1">STDEV(MEDIDA!B10:E10)/SQRT(4)</f>
        <v>0.20380591740791593</v>
      </c>
      <c r="J7" s="8">
        <f t="shared" ca="1" si="0"/>
        <v>0.3728508689232034</v>
      </c>
      <c r="K7" s="28">
        <f t="shared" ca="1" si="1"/>
        <v>31.660893126141964</v>
      </c>
      <c r="L7" s="16">
        <f t="shared" ref="L7:L11" ca="1" si="2">TINV(0.0455,K7)</f>
        <v>2.0839326715892601</v>
      </c>
      <c r="M7" s="8">
        <f t="shared" ref="M7:M11" ca="1" si="3">J7*L7</f>
        <v>0.77699610737950831</v>
      </c>
      <c r="N7" s="17" t="str">
        <f ca="1">Redondeo!D83</f>
        <v>0,78</v>
      </c>
      <c r="O7" s="17"/>
    </row>
    <row r="8" spans="2:26" x14ac:dyDescent="0.3">
      <c r="B8" s="6">
        <f>MEDIDA!A11</f>
        <v>400</v>
      </c>
      <c r="C8" s="7">
        <f ca="1">(MEDIDA!F11+MEDIDA!G11)/2</f>
        <v>399.03179578964256</v>
      </c>
      <c r="D8" s="27">
        <f>PATRON!H$40/2</f>
        <v>5.5E-2</v>
      </c>
      <c r="E8" s="27">
        <f>PATRON!H$42/SQRT(3)</f>
        <v>0.28867513459481292</v>
      </c>
      <c r="F8" s="27">
        <v>0</v>
      </c>
      <c r="G8" s="8">
        <f>PATRON!H$44/SQRT(12)</f>
        <v>2.8867513459481291E-2</v>
      </c>
      <c r="H8" s="27">
        <f ca="1">ABS(MEDIDA!F11-MEDIDA!G11)/SQRT(12)</f>
        <v>6.8828644555025575E-2</v>
      </c>
      <c r="I8" s="7">
        <f ca="1">STDEV(MEDIDA!B11:E11)/SQRT(4)</f>
        <v>9.3108996065971811E-2</v>
      </c>
      <c r="J8" s="8">
        <f t="shared" ca="1" si="0"/>
        <v>0.31717240442125777</v>
      </c>
      <c r="K8" s="28">
        <f t="shared" ca="1" si="1"/>
        <v>168.84766347187912</v>
      </c>
      <c r="L8" s="16">
        <f t="shared" ca="1" si="2"/>
        <v>2.0149925564011952</v>
      </c>
      <c r="M8" s="8">
        <f t="shared" ca="1" si="3"/>
        <v>0.63910003400470394</v>
      </c>
      <c r="N8" s="17" t="str">
        <f ca="1">Redondeo!D124</f>
        <v>0,64</v>
      </c>
      <c r="O8" s="17"/>
    </row>
    <row r="9" spans="2:26" x14ac:dyDescent="0.3">
      <c r="B9" s="6">
        <f>MEDIDA!A12</f>
        <v>500</v>
      </c>
      <c r="C9" s="7">
        <f ca="1">(MEDIDA!F12+MEDIDA!G12)/2</f>
        <v>499.12223719578384</v>
      </c>
      <c r="D9" s="27">
        <f>PATRON!H$40/2</f>
        <v>5.5E-2</v>
      </c>
      <c r="E9" s="27">
        <f>PATRON!H$42/SQRT(3)</f>
        <v>0.28867513459481292</v>
      </c>
      <c r="F9" s="27">
        <v>0</v>
      </c>
      <c r="G9" s="8">
        <f>PATRON!H$44/SQRT(12)</f>
        <v>2.8867513459481291E-2</v>
      </c>
      <c r="H9" s="27">
        <f ca="1">ABS(MEDIDA!F12-MEDIDA!G12)/SQRT(12)</f>
        <v>6.1212946671354143E-2</v>
      </c>
      <c r="I9" s="7">
        <f ca="1">STDEV(MEDIDA!B12:E12)/SQRT(4)</f>
        <v>0.10602393371580376</v>
      </c>
      <c r="J9" s="8">
        <f t="shared" ca="1" si="0"/>
        <v>0.31965569919435177</v>
      </c>
      <c r="K9" s="28">
        <f t="shared" ca="1" si="1"/>
        <v>135.66010291288694</v>
      </c>
      <c r="L9" s="16">
        <f t="shared" ca="1" si="2"/>
        <v>2.0186902282424946</v>
      </c>
      <c r="M9" s="8">
        <f t="shared" ca="1" si="3"/>
        <v>0.64528583636566017</v>
      </c>
      <c r="N9" s="17" t="str">
        <f ca="1">Redondeo!D204</f>
        <v>0,65</v>
      </c>
      <c r="O9" s="17"/>
    </row>
    <row r="10" spans="2:26" x14ac:dyDescent="0.3">
      <c r="B10" s="6">
        <f>MEDIDA!A13</f>
        <v>600</v>
      </c>
      <c r="C10" s="7">
        <f ca="1">(MEDIDA!F13+MEDIDA!G13)/2</f>
        <v>598.99168650486263</v>
      </c>
      <c r="D10" s="27">
        <f>PATRON!H$40/2</f>
        <v>5.5E-2</v>
      </c>
      <c r="E10" s="27">
        <f>PATRON!H$42/SQRT(3)</f>
        <v>0.28867513459481292</v>
      </c>
      <c r="F10" s="27">
        <v>0</v>
      </c>
      <c r="G10" s="8">
        <f>PATRON!H$44/SQRT(12)</f>
        <v>2.8867513459481291E-2</v>
      </c>
      <c r="H10" s="27">
        <f ca="1">ABS(MEDIDA!F13-MEDIDA!G13)/SQRT(12)</f>
        <v>7.9721099094075543E-3</v>
      </c>
      <c r="I10" s="7">
        <f ca="1">STDEV(MEDIDA!B13:E13)/SQRT(4)</f>
        <v>7.6407353618316132E-2</v>
      </c>
      <c r="J10" s="8">
        <f t="shared" ca="1" si="0"/>
        <v>0.30511195468225882</v>
      </c>
      <c r="K10" s="28">
        <f t="shared" ca="1" si="1"/>
        <v>187.85792279863935</v>
      </c>
      <c r="L10" s="16">
        <f t="shared" ca="1" si="2"/>
        <v>2.0134594871143632</v>
      </c>
      <c r="M10" s="8">
        <f t="shared" ca="1" si="3"/>
        <v>0.61433055978700168</v>
      </c>
      <c r="N10" s="17" t="str">
        <f ca="1">Redondeo!D244</f>
        <v>0,61</v>
      </c>
      <c r="O10" s="17"/>
    </row>
    <row r="11" spans="2:26" x14ac:dyDescent="0.3">
      <c r="B11" s="6">
        <f>MEDIDA!A14</f>
        <v>700</v>
      </c>
      <c r="C11" s="7">
        <f ca="1">(MEDIDA!F14+MEDIDA!G14)/2</f>
        <v>698.59271309204405</v>
      </c>
      <c r="D11" s="27">
        <f>PATRON!H$40/2</f>
        <v>5.5E-2</v>
      </c>
      <c r="E11" s="27">
        <f>PATRON!H$42/SQRT(3)</f>
        <v>0.28867513459481292</v>
      </c>
      <c r="F11" s="27">
        <v>0</v>
      </c>
      <c r="G11" s="8">
        <f>PATRON!H$44/SQRT(12)</f>
        <v>2.8867513459481291E-2</v>
      </c>
      <c r="H11" s="27">
        <f ca="1">ABS(MEDIDA!F14-MEDIDA!G14)/SQRT(12)</f>
        <v>3.8715253750265091E-2</v>
      </c>
      <c r="I11" s="7">
        <f ca="1">STDEV(MEDIDA!B14:E14)/SQRT(4)</f>
        <v>0.12054090560139002</v>
      </c>
      <c r="J11" s="8">
        <f t="shared" ca="1" si="0"/>
        <v>0.32127970284911767</v>
      </c>
      <c r="K11" s="28">
        <f t="shared" ca="1" si="1"/>
        <v>101.31958582176247</v>
      </c>
      <c r="L11" s="16">
        <f t="shared" ca="1" si="2"/>
        <v>2.0250580080424125</v>
      </c>
      <c r="M11" s="8">
        <f t="shared" ca="1" si="3"/>
        <v>0.65061003507609239</v>
      </c>
      <c r="N11" s="17" t="str">
        <f ca="1">Redondeo!D284</f>
        <v>0,65</v>
      </c>
      <c r="O11" s="17"/>
    </row>
    <row r="12" spans="2:26" x14ac:dyDescent="0.3">
      <c r="D12" s="14">
        <f>0.5*(100%-D13)^-2</f>
        <v>199.99999999999966</v>
      </c>
      <c r="E12" s="14">
        <f t="shared" ref="E12:H12" si="4">0.5*(100%-E13)^-2</f>
        <v>199.99999999999966</v>
      </c>
      <c r="F12" s="14">
        <f t="shared" si="4"/>
        <v>199.99999999999966</v>
      </c>
      <c r="G12" s="14">
        <f t="shared" si="4"/>
        <v>199.99999999999966</v>
      </c>
      <c r="H12" s="14">
        <f t="shared" si="4"/>
        <v>199.99999999999966</v>
      </c>
      <c r="I12" s="14">
        <v>3</v>
      </c>
      <c r="N12" s="17"/>
      <c r="O12" s="17"/>
    </row>
    <row r="13" spans="2:26" x14ac:dyDescent="0.3">
      <c r="D13" s="15">
        <v>0.95</v>
      </c>
      <c r="E13" s="15">
        <v>0.95</v>
      </c>
      <c r="F13" s="15">
        <v>0.95</v>
      </c>
      <c r="G13" s="15">
        <v>0.95</v>
      </c>
      <c r="H13" s="15">
        <v>0.95</v>
      </c>
      <c r="I13" s="15"/>
      <c r="N13" s="17"/>
      <c r="O13" s="17"/>
    </row>
    <row r="14" spans="2:26" x14ac:dyDescent="0.3">
      <c r="Y14" s="17"/>
      <c r="Z14" s="17"/>
    </row>
    <row r="15" spans="2:26" x14ac:dyDescent="0.3">
      <c r="Y15" s="17"/>
      <c r="Z15" s="17"/>
    </row>
    <row r="34" spans="19:25" x14ac:dyDescent="0.3">
      <c r="V34" s="3"/>
      <c r="W34" s="3"/>
      <c r="X34" s="3"/>
    </row>
    <row r="35" spans="19:25" x14ac:dyDescent="0.3">
      <c r="V35" s="3"/>
      <c r="W35" s="1"/>
      <c r="X35" s="1"/>
    </row>
    <row r="38" spans="19:25" x14ac:dyDescent="0.3">
      <c r="Y38" s="3"/>
    </row>
    <row r="39" spans="19:25" x14ac:dyDescent="0.3">
      <c r="Y39" s="1"/>
    </row>
    <row r="40" spans="19:25" x14ac:dyDescent="0.3">
      <c r="S40" s="2"/>
      <c r="T40" s="2"/>
      <c r="U40" s="2"/>
    </row>
    <row r="41" spans="19:25" x14ac:dyDescent="0.3">
      <c r="S41" s="1"/>
      <c r="T41" s="1"/>
      <c r="U41" s="1"/>
    </row>
    <row r="42" spans="19:25" x14ac:dyDescent="0.3">
      <c r="S42" s="1"/>
      <c r="T42" s="1"/>
      <c r="U42" s="1"/>
    </row>
    <row r="43" spans="19:25" x14ac:dyDescent="0.3">
      <c r="S43" s="1"/>
      <c r="T43" s="1"/>
      <c r="U43" s="1"/>
    </row>
    <row r="44" spans="19:25" x14ac:dyDescent="0.3">
      <c r="S44" s="1"/>
      <c r="T44" s="1"/>
      <c r="U44" s="1"/>
    </row>
    <row r="45" spans="19:25" x14ac:dyDescent="0.3">
      <c r="S45" s="1"/>
      <c r="T45" s="1"/>
      <c r="U45" s="1"/>
    </row>
    <row r="46" spans="19:25" x14ac:dyDescent="0.3">
      <c r="S46" s="1"/>
      <c r="T46" s="1"/>
      <c r="U46" s="1"/>
    </row>
    <row r="48" spans="19:25" x14ac:dyDescent="0.3">
      <c r="S48" s="1"/>
      <c r="T48" s="1"/>
      <c r="U48" s="1"/>
    </row>
    <row r="49" spans="19:21" x14ac:dyDescent="0.3">
      <c r="S49" s="1"/>
      <c r="T49" s="1"/>
      <c r="U49" s="1"/>
    </row>
    <row r="50" spans="19:21" x14ac:dyDescent="0.3">
      <c r="S50" s="1"/>
      <c r="T50" s="1"/>
      <c r="U50" s="1"/>
    </row>
    <row r="51" spans="19:21" x14ac:dyDescent="0.3">
      <c r="S51" s="1"/>
      <c r="T51" s="1"/>
      <c r="U51" s="1"/>
    </row>
    <row r="52" spans="19:21" x14ac:dyDescent="0.3">
      <c r="S52" s="1"/>
      <c r="T52" s="1"/>
      <c r="U52" s="1"/>
    </row>
    <row r="53" spans="19:21" x14ac:dyDescent="0.3">
      <c r="S53" s="1"/>
      <c r="T53" s="1"/>
      <c r="U53" s="1"/>
    </row>
  </sheetData>
  <mergeCells count="2">
    <mergeCell ref="E3:G3"/>
    <mergeCell ref="H3:J3"/>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T36"/>
  <sheetViews>
    <sheetView zoomScaleNormal="100" workbookViewId="0">
      <selection activeCell="R16" sqref="R16"/>
    </sheetView>
  </sheetViews>
  <sheetFormatPr baseColWidth="10" defaultColWidth="11.44140625" defaultRowHeight="14.4" x14ac:dyDescent="0.3"/>
  <cols>
    <col min="1" max="1" width="10.33203125" style="29" customWidth="1"/>
    <col min="2" max="2" width="7.109375" style="29" customWidth="1"/>
    <col min="3" max="4" width="6.5546875" style="29" customWidth="1"/>
    <col min="5" max="6" width="7.44140625" style="29" customWidth="1"/>
    <col min="7" max="8" width="7" style="29" customWidth="1"/>
    <col min="9" max="9" width="6.5546875" style="29" customWidth="1"/>
    <col min="10" max="10" width="7" style="29" customWidth="1"/>
    <col min="11" max="11" width="9.109375" style="29" customWidth="1"/>
    <col min="12" max="12" width="8.33203125" style="29" bestFit="1" customWidth="1"/>
    <col min="13" max="13" width="4.88671875" style="29" customWidth="1"/>
    <col min="14" max="14" width="9.6640625" style="29" customWidth="1"/>
    <col min="15" max="15" width="5.6640625" style="29" customWidth="1"/>
    <col min="16" max="16" width="8.5546875" style="29" customWidth="1"/>
    <col min="17" max="18" width="5.6640625" style="29" customWidth="1"/>
    <col min="19" max="16384" width="11.44140625" style="29"/>
  </cols>
  <sheetData>
    <row r="1" spans="1:19" customFormat="1" x14ac:dyDescent="0.3"/>
    <row r="2" spans="1:19" customFormat="1" x14ac:dyDescent="0.3">
      <c r="A2" s="31"/>
      <c r="B2" s="1"/>
      <c r="C2" s="1"/>
      <c r="D2" s="1"/>
      <c r="E2" s="31" t="s">
        <v>24</v>
      </c>
      <c r="F2" s="1"/>
      <c r="G2" s="1"/>
      <c r="H2" s="1"/>
      <c r="I2" s="1"/>
      <c r="J2" s="1"/>
      <c r="K2" s="1"/>
      <c r="L2" s="1"/>
      <c r="M2" s="1"/>
      <c r="N2" s="1"/>
    </row>
    <row r="3" spans="1:19" customFormat="1" x14ac:dyDescent="0.3">
      <c r="A3" s="31"/>
      <c r="B3" s="1"/>
      <c r="C3" s="1"/>
      <c r="D3" s="1"/>
      <c r="E3" s="1"/>
      <c r="F3" s="1"/>
      <c r="G3" s="31"/>
      <c r="H3" s="31"/>
    </row>
    <row r="4" spans="1:19" customFormat="1" x14ac:dyDescent="0.3">
      <c r="A4" s="66"/>
      <c r="B4" s="3"/>
      <c r="C4" s="3"/>
      <c r="D4" s="1"/>
      <c r="E4" s="1"/>
      <c r="F4" s="1"/>
      <c r="G4" s="1"/>
      <c r="H4" s="1"/>
      <c r="I4" s="1"/>
      <c r="J4" s="1"/>
      <c r="K4" s="1"/>
      <c r="L4" s="1"/>
      <c r="M4" s="1"/>
      <c r="N4" s="1"/>
      <c r="O4" s="1"/>
      <c r="P4" s="1"/>
      <c r="Q4" s="1"/>
      <c r="R4" s="1"/>
      <c r="S4" s="1"/>
    </row>
    <row r="5" spans="1:19" customFormat="1" x14ac:dyDescent="0.3">
      <c r="A5" s="66"/>
      <c r="B5" s="200" t="s">
        <v>49</v>
      </c>
      <c r="C5" s="200"/>
      <c r="D5" s="200"/>
      <c r="E5" s="200"/>
      <c r="F5" s="1"/>
      <c r="G5" s="1"/>
      <c r="H5" s="1"/>
      <c r="I5" s="1"/>
      <c r="J5" s="1"/>
      <c r="K5" s="1"/>
      <c r="L5" s="1"/>
      <c r="M5" s="1"/>
      <c r="N5" s="1"/>
      <c r="O5" s="1"/>
      <c r="P5" s="1"/>
      <c r="Q5" s="1"/>
      <c r="R5" s="1"/>
    </row>
    <row r="6" spans="1:19" customFormat="1" ht="22.95" customHeight="1" x14ac:dyDescent="0.3">
      <c r="A6" s="201" t="s">
        <v>137</v>
      </c>
      <c r="B6" s="205" t="s">
        <v>16</v>
      </c>
      <c r="C6" s="205"/>
      <c r="D6" s="205" t="s">
        <v>17</v>
      </c>
      <c r="E6" s="205"/>
      <c r="F6" s="203" t="s">
        <v>2</v>
      </c>
      <c r="G6" s="204"/>
      <c r="H6" s="203" t="s">
        <v>0</v>
      </c>
      <c r="I6" s="204"/>
      <c r="J6" s="203" t="s">
        <v>18</v>
      </c>
      <c r="K6" s="204"/>
      <c r="L6" s="38" t="s">
        <v>2</v>
      </c>
      <c r="M6" s="38" t="s">
        <v>0</v>
      </c>
      <c r="N6" s="1"/>
      <c r="O6" s="1"/>
      <c r="P6" s="1"/>
      <c r="Q6" s="1"/>
      <c r="R6" s="1"/>
    </row>
    <row r="7" spans="1:19" customFormat="1" x14ac:dyDescent="0.3">
      <c r="A7" s="202"/>
      <c r="B7" s="65" t="s">
        <v>19</v>
      </c>
      <c r="C7" s="65" t="s">
        <v>20</v>
      </c>
      <c r="D7" s="65" t="s">
        <v>19</v>
      </c>
      <c r="E7" s="65" t="s">
        <v>20</v>
      </c>
      <c r="F7" s="65" t="s">
        <v>19</v>
      </c>
      <c r="G7" s="65" t="s">
        <v>20</v>
      </c>
      <c r="H7" s="65" t="s">
        <v>19</v>
      </c>
      <c r="I7" s="65" t="s">
        <v>20</v>
      </c>
      <c r="J7" s="65" t="s">
        <v>21</v>
      </c>
      <c r="K7" s="65" t="s">
        <v>17</v>
      </c>
      <c r="L7" s="108"/>
      <c r="M7" s="108"/>
      <c r="N7" s="1"/>
    </row>
    <row r="8" spans="1:19" customFormat="1" ht="18" customHeight="1" x14ac:dyDescent="0.3">
      <c r="A8" s="35">
        <v>0</v>
      </c>
      <c r="B8" s="35">
        <v>0</v>
      </c>
      <c r="C8" s="35">
        <v>0</v>
      </c>
      <c r="D8" s="35">
        <v>0</v>
      </c>
      <c r="E8" s="35">
        <v>0</v>
      </c>
      <c r="F8" s="37">
        <f>IF(INFORMACIÓN!$W$15=PATRON!$Q$13,AVERAGE(#REF!,#REF!),AVERAGE(MEDIDA!B8,MEDIDA!D8))</f>
        <v>0</v>
      </c>
      <c r="G8" s="37">
        <f>IF(INFORMACIÓN!W15=PATRON!Q13,AVERAGE(#REF!,#REF!),AVERAGE(MEDIDA!C8,MEDIDA!E8))</f>
        <v>0</v>
      </c>
      <c r="H8" s="37">
        <f>A8-F8</f>
        <v>0</v>
      </c>
      <c r="I8" s="37">
        <f>A8-G8</f>
        <v>0</v>
      </c>
      <c r="J8" s="37">
        <v>0</v>
      </c>
      <c r="K8" s="37">
        <v>0</v>
      </c>
      <c r="L8" s="37">
        <f>AVERAGE(F8:G8)</f>
        <v>0</v>
      </c>
      <c r="M8" s="37">
        <f>AVERAGE(H8:I8)</f>
        <v>0</v>
      </c>
      <c r="N8" s="1"/>
    </row>
    <row r="9" spans="1:19" customFormat="1" x14ac:dyDescent="0.3">
      <c r="A9" s="35">
        <v>100</v>
      </c>
      <c r="B9" s="35">
        <f ca="1">ROUND(98 + RAND() * (102 - 98), 1)</f>
        <v>99</v>
      </c>
      <c r="C9" s="117">
        <f ca="1">B9+((RAND()*(0.6-0.1)+0.1)*RANDBETWEEN(-1,1))</f>
        <v>99.551028450112057</v>
      </c>
      <c r="D9" s="117">
        <f ca="1">B9+((RAND()*(0.6-0.1)+0.1)*RANDBETWEEN(-1,1))</f>
        <v>99</v>
      </c>
      <c r="E9" s="117">
        <f ca="1">B9+((RAND()*(0.6-0.1)+0.1)*RANDBETWEEN(-1,1))</f>
        <v>99.196640279609056</v>
      </c>
      <c r="F9" s="37">
        <f ca="1">AVERAGE(B9,D9)</f>
        <v>99</v>
      </c>
      <c r="G9" s="37">
        <f ca="1">AVERAGE(C9,E9)</f>
        <v>99.373834364860556</v>
      </c>
      <c r="H9" s="37">
        <f ca="1">A9-F9</f>
        <v>1</v>
      </c>
      <c r="I9" s="37">
        <f ca="1">A9-G9</f>
        <v>0.62616563513944357</v>
      </c>
      <c r="J9" s="37">
        <f ca="1">ABS(B9-C9)</f>
        <v>0.55102845011205659</v>
      </c>
      <c r="K9" s="37">
        <f ca="1">ABS(D9-E9)</f>
        <v>0.19664027960905628</v>
      </c>
      <c r="L9" s="37">
        <f ca="1">AVERAGE(F9:G9)</f>
        <v>99.186917182430278</v>
      </c>
      <c r="M9" s="37">
        <f ca="1">AVERAGE(H9:I9)</f>
        <v>0.81308281756972178</v>
      </c>
      <c r="N9" s="1"/>
    </row>
    <row r="10" spans="1:19" customFormat="1" x14ac:dyDescent="0.3">
      <c r="A10" s="35">
        <v>300</v>
      </c>
      <c r="B10" s="35">
        <f ca="1">G9 + (RAND() * 1.2 - 0.6)+200</f>
        <v>299.44665251609518</v>
      </c>
      <c r="C10" s="117">
        <f t="shared" ref="C10:C14" ca="1" si="0">B10+((RAND()*(0.6-0.1)+0.1)*RANDBETWEEN(-1,1))</f>
        <v>299.85571910685599</v>
      </c>
      <c r="D10" s="117">
        <f t="shared" ref="D10:D14" ca="1" si="1">B10+((RAND()*(0.6-0.1)+0.1)*RANDBETWEEN(-1,1))</f>
        <v>298.89470857989505</v>
      </c>
      <c r="E10" s="117">
        <f t="shared" ref="E10:E14" ca="1" si="2">B10+((RAND()*(0.6-0.1)+0.1)*RANDBETWEEN(-1,1))</f>
        <v>299.18841086105641</v>
      </c>
      <c r="F10" s="37">
        <f t="shared" ref="F10:F14" ca="1" si="3">AVERAGE(B10,D10)</f>
        <v>299.17068054799512</v>
      </c>
      <c r="G10" s="37">
        <f t="shared" ref="G10:G14" ca="1" si="4">AVERAGE(C10,E10)</f>
        <v>299.52206498395617</v>
      </c>
      <c r="H10" s="37">
        <f t="shared" ref="H10:H14" ca="1" si="5">A10-F10</f>
        <v>0.82931945200488144</v>
      </c>
      <c r="I10" s="37">
        <f t="shared" ref="I10:I14" ca="1" si="6">A10-G10</f>
        <v>0.47793501604382982</v>
      </c>
      <c r="J10" s="37">
        <f t="shared" ref="J10:J14" ca="1" si="7">ABS(B10-C10)</f>
        <v>0.40906659076080132</v>
      </c>
      <c r="K10" s="37">
        <f t="shared" ref="K10:K14" ca="1" si="8">ABS(D10-E10)</f>
        <v>0.29370228116135877</v>
      </c>
      <c r="L10" s="37">
        <f t="shared" ref="L10:L14" ca="1" si="9">AVERAGE(F10:G10)</f>
        <v>299.34637276597562</v>
      </c>
      <c r="M10" s="37">
        <f t="shared" ref="M10:M14" ca="1" si="10">AVERAGE(H10:I10)</f>
        <v>0.65362723402435563</v>
      </c>
      <c r="N10" s="1"/>
    </row>
    <row r="11" spans="1:19" customFormat="1" x14ac:dyDescent="0.3">
      <c r="A11" s="35">
        <v>400</v>
      </c>
      <c r="B11" s="35">
        <f ca="1">G10 + (RAND() * 1.2 - 0.6)+100</f>
        <v>399.28491258196334</v>
      </c>
      <c r="C11" s="117">
        <f t="shared" ca="1" si="0"/>
        <v>398.98782501162941</v>
      </c>
      <c r="D11" s="117">
        <f t="shared" ca="1" si="1"/>
        <v>399.01710841609253</v>
      </c>
      <c r="E11" s="117">
        <f t="shared" ca="1" si="2"/>
        <v>398.8373371488849</v>
      </c>
      <c r="F11" s="37">
        <f t="shared" ca="1" si="3"/>
        <v>399.15101049902796</v>
      </c>
      <c r="G11" s="37">
        <f t="shared" ca="1" si="4"/>
        <v>398.91258108025716</v>
      </c>
      <c r="H11" s="37">
        <f t="shared" ca="1" si="5"/>
        <v>0.84898950097203851</v>
      </c>
      <c r="I11" s="37">
        <f t="shared" ca="1" si="6"/>
        <v>1.087418919742845</v>
      </c>
      <c r="J11" s="37">
        <f t="shared" ca="1" si="7"/>
        <v>0.29708757033392885</v>
      </c>
      <c r="K11" s="37">
        <f t="shared" ca="1" si="8"/>
        <v>0.17977126720762726</v>
      </c>
      <c r="L11" s="37">
        <f t="shared" ca="1" si="9"/>
        <v>399.03179578964256</v>
      </c>
      <c r="M11" s="37">
        <f t="shared" ca="1" si="10"/>
        <v>0.96820421035744175</v>
      </c>
    </row>
    <row r="12" spans="1:19" customFormat="1" x14ac:dyDescent="0.3">
      <c r="A12" s="35">
        <v>500</v>
      </c>
      <c r="B12" s="35">
        <f ca="1">G11 + (RAND() * 1.2 - 0.6)+100</f>
        <v>499.22826112949963</v>
      </c>
      <c r="C12" s="117">
        <f t="shared" ca="1" si="0"/>
        <v>499.22826112949963</v>
      </c>
      <c r="D12" s="117">
        <f t="shared" ca="1" si="1"/>
        <v>499.22826112949963</v>
      </c>
      <c r="E12" s="117">
        <f t="shared" ca="1" si="2"/>
        <v>498.80416539463641</v>
      </c>
      <c r="F12" s="37">
        <f t="shared" ca="1" si="3"/>
        <v>499.22826112949963</v>
      </c>
      <c r="G12" s="37">
        <f t="shared" ca="1" si="4"/>
        <v>499.01621326206805</v>
      </c>
      <c r="H12" s="37">
        <f t="shared" ca="1" si="5"/>
        <v>0.77173887050037138</v>
      </c>
      <c r="I12" s="37">
        <f t="shared" ca="1" si="6"/>
        <v>0.98378673793195048</v>
      </c>
      <c r="J12" s="37">
        <f t="shared" ca="1" si="7"/>
        <v>0</v>
      </c>
      <c r="K12" s="37">
        <f t="shared" ca="1" si="8"/>
        <v>0.42409573486321506</v>
      </c>
      <c r="L12" s="37">
        <f t="shared" ca="1" si="9"/>
        <v>499.12223719578384</v>
      </c>
      <c r="M12" s="37">
        <f t="shared" ca="1" si="10"/>
        <v>0.87776280421616093</v>
      </c>
    </row>
    <row r="13" spans="1:19" customFormat="1" x14ac:dyDescent="0.3">
      <c r="A13" s="35">
        <v>600</v>
      </c>
      <c r="B13" s="35">
        <f ca="1">G12 + (RAND() * 1.2 - 0.6)+100</f>
        <v>599.12257930009002</v>
      </c>
      <c r="C13" s="117">
        <f t="shared" ca="1" si="0"/>
        <v>598.88840990844858</v>
      </c>
      <c r="D13" s="117">
        <f t="shared" ca="1" si="1"/>
        <v>598.83317751082222</v>
      </c>
      <c r="E13" s="117">
        <f t="shared" ca="1" si="2"/>
        <v>599.12257930009002</v>
      </c>
      <c r="F13" s="37">
        <f t="shared" ca="1" si="3"/>
        <v>598.97787840545607</v>
      </c>
      <c r="G13" s="37">
        <f t="shared" ca="1" si="4"/>
        <v>599.0054946042693</v>
      </c>
      <c r="H13" s="37">
        <f t="shared" ca="1" si="5"/>
        <v>1.0221215945439326</v>
      </c>
      <c r="I13" s="37">
        <f t="shared" ca="1" si="6"/>
        <v>0.99450539573069818</v>
      </c>
      <c r="J13" s="37">
        <f t="shared" ca="1" si="7"/>
        <v>0.23416939164144424</v>
      </c>
      <c r="K13" s="37">
        <f t="shared" ca="1" si="8"/>
        <v>0.28940178926779936</v>
      </c>
      <c r="L13" s="37">
        <f t="shared" ca="1" si="9"/>
        <v>598.99168650486263</v>
      </c>
      <c r="M13" s="37">
        <f t="shared" ca="1" si="10"/>
        <v>1.0083134951373154</v>
      </c>
    </row>
    <row r="14" spans="1:19" customFormat="1" ht="17.25" customHeight="1" x14ac:dyDescent="0.3">
      <c r="A14" s="35">
        <v>700</v>
      </c>
      <c r="B14" s="35">
        <f ca="1">G13 + (RAND() * 1.2 - 0.6)+100</f>
        <v>698.65976987856743</v>
      </c>
      <c r="C14" s="117">
        <f t="shared" ca="1" si="0"/>
        <v>698.24603614476405</v>
      </c>
      <c r="D14" s="117">
        <f t="shared" ca="1" si="1"/>
        <v>698.65976987856743</v>
      </c>
      <c r="E14" s="117">
        <f t="shared" ca="1" si="2"/>
        <v>698.80527646627718</v>
      </c>
      <c r="F14" s="37">
        <f t="shared" ca="1" si="3"/>
        <v>698.65976987856743</v>
      </c>
      <c r="G14" s="37">
        <f t="shared" ca="1" si="4"/>
        <v>698.52565630552067</v>
      </c>
      <c r="H14" s="37">
        <f t="shared" ca="1" si="5"/>
        <v>1.3402301214325689</v>
      </c>
      <c r="I14" s="37">
        <f t="shared" ca="1" si="6"/>
        <v>1.4743436944793302</v>
      </c>
      <c r="J14" s="37">
        <f t="shared" ca="1" si="7"/>
        <v>0.41373373380338307</v>
      </c>
      <c r="K14" s="37">
        <f t="shared" ca="1" si="8"/>
        <v>0.14550658770974678</v>
      </c>
      <c r="L14" s="37">
        <f t="shared" ca="1" si="9"/>
        <v>698.59271309204405</v>
      </c>
      <c r="M14" s="37">
        <f t="shared" ca="1" si="10"/>
        <v>1.4072869079559496</v>
      </c>
    </row>
    <row r="15" spans="1:19" customFormat="1" x14ac:dyDescent="0.3"/>
    <row r="16" spans="1:19" customFormat="1" x14ac:dyDescent="0.3">
      <c r="Q16" s="46"/>
      <c r="R16" s="46"/>
    </row>
    <row r="17" spans="16:20" x14ac:dyDescent="0.3">
      <c r="P17"/>
      <c r="Q17" s="46"/>
      <c r="R17" s="46"/>
      <c r="S17"/>
      <c r="T17"/>
    </row>
    <row r="18" spans="16:20" x14ac:dyDescent="0.3">
      <c r="P18"/>
      <c r="Q18" s="46"/>
      <c r="R18" s="46"/>
      <c r="S18"/>
      <c r="T18"/>
    </row>
    <row r="25" spans="16:20" x14ac:dyDescent="0.3">
      <c r="S25" s="30"/>
    </row>
    <row r="26" spans="16:20" x14ac:dyDescent="0.3">
      <c r="S26" s="30"/>
    </row>
    <row r="27" spans="16:20" x14ac:dyDescent="0.3">
      <c r="S27" s="30"/>
    </row>
    <row r="34" spans="18:18" x14ac:dyDescent="0.3">
      <c r="R34" s="30"/>
    </row>
    <row r="35" spans="18:18" x14ac:dyDescent="0.3">
      <c r="R35" s="30"/>
    </row>
    <row r="36" spans="18:18" x14ac:dyDescent="0.3">
      <c r="R36" s="30"/>
    </row>
  </sheetData>
  <mergeCells count="7">
    <mergeCell ref="B5:E5"/>
    <mergeCell ref="A6:A7"/>
    <mergeCell ref="J6:K6"/>
    <mergeCell ref="B6:C6"/>
    <mergeCell ref="D6:E6"/>
    <mergeCell ref="F6:G6"/>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9"/>
  <sheetViews>
    <sheetView topLeftCell="C28" workbookViewId="0">
      <selection activeCell="J51" sqref="J51"/>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13" t="s">
        <v>136</v>
      </c>
      <c r="D1" s="213"/>
      <c r="E1" s="213"/>
      <c r="F1" s="213"/>
      <c r="G1" s="213"/>
      <c r="H1" s="213"/>
      <c r="I1" s="213"/>
      <c r="J1" s="213"/>
      <c r="K1" s="213"/>
      <c r="L1" s="213"/>
      <c r="M1" s="213"/>
    </row>
    <row r="2" spans="2:17" x14ac:dyDescent="0.3">
      <c r="B2" s="107">
        <v>-9.5049999999999996E-14</v>
      </c>
      <c r="C2" t="s">
        <v>26</v>
      </c>
    </row>
    <row r="3" spans="2:17" x14ac:dyDescent="0.3">
      <c r="B3" s="107">
        <v>8.2704079999999999E-11</v>
      </c>
      <c r="C3" t="s">
        <v>27</v>
      </c>
      <c r="D3" t="s">
        <v>28</v>
      </c>
      <c r="E3" t="s">
        <v>29</v>
      </c>
      <c r="F3" t="s">
        <v>45</v>
      </c>
      <c r="G3" t="s">
        <v>40</v>
      </c>
      <c r="H3" t="s">
        <v>41</v>
      </c>
      <c r="I3" t="s">
        <v>42</v>
      </c>
      <c r="J3" t="s">
        <v>43</v>
      </c>
      <c r="K3" t="s">
        <v>44</v>
      </c>
    </row>
    <row r="4" spans="2:17" x14ac:dyDescent="0.3">
      <c r="B4" s="107">
        <v>2.6982967180000001E-8</v>
      </c>
      <c r="C4" s="23">
        <v>0</v>
      </c>
      <c r="D4" s="23">
        <v>0</v>
      </c>
      <c r="E4" s="106">
        <f t="shared" ref="E4:E10" si="0">C4-D4</f>
        <v>0</v>
      </c>
      <c r="F4" s="4">
        <f>B$2*D4^6-B$3*D4^5+B$4*D4^4-B$5*D4^3+B$6*D4^2-B$7*D4+B$8</f>
        <v>2.8701165899999999E-9</v>
      </c>
      <c r="G4" s="109">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9">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9">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9">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9">
        <f t="shared" si="1"/>
        <v>-3.2522689992875442E-5</v>
      </c>
      <c r="H8" s="21">
        <f t="shared" si="2"/>
        <v>1.0577253643726804E-9</v>
      </c>
      <c r="I8" s="21"/>
    </row>
    <row r="9" spans="2:17" x14ac:dyDescent="0.3">
      <c r="C9" s="23">
        <v>250.02</v>
      </c>
      <c r="D9" s="23">
        <v>250.44</v>
      </c>
      <c r="E9" s="106">
        <f t="shared" si="0"/>
        <v>-0.41999999999998749</v>
      </c>
      <c r="F9" s="4">
        <f t="shared" si="3"/>
        <v>-0.41987659242219078</v>
      </c>
      <c r="G9" s="109">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9">
        <f t="shared" si="1"/>
        <v>-3.6748126735774989E-4</v>
      </c>
      <c r="H10" s="21">
        <f t="shared" si="2"/>
        <v>1.3504248185885805E-7</v>
      </c>
      <c r="I10" s="21"/>
    </row>
    <row r="11" spans="2:17" x14ac:dyDescent="0.3">
      <c r="C11" s="23"/>
      <c r="D11" s="23"/>
      <c r="E11" s="34"/>
      <c r="F11" s="23"/>
      <c r="G11" s="23"/>
      <c r="H11" s="4"/>
      <c r="I11" s="39"/>
      <c r="J11" s="21"/>
      <c r="K11" s="21"/>
      <c r="N11" s="19" t="s">
        <v>47</v>
      </c>
      <c r="O11" s="22" t="s">
        <v>61</v>
      </c>
      <c r="P11" s="36" t="s">
        <v>61</v>
      </c>
      <c r="Q11" t="s">
        <v>56</v>
      </c>
    </row>
    <row r="12" spans="2:17" x14ac:dyDescent="0.3">
      <c r="C12" s="23"/>
      <c r="D12" s="23"/>
      <c r="E12" s="34"/>
      <c r="F12" s="23"/>
      <c r="G12" s="23"/>
      <c r="H12" s="4"/>
      <c r="I12" s="39"/>
      <c r="J12" s="21"/>
      <c r="K12" s="21"/>
      <c r="N12" s="20" t="s">
        <v>25</v>
      </c>
      <c r="O12" s="20" t="s">
        <v>54</v>
      </c>
      <c r="P12" t="s">
        <v>57</v>
      </c>
      <c r="Q12" t="s">
        <v>59</v>
      </c>
    </row>
    <row r="13" spans="2:17" x14ac:dyDescent="0.3">
      <c r="N13" s="20" t="s">
        <v>26</v>
      </c>
      <c r="O13" s="20" t="s">
        <v>55</v>
      </c>
      <c r="P13" t="s">
        <v>58</v>
      </c>
      <c r="Q13" t="s">
        <v>60</v>
      </c>
    </row>
    <row r="33" spans="3:14" x14ac:dyDescent="0.3">
      <c r="C33" s="214" t="s">
        <v>151</v>
      </c>
      <c r="D33" s="214"/>
      <c r="E33" s="214"/>
      <c r="F33" s="214"/>
      <c r="G33" s="214"/>
      <c r="H33" s="214"/>
      <c r="I33" s="214"/>
      <c r="J33" s="214"/>
      <c r="K33" s="214"/>
      <c r="L33" s="214"/>
      <c r="M33" s="214"/>
      <c r="N33" s="214"/>
    </row>
    <row r="34" spans="3:14" x14ac:dyDescent="0.3">
      <c r="C34" s="206" t="s">
        <v>152</v>
      </c>
      <c r="D34" s="206"/>
      <c r="E34" s="206"/>
      <c r="F34" s="206"/>
      <c r="G34" s="206"/>
      <c r="H34" s="208" t="s">
        <v>51</v>
      </c>
      <c r="I34" s="209"/>
      <c r="J34" s="209"/>
      <c r="K34" s="209"/>
      <c r="L34" s="209"/>
      <c r="M34" s="209"/>
      <c r="N34" s="210"/>
    </row>
    <row r="35" spans="3:14" x14ac:dyDescent="0.3">
      <c r="C35" s="206" t="s">
        <v>13</v>
      </c>
      <c r="D35" s="206"/>
      <c r="E35" s="206"/>
      <c r="F35" s="206"/>
      <c r="G35" s="206"/>
      <c r="H35" s="208" t="s">
        <v>153</v>
      </c>
      <c r="I35" s="209"/>
      <c r="J35" s="209"/>
      <c r="K35" s="209"/>
      <c r="L35" s="209"/>
      <c r="M35" s="209"/>
      <c r="N35" s="210"/>
    </row>
    <row r="36" spans="3:14" x14ac:dyDescent="0.3">
      <c r="C36" s="206" t="s">
        <v>11</v>
      </c>
      <c r="D36" s="206"/>
      <c r="E36" s="206"/>
      <c r="F36" s="206"/>
      <c r="G36" s="206"/>
      <c r="H36" s="208" t="s">
        <v>99</v>
      </c>
      <c r="I36" s="209"/>
      <c r="J36" s="209"/>
      <c r="K36" s="209"/>
      <c r="L36" s="209"/>
      <c r="M36" s="209"/>
      <c r="N36" s="210"/>
    </row>
    <row r="37" spans="3:14" x14ac:dyDescent="0.3">
      <c r="C37" s="206" t="s">
        <v>9</v>
      </c>
      <c r="D37" s="206"/>
      <c r="E37" s="206"/>
      <c r="F37" s="206"/>
      <c r="G37" s="206"/>
      <c r="H37" s="208" t="s">
        <v>98</v>
      </c>
      <c r="I37" s="209"/>
      <c r="J37" s="209"/>
      <c r="K37" s="209"/>
      <c r="L37" s="209"/>
      <c r="M37" s="209"/>
      <c r="N37" s="210"/>
    </row>
    <row r="38" spans="3:14" x14ac:dyDescent="0.3">
      <c r="C38" s="206" t="s">
        <v>15</v>
      </c>
      <c r="D38" s="206"/>
      <c r="E38" s="206"/>
      <c r="F38" s="206"/>
      <c r="G38" s="207"/>
      <c r="H38" s="212">
        <v>44971</v>
      </c>
      <c r="I38" s="212"/>
      <c r="J38" s="212"/>
      <c r="K38" s="212"/>
      <c r="L38" s="212"/>
      <c r="M38" s="212"/>
      <c r="N38" s="212"/>
    </row>
    <row r="39" spans="3:14" x14ac:dyDescent="0.3">
      <c r="C39" s="206" t="s">
        <v>154</v>
      </c>
      <c r="D39" s="206"/>
      <c r="E39" s="206"/>
      <c r="F39" s="206"/>
      <c r="G39" s="206"/>
      <c r="H39" s="211" t="s">
        <v>155</v>
      </c>
      <c r="I39" s="211"/>
      <c r="J39" s="211"/>
      <c r="K39" s="211"/>
      <c r="L39" s="211"/>
      <c r="M39" s="211"/>
      <c r="N39" s="211"/>
    </row>
    <row r="40" spans="3:14" x14ac:dyDescent="0.3">
      <c r="C40" s="206" t="s">
        <v>156</v>
      </c>
      <c r="D40" s="206"/>
      <c r="E40" s="206"/>
      <c r="F40" s="206"/>
      <c r="G40" s="206"/>
      <c r="H40" s="208">
        <v>0.11</v>
      </c>
      <c r="I40" s="209"/>
      <c r="J40" s="209"/>
      <c r="K40" s="209"/>
      <c r="L40" s="209"/>
      <c r="M40" s="209"/>
      <c r="N40" s="210"/>
    </row>
    <row r="41" spans="3:14" x14ac:dyDescent="0.3">
      <c r="C41" s="206" t="s">
        <v>157</v>
      </c>
      <c r="D41" s="206"/>
      <c r="E41" s="206"/>
      <c r="F41" s="206"/>
      <c r="G41" s="206"/>
      <c r="H41" s="208">
        <v>0.48</v>
      </c>
      <c r="I41" s="209"/>
      <c r="J41" s="209"/>
      <c r="K41" s="209"/>
      <c r="L41" s="209"/>
      <c r="M41" s="209"/>
      <c r="N41" s="210"/>
    </row>
    <row r="42" spans="3:14" x14ac:dyDescent="0.3">
      <c r="C42" s="206" t="s">
        <v>158</v>
      </c>
      <c r="D42" s="206"/>
      <c r="E42" s="206"/>
      <c r="F42" s="206"/>
      <c r="G42" s="207"/>
      <c r="H42" s="208">
        <v>0.5</v>
      </c>
      <c r="I42" s="209"/>
      <c r="J42" s="209"/>
      <c r="K42" s="209"/>
      <c r="L42" s="209"/>
      <c r="M42" s="209"/>
      <c r="N42" s="210"/>
    </row>
    <row r="43" spans="3:14" x14ac:dyDescent="0.3">
      <c r="C43" s="206" t="s">
        <v>159</v>
      </c>
      <c r="D43" s="206"/>
      <c r="E43" s="206"/>
      <c r="F43" s="206"/>
      <c r="G43" s="207"/>
      <c r="H43" s="208">
        <v>0</v>
      </c>
      <c r="I43" s="209"/>
      <c r="J43" s="209"/>
      <c r="K43" s="209"/>
      <c r="L43" s="209"/>
      <c r="M43" s="209"/>
      <c r="N43" s="210"/>
    </row>
    <row r="44" spans="3:14" x14ac:dyDescent="0.3">
      <c r="C44" s="206" t="s">
        <v>160</v>
      </c>
      <c r="D44" s="206"/>
      <c r="E44" s="206"/>
      <c r="F44" s="206"/>
      <c r="G44" s="207"/>
      <c r="H44" s="208">
        <v>0.1</v>
      </c>
      <c r="I44" s="209"/>
      <c r="J44" s="209"/>
      <c r="K44" s="209"/>
      <c r="L44" s="209"/>
      <c r="M44" s="209"/>
      <c r="N44" s="210"/>
    </row>
    <row r="45" spans="3:14" x14ac:dyDescent="0.3">
      <c r="C45" s="206" t="s">
        <v>161</v>
      </c>
      <c r="D45" s="206"/>
      <c r="E45" s="206"/>
      <c r="F45" s="206"/>
      <c r="G45" s="207"/>
      <c r="H45" s="208">
        <v>1</v>
      </c>
      <c r="I45" s="209"/>
      <c r="J45" s="209"/>
      <c r="K45" s="209"/>
      <c r="L45" s="209"/>
      <c r="M45" s="209"/>
      <c r="N45" s="210"/>
    </row>
    <row r="46" spans="3:14" x14ac:dyDescent="0.3">
      <c r="C46" s="206" t="s">
        <v>162</v>
      </c>
      <c r="D46" s="206"/>
      <c r="E46" s="206"/>
      <c r="F46" s="206"/>
      <c r="G46" s="207"/>
      <c r="H46" s="208">
        <v>2</v>
      </c>
      <c r="I46" s="209"/>
      <c r="J46" s="209"/>
      <c r="K46" s="209"/>
      <c r="L46" s="209"/>
      <c r="M46" s="209"/>
      <c r="N46" s="210"/>
    </row>
    <row r="66" spans="2:17" x14ac:dyDescent="0.3">
      <c r="N66" s="2"/>
      <c r="O66" s="2"/>
      <c r="P66" s="2"/>
      <c r="Q66" s="2"/>
    </row>
    <row r="67" spans="2:17" x14ac:dyDescent="0.3">
      <c r="N67" s="2"/>
      <c r="O67" s="2"/>
      <c r="P67" s="2"/>
      <c r="Q67" s="2"/>
    </row>
    <row r="68" spans="2:17" x14ac:dyDescent="0.3">
      <c r="B68" s="32"/>
      <c r="C68" s="32"/>
      <c r="D68" s="32"/>
      <c r="E68" s="26"/>
      <c r="F68" s="33"/>
      <c r="G68" s="33"/>
      <c r="N68" s="2"/>
      <c r="O68" s="2"/>
      <c r="P68" s="2"/>
      <c r="Q68" s="2"/>
    </row>
    <row r="69" spans="2:17" x14ac:dyDescent="0.3">
      <c r="N69" s="2"/>
      <c r="O69" s="2"/>
      <c r="P69" s="2"/>
      <c r="Q69" s="2"/>
    </row>
  </sheetData>
  <mergeCells count="28">
    <mergeCell ref="C1:M1"/>
    <mergeCell ref="C33:N33"/>
    <mergeCell ref="C34:G34"/>
    <mergeCell ref="H34:N34"/>
    <mergeCell ref="C35:G35"/>
    <mergeCell ref="H35:N35"/>
    <mergeCell ref="C36:G36"/>
    <mergeCell ref="H36:N36"/>
    <mergeCell ref="C37:G37"/>
    <mergeCell ref="H37:N37"/>
    <mergeCell ref="C38:G38"/>
    <mergeCell ref="H38:N38"/>
    <mergeCell ref="C39:G39"/>
    <mergeCell ref="H39:N39"/>
    <mergeCell ref="C40:G40"/>
    <mergeCell ref="H40:N40"/>
    <mergeCell ref="C41:G41"/>
    <mergeCell ref="H41:N41"/>
    <mergeCell ref="C45:G45"/>
    <mergeCell ref="H45:N45"/>
    <mergeCell ref="C46:G46"/>
    <mergeCell ref="H46:N46"/>
    <mergeCell ref="C42:G42"/>
    <mergeCell ref="H42:N42"/>
    <mergeCell ref="C43:G43"/>
    <mergeCell ref="H43:N43"/>
    <mergeCell ref="C44:G44"/>
    <mergeCell ref="H44:N44"/>
  </mergeCells>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D150"/>
  <sheetViews>
    <sheetView tabSelected="1" view="pageLayout" topLeftCell="A84" zoomScaleNormal="100" workbookViewId="0">
      <selection activeCell="S2" sqref="S2"/>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105"/>
      <c r="E1" s="105"/>
      <c r="F1" s="104"/>
      <c r="G1" s="103"/>
      <c r="H1" s="102"/>
      <c r="I1" s="164"/>
      <c r="J1" s="164"/>
      <c r="K1" s="164"/>
      <c r="M1" s="70"/>
      <c r="O1" s="148" t="s">
        <v>135</v>
      </c>
      <c r="P1" s="148"/>
      <c r="Q1" s="148"/>
      <c r="R1" s="149" t="str">
        <f>INFORMACIÓN!G3</f>
        <v>JD1743-24</v>
      </c>
      <c r="S1" s="149"/>
    </row>
    <row r="2" spans="1:30" ht="16.95" customHeight="1" x14ac:dyDescent="0.3">
      <c r="G2" s="166"/>
      <c r="H2" s="166"/>
      <c r="I2" s="166"/>
      <c r="J2" s="165"/>
      <c r="K2" s="165"/>
    </row>
    <row r="3" spans="1:30" ht="16.95" customHeight="1" x14ac:dyDescent="0.3">
      <c r="B3" s="101"/>
      <c r="C3" s="167" t="s">
        <v>134</v>
      </c>
      <c r="D3" s="167"/>
      <c r="E3" s="167"/>
      <c r="F3" s="167"/>
      <c r="G3" s="167"/>
      <c r="H3" s="167"/>
      <c r="I3" s="167"/>
      <c r="J3" s="167"/>
      <c r="K3" s="167"/>
      <c r="L3" s="167"/>
      <c r="M3" s="167"/>
      <c r="N3" s="167"/>
      <c r="O3" s="167"/>
      <c r="P3" s="167"/>
      <c r="Q3" s="167"/>
      <c r="R3" s="167"/>
    </row>
    <row r="4" spans="1:30" ht="16.95" customHeight="1" x14ac:dyDescent="0.3">
      <c r="A4" s="100"/>
      <c r="B4" s="100"/>
      <c r="C4" s="100"/>
      <c r="D4" s="100"/>
      <c r="E4" s="100"/>
      <c r="F4" s="100"/>
      <c r="G4" s="100"/>
      <c r="H4" s="100"/>
      <c r="I4" s="100"/>
      <c r="J4" s="100"/>
      <c r="K4" s="100"/>
      <c r="L4" s="100"/>
      <c r="M4" s="100"/>
      <c r="N4" s="100"/>
      <c r="O4" s="100"/>
      <c r="P4" s="100"/>
      <c r="Q4" s="100"/>
      <c r="R4" s="100"/>
    </row>
    <row r="5" spans="1:30" s="98" customFormat="1" ht="16.95" customHeight="1" x14ac:dyDescent="0.3">
      <c r="B5" s="68"/>
      <c r="C5" s="148" t="s">
        <v>133</v>
      </c>
      <c r="D5" s="148"/>
      <c r="E5" s="148"/>
      <c r="F5" s="148"/>
      <c r="G5" s="148"/>
      <c r="H5" s="71"/>
      <c r="I5" s="151" t="str">
        <f>INFORMACIÓN!A3</f>
        <v>TENSIOMETRO</v>
      </c>
      <c r="J5" s="151"/>
      <c r="K5" s="151"/>
      <c r="L5" s="151"/>
      <c r="M5" s="151"/>
      <c r="N5" s="151"/>
      <c r="O5" s="151"/>
      <c r="P5" s="151"/>
      <c r="Q5" s="151"/>
      <c r="R5" s="151"/>
      <c r="S5"/>
      <c r="T5"/>
      <c r="U5"/>
      <c r="V5"/>
      <c r="W5"/>
      <c r="X5"/>
      <c r="Y5"/>
      <c r="Z5"/>
      <c r="AA5"/>
      <c r="AB5"/>
      <c r="AC5"/>
      <c r="AD5"/>
    </row>
    <row r="6" spans="1:30" s="98" customFormat="1" ht="16.95" customHeight="1" x14ac:dyDescent="0.3">
      <c r="B6" s="68"/>
      <c r="C6" s="148" t="s">
        <v>132</v>
      </c>
      <c r="D6" s="148"/>
      <c r="E6" s="148"/>
      <c r="F6" s="148"/>
      <c r="G6" s="148"/>
      <c r="H6" s="71"/>
      <c r="I6" s="151" t="str">
        <f>INFORMACIÓN!B3</f>
        <v>HILLROM</v>
      </c>
      <c r="J6" s="151"/>
      <c r="K6" s="151"/>
      <c r="L6" s="151"/>
      <c r="M6" s="151"/>
      <c r="N6" s="151"/>
      <c r="O6" s="151"/>
      <c r="P6" s="151"/>
      <c r="Q6" s="151"/>
      <c r="R6" s="151"/>
      <c r="S6"/>
      <c r="T6"/>
      <c r="U6"/>
      <c r="V6"/>
      <c r="W6"/>
      <c r="X6"/>
      <c r="Y6"/>
      <c r="Z6"/>
      <c r="AA6"/>
      <c r="AB6"/>
      <c r="AC6"/>
      <c r="AD6"/>
    </row>
    <row r="7" spans="1:30" s="98" customFormat="1" ht="16.95" customHeight="1" x14ac:dyDescent="0.3">
      <c r="B7" s="68"/>
      <c r="C7" s="148" t="s">
        <v>131</v>
      </c>
      <c r="D7" s="148"/>
      <c r="E7" s="148"/>
      <c r="F7" s="148"/>
      <c r="G7" s="148"/>
      <c r="H7" s="71"/>
      <c r="I7" s="151" t="str">
        <f>INFORMACIÓN!C3</f>
        <v>7670-01</v>
      </c>
      <c r="J7" s="151"/>
      <c r="K7" s="151"/>
      <c r="L7" s="151"/>
      <c r="M7" s="151"/>
      <c r="N7" s="151"/>
      <c r="O7" s="151"/>
      <c r="P7" s="151"/>
      <c r="Q7" s="151"/>
      <c r="R7" s="151"/>
      <c r="S7"/>
      <c r="T7"/>
      <c r="U7"/>
      <c r="V7"/>
      <c r="W7"/>
      <c r="X7"/>
      <c r="Y7"/>
      <c r="Z7"/>
      <c r="AA7"/>
      <c r="AB7"/>
      <c r="AC7"/>
      <c r="AD7"/>
    </row>
    <row r="8" spans="1:30" s="98" customFormat="1" ht="16.95" customHeight="1" x14ac:dyDescent="0.3">
      <c r="B8" s="68"/>
      <c r="C8" s="148" t="s">
        <v>130</v>
      </c>
      <c r="D8" s="148"/>
      <c r="E8" s="148"/>
      <c r="F8" s="148"/>
      <c r="G8" s="148"/>
      <c r="H8" s="71"/>
      <c r="I8" s="152" t="str">
        <f>INFORMACIÓN!D3</f>
        <v>220907150040</v>
      </c>
      <c r="J8" s="152"/>
      <c r="K8" s="152"/>
      <c r="L8" s="152"/>
      <c r="M8" s="152"/>
      <c r="N8" s="152"/>
      <c r="O8" s="152"/>
      <c r="P8" s="152"/>
      <c r="Q8" s="152"/>
      <c r="R8" s="152"/>
      <c r="S8"/>
      <c r="T8"/>
      <c r="U8"/>
      <c r="V8"/>
      <c r="W8"/>
      <c r="X8"/>
      <c r="Y8"/>
      <c r="Z8"/>
      <c r="AA8"/>
      <c r="AB8"/>
      <c r="AC8"/>
      <c r="AD8"/>
    </row>
    <row r="9" spans="1:30" s="98" customFormat="1" ht="16.95" customHeight="1" x14ac:dyDescent="0.3">
      <c r="B9" s="68"/>
      <c r="C9" s="148" t="s">
        <v>129</v>
      </c>
      <c r="D9" s="148"/>
      <c r="E9" s="148"/>
      <c r="F9" s="148"/>
      <c r="G9" s="148"/>
      <c r="H9" s="71"/>
      <c r="I9" s="168" t="str">
        <f>INFORMACIÓN!F3</f>
        <v>0401005309</v>
      </c>
      <c r="J9" s="151"/>
      <c r="K9" s="151"/>
      <c r="L9" s="151"/>
      <c r="M9" s="151"/>
      <c r="N9" s="151"/>
      <c r="O9" s="151"/>
      <c r="P9" s="151"/>
      <c r="Q9" s="151"/>
      <c r="R9" s="151"/>
      <c r="S9"/>
      <c r="T9"/>
      <c r="U9"/>
      <c r="V9"/>
      <c r="W9"/>
      <c r="X9"/>
      <c r="Y9"/>
      <c r="Z9"/>
      <c r="AA9"/>
      <c r="AB9"/>
      <c r="AC9"/>
      <c r="AD9"/>
    </row>
    <row r="10" spans="1:30" s="98" customFormat="1" ht="16.95" customHeight="1" x14ac:dyDescent="0.3">
      <c r="B10" s="68"/>
      <c r="C10" s="148" t="s">
        <v>128</v>
      </c>
      <c r="D10" s="148"/>
      <c r="E10" s="148"/>
      <c r="F10" s="148"/>
      <c r="G10" s="148"/>
      <c r="H10" s="71"/>
      <c r="I10" s="152" t="str">
        <f>INFORMACIÓN!E3</f>
        <v>CONSULTA EXTERNA</v>
      </c>
      <c r="J10" s="151"/>
      <c r="K10" s="151"/>
      <c r="L10" s="151"/>
      <c r="M10" s="151"/>
      <c r="N10" s="151"/>
      <c r="O10" s="151"/>
      <c r="P10" s="151"/>
      <c r="Q10" s="151"/>
      <c r="R10" s="151"/>
      <c r="S10"/>
      <c r="T10"/>
      <c r="U10"/>
      <c r="V10"/>
      <c r="W10"/>
      <c r="X10"/>
      <c r="Y10"/>
      <c r="Z10"/>
      <c r="AA10"/>
      <c r="AB10"/>
      <c r="AC10"/>
      <c r="AD10"/>
    </row>
    <row r="11" spans="1:30" s="98" customFormat="1" ht="16.95" customHeight="1" x14ac:dyDescent="0.3">
      <c r="B11" s="68"/>
      <c r="C11" s="148" t="s">
        <v>127</v>
      </c>
      <c r="D11" s="148"/>
      <c r="E11" s="148"/>
      <c r="F11" s="148"/>
      <c r="G11" s="148"/>
      <c r="H11" s="71"/>
      <c r="I11" s="151" t="str">
        <f>INFORMACIÓN!B8</f>
        <v>BUEN ESTADO</v>
      </c>
      <c r="J11" s="151"/>
      <c r="K11" s="151"/>
      <c r="L11" s="151"/>
      <c r="M11" s="151"/>
      <c r="N11" s="151"/>
      <c r="O11" s="151"/>
      <c r="P11" s="151"/>
      <c r="Q11" s="151"/>
      <c r="R11" s="151"/>
      <c r="S11"/>
      <c r="T11"/>
      <c r="U11"/>
      <c r="V11"/>
      <c r="W11"/>
      <c r="X11"/>
      <c r="Y11"/>
      <c r="Z11"/>
      <c r="AA11"/>
      <c r="AB11"/>
      <c r="AC11"/>
      <c r="AD11"/>
    </row>
    <row r="12" spans="1:30" s="98" customFormat="1" ht="16.95" customHeight="1" x14ac:dyDescent="0.3">
      <c r="B12" s="68"/>
      <c r="C12" s="148" t="s">
        <v>126</v>
      </c>
      <c r="D12" s="148"/>
      <c r="E12" s="148"/>
      <c r="F12" s="148"/>
      <c r="G12" s="148"/>
      <c r="H12" s="99"/>
      <c r="I12" s="154">
        <f>INFORMACIÓN!H3</f>
        <v>45465</v>
      </c>
      <c r="J12" s="154"/>
      <c r="K12" s="154"/>
      <c r="L12" s="154"/>
      <c r="M12" s="154"/>
      <c r="N12" s="154"/>
      <c r="O12" s="154"/>
      <c r="P12" s="154"/>
      <c r="Q12" s="154"/>
      <c r="R12" s="154"/>
      <c r="S12"/>
      <c r="T12"/>
      <c r="U12"/>
      <c r="V12"/>
      <c r="W12"/>
      <c r="X12"/>
      <c r="Y12"/>
      <c r="Z12"/>
      <c r="AA12"/>
      <c r="AB12"/>
      <c r="AC12"/>
      <c r="AD12"/>
    </row>
    <row r="13" spans="1:30" s="98" customFormat="1" ht="16.95" customHeight="1" x14ac:dyDescent="0.3">
      <c r="B13" s="68"/>
      <c r="C13" s="148" t="s">
        <v>125</v>
      </c>
      <c r="D13" s="148"/>
      <c r="E13" s="148"/>
      <c r="F13" s="148"/>
      <c r="G13" s="148"/>
      <c r="H13" s="99"/>
      <c r="I13" s="154">
        <f>INFORMACIÓN!B9</f>
        <v>45465</v>
      </c>
      <c r="J13" s="154"/>
      <c r="K13" s="154"/>
      <c r="L13" s="154"/>
      <c r="M13" s="154"/>
      <c r="N13" s="154"/>
      <c r="O13" s="154"/>
      <c r="P13" s="154"/>
      <c r="Q13" s="154"/>
      <c r="R13" s="154"/>
      <c r="S13"/>
      <c r="T13"/>
      <c r="U13"/>
      <c r="V13"/>
      <c r="W13"/>
      <c r="X13"/>
      <c r="Y13"/>
      <c r="Z13"/>
      <c r="AA13"/>
      <c r="AB13"/>
      <c r="AC13"/>
      <c r="AD13"/>
    </row>
    <row r="14" spans="1:30" ht="16.95" customHeight="1" x14ac:dyDescent="0.3"/>
    <row r="15" spans="1:30" ht="16.95" customHeight="1" x14ac:dyDescent="0.3">
      <c r="B15" s="70"/>
      <c r="C15" s="147" t="s">
        <v>124</v>
      </c>
      <c r="D15" s="147"/>
      <c r="E15" s="147"/>
      <c r="F15" s="147"/>
      <c r="G15" s="147"/>
      <c r="H15" s="147"/>
      <c r="I15" s="147"/>
      <c r="J15" s="147"/>
      <c r="K15" s="147"/>
      <c r="L15" s="147"/>
      <c r="M15" s="147"/>
      <c r="N15" s="147"/>
      <c r="O15" s="147"/>
      <c r="P15" s="147"/>
      <c r="Q15" s="147"/>
      <c r="R15" s="147"/>
    </row>
    <row r="16" spans="1:30" ht="16.95" customHeight="1" x14ac:dyDescent="0.3"/>
    <row r="17" spans="1:18" ht="16.95" customHeight="1" x14ac:dyDescent="0.3">
      <c r="B17" s="67"/>
      <c r="C17" s="153" t="s">
        <v>123</v>
      </c>
      <c r="D17" s="153"/>
      <c r="E17" s="153"/>
      <c r="F17" s="153"/>
      <c r="G17" s="153"/>
      <c r="H17" s="69"/>
      <c r="I17" s="155" t="str">
        <f>INFORMACIÓN!E7</f>
        <v xml:space="preserve">HOSPITAL DE ALTA COMPLEJIDAD DEL MAGDALENA CENTRO </v>
      </c>
      <c r="J17" s="155"/>
      <c r="K17" s="155"/>
      <c r="L17" s="155"/>
      <c r="M17" s="155"/>
      <c r="N17" s="155"/>
      <c r="O17" s="155"/>
      <c r="P17" s="155"/>
      <c r="Q17" s="155"/>
      <c r="R17" s="155"/>
    </row>
    <row r="18" spans="1:18" ht="16.95" customHeight="1" x14ac:dyDescent="0.3">
      <c r="B18" s="67"/>
      <c r="C18" s="153" t="s">
        <v>122</v>
      </c>
      <c r="D18" s="153"/>
      <c r="E18" s="153"/>
      <c r="F18" s="153"/>
      <c r="G18" s="153"/>
      <c r="H18" s="69"/>
      <c r="I18" s="155" t="str">
        <f>INFORMACIÓN!E8</f>
        <v>901.532.463-8</v>
      </c>
      <c r="J18" s="155"/>
      <c r="K18" s="155"/>
      <c r="L18" s="155"/>
      <c r="M18" s="155"/>
      <c r="N18" s="155"/>
      <c r="O18" s="155"/>
      <c r="P18" s="155"/>
      <c r="Q18" s="155"/>
      <c r="R18" s="155"/>
    </row>
    <row r="19" spans="1:18" ht="16.95" customHeight="1" x14ac:dyDescent="0.3">
      <c r="B19" s="67"/>
      <c r="C19" s="153" t="s">
        <v>121</v>
      </c>
      <c r="D19" s="153"/>
      <c r="E19" s="153"/>
      <c r="F19" s="153"/>
      <c r="G19" s="153"/>
      <c r="H19" s="69"/>
      <c r="I19" s="155">
        <f>INFORMACIÓN!E9</f>
        <v>3007835072</v>
      </c>
      <c r="J19" s="155"/>
      <c r="K19" s="155"/>
      <c r="L19" s="155"/>
      <c r="M19" s="155"/>
      <c r="N19" s="155"/>
      <c r="O19" s="155"/>
      <c r="P19" s="155"/>
      <c r="Q19" s="155"/>
      <c r="R19" s="155"/>
    </row>
    <row r="20" spans="1:18" ht="16.95" customHeight="1" x14ac:dyDescent="0.3">
      <c r="B20" s="67"/>
      <c r="C20" s="153" t="s">
        <v>120</v>
      </c>
      <c r="D20" s="153"/>
      <c r="E20" s="153"/>
      <c r="F20" s="153"/>
      <c r="G20" s="153"/>
      <c r="H20" s="69"/>
      <c r="I20" s="155" t="str">
        <f>INFORMACIÓN!E10</f>
        <v>CARRERA 15 ENTRE CALLE 18 y 19</v>
      </c>
      <c r="J20" s="155"/>
      <c r="K20" s="155"/>
      <c r="L20" s="155"/>
      <c r="M20" s="155"/>
      <c r="N20" s="155"/>
      <c r="O20" s="155"/>
      <c r="P20" s="155"/>
      <c r="Q20" s="155"/>
      <c r="R20" s="155"/>
    </row>
    <row r="21" spans="1:18" ht="16.95" customHeight="1" x14ac:dyDescent="0.3">
      <c r="B21" s="67"/>
      <c r="C21" s="153" t="s">
        <v>119</v>
      </c>
      <c r="D21" s="153"/>
      <c r="E21" s="153"/>
      <c r="F21" s="153"/>
      <c r="G21" s="153"/>
      <c r="H21" s="69"/>
      <c r="I21" s="155" t="str">
        <f>INFORMACIÓN!E11</f>
        <v>LA DORADA - CALDAS</v>
      </c>
      <c r="J21" s="155"/>
      <c r="K21" s="155"/>
      <c r="L21" s="155"/>
      <c r="M21" s="155"/>
      <c r="N21" s="155"/>
      <c r="O21" s="155"/>
      <c r="P21" s="155"/>
      <c r="Q21" s="155"/>
      <c r="R21" s="155"/>
    </row>
    <row r="22" spans="1:18" ht="16.95" customHeight="1" x14ac:dyDescent="0.3">
      <c r="A22" s="69"/>
      <c r="B22" s="69"/>
      <c r="C22" s="69"/>
      <c r="D22" s="69"/>
      <c r="E22" s="69"/>
      <c r="F22" s="69"/>
      <c r="G22" s="69"/>
      <c r="H22" s="69"/>
      <c r="I22" s="69"/>
      <c r="J22" s="69"/>
      <c r="K22" s="69"/>
      <c r="L22" s="69"/>
      <c r="M22" s="69"/>
      <c r="N22" s="69"/>
      <c r="O22" s="69"/>
      <c r="P22" s="69"/>
      <c r="Q22" s="69"/>
      <c r="R22" s="69"/>
    </row>
    <row r="23" spans="1:18" ht="16.95" customHeight="1" x14ac:dyDescent="0.3">
      <c r="B23" s="76"/>
      <c r="C23" s="169" t="s">
        <v>201</v>
      </c>
      <c r="D23" s="169"/>
      <c r="E23" s="169"/>
      <c r="F23" s="169"/>
      <c r="G23" s="169"/>
      <c r="H23" s="169"/>
      <c r="I23" s="169"/>
      <c r="J23" s="169"/>
      <c r="K23" s="169"/>
      <c r="L23" s="169"/>
      <c r="M23" s="169"/>
      <c r="N23" s="169"/>
      <c r="O23" s="169"/>
      <c r="P23" s="169"/>
      <c r="Q23" s="169"/>
      <c r="R23" s="169"/>
    </row>
    <row r="24" spans="1:18" ht="16.95" customHeight="1" x14ac:dyDescent="0.3">
      <c r="A24" s="76"/>
      <c r="B24" s="76"/>
      <c r="C24" s="170"/>
      <c r="D24" s="170"/>
      <c r="E24" s="170"/>
      <c r="F24" s="170"/>
      <c r="G24" s="170"/>
      <c r="H24" s="170"/>
      <c r="I24" s="170"/>
      <c r="J24" s="170"/>
      <c r="K24" s="170"/>
      <c r="L24" s="170"/>
      <c r="M24" s="170"/>
      <c r="N24" s="170"/>
      <c r="O24" s="170"/>
      <c r="P24" s="170"/>
      <c r="Q24" s="170"/>
      <c r="R24" s="170"/>
    </row>
    <row r="25" spans="1:18" ht="16.95" customHeight="1" x14ac:dyDescent="0.3">
      <c r="A25" s="76"/>
      <c r="B25" s="76"/>
      <c r="C25" s="170"/>
      <c r="D25" s="170"/>
      <c r="E25" s="170"/>
      <c r="F25" s="170"/>
      <c r="G25" s="170"/>
      <c r="H25" s="170"/>
      <c r="I25" s="170"/>
      <c r="J25" s="170"/>
      <c r="K25" s="170"/>
      <c r="L25" s="170"/>
      <c r="M25" s="170"/>
      <c r="N25" s="170"/>
      <c r="O25" s="170"/>
      <c r="P25" s="170"/>
      <c r="Q25" s="170"/>
      <c r="R25" s="170"/>
    </row>
    <row r="26" spans="1:18" ht="16.95" customHeight="1" x14ac:dyDescent="0.3">
      <c r="A26" s="76"/>
      <c r="B26" s="76"/>
      <c r="C26" s="170"/>
      <c r="D26" s="170"/>
      <c r="E26" s="170"/>
      <c r="F26" s="170"/>
      <c r="G26" s="170"/>
      <c r="H26" s="170"/>
      <c r="I26" s="170"/>
      <c r="J26" s="170"/>
      <c r="K26" s="170"/>
      <c r="L26" s="170"/>
      <c r="M26" s="170"/>
      <c r="N26" s="170"/>
      <c r="O26" s="170"/>
      <c r="P26" s="170"/>
      <c r="Q26" s="170"/>
      <c r="R26" s="170"/>
    </row>
    <row r="27" spans="1:18" ht="16.95" customHeight="1" x14ac:dyDescent="0.3">
      <c r="A27" s="76"/>
      <c r="B27" s="76"/>
      <c r="C27" s="170"/>
      <c r="D27" s="170"/>
      <c r="E27" s="170"/>
      <c r="F27" s="170"/>
      <c r="G27" s="170"/>
      <c r="H27" s="170"/>
      <c r="I27" s="170"/>
      <c r="J27" s="170"/>
      <c r="K27" s="170"/>
      <c r="L27" s="170"/>
      <c r="M27" s="170"/>
      <c r="N27" s="170"/>
      <c r="O27" s="170"/>
      <c r="P27" s="170"/>
      <c r="Q27" s="170"/>
      <c r="R27" s="170"/>
    </row>
    <row r="28" spans="1:18" ht="16.95" customHeight="1" x14ac:dyDescent="0.3">
      <c r="A28" s="76"/>
      <c r="B28" s="76"/>
      <c r="C28" s="171"/>
      <c r="D28" s="171"/>
      <c r="E28" s="171"/>
      <c r="F28" s="171"/>
      <c r="G28" s="171"/>
      <c r="H28" s="171"/>
      <c r="I28" s="171"/>
      <c r="J28" s="171"/>
      <c r="K28" s="171"/>
      <c r="L28" s="171"/>
      <c r="M28" s="171"/>
      <c r="N28" s="171"/>
      <c r="O28" s="171"/>
      <c r="P28" s="171"/>
      <c r="Q28" s="171"/>
      <c r="R28" s="171"/>
    </row>
    <row r="29" spans="1:18" ht="16.95" customHeight="1" x14ac:dyDescent="0.3">
      <c r="A29" s="76"/>
      <c r="B29" s="76"/>
      <c r="C29" s="97"/>
      <c r="D29" s="97"/>
      <c r="E29" s="97"/>
      <c r="F29" s="97"/>
      <c r="G29" s="97"/>
      <c r="H29" s="97"/>
      <c r="I29" s="97"/>
      <c r="J29" s="97"/>
      <c r="K29" s="97"/>
      <c r="L29" s="97"/>
      <c r="M29" s="97"/>
      <c r="N29" s="97"/>
      <c r="O29" s="97"/>
      <c r="P29" s="97"/>
      <c r="Q29" s="97"/>
      <c r="R29" s="97"/>
    </row>
    <row r="30" spans="1:18" ht="16.95" customHeight="1" x14ac:dyDescent="0.3">
      <c r="A30" s="76"/>
      <c r="B30" s="76"/>
      <c r="C30" s="96"/>
      <c r="D30" s="96"/>
      <c r="E30" s="96"/>
      <c r="F30" s="96"/>
      <c r="G30" s="96"/>
      <c r="H30" s="96"/>
      <c r="I30" s="96"/>
      <c r="J30" s="96"/>
      <c r="K30" s="96"/>
      <c r="L30" s="96"/>
      <c r="M30" s="96"/>
      <c r="N30" s="96"/>
      <c r="O30" s="96"/>
      <c r="P30" s="96"/>
      <c r="Q30" s="96"/>
      <c r="R30" s="96"/>
    </row>
    <row r="31" spans="1:18" ht="16.95" customHeight="1" x14ac:dyDescent="0.3">
      <c r="B31" s="69"/>
      <c r="C31" s="67" t="s">
        <v>96</v>
      </c>
      <c r="D31" s="69"/>
      <c r="H31" s="67"/>
      <c r="I31" s="153" t="s">
        <v>118</v>
      </c>
      <c r="J31" s="153"/>
      <c r="K31" s="153"/>
      <c r="L31" s="153"/>
      <c r="M31" s="155" t="str">
        <f>INFORMACIÓN!B15</f>
        <v>ING. GABRIEL DURÁN</v>
      </c>
      <c r="N31" s="155"/>
      <c r="O31" s="155"/>
      <c r="P31" s="155"/>
      <c r="Q31" s="155"/>
      <c r="R31" s="155"/>
    </row>
    <row r="32" spans="1:18" ht="16.95" customHeight="1" x14ac:dyDescent="0.3">
      <c r="F32" s="67"/>
      <c r="G32" s="67"/>
      <c r="H32" s="67"/>
      <c r="I32" s="153" t="s">
        <v>117</v>
      </c>
      <c r="J32" s="153"/>
      <c r="K32" s="153"/>
      <c r="L32" s="153"/>
      <c r="M32" s="185">
        <f>INFORMACIÓN!B10</f>
        <v>45465</v>
      </c>
      <c r="N32" s="185"/>
      <c r="O32" s="185"/>
      <c r="P32" s="92"/>
      <c r="Q32" s="92"/>
      <c r="R32" s="67"/>
    </row>
    <row r="33" spans="1:19" ht="16.95" customHeight="1" x14ac:dyDescent="0.3">
      <c r="I33" s="153" t="s">
        <v>116</v>
      </c>
      <c r="J33" s="153"/>
      <c r="K33" s="153"/>
      <c r="L33" s="153"/>
      <c r="M33" s="95">
        <v>3</v>
      </c>
      <c r="N33" s="69"/>
      <c r="O33" s="69"/>
      <c r="P33" s="69"/>
      <c r="Q33" s="69"/>
      <c r="R33" s="92"/>
    </row>
    <row r="34" spans="1:19" ht="16.95" customHeight="1" x14ac:dyDescent="0.3"/>
    <row r="35" spans="1:19" ht="16.95" customHeight="1" x14ac:dyDescent="0.3">
      <c r="C35" s="94"/>
      <c r="D35" s="94"/>
      <c r="E35" s="94"/>
      <c r="F35" s="94"/>
      <c r="G35" s="94"/>
    </row>
    <row r="36" spans="1:19" x14ac:dyDescent="0.3">
      <c r="B36" s="71"/>
      <c r="C36" s="93" t="s">
        <v>115</v>
      </c>
      <c r="D36" s="71"/>
      <c r="E36" s="71"/>
      <c r="F36" s="71"/>
      <c r="H36" s="67"/>
      <c r="J36" s="67"/>
      <c r="K36" s="67"/>
      <c r="L36" s="67"/>
      <c r="N36" s="92"/>
      <c r="O36" s="92"/>
    </row>
    <row r="37" spans="1:19" ht="13.2" customHeight="1" x14ac:dyDescent="0.3">
      <c r="B37" s="71"/>
      <c r="C37" s="76" t="s">
        <v>114</v>
      </c>
      <c r="D37" s="76"/>
      <c r="E37" s="76"/>
      <c r="F37" s="76"/>
      <c r="G37" s="76"/>
      <c r="J37" s="67"/>
      <c r="K37" s="67"/>
      <c r="L37" s="67"/>
      <c r="N37" s="91"/>
      <c r="O37" s="90"/>
      <c r="P37" s="90"/>
      <c r="Q37" s="90"/>
    </row>
    <row r="38" spans="1:19" ht="16.95" customHeight="1" x14ac:dyDescent="0.3">
      <c r="B38" s="89"/>
      <c r="C38" s="89"/>
      <c r="D38" s="89"/>
      <c r="E38" s="89"/>
      <c r="G38" s="69"/>
      <c r="H38" s="69"/>
      <c r="I38" s="69"/>
      <c r="J38" s="67"/>
      <c r="K38" s="67"/>
      <c r="L38" s="67"/>
      <c r="M38" s="67"/>
      <c r="N38" s="69"/>
      <c r="O38" s="153" t="str">
        <f>O1</f>
        <v>CERTIFICADO N°:</v>
      </c>
      <c r="P38" s="153"/>
      <c r="Q38" s="153"/>
      <c r="R38" s="156" t="str">
        <f>R1</f>
        <v>JD1743-24</v>
      </c>
      <c r="S38" s="156"/>
    </row>
    <row r="39" spans="1:19" ht="16.95" customHeight="1" x14ac:dyDescent="0.3"/>
    <row r="40" spans="1:19" ht="16.95" customHeight="1" x14ac:dyDescent="0.3">
      <c r="B40" s="146" t="s">
        <v>113</v>
      </c>
      <c r="C40" s="146"/>
      <c r="D40" s="146"/>
      <c r="E40" s="146"/>
      <c r="F40" s="146"/>
      <c r="G40" s="146"/>
      <c r="H40" s="146"/>
      <c r="I40" s="146"/>
      <c r="J40" s="146"/>
      <c r="K40" s="146"/>
      <c r="L40" s="146"/>
      <c r="M40" s="146"/>
      <c r="N40" s="146"/>
      <c r="O40" s="146"/>
      <c r="P40" s="146"/>
      <c r="Q40" s="146"/>
      <c r="R40" s="146"/>
      <c r="S40" s="146"/>
    </row>
    <row r="41" spans="1:19" ht="16.95" customHeight="1" x14ac:dyDescent="0.3">
      <c r="B41" s="162" t="s">
        <v>202</v>
      </c>
      <c r="C41" s="162"/>
      <c r="D41" s="162"/>
      <c r="E41" s="162"/>
      <c r="F41" s="162"/>
      <c r="G41" s="162"/>
      <c r="H41" s="162"/>
      <c r="I41" s="162"/>
      <c r="J41" s="162"/>
      <c r="K41" s="162"/>
      <c r="L41" s="162"/>
      <c r="M41" s="162"/>
      <c r="N41" s="162"/>
      <c r="O41" s="162"/>
      <c r="P41" s="162"/>
      <c r="Q41" s="162"/>
      <c r="R41" s="162"/>
      <c r="S41" s="162"/>
    </row>
    <row r="42" spans="1:19" ht="16.95" customHeight="1" x14ac:dyDescent="0.3">
      <c r="A42" s="77"/>
      <c r="B42" s="163"/>
      <c r="C42" s="163"/>
      <c r="D42" s="163"/>
      <c r="E42" s="163"/>
      <c r="F42" s="163"/>
      <c r="G42" s="163"/>
      <c r="H42" s="163"/>
      <c r="I42" s="163"/>
      <c r="J42" s="163"/>
      <c r="K42" s="163"/>
      <c r="L42" s="163"/>
      <c r="M42" s="163"/>
      <c r="N42" s="163"/>
      <c r="O42" s="163"/>
      <c r="P42" s="163"/>
      <c r="Q42" s="163"/>
      <c r="R42" s="163"/>
      <c r="S42" s="163"/>
    </row>
    <row r="43" spans="1:19" ht="16.95" customHeight="1" x14ac:dyDescent="0.3">
      <c r="A43" s="77"/>
      <c r="B43" s="163"/>
      <c r="C43" s="163"/>
      <c r="D43" s="163"/>
      <c r="E43" s="163"/>
      <c r="F43" s="163"/>
      <c r="G43" s="163"/>
      <c r="H43" s="163"/>
      <c r="I43" s="163"/>
      <c r="J43" s="163"/>
      <c r="K43" s="163"/>
      <c r="L43" s="163"/>
      <c r="M43" s="163"/>
      <c r="N43" s="163"/>
      <c r="O43" s="163"/>
      <c r="P43" s="163"/>
      <c r="Q43" s="163"/>
      <c r="R43" s="163"/>
      <c r="S43" s="163"/>
    </row>
    <row r="44" spans="1:19" ht="9" customHeight="1" x14ac:dyDescent="0.3">
      <c r="C44" s="77"/>
      <c r="D44" s="77"/>
      <c r="E44" s="77"/>
      <c r="F44" s="77"/>
      <c r="G44" s="77"/>
      <c r="H44" s="77"/>
      <c r="I44" s="77"/>
      <c r="J44" s="77"/>
      <c r="K44" s="77"/>
      <c r="L44" s="77"/>
      <c r="M44" s="77"/>
      <c r="N44" s="77"/>
      <c r="O44" s="77"/>
      <c r="P44" s="77"/>
      <c r="Q44" s="77"/>
      <c r="R44" s="77"/>
    </row>
    <row r="45" spans="1:19" ht="16.95" customHeight="1" x14ac:dyDescent="0.3">
      <c r="E45" s="88"/>
      <c r="F45" s="172" t="s">
        <v>112</v>
      </c>
      <c r="G45" s="173"/>
      <c r="H45" s="173"/>
      <c r="I45" s="173"/>
      <c r="J45" s="174"/>
      <c r="K45" s="181" t="s">
        <v>111</v>
      </c>
      <c r="L45" s="182"/>
      <c r="M45" s="182"/>
      <c r="N45" s="182"/>
      <c r="O45" s="183"/>
    </row>
    <row r="46" spans="1:19" ht="16.95" customHeight="1" x14ac:dyDescent="0.3">
      <c r="E46" s="88"/>
      <c r="F46" s="176">
        <f>AVERAGE(INFORMACIÓN!B11:B12)</f>
        <v>24.3</v>
      </c>
      <c r="G46" s="177"/>
      <c r="H46" s="85" t="s">
        <v>48</v>
      </c>
      <c r="I46" s="87">
        <f>ABS(INFORMACIÓN!B11-INFORMACIÓN!B12)</f>
        <v>0.39999999999999858</v>
      </c>
      <c r="J46" s="86"/>
      <c r="K46" s="178">
        <f>AVERAGE(INFORMACIÓN!B13:B14)</f>
        <v>61.5</v>
      </c>
      <c r="L46" s="179"/>
      <c r="M46" s="85" t="s">
        <v>48</v>
      </c>
      <c r="N46" s="84">
        <f>ABS(INFORMACIÓN!B13-INFORMACIÓN!B14)</f>
        <v>3</v>
      </c>
      <c r="O46" s="83"/>
    </row>
    <row r="47" spans="1:19" ht="11.4" customHeight="1" x14ac:dyDescent="0.3">
      <c r="E47" s="69"/>
      <c r="F47" s="82"/>
      <c r="G47" s="79"/>
      <c r="H47" s="72"/>
      <c r="I47" s="81"/>
      <c r="K47" s="80"/>
      <c r="L47" s="79"/>
      <c r="M47" s="78"/>
    </row>
    <row r="48" spans="1:19" ht="16.95" customHeight="1" x14ac:dyDescent="0.3">
      <c r="B48" s="71"/>
      <c r="D48" s="71"/>
      <c r="F48" s="175" t="s">
        <v>203</v>
      </c>
      <c r="G48" s="175"/>
      <c r="H48" s="175"/>
      <c r="I48" s="175"/>
      <c r="J48" s="175"/>
      <c r="K48" s="180" t="s">
        <v>204</v>
      </c>
      <c r="L48" s="180"/>
      <c r="M48" s="180"/>
      <c r="N48" s="180"/>
      <c r="O48" s="180"/>
      <c r="P48" s="180"/>
    </row>
    <row r="49" spans="1:19" ht="13.2" customHeight="1" x14ac:dyDescent="0.3"/>
    <row r="50" spans="1:19" ht="16.95" customHeight="1" x14ac:dyDescent="0.3">
      <c r="B50" s="186" t="s">
        <v>110</v>
      </c>
      <c r="C50" s="186"/>
      <c r="D50" s="186"/>
      <c r="E50" s="186"/>
      <c r="F50" s="186"/>
      <c r="G50" s="186"/>
      <c r="H50" s="186"/>
      <c r="I50" s="186"/>
      <c r="J50" s="186"/>
      <c r="K50" s="186"/>
      <c r="L50" s="186"/>
      <c r="M50" s="186"/>
      <c r="N50" s="186"/>
      <c r="O50" s="186"/>
      <c r="P50" s="186"/>
      <c r="Q50" s="186"/>
      <c r="R50" s="186"/>
      <c r="S50" s="186"/>
    </row>
    <row r="51" spans="1:19" ht="16.95" customHeight="1" x14ac:dyDescent="0.3">
      <c r="B51" s="162" t="s">
        <v>205</v>
      </c>
      <c r="C51" s="162"/>
      <c r="D51" s="162"/>
      <c r="E51" s="162"/>
      <c r="F51" s="162"/>
      <c r="G51" s="162"/>
      <c r="H51" s="162"/>
      <c r="I51" s="162"/>
      <c r="J51" s="162"/>
      <c r="K51" s="162"/>
      <c r="L51" s="162"/>
      <c r="M51" s="162"/>
      <c r="N51" s="162"/>
      <c r="O51" s="162"/>
      <c r="P51" s="162"/>
      <c r="Q51" s="162"/>
      <c r="R51" s="162"/>
      <c r="S51" s="162"/>
    </row>
    <row r="52" spans="1:19" ht="16.95" customHeight="1" x14ac:dyDescent="0.3">
      <c r="A52" s="77"/>
      <c r="B52" s="163"/>
      <c r="C52" s="163"/>
      <c r="D52" s="163"/>
      <c r="E52" s="163"/>
      <c r="F52" s="163"/>
      <c r="G52" s="163"/>
      <c r="H52" s="163"/>
      <c r="I52" s="163"/>
      <c r="J52" s="163"/>
      <c r="K52" s="163"/>
      <c r="L52" s="163"/>
      <c r="M52" s="163"/>
      <c r="N52" s="163"/>
      <c r="O52" s="163"/>
      <c r="P52" s="163"/>
      <c r="Q52" s="163"/>
      <c r="R52" s="163"/>
      <c r="S52" s="163"/>
    </row>
    <row r="53" spans="1:19" ht="16.95" customHeight="1" x14ac:dyDescent="0.3">
      <c r="A53" s="77"/>
      <c r="B53" s="163"/>
      <c r="C53" s="163"/>
      <c r="D53" s="163"/>
      <c r="E53" s="163"/>
      <c r="F53" s="163"/>
      <c r="G53" s="163"/>
      <c r="H53" s="163"/>
      <c r="I53" s="163"/>
      <c r="J53" s="163"/>
      <c r="K53" s="163"/>
      <c r="L53" s="163"/>
      <c r="M53" s="163"/>
      <c r="N53" s="163"/>
      <c r="O53" s="163"/>
      <c r="P53" s="163"/>
      <c r="Q53" s="163"/>
      <c r="R53" s="163"/>
      <c r="S53" s="163"/>
    </row>
    <row r="54" spans="1:19" ht="16.95" customHeight="1" x14ac:dyDescent="0.3">
      <c r="A54" s="77"/>
      <c r="B54" s="163"/>
      <c r="C54" s="163"/>
      <c r="D54" s="163"/>
      <c r="E54" s="163"/>
      <c r="F54" s="163"/>
      <c r="G54" s="163"/>
      <c r="H54" s="163"/>
      <c r="I54" s="163"/>
      <c r="J54" s="163"/>
      <c r="K54" s="163"/>
      <c r="L54" s="163"/>
      <c r="M54" s="163"/>
      <c r="N54" s="163"/>
      <c r="O54" s="163"/>
      <c r="P54" s="163"/>
      <c r="Q54" s="163"/>
      <c r="R54" s="163"/>
      <c r="S54" s="163"/>
    </row>
    <row r="55" spans="1:19" ht="16.95" customHeight="1" x14ac:dyDescent="0.3">
      <c r="A55" s="77"/>
      <c r="B55" s="163"/>
      <c r="C55" s="163"/>
      <c r="D55" s="163"/>
      <c r="E55" s="163"/>
      <c r="F55" s="163"/>
      <c r="G55" s="163"/>
      <c r="H55" s="163"/>
      <c r="I55" s="163"/>
      <c r="J55" s="163"/>
      <c r="K55" s="163"/>
      <c r="L55" s="163"/>
      <c r="M55" s="163"/>
      <c r="N55" s="163"/>
      <c r="O55" s="163"/>
      <c r="P55" s="163"/>
      <c r="Q55" s="163"/>
      <c r="R55" s="163"/>
      <c r="S55" s="163"/>
    </row>
    <row r="56" spans="1:19" ht="16.95" customHeight="1" x14ac:dyDescent="0.3">
      <c r="A56" s="77"/>
      <c r="B56" s="163"/>
      <c r="C56" s="163"/>
      <c r="D56" s="163"/>
      <c r="E56" s="163"/>
      <c r="F56" s="163"/>
      <c r="G56" s="163"/>
      <c r="H56" s="163"/>
      <c r="I56" s="163"/>
      <c r="J56" s="163"/>
      <c r="K56" s="163"/>
      <c r="L56" s="163"/>
      <c r="M56" s="163"/>
      <c r="N56" s="163"/>
      <c r="O56" s="163"/>
      <c r="P56" s="163"/>
      <c r="Q56" s="163"/>
      <c r="R56" s="163"/>
      <c r="S56" s="163"/>
    </row>
    <row r="57" spans="1:19" ht="16.95" customHeight="1" x14ac:dyDescent="0.3">
      <c r="A57" s="77"/>
      <c r="B57" s="163"/>
      <c r="C57" s="163"/>
      <c r="D57" s="163"/>
      <c r="E57" s="163"/>
      <c r="F57" s="163"/>
      <c r="G57" s="163"/>
      <c r="H57" s="163"/>
      <c r="I57" s="163"/>
      <c r="J57" s="163"/>
      <c r="K57" s="163"/>
      <c r="L57" s="163"/>
      <c r="M57" s="163"/>
      <c r="N57" s="163"/>
      <c r="O57" s="163"/>
      <c r="P57" s="163"/>
      <c r="Q57" s="163"/>
      <c r="R57" s="163"/>
      <c r="S57" s="163"/>
    </row>
    <row r="58" spans="1:19" ht="16.95" customHeight="1" x14ac:dyDescent="0.3">
      <c r="A58" s="77"/>
      <c r="B58" s="163"/>
      <c r="C58" s="163"/>
      <c r="D58" s="163"/>
      <c r="E58" s="163"/>
      <c r="F58" s="163"/>
      <c r="G58" s="163"/>
      <c r="H58" s="163"/>
      <c r="I58" s="163"/>
      <c r="J58" s="163"/>
      <c r="K58" s="163"/>
      <c r="L58" s="163"/>
      <c r="M58" s="163"/>
      <c r="N58" s="163"/>
      <c r="O58" s="163"/>
      <c r="P58" s="163"/>
      <c r="Q58" s="163"/>
      <c r="R58" s="163"/>
      <c r="S58" s="163"/>
    </row>
    <row r="59" spans="1:19" ht="16.95" customHeight="1" x14ac:dyDescent="0.3">
      <c r="B59" s="77"/>
      <c r="C59" s="77"/>
      <c r="D59" s="77"/>
      <c r="E59" s="77"/>
      <c r="F59" s="77"/>
      <c r="G59" s="77"/>
      <c r="H59" s="77"/>
      <c r="I59" s="77"/>
      <c r="J59" s="77"/>
      <c r="K59" s="77"/>
      <c r="L59" s="77"/>
      <c r="M59" s="77"/>
      <c r="N59" s="77"/>
      <c r="O59" s="77"/>
      <c r="P59" s="77"/>
      <c r="Q59" s="77"/>
      <c r="R59" s="77"/>
      <c r="S59" s="77"/>
    </row>
    <row r="60" spans="1:19" ht="16.95" customHeight="1" x14ac:dyDescent="0.3">
      <c r="B60" s="146" t="s">
        <v>109</v>
      </c>
      <c r="C60" s="146"/>
      <c r="D60" s="146"/>
      <c r="E60" s="146"/>
      <c r="F60" s="146"/>
      <c r="G60" s="146"/>
      <c r="H60" s="146"/>
      <c r="I60" s="146"/>
      <c r="J60" s="146"/>
      <c r="K60" s="146"/>
      <c r="L60" s="146"/>
      <c r="M60" s="146"/>
      <c r="N60" s="146"/>
      <c r="O60" s="146"/>
      <c r="P60" s="146"/>
      <c r="Q60" s="146"/>
      <c r="R60" s="146"/>
      <c r="S60" s="146"/>
    </row>
    <row r="61" spans="1:19" ht="16.95" customHeight="1" x14ac:dyDescent="0.3">
      <c r="B61" s="162" t="s">
        <v>206</v>
      </c>
      <c r="C61" s="162"/>
      <c r="D61" s="162"/>
      <c r="E61" s="162"/>
      <c r="F61" s="162"/>
      <c r="G61" s="162"/>
      <c r="H61" s="162"/>
      <c r="I61" s="162"/>
      <c r="J61" s="162"/>
      <c r="K61" s="162"/>
      <c r="L61" s="162"/>
      <c r="M61" s="162"/>
      <c r="N61" s="162"/>
      <c r="O61" s="162"/>
      <c r="P61" s="162"/>
      <c r="Q61" s="162"/>
      <c r="R61" s="162"/>
      <c r="S61" s="162"/>
    </row>
    <row r="62" spans="1:19" ht="16.95" customHeight="1" x14ac:dyDescent="0.3">
      <c r="A62" s="77"/>
      <c r="B62" s="163"/>
      <c r="C62" s="163"/>
      <c r="D62" s="163"/>
      <c r="E62" s="163"/>
      <c r="F62" s="163"/>
      <c r="G62" s="163"/>
      <c r="H62" s="163"/>
      <c r="I62" s="163"/>
      <c r="J62" s="163"/>
      <c r="K62" s="163"/>
      <c r="L62" s="163"/>
      <c r="M62" s="163"/>
      <c r="N62" s="163"/>
      <c r="O62" s="163"/>
      <c r="P62" s="163"/>
      <c r="Q62" s="163"/>
      <c r="R62" s="163"/>
      <c r="S62" s="163"/>
    </row>
    <row r="63" spans="1:19" ht="13.95" customHeight="1" x14ac:dyDescent="0.3"/>
    <row r="64" spans="1:19" ht="15" customHeight="1" x14ac:dyDescent="0.3">
      <c r="B64" s="146" t="s">
        <v>108</v>
      </c>
      <c r="C64" s="146"/>
      <c r="D64" s="146"/>
      <c r="E64" s="146"/>
      <c r="F64" s="146"/>
      <c r="G64" s="146"/>
      <c r="H64" s="146"/>
      <c r="I64" s="146"/>
      <c r="J64" s="146"/>
      <c r="K64" s="146"/>
      <c r="L64" s="146"/>
      <c r="M64" s="146"/>
      <c r="N64" s="146"/>
      <c r="O64" s="146"/>
      <c r="P64" s="146"/>
      <c r="Q64" s="146"/>
      <c r="R64" s="146"/>
      <c r="S64" s="146"/>
    </row>
    <row r="65" spans="1:19" ht="19.2" customHeight="1" x14ac:dyDescent="0.3">
      <c r="B65" s="162" t="s">
        <v>207</v>
      </c>
      <c r="C65" s="162"/>
      <c r="D65" s="162"/>
      <c r="E65" s="162"/>
      <c r="F65" s="162"/>
      <c r="G65" s="162"/>
      <c r="H65" s="162"/>
      <c r="I65" s="162"/>
      <c r="J65" s="162"/>
      <c r="K65" s="162"/>
      <c r="L65" s="162"/>
      <c r="M65" s="162"/>
      <c r="N65" s="162"/>
      <c r="O65" s="162"/>
      <c r="P65" s="162"/>
      <c r="Q65" s="162"/>
      <c r="R65" s="162"/>
      <c r="S65" s="162"/>
    </row>
    <row r="66" spans="1:19" ht="16.95" customHeight="1" x14ac:dyDescent="0.3">
      <c r="A66" s="77"/>
      <c r="B66" s="163"/>
      <c r="C66" s="163"/>
      <c r="D66" s="163"/>
      <c r="E66" s="163"/>
      <c r="F66" s="163"/>
      <c r="G66" s="163"/>
      <c r="H66" s="163"/>
      <c r="I66" s="163"/>
      <c r="J66" s="163"/>
      <c r="K66" s="163"/>
      <c r="L66" s="163"/>
      <c r="M66" s="163"/>
      <c r="N66" s="163"/>
      <c r="O66" s="163"/>
      <c r="P66" s="163"/>
      <c r="Q66" s="163"/>
      <c r="R66" s="163"/>
      <c r="S66" s="163"/>
    </row>
    <row r="67" spans="1:19" ht="16.95" customHeight="1" x14ac:dyDescent="0.3">
      <c r="A67" s="77"/>
      <c r="B67" s="163"/>
      <c r="C67" s="163"/>
      <c r="D67" s="163"/>
      <c r="E67" s="163"/>
      <c r="F67" s="163"/>
      <c r="G67" s="163"/>
      <c r="H67" s="163"/>
      <c r="I67" s="163"/>
      <c r="J67" s="163"/>
      <c r="K67" s="163"/>
      <c r="L67" s="163"/>
      <c r="M67" s="163"/>
      <c r="N67" s="163"/>
      <c r="O67" s="163"/>
      <c r="P67" s="163"/>
      <c r="Q67" s="163"/>
      <c r="R67" s="163"/>
      <c r="S67" s="163"/>
    </row>
    <row r="68" spans="1:19" ht="16.95" customHeight="1" x14ac:dyDescent="0.3">
      <c r="A68" s="77"/>
      <c r="B68" s="163"/>
      <c r="C68" s="163"/>
      <c r="D68" s="163"/>
      <c r="E68" s="163"/>
      <c r="F68" s="163"/>
      <c r="G68" s="163"/>
      <c r="H68" s="163"/>
      <c r="I68" s="163"/>
      <c r="J68" s="163"/>
      <c r="K68" s="163"/>
      <c r="L68" s="163"/>
      <c r="M68" s="163"/>
      <c r="N68" s="163"/>
      <c r="O68" s="163"/>
      <c r="P68" s="163"/>
      <c r="Q68" s="163"/>
      <c r="R68" s="163"/>
      <c r="S68" s="163"/>
    </row>
    <row r="69" spans="1:19" ht="16.95" customHeight="1" x14ac:dyDescent="0.3"/>
    <row r="70" spans="1:19" ht="16.95" customHeight="1" x14ac:dyDescent="0.3">
      <c r="B70" s="184" t="s">
        <v>107</v>
      </c>
      <c r="C70" s="184"/>
      <c r="D70" s="184"/>
      <c r="E70" s="184"/>
      <c r="F70" s="184"/>
      <c r="G70" s="184"/>
      <c r="H70" s="184" t="s">
        <v>106</v>
      </c>
      <c r="I70" s="184"/>
      <c r="J70" s="184"/>
      <c r="K70" s="184"/>
      <c r="L70" s="184"/>
      <c r="M70" s="184" t="s">
        <v>105</v>
      </c>
      <c r="N70" s="184"/>
      <c r="O70" s="184"/>
      <c r="P70" s="184" t="s">
        <v>104</v>
      </c>
      <c r="Q70" s="184"/>
      <c r="R70" s="184"/>
      <c r="S70" s="184"/>
    </row>
    <row r="71" spans="1:19" ht="16.95" customHeight="1" x14ac:dyDescent="0.3">
      <c r="B71" s="188" t="s">
        <v>51</v>
      </c>
      <c r="C71" s="188"/>
      <c r="D71" s="188"/>
      <c r="E71" s="188"/>
      <c r="F71" s="188"/>
      <c r="G71" s="188"/>
      <c r="H71" s="188">
        <v>73581403</v>
      </c>
      <c r="I71" s="188"/>
      <c r="J71" s="188"/>
      <c r="K71" s="188"/>
      <c r="L71" s="188"/>
      <c r="M71" s="189">
        <v>46065</v>
      </c>
      <c r="N71" s="189"/>
      <c r="O71" s="189"/>
      <c r="P71" s="187" t="s">
        <v>200</v>
      </c>
      <c r="Q71" s="187"/>
      <c r="R71" s="187"/>
      <c r="S71" s="187"/>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53" t="str">
        <f>O1</f>
        <v>CERTIFICADO N°:</v>
      </c>
      <c r="P76" s="153"/>
      <c r="Q76" s="153"/>
      <c r="R76" s="156" t="str">
        <f>R1</f>
        <v>JD1743-24</v>
      </c>
      <c r="S76" s="156"/>
    </row>
    <row r="77" spans="1:19" ht="16.95" customHeight="1" x14ac:dyDescent="0.3"/>
    <row r="78" spans="1:19" ht="16.95" customHeight="1" x14ac:dyDescent="0.3">
      <c r="B78" s="150" t="s">
        <v>103</v>
      </c>
      <c r="C78" s="150"/>
      <c r="D78" s="150"/>
      <c r="E78" s="150"/>
      <c r="F78" s="150"/>
      <c r="G78" s="150"/>
      <c r="H78" s="150"/>
      <c r="I78" s="150"/>
      <c r="J78" s="150"/>
      <c r="K78" s="150"/>
      <c r="L78" s="150"/>
      <c r="M78" s="150"/>
      <c r="N78" s="150"/>
      <c r="O78" s="150"/>
      <c r="P78" s="150"/>
      <c r="Q78" s="150"/>
      <c r="R78" s="150"/>
      <c r="S78" s="150"/>
    </row>
    <row r="79" spans="1:19" ht="16.649999999999999" customHeight="1" x14ac:dyDescent="0.3"/>
    <row r="80" spans="1:19" ht="16.95" customHeight="1" x14ac:dyDescent="0.3">
      <c r="B80" s="67" t="s">
        <v>144</v>
      </c>
      <c r="C80" s="67"/>
      <c r="D80" s="67"/>
      <c r="E80" s="67"/>
      <c r="F80" s="67"/>
      <c r="G80" s="67"/>
      <c r="H80" s="67"/>
      <c r="I80" s="158" t="s">
        <v>145</v>
      </c>
      <c r="J80" s="158"/>
      <c r="K80" s="158"/>
      <c r="L80" s="158"/>
      <c r="M80" s="158"/>
      <c r="N80" s="157" t="s">
        <v>199</v>
      </c>
      <c r="O80" s="157"/>
      <c r="P80" s="159" t="s">
        <v>146</v>
      </c>
      <c r="Q80" s="159"/>
      <c r="R80" s="159"/>
      <c r="S80" s="74">
        <v>0.5</v>
      </c>
    </row>
    <row r="81" spans="2:19" ht="16.95" customHeight="1" x14ac:dyDescent="0.3">
      <c r="B81" s="67"/>
      <c r="C81" s="67"/>
      <c r="D81" s="67"/>
      <c r="E81" s="67"/>
      <c r="F81" s="67"/>
      <c r="G81" s="67"/>
      <c r="H81" s="67"/>
      <c r="I81" s="73"/>
      <c r="J81" s="73"/>
      <c r="K81" s="73"/>
      <c r="L81" s="73"/>
      <c r="M81" s="73"/>
      <c r="N81" s="74"/>
      <c r="O81" s="74"/>
      <c r="P81" s="25"/>
      <c r="Q81" s="25"/>
      <c r="R81" s="25"/>
      <c r="S81" s="74"/>
    </row>
    <row r="82" spans="2:19" ht="16.95" customHeight="1" x14ac:dyDescent="0.3">
      <c r="F82" s="136" t="s">
        <v>143</v>
      </c>
      <c r="G82" s="136"/>
      <c r="H82" s="136"/>
      <c r="I82" s="136"/>
      <c r="J82" s="136"/>
      <c r="K82" s="136"/>
      <c r="L82" s="136"/>
      <c r="M82" s="136"/>
      <c r="N82" s="190" t="s">
        <v>177</v>
      </c>
      <c r="O82" s="191"/>
      <c r="P82" s="191"/>
      <c r="Q82" s="191"/>
      <c r="R82" s="191"/>
      <c r="S82" s="191"/>
    </row>
    <row r="83" spans="2:19" ht="16.95" customHeight="1" x14ac:dyDescent="0.3">
      <c r="D83" s="138" t="s">
        <v>138</v>
      </c>
      <c r="E83" s="139"/>
      <c r="F83" s="136" t="s">
        <v>22</v>
      </c>
      <c r="G83" s="136"/>
      <c r="H83" s="136"/>
      <c r="I83" s="136"/>
      <c r="J83" s="136" t="s">
        <v>23</v>
      </c>
      <c r="K83" s="136"/>
      <c r="L83" s="136"/>
      <c r="M83" s="136"/>
      <c r="N83" s="136" t="s">
        <v>52</v>
      </c>
      <c r="O83" s="136"/>
      <c r="P83" s="136"/>
      <c r="Q83" s="136"/>
    </row>
    <row r="84" spans="2:19" ht="24" customHeight="1" x14ac:dyDescent="0.3">
      <c r="D84" s="140"/>
      <c r="E84" s="141"/>
      <c r="F84" s="142" t="s">
        <v>139</v>
      </c>
      <c r="G84" s="143"/>
      <c r="H84" s="142" t="s">
        <v>140</v>
      </c>
      <c r="I84" s="143"/>
      <c r="J84" s="142" t="s">
        <v>141</v>
      </c>
      <c r="K84" s="143"/>
      <c r="L84" s="142" t="s">
        <v>140</v>
      </c>
      <c r="M84" s="143"/>
      <c r="N84" s="160" t="s">
        <v>142</v>
      </c>
      <c r="O84" s="161"/>
      <c r="P84" s="160" t="s">
        <v>102</v>
      </c>
      <c r="Q84" s="161"/>
    </row>
    <row r="85" spans="2:19" ht="16.95" customHeight="1" x14ac:dyDescent="0.3">
      <c r="D85" s="144">
        <f>MEDIDA!A8</f>
        <v>0</v>
      </c>
      <c r="E85" s="145"/>
      <c r="F85" s="129">
        <f>MEDIDA!B8</f>
        <v>0</v>
      </c>
      <c r="G85" s="130"/>
      <c r="H85" s="129">
        <f>MEDIDA!C8</f>
        <v>0</v>
      </c>
      <c r="I85" s="130"/>
      <c r="J85" s="129">
        <f>MEDIDA!D8</f>
        <v>0</v>
      </c>
      <c r="K85" s="130"/>
      <c r="L85" s="129">
        <f>MEDIDA!E8</f>
        <v>0</v>
      </c>
      <c r="M85" s="130"/>
      <c r="N85" s="129">
        <f>MEDIDA!J8</f>
        <v>0</v>
      </c>
      <c r="O85" s="130"/>
      <c r="P85" s="129">
        <f>MEDIDA!K8</f>
        <v>0</v>
      </c>
      <c r="Q85" s="130"/>
    </row>
    <row r="86" spans="2:19" ht="16.95" customHeight="1" x14ac:dyDescent="0.3">
      <c r="D86" s="144">
        <f>MEDIDA!A9</f>
        <v>100</v>
      </c>
      <c r="E86" s="145"/>
      <c r="F86" s="129">
        <f ca="1">MEDIDA!B9</f>
        <v>99</v>
      </c>
      <c r="G86" s="130"/>
      <c r="H86" s="129">
        <f ca="1">MEDIDA!C9</f>
        <v>99.551028450112057</v>
      </c>
      <c r="I86" s="130"/>
      <c r="J86" s="129">
        <f ca="1">MEDIDA!D9</f>
        <v>99</v>
      </c>
      <c r="K86" s="130"/>
      <c r="L86" s="129">
        <f ca="1">MEDIDA!E9</f>
        <v>99.196640279609056</v>
      </c>
      <c r="M86" s="130"/>
      <c r="N86" s="129">
        <f ca="1">MEDIDA!J9</f>
        <v>0.55102845011205659</v>
      </c>
      <c r="O86" s="130"/>
      <c r="P86" s="129">
        <f ca="1">MEDIDA!K9</f>
        <v>0.19664027960905628</v>
      </c>
      <c r="Q86" s="130"/>
    </row>
    <row r="87" spans="2:19" ht="16.95" customHeight="1" x14ac:dyDescent="0.3">
      <c r="D87" s="144">
        <f>MEDIDA!A10</f>
        <v>300</v>
      </c>
      <c r="E87" s="145"/>
      <c r="F87" s="129">
        <f ca="1">MEDIDA!B10</f>
        <v>299.44665251609518</v>
      </c>
      <c r="G87" s="130"/>
      <c r="H87" s="129">
        <f ca="1">MEDIDA!C10</f>
        <v>299.85571910685599</v>
      </c>
      <c r="I87" s="130"/>
      <c r="J87" s="129">
        <f ca="1">MEDIDA!D10</f>
        <v>298.89470857989505</v>
      </c>
      <c r="K87" s="130"/>
      <c r="L87" s="129">
        <f ca="1">MEDIDA!E10</f>
        <v>299.18841086105641</v>
      </c>
      <c r="M87" s="130"/>
      <c r="N87" s="129">
        <f ca="1">MEDIDA!J10</f>
        <v>0.40906659076080132</v>
      </c>
      <c r="O87" s="130"/>
      <c r="P87" s="129">
        <f ca="1">MEDIDA!K10</f>
        <v>0.29370228116135877</v>
      </c>
      <c r="Q87" s="130"/>
    </row>
    <row r="88" spans="2:19" ht="16.95" customHeight="1" x14ac:dyDescent="0.3">
      <c r="D88" s="144">
        <f>MEDIDA!A11</f>
        <v>400</v>
      </c>
      <c r="E88" s="145"/>
      <c r="F88" s="129">
        <f ca="1">MEDIDA!B11</f>
        <v>399.28491258196334</v>
      </c>
      <c r="G88" s="130"/>
      <c r="H88" s="129">
        <f ca="1">MEDIDA!C11</f>
        <v>398.98782501162941</v>
      </c>
      <c r="I88" s="130"/>
      <c r="J88" s="129">
        <f ca="1">MEDIDA!D11</f>
        <v>399.01710841609253</v>
      </c>
      <c r="K88" s="130"/>
      <c r="L88" s="129">
        <f ca="1">MEDIDA!E11</f>
        <v>398.8373371488849</v>
      </c>
      <c r="M88" s="130"/>
      <c r="N88" s="129">
        <f ca="1">MEDIDA!J11</f>
        <v>0.29708757033392885</v>
      </c>
      <c r="O88" s="130"/>
      <c r="P88" s="129">
        <f ca="1">MEDIDA!K11</f>
        <v>0.17977126720762726</v>
      </c>
      <c r="Q88" s="130"/>
    </row>
    <row r="89" spans="2:19" ht="16.95" customHeight="1" x14ac:dyDescent="0.3">
      <c r="D89" s="144">
        <f>MEDIDA!A12</f>
        <v>500</v>
      </c>
      <c r="E89" s="145"/>
      <c r="F89" s="129">
        <f ca="1">MEDIDA!B12</f>
        <v>499.22826112949963</v>
      </c>
      <c r="G89" s="130"/>
      <c r="H89" s="129">
        <f ca="1">MEDIDA!C12</f>
        <v>499.22826112949963</v>
      </c>
      <c r="I89" s="130"/>
      <c r="J89" s="129">
        <f ca="1">MEDIDA!D12</f>
        <v>499.22826112949963</v>
      </c>
      <c r="K89" s="130"/>
      <c r="L89" s="129">
        <f ca="1">MEDIDA!E12</f>
        <v>498.80416539463641</v>
      </c>
      <c r="M89" s="130"/>
      <c r="N89" s="129">
        <f ca="1">MEDIDA!J12</f>
        <v>0</v>
      </c>
      <c r="O89" s="130"/>
      <c r="P89" s="129">
        <f ca="1">MEDIDA!K12</f>
        <v>0.42409573486321506</v>
      </c>
      <c r="Q89" s="130"/>
    </row>
    <row r="90" spans="2:19" ht="16.95" customHeight="1" x14ac:dyDescent="0.3">
      <c r="D90" s="144">
        <f>MEDIDA!A13</f>
        <v>600</v>
      </c>
      <c r="E90" s="145"/>
      <c r="F90" s="129">
        <f ca="1">MEDIDA!B13</f>
        <v>599.12257930009002</v>
      </c>
      <c r="G90" s="130"/>
      <c r="H90" s="129">
        <f ca="1">MEDIDA!C13</f>
        <v>598.88840990844858</v>
      </c>
      <c r="I90" s="130"/>
      <c r="J90" s="129">
        <f ca="1">MEDIDA!D13</f>
        <v>598.83317751082222</v>
      </c>
      <c r="K90" s="130"/>
      <c r="L90" s="129">
        <f ca="1">MEDIDA!E13</f>
        <v>599.12257930009002</v>
      </c>
      <c r="M90" s="130"/>
      <c r="N90" s="129">
        <f ca="1">MEDIDA!J13</f>
        <v>0.23416939164144424</v>
      </c>
      <c r="O90" s="130"/>
      <c r="P90" s="129">
        <f ca="1">MEDIDA!K13</f>
        <v>0.28940178926779936</v>
      </c>
      <c r="Q90" s="130"/>
    </row>
    <row r="91" spans="2:19" ht="16.95" customHeight="1" x14ac:dyDescent="0.3">
      <c r="D91" s="144">
        <f>MEDIDA!A14</f>
        <v>700</v>
      </c>
      <c r="E91" s="145"/>
      <c r="F91" s="129">
        <f ca="1">MEDIDA!B14</f>
        <v>698.65976987856743</v>
      </c>
      <c r="G91" s="130"/>
      <c r="H91" s="129">
        <f ca="1">MEDIDA!C14</f>
        <v>698.24603614476405</v>
      </c>
      <c r="I91" s="130"/>
      <c r="J91" s="129">
        <f ca="1">MEDIDA!D14</f>
        <v>698.65976987856743</v>
      </c>
      <c r="K91" s="130"/>
      <c r="L91" s="129">
        <f ca="1">MEDIDA!E14</f>
        <v>698.80527646627718</v>
      </c>
      <c r="M91" s="130"/>
      <c r="N91" s="129">
        <f ca="1">MEDIDA!J14</f>
        <v>0.41373373380338307</v>
      </c>
      <c r="O91" s="130"/>
      <c r="P91" s="129">
        <f ca="1">MEDIDA!K14</f>
        <v>0.14550658770974678</v>
      </c>
      <c r="Q91" s="130"/>
    </row>
    <row r="92" spans="2:19" ht="16.95" customHeight="1" x14ac:dyDescent="0.3">
      <c r="D92" s="110"/>
      <c r="E92" s="110"/>
      <c r="F92" s="111"/>
      <c r="G92" s="111"/>
      <c r="H92" s="111"/>
      <c r="I92" s="111"/>
      <c r="J92" s="111"/>
      <c r="K92" s="111"/>
      <c r="L92" s="111"/>
      <c r="M92" s="111"/>
      <c r="N92" s="111"/>
      <c r="O92" s="111"/>
      <c r="P92" s="111"/>
      <c r="Q92" s="111"/>
    </row>
    <row r="93" spans="2:19" ht="26.4" customHeight="1" x14ac:dyDescent="0.3">
      <c r="D93" s="134" t="s">
        <v>147</v>
      </c>
      <c r="E93" s="134"/>
      <c r="F93" s="134"/>
      <c r="G93" s="134" t="s">
        <v>148</v>
      </c>
      <c r="H93" s="134"/>
      <c r="I93" s="134"/>
      <c r="J93" s="134" t="s">
        <v>149</v>
      </c>
      <c r="K93" s="134"/>
      <c r="L93" s="134"/>
      <c r="M93" s="135" t="s">
        <v>150</v>
      </c>
      <c r="N93" s="135"/>
      <c r="O93" s="135"/>
      <c r="P93" s="136" t="s">
        <v>30</v>
      </c>
      <c r="Q93" s="136"/>
    </row>
    <row r="94" spans="2:19" ht="16.649999999999999" customHeight="1" x14ac:dyDescent="0.3">
      <c r="D94" s="132">
        <f>MEDIDA!L8</f>
        <v>0</v>
      </c>
      <c r="E94" s="132"/>
      <c r="F94" s="132"/>
      <c r="G94" s="132">
        <f>MEDIDA!A8</f>
        <v>0</v>
      </c>
      <c r="H94" s="132"/>
      <c r="I94" s="132"/>
      <c r="J94" s="132">
        <f>MEDIDA!M8</f>
        <v>0</v>
      </c>
      <c r="K94" s="132"/>
      <c r="L94" s="132"/>
      <c r="M94" s="133">
        <f>INCERTIDUMBRE!M5</f>
        <v>0.59397080955619319</v>
      </c>
      <c r="N94" s="133"/>
      <c r="O94" s="133"/>
      <c r="P94" s="129">
        <f>INCERTIDUMBRE!L5</f>
        <v>2.0115350885008128</v>
      </c>
      <c r="Q94" s="130"/>
    </row>
    <row r="95" spans="2:19" ht="16.649999999999999" customHeight="1" x14ac:dyDescent="0.3">
      <c r="D95" s="132">
        <f ca="1">MEDIDA!L9</f>
        <v>99.186917182430278</v>
      </c>
      <c r="E95" s="132"/>
      <c r="F95" s="132"/>
      <c r="G95" s="132">
        <f>MEDIDA!A9</f>
        <v>100</v>
      </c>
      <c r="H95" s="132"/>
      <c r="I95" s="132"/>
      <c r="J95" s="132">
        <f ca="1">MEDIDA!M9</f>
        <v>0.81308281756972178</v>
      </c>
      <c r="K95" s="132"/>
      <c r="L95" s="132"/>
      <c r="M95" s="133">
        <f ca="1">INCERTIDUMBRE!M6</f>
        <v>0.68878243962355679</v>
      </c>
      <c r="N95" s="133"/>
      <c r="O95" s="133"/>
      <c r="P95" s="129">
        <f ca="1">INCERTIDUMBRE!L6</f>
        <v>2.0248093966729774</v>
      </c>
      <c r="Q95" s="130"/>
    </row>
    <row r="96" spans="2:19" ht="16.649999999999999" customHeight="1" x14ac:dyDescent="0.3">
      <c r="D96" s="132">
        <f ca="1">MEDIDA!L10</f>
        <v>299.34637276597562</v>
      </c>
      <c r="E96" s="132"/>
      <c r="F96" s="132"/>
      <c r="G96" s="132">
        <f>MEDIDA!A10</f>
        <v>300</v>
      </c>
      <c r="H96" s="132"/>
      <c r="I96" s="132"/>
      <c r="J96" s="132">
        <f ca="1">MEDIDA!M10</f>
        <v>0.65362723402435563</v>
      </c>
      <c r="K96" s="132"/>
      <c r="L96" s="132"/>
      <c r="M96" s="133">
        <f ca="1">INCERTIDUMBRE!M7</f>
        <v>0.77699610737950831</v>
      </c>
      <c r="N96" s="133"/>
      <c r="O96" s="133"/>
      <c r="P96" s="129">
        <f ca="1">INCERTIDUMBRE!L7</f>
        <v>2.0839326715892601</v>
      </c>
      <c r="Q96" s="130"/>
    </row>
    <row r="97" spans="2:20" ht="16.649999999999999" customHeight="1" x14ac:dyDescent="0.3">
      <c r="D97" s="132">
        <f ca="1">MEDIDA!L11</f>
        <v>399.03179578964256</v>
      </c>
      <c r="E97" s="132"/>
      <c r="F97" s="132"/>
      <c r="G97" s="132">
        <f>MEDIDA!A11</f>
        <v>400</v>
      </c>
      <c r="H97" s="132"/>
      <c r="I97" s="132"/>
      <c r="J97" s="132">
        <f ca="1">MEDIDA!M11</f>
        <v>0.96820421035744175</v>
      </c>
      <c r="K97" s="132"/>
      <c r="L97" s="132"/>
      <c r="M97" s="133">
        <f ca="1">INCERTIDUMBRE!M8</f>
        <v>0.63910003400470394</v>
      </c>
      <c r="N97" s="133"/>
      <c r="O97" s="133"/>
      <c r="P97" s="129">
        <f ca="1">INCERTIDUMBRE!L8</f>
        <v>2.0149925564011952</v>
      </c>
      <c r="Q97" s="130"/>
    </row>
    <row r="98" spans="2:20" ht="16.649999999999999" customHeight="1" x14ac:dyDescent="0.3">
      <c r="D98" s="132">
        <f ca="1">MEDIDA!L12</f>
        <v>499.12223719578384</v>
      </c>
      <c r="E98" s="132"/>
      <c r="F98" s="132"/>
      <c r="G98" s="132">
        <f>MEDIDA!A12</f>
        <v>500</v>
      </c>
      <c r="H98" s="132"/>
      <c r="I98" s="132"/>
      <c r="J98" s="132">
        <f ca="1">MEDIDA!M12</f>
        <v>0.87776280421616093</v>
      </c>
      <c r="K98" s="132"/>
      <c r="L98" s="132"/>
      <c r="M98" s="133">
        <f ca="1">INCERTIDUMBRE!M9</f>
        <v>0.64528583636566017</v>
      </c>
      <c r="N98" s="133"/>
      <c r="O98" s="133"/>
      <c r="P98" s="129">
        <f ca="1">INCERTIDUMBRE!L9</f>
        <v>2.0186902282424946</v>
      </c>
      <c r="Q98" s="130"/>
    </row>
    <row r="99" spans="2:20" ht="16.649999999999999" customHeight="1" x14ac:dyDescent="0.3">
      <c r="D99" s="132">
        <f ca="1">MEDIDA!L13</f>
        <v>598.99168650486263</v>
      </c>
      <c r="E99" s="132"/>
      <c r="F99" s="132"/>
      <c r="G99" s="132">
        <f>MEDIDA!A13</f>
        <v>600</v>
      </c>
      <c r="H99" s="132"/>
      <c r="I99" s="132"/>
      <c r="J99" s="132">
        <f ca="1">MEDIDA!M13</f>
        <v>1.0083134951373154</v>
      </c>
      <c r="K99" s="132"/>
      <c r="L99" s="132"/>
      <c r="M99" s="133">
        <f ca="1">INCERTIDUMBRE!M10</f>
        <v>0.61433055978700168</v>
      </c>
      <c r="N99" s="133"/>
      <c r="O99" s="133"/>
      <c r="P99" s="129">
        <f ca="1">INCERTIDUMBRE!L10</f>
        <v>2.0134594871143632</v>
      </c>
      <c r="Q99" s="130"/>
    </row>
    <row r="100" spans="2:20" ht="16.649999999999999" customHeight="1" x14ac:dyDescent="0.3">
      <c r="D100" s="132">
        <f ca="1">MEDIDA!L14</f>
        <v>698.59271309204405</v>
      </c>
      <c r="E100" s="132"/>
      <c r="F100" s="132"/>
      <c r="G100" s="132">
        <f>MEDIDA!A14</f>
        <v>700</v>
      </c>
      <c r="H100" s="132"/>
      <c r="I100" s="132"/>
      <c r="J100" s="132">
        <f ca="1">MEDIDA!M14</f>
        <v>1.4072869079559496</v>
      </c>
      <c r="K100" s="132"/>
      <c r="L100" s="132"/>
      <c r="M100" s="133">
        <f ca="1">INCERTIDUMBRE!M11</f>
        <v>0.65061003507609239</v>
      </c>
      <c r="N100" s="133"/>
      <c r="O100" s="133"/>
      <c r="P100" s="129">
        <f ca="1">INCERTIDUMBRE!L11</f>
        <v>2.0250580080424125</v>
      </c>
      <c r="Q100" s="130"/>
    </row>
    <row r="101" spans="2:20" ht="16.649999999999999" customHeight="1" x14ac:dyDescent="0.3">
      <c r="D101" s="33"/>
      <c r="E101" s="33"/>
      <c r="F101" s="33"/>
      <c r="G101" s="33"/>
      <c r="H101" s="33"/>
      <c r="I101" s="33"/>
      <c r="J101" s="33"/>
      <c r="K101" s="33"/>
      <c r="L101" s="33"/>
      <c r="M101" s="33"/>
      <c r="N101" s="33"/>
      <c r="O101" s="33"/>
      <c r="P101" s="33"/>
      <c r="Q101" s="33"/>
    </row>
    <row r="102" spans="2:20" x14ac:dyDescent="0.3">
      <c r="B102" s="150" t="s">
        <v>101</v>
      </c>
      <c r="C102" s="150"/>
      <c r="D102" s="150"/>
      <c r="E102" s="150"/>
      <c r="F102" s="150"/>
      <c r="G102" s="150"/>
      <c r="H102" s="150"/>
      <c r="I102" s="150"/>
      <c r="J102" s="150"/>
      <c r="K102" s="150"/>
      <c r="L102" s="150"/>
      <c r="M102" s="150"/>
      <c r="N102" s="150"/>
      <c r="O102" s="150"/>
      <c r="P102" s="150"/>
      <c r="Q102" s="150"/>
      <c r="R102" s="150"/>
      <c r="S102" s="150"/>
    </row>
    <row r="103" spans="2:20" ht="16.649999999999999" customHeight="1" x14ac:dyDescent="0.3"/>
    <row r="104" spans="2:20" ht="16.95" customHeight="1" x14ac:dyDescent="0.3">
      <c r="B104" s="148" t="s">
        <v>95</v>
      </c>
      <c r="C104" s="148"/>
      <c r="D104" s="148"/>
      <c r="E104" s="148"/>
      <c r="F104" s="148"/>
      <c r="G104" s="148"/>
      <c r="I104" s="76" t="s">
        <v>92</v>
      </c>
      <c r="J104" s="76"/>
      <c r="K104" s="76"/>
      <c r="L104" s="76"/>
      <c r="M104" s="76"/>
      <c r="N104" s="76"/>
      <c r="O104" s="76"/>
      <c r="P104" s="76"/>
      <c r="Q104" s="76"/>
      <c r="R104" s="76"/>
      <c r="S104" s="76"/>
    </row>
    <row r="105" spans="2:20" ht="16.95" customHeight="1" x14ac:dyDescent="0.3">
      <c r="B105" s="149" t="s">
        <v>94</v>
      </c>
      <c r="C105" s="149"/>
      <c r="D105" s="149"/>
      <c r="E105" s="149"/>
      <c r="F105" s="149"/>
      <c r="G105" s="149"/>
      <c r="I105" s="76" t="s">
        <v>92</v>
      </c>
    </row>
    <row r="106" spans="2:20" ht="24" customHeight="1" x14ac:dyDescent="0.3">
      <c r="B106" s="148" t="s">
        <v>93</v>
      </c>
      <c r="C106" s="148"/>
      <c r="D106" s="148"/>
      <c r="E106" s="148"/>
      <c r="F106" s="148"/>
      <c r="G106" s="148"/>
      <c r="I106" s="76" t="s">
        <v>92</v>
      </c>
      <c r="J106" s="76"/>
      <c r="K106" s="76"/>
      <c r="L106" s="76"/>
      <c r="M106" s="76"/>
      <c r="N106" s="76"/>
      <c r="O106" s="76"/>
      <c r="P106" s="76"/>
      <c r="Q106" s="76"/>
      <c r="R106" s="76"/>
      <c r="S106" s="76"/>
    </row>
    <row r="107" spans="2:20" ht="16.95" customHeight="1" x14ac:dyDescent="0.3">
      <c r="B107" s="137" t="s">
        <v>100</v>
      </c>
      <c r="C107" s="137"/>
      <c r="D107" s="137"/>
      <c r="E107" s="137"/>
      <c r="F107" s="137"/>
      <c r="G107" s="137"/>
      <c r="I107" s="131" t="s">
        <v>163</v>
      </c>
      <c r="J107" s="131"/>
      <c r="K107" s="131"/>
      <c r="L107" s="131"/>
      <c r="M107" s="75"/>
      <c r="N107" s="75"/>
      <c r="O107" s="75"/>
      <c r="P107" s="75"/>
      <c r="Q107" s="75"/>
      <c r="R107" s="75"/>
      <c r="S107" s="75"/>
      <c r="T107" s="75"/>
    </row>
    <row r="108" spans="2:20" ht="16.95" customHeight="1" x14ac:dyDescent="0.3"/>
    <row r="109" spans="2:20" ht="16.95" customHeight="1" x14ac:dyDescent="0.3"/>
    <row r="110" spans="2:20" ht="16.649999999999999" customHeight="1" x14ac:dyDescent="0.3">
      <c r="B110" s="147" t="s">
        <v>208</v>
      </c>
      <c r="C110" s="147"/>
      <c r="D110" s="147"/>
      <c r="E110" s="147"/>
      <c r="F110" s="147"/>
      <c r="G110" s="147"/>
      <c r="H110" s="147"/>
      <c r="I110" s="147"/>
      <c r="J110" s="147"/>
      <c r="K110" s="147"/>
      <c r="L110" s="147"/>
      <c r="M110" s="147"/>
      <c r="N110" s="147"/>
      <c r="O110" s="147"/>
      <c r="P110" s="147"/>
      <c r="Q110" s="147"/>
      <c r="R110" s="147"/>
      <c r="S110" s="147"/>
    </row>
    <row r="114" ht="24" customHeight="1" x14ac:dyDescent="0.3"/>
    <row r="115" ht="16.95" customHeight="1" x14ac:dyDescent="0.3"/>
    <row r="116" ht="16.95" customHeight="1" x14ac:dyDescent="0.3"/>
    <row r="117" ht="16.95" customHeight="1" x14ac:dyDescent="0.3"/>
    <row r="118" ht="16.95" customHeight="1" x14ac:dyDescent="0.3"/>
    <row r="119" ht="16.95" customHeight="1" x14ac:dyDescent="0.3"/>
    <row r="124" ht="24" customHeight="1" x14ac:dyDescent="0.3"/>
    <row r="136" ht="16.2" customHeight="1" x14ac:dyDescent="0.3"/>
    <row r="141" ht="16.95" customHeight="1" x14ac:dyDescent="0.3"/>
    <row r="142" ht="24" customHeight="1" x14ac:dyDescent="0.3"/>
    <row r="146" ht="16.95" customHeight="1" x14ac:dyDescent="0.3"/>
    <row r="150" ht="24" customHeight="1" x14ac:dyDescent="0.3"/>
  </sheetData>
  <mergeCells count="179">
    <mergeCell ref="P71:S71"/>
    <mergeCell ref="H70:L70"/>
    <mergeCell ref="H71:L71"/>
    <mergeCell ref="M70:O70"/>
    <mergeCell ref="M71:O71"/>
    <mergeCell ref="L87:M87"/>
    <mergeCell ref="D86:E86"/>
    <mergeCell ref="F86:G86"/>
    <mergeCell ref="H86:I86"/>
    <mergeCell ref="J86:K86"/>
    <mergeCell ref="L86:M86"/>
    <mergeCell ref="B70:G70"/>
    <mergeCell ref="B71:G71"/>
    <mergeCell ref="D87:E87"/>
    <mergeCell ref="F87:G87"/>
    <mergeCell ref="H87:I87"/>
    <mergeCell ref="J87:K87"/>
    <mergeCell ref="N82:S82"/>
    <mergeCell ref="B64:S64"/>
    <mergeCell ref="F45:J45"/>
    <mergeCell ref="F48:J48"/>
    <mergeCell ref="F46:G46"/>
    <mergeCell ref="K46:L46"/>
    <mergeCell ref="K48:P48"/>
    <mergeCell ref="K45:O45"/>
    <mergeCell ref="P70:S70"/>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I7:R7"/>
    <mergeCell ref="I8:R8"/>
    <mergeCell ref="C15:R15"/>
    <mergeCell ref="C17:G17"/>
    <mergeCell ref="C18:G18"/>
    <mergeCell ref="I13:R13"/>
    <mergeCell ref="I19:R19"/>
    <mergeCell ref="I20:R20"/>
    <mergeCell ref="D85:E85"/>
    <mergeCell ref="F85:G85"/>
    <mergeCell ref="H85:I85"/>
    <mergeCell ref="J85:K85"/>
    <mergeCell ref="L85:M85"/>
    <mergeCell ref="N85:O85"/>
    <mergeCell ref="P85:Q85"/>
    <mergeCell ref="R76:S76"/>
    <mergeCell ref="O76:Q76"/>
    <mergeCell ref="B78:S78"/>
    <mergeCell ref="N80:O80"/>
    <mergeCell ref="I80:M80"/>
    <mergeCell ref="P80:R80"/>
    <mergeCell ref="N84:O84"/>
    <mergeCell ref="P84:Q84"/>
    <mergeCell ref="B51:S58"/>
    <mergeCell ref="B60:S60"/>
    <mergeCell ref="B110:S110"/>
    <mergeCell ref="B104:G104"/>
    <mergeCell ref="B105:G105"/>
    <mergeCell ref="B106:G106"/>
    <mergeCell ref="B102:S102"/>
    <mergeCell ref="N89:O89"/>
    <mergeCell ref="P89:Q89"/>
    <mergeCell ref="D88:E88"/>
    <mergeCell ref="F88:G88"/>
    <mergeCell ref="H88:I88"/>
    <mergeCell ref="J88:K88"/>
    <mergeCell ref="L88:M88"/>
    <mergeCell ref="N88:O88"/>
    <mergeCell ref="P88:Q88"/>
    <mergeCell ref="D89:E89"/>
    <mergeCell ref="F89:G89"/>
    <mergeCell ref="H89:I89"/>
    <mergeCell ref="J89:K89"/>
    <mergeCell ref="L89:M89"/>
    <mergeCell ref="F83:I83"/>
    <mergeCell ref="J83:M83"/>
    <mergeCell ref="N83:Q83"/>
    <mergeCell ref="F82:M82"/>
    <mergeCell ref="D93:F93"/>
    <mergeCell ref="G93:I93"/>
    <mergeCell ref="H91:I91"/>
    <mergeCell ref="N91:O91"/>
    <mergeCell ref="B107:G107"/>
    <mergeCell ref="P87:Q87"/>
    <mergeCell ref="D83:E84"/>
    <mergeCell ref="F84:G84"/>
    <mergeCell ref="H84:I84"/>
    <mergeCell ref="J84:K84"/>
    <mergeCell ref="L84:M84"/>
    <mergeCell ref="N87:O87"/>
    <mergeCell ref="N86:O86"/>
    <mergeCell ref="P86:Q86"/>
    <mergeCell ref="D90:E90"/>
    <mergeCell ref="D91:E91"/>
    <mergeCell ref="F90:G90"/>
    <mergeCell ref="F91:G91"/>
    <mergeCell ref="H90:I90"/>
    <mergeCell ref="D96:F96"/>
    <mergeCell ref="G96:I96"/>
    <mergeCell ref="J96:L96"/>
    <mergeCell ref="M96:O96"/>
    <mergeCell ref="D95:F95"/>
    <mergeCell ref="J90:K90"/>
    <mergeCell ref="J91:K91"/>
    <mergeCell ref="L90:M90"/>
    <mergeCell ref="L91:M91"/>
    <mergeCell ref="N90:O90"/>
    <mergeCell ref="P90:Q90"/>
    <mergeCell ref="P91:Q91"/>
    <mergeCell ref="J93:L93"/>
    <mergeCell ref="M93:O93"/>
    <mergeCell ref="P93:Q93"/>
    <mergeCell ref="D97:F97"/>
    <mergeCell ref="D98:F98"/>
    <mergeCell ref="G94:I94"/>
    <mergeCell ref="J94:L94"/>
    <mergeCell ref="M94:O94"/>
    <mergeCell ref="P94:Q94"/>
    <mergeCell ref="G95:I95"/>
    <mergeCell ref="J95:L95"/>
    <mergeCell ref="M95:O95"/>
    <mergeCell ref="P95:Q95"/>
    <mergeCell ref="P96:Q96"/>
    <mergeCell ref="G97:I97"/>
    <mergeCell ref="J97:L97"/>
    <mergeCell ref="M97:O97"/>
    <mergeCell ref="P97:Q97"/>
    <mergeCell ref="G98:I98"/>
    <mergeCell ref="J98:L98"/>
    <mergeCell ref="M98:O98"/>
    <mergeCell ref="P98:Q98"/>
    <mergeCell ref="D94:F94"/>
    <mergeCell ref="P99:Q99"/>
    <mergeCell ref="P100:Q100"/>
    <mergeCell ref="I107:L107"/>
    <mergeCell ref="D99:F99"/>
    <mergeCell ref="D100:F100"/>
    <mergeCell ref="G99:I99"/>
    <mergeCell ref="J99:L99"/>
    <mergeCell ref="M99:O99"/>
    <mergeCell ref="G100:I100"/>
    <mergeCell ref="J100:L100"/>
    <mergeCell ref="M100:O100"/>
  </mergeCell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2024-07-18T03:42:42Z</cp:lastPrinted>
  <dcterms:created xsi:type="dcterms:W3CDTF">2012-07-25T22:15:54Z</dcterms:created>
  <dcterms:modified xsi:type="dcterms:W3CDTF">2026-06-22T17:53:51Z</dcterms:modified>
</cp:coreProperties>
</file>