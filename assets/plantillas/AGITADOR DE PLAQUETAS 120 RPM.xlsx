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BA656DF-106B-4402-9513-A39D908FDCE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<sst xmlns="http://schemas.openxmlformats.org/spreadsheetml/2006/main" count="971" uniqueCount="177">
  <si>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</si>
  <si>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</si>
  <si>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</si>
  <si>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</si>
  <si>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</si>
  <si>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</si>
  <si>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</si>
  <si>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</si>
  <si>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</si>
  <si>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</si>
  <si>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</si>
  <si>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</si>
  <si>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</si>
  <si>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</si>
  <si>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</si>
  <si>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</si>
  <si>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</si>
  <si>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</si>
  <si>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</si>
  <si>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</si>
  <si>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</si>
  <si>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</si>
  <si>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</si>
  <si>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</si>
  <si>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</si>
  <si>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</si>
  <si>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</si>
  <si>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</si>
  <si>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</si>
  <si>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</si>
  <si>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</si>
  <si>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</si>
  <si>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</si>
  <si>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</si>
  <si>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</si>
  <si>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</si>
  <si>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</si>
  <si>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</si>
  <si>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</si>
  <si>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</si>
  <si>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</si>
  <si>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</si>
  <si>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</si>
  <si>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</si>
  <si>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</si>
  <si>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</si>
  <si>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</si>
  <si>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</si>
  <si>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</si>
  <si>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</si>
  <si>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</si>
  <si>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</si>
  <si>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</si>
  <si>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</si>
  <si>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</si>
  <si>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</si>
  <si>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</si>
  <si>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</si>
  <si>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</si>
  <si>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</si>
  <si>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</si>
  <si>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</si>
  <si>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</si>
  <si>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</si>
  <si>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</si>
  <si>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</si>
  <si>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</si>
  <si>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</si>
  <si>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</si>
  <si>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</si>
  <si>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</si>
  <si>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</si>
  <si>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</si>
  <si>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</si>
  <si>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</si>
  <si>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</si>
  <si>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</si>
  <si>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</si>
  <si>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</si>
  <si>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</si>
  <si>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</si>
  <si>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</si>
  <si>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</si>
  <si>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</si>
  <si>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</si>
  <si>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</si>
  <si>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</si>
  <si>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</si>
  <si>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</si>
  <si>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</si>
  <si>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</si>
  <si>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</si>
  <si>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</si>
  <si>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</si>
  <si>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</si>
  <si>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</si>
  <si>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</si>
  <si>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</si>
  <si>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</si>
  <si>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</si>
  <si>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</si>
  <si>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</si>
  <si>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</si>
  <si>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</si>
  <si>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</si>
  <si>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</si>
  <si>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</si>
  <si>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</si>
  <si>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</si>
  <si>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</si>
  <si>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</si>
  <si>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</si>
  <si>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</si>
  <si>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</si>
  <si>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</si>
  <si>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</si>
  <si>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</si>
  <si>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</si>
  <si>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</si>
  <si>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</si>
  <si>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</si>
  <si>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</si>
  <si>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</si>
  <si>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</si>
  <si>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</si>
  <si>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</si>
  <si>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</si>
  <si>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</si>
  <si>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</si>
  <si>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</si>
  <si>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</si>
  <si>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</si>
  <si>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</si>
  <si>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</si>
  <si>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</si>
  <si>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</si>
  <si>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</si>
  <si>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</si>
  <si>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</si>
  <si>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</si>
  <si>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</si>
  <si>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</si>
  <si>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</si>
  <si>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</si>
  <si>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</si>
  <si>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</si>
  <si>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</si>
  <si>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</si>
  <si>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</si>
  <si>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</si>
  <si>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</si>
  <si>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</si>
  <si>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</si>
  <si>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</si>
  <si>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</si>
  <si>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</si>
  <si>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</si>
  <si>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</si>
  <si>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</si>
  <si>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</si>
  <si>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</si>
  <si>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</si>
  <si>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 xml:space="preserve">Laboratorio Clínico </t>
  </si>
  <si>
    <t>AGITADOR DE PLAQUETAS</t>
  </si>
  <si>
    <t>HELMER</t>
  </si>
  <si>
    <t>PF15I</t>
  </si>
  <si>
    <t>107150</t>
  </si>
  <si>
    <t>JD2080-24</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</si>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</sst>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25" fillId="0" borderId="4" xfId="0" applyFont="1" applyBorder="1" applyAlignment="1">
      <alignment horizontal="center"/>
    </xf>
    <xf numFmtId="0" fontId="25" fillId="0" borderId="7" xfId="0" applyFont="1" applyBorder="1" applyAlignment="1">
      <alignment horizontal="center"/>
    </xf>
    <xf numFmtId="0" fontId="10" fillId="0" borderId="0" xfId="0" applyFont="1" applyAlignment="1">
      <alignment horizontal="left"/>
    </xf>
    <xf numFmtId="0" fontId="16" fillId="0" borderId="0" xfId="0" applyFont="1" applyAlignment="1">
      <alignment horizontal="right"/>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0" fontId="13" fillId="0" borderId="18" xfId="0" applyFont="1" applyBorder="1" applyAlignment="1">
      <alignment horizontal="center"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118.12896688027276</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1.3862268401907814</c:v>
                  </c:pt>
                  <c:pt idx="1">
                    <c:v>0</c:v>
                  </c:pt>
                  <c:pt idx="2">
                    <c:v>0</c:v>
                  </c:pt>
                  <c:pt idx="3">
                    <c:v>0</c:v>
                  </c:pt>
                </c:numCache>
              </c:numRef>
            </c:plus>
            <c:minus>
              <c:numRef>
                <c:f>INCERTIDUMBRE!$L$4:$L$7</c:f>
                <c:numCache>
                  <c:formatCode>General</c:formatCode>
                  <c:ptCount val="4"/>
                  <c:pt idx="0">
                    <c:v>1.3862268401907814</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118.12896688027276</c:v>
                </c:pt>
              </c:numCache>
            </c:numRef>
          </c:xVal>
          <c:yVal>
            <c:numRef>
              <c:f>'CERTIFICADO '!$N$85:$N$85</c:f>
              <c:numCache>
                <c:formatCode>0.0</c:formatCode>
                <c:ptCount val="1"/>
                <c:pt idx="0">
                  <c:v>1.8710331197272438</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118.12896688027276</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topLeftCell="B1" zoomScaleNormal="100" workbookViewId="0">
      <selection activeCell="H3" sqref="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3" t="s">
        <v>105</v>
      </c>
      <c r="B1" s="164"/>
      <c r="C1" s="164"/>
      <c r="D1" s="164"/>
      <c r="E1" s="164"/>
      <c r="F1" s="164"/>
      <c r="G1" s="164"/>
      <c r="H1" s="165"/>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t="s">
        <v>163</v>
      </c>
      <c r="B3" s="110" t="s">
        <v>164</v>
      </c>
      <c r="C3" s="110" t="s">
        <v>165</v>
      </c>
      <c r="D3" s="110" t="s">
        <v>166</v>
      </c>
      <c r="E3" s="110" t="s">
        <v>162</v>
      </c>
      <c r="F3" s="110">
        <v>17421</v>
      </c>
      <c r="G3" s="110" t="s">
        <v>167</v>
      </c>
      <c r="H3" s="111">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6" t="s">
        <v>106</v>
      </c>
      <c r="B6" s="166"/>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45489</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45489</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0" t="s">
        <v>58</v>
      </c>
      <c r="B1" s="171"/>
      <c r="C1" s="171"/>
      <c r="D1" s="171"/>
      <c r="E1" s="171"/>
      <c r="F1" s="171"/>
      <c r="G1" s="171"/>
      <c r="H1" s="171"/>
      <c r="I1" s="171"/>
      <c r="J1" s="171"/>
      <c r="K1" s="172"/>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7" t="s">
        <v>48</v>
      </c>
      <c r="B10" s="168"/>
      <c r="C10" s="168"/>
      <c r="D10" s="168"/>
      <c r="E10" s="168"/>
      <c r="F10" s="168"/>
      <c r="G10" s="168"/>
      <c r="H10" s="168"/>
      <c r="I10" s="168"/>
      <c r="J10" s="168"/>
      <c r="K10" s="169"/>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7" t="s">
        <v>47</v>
      </c>
      <c r="B18" s="168"/>
      <c r="C18" s="168"/>
      <c r="D18" s="168"/>
      <c r="E18" s="168"/>
      <c r="F18" s="168"/>
      <c r="G18" s="168"/>
      <c r="H18" s="168"/>
      <c r="I18" s="168"/>
      <c r="J18" s="168"/>
      <c r="K18" s="169"/>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7" t="s">
        <v>46</v>
      </c>
      <c r="B26" s="168"/>
      <c r="C26" s="168"/>
      <c r="D26" s="168"/>
      <c r="E26" s="168"/>
      <c r="F26" s="168"/>
      <c r="G26" s="168"/>
      <c r="H26" s="168"/>
      <c r="I26" s="168"/>
      <c r="J26" s="168"/>
      <c r="K26" s="169"/>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7" t="s">
        <v>45</v>
      </c>
      <c r="B34" s="168"/>
      <c r="C34" s="168"/>
      <c r="D34" s="168"/>
      <c r="E34" s="168"/>
      <c r="F34" s="168"/>
      <c r="G34" s="168"/>
      <c r="H34" s="168"/>
      <c r="I34" s="168"/>
      <c r="J34" s="168"/>
      <c r="K34" s="169"/>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0" t="s">
        <v>57</v>
      </c>
      <c r="B41" s="171"/>
      <c r="C41" s="171"/>
      <c r="D41" s="171"/>
      <c r="E41" s="171"/>
      <c r="F41" s="171"/>
      <c r="G41" s="171"/>
      <c r="H41" s="171"/>
      <c r="I41" s="171"/>
      <c r="J41" s="171"/>
      <c r="K41" s="172"/>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7" t="s">
        <v>48</v>
      </c>
      <c r="B50" s="168"/>
      <c r="C50" s="168"/>
      <c r="D50" s="168"/>
      <c r="E50" s="168"/>
      <c r="F50" s="168"/>
      <c r="G50" s="168"/>
      <c r="H50" s="168"/>
      <c r="I50" s="168"/>
      <c r="J50" s="168"/>
      <c r="K50" s="169"/>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7" t="s">
        <v>47</v>
      </c>
      <c r="B58" s="168"/>
      <c r="C58" s="168"/>
      <c r="D58" s="168"/>
      <c r="E58" s="168"/>
      <c r="F58" s="168"/>
      <c r="G58" s="168"/>
      <c r="H58" s="168"/>
      <c r="I58" s="168"/>
      <c r="J58" s="168"/>
      <c r="K58" s="169"/>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7" t="s">
        <v>46</v>
      </c>
      <c r="B66" s="168"/>
      <c r="C66" s="168"/>
      <c r="D66" s="168"/>
      <c r="E66" s="168"/>
      <c r="F66" s="168"/>
      <c r="G66" s="168"/>
      <c r="H66" s="168"/>
      <c r="I66" s="168"/>
      <c r="J66" s="168"/>
      <c r="K66" s="169"/>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7" t="s">
        <v>45</v>
      </c>
      <c r="B74" s="168"/>
      <c r="C74" s="168"/>
      <c r="D74" s="168"/>
      <c r="E74" s="168"/>
      <c r="F74" s="168"/>
      <c r="G74" s="168"/>
      <c r="H74" s="168"/>
      <c r="I74" s="168"/>
      <c r="J74" s="168"/>
      <c r="K74" s="169"/>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0" t="s">
        <v>56</v>
      </c>
      <c r="B81" s="171"/>
      <c r="C81" s="171"/>
      <c r="D81" s="171"/>
      <c r="E81" s="171"/>
      <c r="F81" s="171"/>
      <c r="G81" s="171"/>
      <c r="H81" s="171"/>
      <c r="I81" s="171"/>
      <c r="J81" s="171"/>
      <c r="K81" s="172"/>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7" t="s">
        <v>48</v>
      </c>
      <c r="B90" s="168"/>
      <c r="C90" s="168"/>
      <c r="D90" s="168"/>
      <c r="E90" s="168"/>
      <c r="F90" s="168"/>
      <c r="G90" s="168"/>
      <c r="H90" s="168"/>
      <c r="I90" s="168"/>
      <c r="J90" s="168"/>
      <c r="K90" s="169"/>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7" t="s">
        <v>47</v>
      </c>
      <c r="B98" s="168"/>
      <c r="C98" s="168"/>
      <c r="D98" s="168"/>
      <c r="E98" s="168"/>
      <c r="F98" s="168"/>
      <c r="G98" s="168"/>
      <c r="H98" s="168"/>
      <c r="I98" s="168"/>
      <c r="J98" s="168"/>
      <c r="K98" s="169"/>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7" t="s">
        <v>46</v>
      </c>
      <c r="B106" s="168"/>
      <c r="C106" s="168"/>
      <c r="D106" s="168"/>
      <c r="E106" s="168"/>
      <c r="F106" s="168"/>
      <c r="G106" s="168"/>
      <c r="H106" s="168"/>
      <c r="I106" s="168"/>
      <c r="J106" s="168"/>
      <c r="K106" s="169"/>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7" t="s">
        <v>45</v>
      </c>
      <c r="B114" s="168"/>
      <c r="C114" s="168"/>
      <c r="D114" s="168"/>
      <c r="E114" s="168"/>
      <c r="F114" s="168"/>
      <c r="G114" s="168"/>
      <c r="H114" s="168"/>
      <c r="I114" s="168"/>
      <c r="J114" s="168"/>
      <c r="K114" s="169"/>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0" t="s">
        <v>55</v>
      </c>
      <c r="B122" s="171"/>
      <c r="C122" s="171"/>
      <c r="D122" s="171"/>
      <c r="E122" s="171"/>
      <c r="F122" s="171"/>
      <c r="G122" s="171"/>
      <c r="H122" s="171"/>
      <c r="I122" s="171"/>
      <c r="J122" s="171"/>
      <c r="K122" s="172"/>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7" t="s">
        <v>48</v>
      </c>
      <c r="B131" s="168"/>
      <c r="C131" s="168"/>
      <c r="D131" s="168"/>
      <c r="E131" s="168"/>
      <c r="F131" s="168"/>
      <c r="G131" s="168"/>
      <c r="H131" s="168"/>
      <c r="I131" s="168"/>
      <c r="J131" s="168"/>
      <c r="K131" s="169"/>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7" t="s">
        <v>47</v>
      </c>
      <c r="B139" s="168"/>
      <c r="C139" s="168"/>
      <c r="D139" s="168"/>
      <c r="E139" s="168"/>
      <c r="F139" s="168"/>
      <c r="G139" s="168"/>
      <c r="H139" s="168"/>
      <c r="I139" s="168"/>
      <c r="J139" s="168"/>
      <c r="K139" s="169"/>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7" t="s">
        <v>46</v>
      </c>
      <c r="B147" s="168"/>
      <c r="C147" s="168"/>
      <c r="D147" s="168"/>
      <c r="E147" s="168"/>
      <c r="F147" s="168"/>
      <c r="G147" s="168"/>
      <c r="H147" s="168"/>
      <c r="I147" s="168"/>
      <c r="J147" s="168"/>
      <c r="K147" s="169"/>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7" t="s">
        <v>45</v>
      </c>
      <c r="B155" s="168"/>
      <c r="C155" s="168"/>
      <c r="D155" s="168"/>
      <c r="E155" s="168"/>
      <c r="F155" s="168"/>
      <c r="G155" s="168"/>
      <c r="H155" s="168"/>
      <c r="I155" s="168"/>
      <c r="J155" s="168"/>
      <c r="K155" s="169"/>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0" t="s">
        <v>54</v>
      </c>
      <c r="B162" s="171"/>
      <c r="C162" s="171"/>
      <c r="D162" s="171"/>
      <c r="E162" s="171"/>
      <c r="F162" s="171"/>
      <c r="G162" s="171"/>
      <c r="H162" s="171"/>
      <c r="I162" s="171"/>
      <c r="J162" s="171"/>
      <c r="K162" s="172"/>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7" t="s">
        <v>48</v>
      </c>
      <c r="B171" s="168"/>
      <c r="C171" s="168"/>
      <c r="D171" s="168"/>
      <c r="E171" s="168"/>
      <c r="F171" s="168"/>
      <c r="G171" s="168"/>
      <c r="H171" s="168"/>
      <c r="I171" s="168"/>
      <c r="J171" s="168"/>
      <c r="K171" s="169"/>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7" t="s">
        <v>47</v>
      </c>
      <c r="B179" s="168"/>
      <c r="C179" s="168"/>
      <c r="D179" s="168"/>
      <c r="E179" s="168"/>
      <c r="F179" s="168"/>
      <c r="G179" s="168"/>
      <c r="H179" s="168"/>
      <c r="I179" s="168"/>
      <c r="J179" s="168"/>
      <c r="K179" s="169"/>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7" t="s">
        <v>46</v>
      </c>
      <c r="B187" s="168"/>
      <c r="C187" s="168"/>
      <c r="D187" s="168"/>
      <c r="E187" s="168"/>
      <c r="F187" s="168"/>
      <c r="G187" s="168"/>
      <c r="H187" s="168"/>
      <c r="I187" s="168"/>
      <c r="J187" s="168"/>
      <c r="K187" s="169"/>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7" t="s">
        <v>45</v>
      </c>
      <c r="B195" s="168"/>
      <c r="C195" s="168"/>
      <c r="D195" s="168"/>
      <c r="E195" s="168"/>
      <c r="F195" s="168"/>
      <c r="G195" s="168"/>
      <c r="H195" s="168"/>
      <c r="I195" s="168"/>
      <c r="J195" s="168"/>
      <c r="K195" s="169"/>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0" t="s">
        <v>54</v>
      </c>
      <c r="B202" s="171"/>
      <c r="C202" s="171"/>
      <c r="D202" s="171"/>
      <c r="E202" s="171"/>
      <c r="F202" s="171"/>
      <c r="G202" s="171"/>
      <c r="H202" s="171"/>
      <c r="I202" s="171"/>
      <c r="J202" s="171"/>
      <c r="K202" s="172"/>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7" t="s">
        <v>48</v>
      </c>
      <c r="B211" s="168"/>
      <c r="C211" s="168"/>
      <c r="D211" s="168"/>
      <c r="E211" s="168"/>
      <c r="F211" s="168"/>
      <c r="G211" s="168"/>
      <c r="H211" s="168"/>
      <c r="I211" s="168"/>
      <c r="J211" s="168"/>
      <c r="K211" s="169"/>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7" t="s">
        <v>47</v>
      </c>
      <c r="B219" s="168"/>
      <c r="C219" s="168"/>
      <c r="D219" s="168"/>
      <c r="E219" s="168"/>
      <c r="F219" s="168"/>
      <c r="G219" s="168"/>
      <c r="H219" s="168"/>
      <c r="I219" s="168"/>
      <c r="J219" s="168"/>
      <c r="K219" s="169"/>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7" t="s">
        <v>46</v>
      </c>
      <c r="B227" s="168"/>
      <c r="C227" s="168"/>
      <c r="D227" s="168"/>
      <c r="E227" s="168"/>
      <c r="F227" s="168"/>
      <c r="G227" s="168"/>
      <c r="H227" s="168"/>
      <c r="I227" s="168"/>
      <c r="J227" s="168"/>
      <c r="K227" s="169"/>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7" t="s">
        <v>45</v>
      </c>
      <c r="B235" s="168"/>
      <c r="C235" s="168"/>
      <c r="D235" s="168"/>
      <c r="E235" s="168"/>
      <c r="F235" s="168"/>
      <c r="G235" s="168"/>
      <c r="H235" s="168"/>
      <c r="I235" s="168"/>
      <c r="J235" s="168"/>
      <c r="K235" s="169"/>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0" t="s">
        <v>53</v>
      </c>
      <c r="B242" s="171"/>
      <c r="C242" s="171"/>
      <c r="D242" s="171"/>
      <c r="E242" s="171"/>
      <c r="F242" s="171"/>
      <c r="G242" s="171"/>
      <c r="H242" s="171"/>
      <c r="I242" s="171"/>
      <c r="J242" s="171"/>
      <c r="K242" s="172"/>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7" t="s">
        <v>48</v>
      </c>
      <c r="B251" s="168"/>
      <c r="C251" s="168"/>
      <c r="D251" s="168"/>
      <c r="E251" s="168"/>
      <c r="F251" s="168"/>
      <c r="G251" s="168"/>
      <c r="H251" s="168"/>
      <c r="I251" s="168"/>
      <c r="J251" s="168"/>
      <c r="K251" s="169"/>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7" t="s">
        <v>47</v>
      </c>
      <c r="B259" s="168"/>
      <c r="C259" s="168"/>
      <c r="D259" s="168"/>
      <c r="E259" s="168"/>
      <c r="F259" s="168"/>
      <c r="G259" s="168"/>
      <c r="H259" s="168"/>
      <c r="I259" s="168"/>
      <c r="J259" s="168"/>
      <c r="K259" s="169"/>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7" t="s">
        <v>46</v>
      </c>
      <c r="B267" s="168"/>
      <c r="C267" s="168"/>
      <c r="D267" s="168"/>
      <c r="E267" s="168"/>
      <c r="F267" s="168"/>
      <c r="G267" s="168"/>
      <c r="H267" s="168"/>
      <c r="I267" s="168"/>
      <c r="J267" s="168"/>
      <c r="K267" s="169"/>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7" t="s">
        <v>45</v>
      </c>
      <c r="B275" s="168"/>
      <c r="C275" s="168"/>
      <c r="D275" s="168"/>
      <c r="E275" s="168"/>
      <c r="F275" s="168"/>
      <c r="G275" s="168"/>
      <c r="H275" s="168"/>
      <c r="I275" s="168"/>
      <c r="J275" s="168"/>
      <c r="K275" s="169"/>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0" t="s">
        <v>52</v>
      </c>
      <c r="B282" s="171"/>
      <c r="C282" s="171"/>
      <c r="D282" s="171"/>
      <c r="E282" s="171"/>
      <c r="F282" s="171"/>
      <c r="G282" s="171"/>
      <c r="H282" s="171"/>
      <c r="I282" s="171"/>
      <c r="J282" s="171"/>
      <c r="K282" s="172"/>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7" t="s">
        <v>48</v>
      </c>
      <c r="B291" s="168"/>
      <c r="C291" s="168"/>
      <c r="D291" s="168"/>
      <c r="E291" s="168"/>
      <c r="F291" s="168"/>
      <c r="G291" s="168"/>
      <c r="H291" s="168"/>
      <c r="I291" s="168"/>
      <c r="J291" s="168"/>
      <c r="K291" s="169"/>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7" t="s">
        <v>47</v>
      </c>
      <c r="B299" s="168"/>
      <c r="C299" s="168"/>
      <c r="D299" s="168"/>
      <c r="E299" s="168"/>
      <c r="F299" s="168"/>
      <c r="G299" s="168"/>
      <c r="H299" s="168"/>
      <c r="I299" s="168"/>
      <c r="J299" s="168"/>
      <c r="K299" s="169"/>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7" t="s">
        <v>46</v>
      </c>
      <c r="B307" s="168"/>
      <c r="C307" s="168"/>
      <c r="D307" s="168"/>
      <c r="E307" s="168"/>
      <c r="F307" s="168"/>
      <c r="G307" s="168"/>
      <c r="H307" s="168"/>
      <c r="I307" s="168"/>
      <c r="J307" s="168"/>
      <c r="K307" s="169"/>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7" t="s">
        <v>45</v>
      </c>
      <c r="B315" s="168"/>
      <c r="C315" s="168"/>
      <c r="D315" s="168"/>
      <c r="E315" s="168"/>
      <c r="F315" s="168"/>
      <c r="G315" s="168"/>
      <c r="H315" s="168"/>
      <c r="I315" s="168"/>
      <c r="J315" s="168"/>
      <c r="K315" s="169"/>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0" t="s">
        <v>51</v>
      </c>
      <c r="B322" s="171"/>
      <c r="C322" s="171"/>
      <c r="D322" s="171"/>
      <c r="E322" s="171"/>
      <c r="F322" s="171"/>
      <c r="G322" s="171"/>
      <c r="H322" s="171"/>
      <c r="I322" s="171"/>
      <c r="J322" s="171"/>
      <c r="K322" s="172"/>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7" t="s">
        <v>48</v>
      </c>
      <c r="B331" s="168"/>
      <c r="C331" s="168"/>
      <c r="D331" s="168"/>
      <c r="E331" s="168"/>
      <c r="F331" s="168"/>
      <c r="G331" s="168"/>
      <c r="H331" s="168"/>
      <c r="I331" s="168"/>
      <c r="J331" s="168"/>
      <c r="K331" s="169"/>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7" t="s">
        <v>47</v>
      </c>
      <c r="B339" s="168"/>
      <c r="C339" s="168"/>
      <c r="D339" s="168"/>
      <c r="E339" s="168"/>
      <c r="F339" s="168"/>
      <c r="G339" s="168"/>
      <c r="H339" s="168"/>
      <c r="I339" s="168"/>
      <c r="J339" s="168"/>
      <c r="K339" s="169"/>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7" t="s">
        <v>46</v>
      </c>
      <c r="B347" s="168"/>
      <c r="C347" s="168"/>
      <c r="D347" s="168"/>
      <c r="E347" s="168"/>
      <c r="F347" s="168"/>
      <c r="G347" s="168"/>
      <c r="H347" s="168"/>
      <c r="I347" s="168"/>
      <c r="J347" s="168"/>
      <c r="K347" s="169"/>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7" t="s">
        <v>45</v>
      </c>
      <c r="B355" s="168"/>
      <c r="C355" s="168"/>
      <c r="D355" s="168"/>
      <c r="E355" s="168"/>
      <c r="F355" s="168"/>
      <c r="G355" s="168"/>
      <c r="H355" s="168"/>
      <c r="I355" s="168"/>
      <c r="J355" s="168"/>
      <c r="K355" s="169"/>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0" t="s">
        <v>50</v>
      </c>
      <c r="B362" s="171"/>
      <c r="C362" s="171"/>
      <c r="D362" s="171"/>
      <c r="E362" s="171"/>
      <c r="F362" s="171"/>
      <c r="G362" s="171"/>
      <c r="H362" s="171"/>
      <c r="I362" s="171"/>
      <c r="J362" s="171"/>
      <c r="K362" s="172"/>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7" t="s">
        <v>48</v>
      </c>
      <c r="B371" s="168"/>
      <c r="C371" s="168"/>
      <c r="D371" s="168"/>
      <c r="E371" s="168"/>
      <c r="F371" s="168"/>
      <c r="G371" s="168"/>
      <c r="H371" s="168"/>
      <c r="I371" s="168"/>
      <c r="J371" s="168"/>
      <c r="K371" s="169"/>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7" t="s">
        <v>47</v>
      </c>
      <c r="B379" s="168"/>
      <c r="C379" s="168"/>
      <c r="D379" s="168"/>
      <c r="E379" s="168"/>
      <c r="F379" s="168"/>
      <c r="G379" s="168"/>
      <c r="H379" s="168"/>
      <c r="I379" s="168"/>
      <c r="J379" s="168"/>
      <c r="K379" s="169"/>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7" t="s">
        <v>46</v>
      </c>
      <c r="B387" s="168"/>
      <c r="C387" s="168"/>
      <c r="D387" s="168"/>
      <c r="E387" s="168"/>
      <c r="F387" s="168"/>
      <c r="G387" s="168"/>
      <c r="H387" s="168"/>
      <c r="I387" s="168"/>
      <c r="J387" s="168"/>
      <c r="K387" s="169"/>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7" t="s">
        <v>45</v>
      </c>
      <c r="B395" s="168"/>
      <c r="C395" s="168"/>
      <c r="D395" s="168"/>
      <c r="E395" s="168"/>
      <c r="F395" s="168"/>
      <c r="G395" s="168"/>
      <c r="H395" s="168"/>
      <c r="I395" s="168"/>
      <c r="J395" s="168"/>
      <c r="K395" s="169"/>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0" t="s">
        <v>49</v>
      </c>
      <c r="B402" s="171"/>
      <c r="C402" s="171"/>
      <c r="D402" s="171"/>
      <c r="E402" s="171"/>
      <c r="F402" s="171"/>
      <c r="G402" s="171"/>
      <c r="H402" s="171"/>
      <c r="I402" s="171"/>
      <c r="J402" s="171"/>
      <c r="K402" s="172"/>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7" t="s">
        <v>48</v>
      </c>
      <c r="B411" s="168"/>
      <c r="C411" s="168"/>
      <c r="D411" s="168"/>
      <c r="E411" s="168"/>
      <c r="F411" s="168"/>
      <c r="G411" s="168"/>
      <c r="H411" s="168"/>
      <c r="I411" s="168"/>
      <c r="J411" s="168"/>
      <c r="K411" s="169"/>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7" t="s">
        <v>47</v>
      </c>
      <c r="B419" s="168"/>
      <c r="C419" s="168"/>
      <c r="D419" s="168"/>
      <c r="E419" s="168"/>
      <c r="F419" s="168"/>
      <c r="G419" s="168"/>
      <c r="H419" s="168"/>
      <c r="I419" s="168"/>
      <c r="J419" s="168"/>
      <c r="K419" s="169"/>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7" t="s">
        <v>46</v>
      </c>
      <c r="B427" s="168"/>
      <c r="C427" s="168"/>
      <c r="D427" s="168"/>
      <c r="E427" s="168"/>
      <c r="F427" s="168"/>
      <c r="G427" s="168"/>
      <c r="H427" s="168"/>
      <c r="I427" s="168"/>
      <c r="J427" s="168"/>
      <c r="K427" s="169"/>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7" t="s">
        <v>45</v>
      </c>
      <c r="B435" s="168"/>
      <c r="C435" s="168"/>
      <c r="D435" s="168"/>
      <c r="E435" s="168"/>
      <c r="F435" s="168"/>
      <c r="G435" s="168"/>
      <c r="H435" s="168"/>
      <c r="I435" s="168"/>
      <c r="J435" s="168"/>
      <c r="K435" s="169"/>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0" t="s">
        <v>32</v>
      </c>
      <c r="B442" s="171"/>
      <c r="C442" s="171"/>
      <c r="D442" s="171"/>
      <c r="E442" s="171"/>
      <c r="F442" s="171"/>
      <c r="G442" s="171"/>
      <c r="H442" s="171"/>
      <c r="I442" s="171"/>
      <c r="J442" s="171"/>
      <c r="K442" s="172"/>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7" t="s">
        <v>48</v>
      </c>
      <c r="D451" s="168"/>
      <c r="E451" s="168"/>
      <c r="F451" s="168"/>
      <c r="G451" s="168"/>
      <c r="H451" s="168"/>
      <c r="I451" s="168"/>
      <c r="J451" s="168"/>
      <c r="K451" s="168"/>
      <c r="L451" s="168"/>
      <c r="M451" s="169"/>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7" t="s">
        <v>47</v>
      </c>
      <c r="D459" s="168"/>
      <c r="E459" s="168"/>
      <c r="F459" s="168"/>
      <c r="G459" s="168"/>
      <c r="H459" s="168"/>
      <c r="I459" s="168"/>
      <c r="J459" s="168"/>
      <c r="K459" s="168"/>
      <c r="L459" s="168"/>
      <c r="M459" s="169"/>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7" t="s">
        <v>46</v>
      </c>
      <c r="D467" s="168"/>
      <c r="E467" s="168"/>
      <c r="F467" s="168"/>
      <c r="G467" s="168"/>
      <c r="H467" s="168"/>
      <c r="I467" s="168"/>
      <c r="J467" s="168"/>
      <c r="K467" s="168"/>
      <c r="L467" s="168"/>
      <c r="M467" s="169"/>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7" t="s">
        <v>45</v>
      </c>
      <c r="D475" s="168"/>
      <c r="E475" s="168"/>
      <c r="F475" s="168"/>
      <c r="G475" s="168"/>
      <c r="H475" s="168"/>
      <c r="I475" s="168"/>
      <c r="J475" s="168"/>
      <c r="K475" s="168"/>
      <c r="L475" s="168"/>
      <c r="M475" s="169"/>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8" t="s">
        <v>13</v>
      </c>
      <c r="C34" s="178"/>
      <c r="D34" s="178"/>
      <c r="E34" s="178"/>
      <c r="F34" s="178"/>
      <c r="G34" s="178"/>
      <c r="H34" s="178"/>
      <c r="I34" s="178"/>
      <c r="J34" s="178"/>
      <c r="K34" s="178"/>
      <c r="L34" s="178"/>
      <c r="M34" s="178"/>
      <c r="N34" s="4"/>
      <c r="O34" s="4"/>
      <c r="P34" s="4"/>
      <c r="Q34" s="4"/>
    </row>
    <row r="35" spans="2:17" x14ac:dyDescent="0.3">
      <c r="B35" s="173" t="s">
        <v>12</v>
      </c>
      <c r="C35" s="173"/>
      <c r="D35" s="173"/>
      <c r="E35" s="173"/>
      <c r="F35" s="173"/>
      <c r="G35" s="175" t="s">
        <v>127</v>
      </c>
      <c r="H35" s="176"/>
      <c r="I35" s="176"/>
      <c r="J35" s="176"/>
      <c r="K35" s="176"/>
      <c r="L35" s="176"/>
      <c r="M35" s="177"/>
      <c r="N35" s="9"/>
      <c r="O35" s="9"/>
      <c r="P35" s="9"/>
      <c r="Q35" s="9"/>
    </row>
    <row r="36" spans="2:17" x14ac:dyDescent="0.3">
      <c r="B36" s="173" t="s">
        <v>7</v>
      </c>
      <c r="C36" s="173"/>
      <c r="D36" s="173"/>
      <c r="E36" s="173"/>
      <c r="F36" s="173"/>
      <c r="G36" s="175" t="s">
        <v>128</v>
      </c>
      <c r="H36" s="176"/>
      <c r="I36" s="176"/>
      <c r="J36" s="176"/>
      <c r="K36" s="176"/>
      <c r="L36" s="176"/>
      <c r="M36" s="177"/>
      <c r="N36" s="9"/>
      <c r="O36" s="9"/>
      <c r="P36" s="9"/>
      <c r="Q36" s="9"/>
    </row>
    <row r="37" spans="2:17" x14ac:dyDescent="0.3">
      <c r="B37" s="173" t="s">
        <v>6</v>
      </c>
      <c r="C37" s="173"/>
      <c r="D37" s="173"/>
      <c r="E37" s="173"/>
      <c r="F37" s="173"/>
      <c r="G37" s="175" t="s">
        <v>129</v>
      </c>
      <c r="H37" s="176"/>
      <c r="I37" s="176"/>
      <c r="J37" s="176"/>
      <c r="K37" s="176"/>
      <c r="L37" s="176"/>
      <c r="M37" s="177"/>
      <c r="N37" s="9"/>
      <c r="O37" s="9"/>
      <c r="P37" s="9"/>
      <c r="Q37" s="9"/>
    </row>
    <row r="38" spans="2:17" x14ac:dyDescent="0.3">
      <c r="B38" s="173" t="s">
        <v>4</v>
      </c>
      <c r="C38" s="173"/>
      <c r="D38" s="173"/>
      <c r="E38" s="173"/>
      <c r="F38" s="173"/>
      <c r="G38" s="175" t="s">
        <v>130</v>
      </c>
      <c r="H38" s="176"/>
      <c r="I38" s="176"/>
      <c r="J38" s="176"/>
      <c r="K38" s="176"/>
      <c r="L38" s="176"/>
      <c r="M38" s="177"/>
      <c r="N38" s="9"/>
      <c r="O38" s="9"/>
      <c r="P38" s="9"/>
      <c r="Q38" s="9"/>
    </row>
    <row r="39" spans="2:17" x14ac:dyDescent="0.3">
      <c r="B39" s="2" t="s">
        <v>11</v>
      </c>
      <c r="C39" s="2"/>
      <c r="D39" s="2"/>
      <c r="E39" s="2"/>
      <c r="F39" s="2"/>
      <c r="G39" s="179">
        <v>45089</v>
      </c>
      <c r="H39" s="179"/>
      <c r="I39" s="179"/>
      <c r="J39" s="179"/>
      <c r="K39" s="179"/>
      <c r="L39" s="179"/>
      <c r="M39" s="179"/>
      <c r="N39" s="10"/>
      <c r="O39" s="10"/>
      <c r="P39" s="10"/>
      <c r="Q39" s="10"/>
    </row>
    <row r="40" spans="2:17" x14ac:dyDescent="0.3">
      <c r="B40" s="173" t="s">
        <v>10</v>
      </c>
      <c r="C40" s="173"/>
      <c r="D40" s="173"/>
      <c r="E40" s="173"/>
      <c r="F40" s="173"/>
      <c r="G40" s="174" t="s">
        <v>131</v>
      </c>
      <c r="H40" s="174"/>
      <c r="I40" s="174"/>
      <c r="J40" s="174"/>
      <c r="K40" s="174"/>
      <c r="L40" s="174"/>
      <c r="M40" s="174"/>
      <c r="N40" s="9"/>
      <c r="O40" s="9"/>
      <c r="P40" s="9"/>
      <c r="Q40" s="9"/>
    </row>
    <row r="41" spans="2:17" x14ac:dyDescent="0.3">
      <c r="B41" s="173" t="s">
        <v>132</v>
      </c>
      <c r="C41" s="173"/>
      <c r="D41" s="173"/>
      <c r="E41" s="173"/>
      <c r="F41" s="173"/>
      <c r="G41" s="175">
        <v>0.7</v>
      </c>
      <c r="H41" s="176"/>
      <c r="I41" s="176"/>
      <c r="J41" s="176"/>
      <c r="K41" s="176"/>
      <c r="L41" s="176"/>
      <c r="M41" s="177"/>
      <c r="N41" s="5"/>
      <c r="O41" s="5"/>
      <c r="P41" s="5"/>
      <c r="Q41" s="5"/>
    </row>
    <row r="42" spans="2:17" x14ac:dyDescent="0.3">
      <c r="B42" s="2" t="s">
        <v>124</v>
      </c>
      <c r="C42" s="2"/>
      <c r="D42" s="2"/>
      <c r="E42" s="2"/>
      <c r="F42" s="2"/>
      <c r="G42" s="175">
        <v>0.7</v>
      </c>
      <c r="H42" s="176"/>
      <c r="I42" s="176"/>
      <c r="J42" s="176"/>
      <c r="K42" s="176"/>
      <c r="L42" s="176"/>
      <c r="M42" s="177"/>
      <c r="N42" s="5"/>
      <c r="O42" s="5"/>
      <c r="P42" s="5"/>
      <c r="Q42" s="5"/>
    </row>
    <row r="43" spans="2:17" x14ac:dyDescent="0.3">
      <c r="B43" s="2" t="s">
        <v>121</v>
      </c>
      <c r="C43" s="2"/>
      <c r="D43" s="2"/>
      <c r="E43" s="2"/>
      <c r="F43" s="2"/>
      <c r="G43" s="175">
        <v>1</v>
      </c>
      <c r="H43" s="176"/>
      <c r="I43" s="176"/>
      <c r="J43" s="176"/>
      <c r="K43" s="176"/>
      <c r="L43" s="176"/>
      <c r="M43" s="177"/>
    </row>
    <row r="44" spans="2:17" x14ac:dyDescent="0.3">
      <c r="B44" s="173" t="s">
        <v>9</v>
      </c>
      <c r="C44" s="173"/>
      <c r="D44" s="173"/>
      <c r="E44" s="173"/>
      <c r="F44" s="173"/>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55"/>
      <c r="D85" s="155"/>
      <c r="E85" s="155"/>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F9" sqref="F9"/>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0" t="s">
        <v>133</v>
      </c>
      <c r="C3" s="180"/>
      <c r="D3" s="180"/>
      <c r="E3" s="180"/>
      <c r="F3" s="180"/>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28">
        <v>120</v>
      </c>
      <c r="C5" s="28">
        <v>118</v>
      </c>
      <c r="D5" s="112">
        <f ca="1">C5+((RAND()*(0.9-0.1)+0.1)*RANDBETWEEN(-1,1))</f>
        <v>118.57189430364409</v>
      </c>
      <c r="E5" s="112">
        <f ca="1">C5+((RAND()*(0.9-0.1)+0.1)*RANDBETWEEN(-1,1))</f>
        <v>118.11645204769235</v>
      </c>
      <c r="F5" s="112">
        <f ca="1">C5+((RAND()*(0.9-0.1)+0.1)*RANDBETWEEN(-1,1))</f>
        <v>117.82752116975458</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1" t="s">
        <v>126</v>
      </c>
      <c r="C2" s="182"/>
      <c r="D2" s="182"/>
      <c r="E2" s="182"/>
      <c r="F2" s="182"/>
      <c r="G2" s="182"/>
      <c r="H2" s="182"/>
      <c r="I2" s="182"/>
      <c r="J2" s="182"/>
      <c r="K2" s="182"/>
      <c r="L2" s="183"/>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120</v>
      </c>
      <c r="C4" s="99">
        <f>PATRON!$G$41/2</f>
        <v>0.35</v>
      </c>
      <c r="D4" s="99">
        <f>PATRON!$G$42/SQRT(3)</f>
        <v>0.40414518843273806</v>
      </c>
      <c r="E4" s="8">
        <v>0</v>
      </c>
      <c r="F4" s="8">
        <f>PATRON!G$43/SQRT(12)</f>
        <v>0.28867513459481292</v>
      </c>
      <c r="G4" s="8">
        <f>PATRON!$G$43/SQRT(12)</f>
        <v>0.28867513459481292</v>
      </c>
      <c r="H4" s="98">
        <f ca="1">STDEVA(MEDIDA!C5:F5)/SQRT(4)</f>
        <v>0.15912345731275743</v>
      </c>
      <c r="I4" s="8">
        <f ca="1">SQRT(SUMSQ(C4:H4))</f>
        <v>0.69124545182385466</v>
      </c>
      <c r="J4" s="15">
        <f ca="1">I4^4/(C4^4/200+D4^4/200+E4^4/200+F4^4/200+G4^4/200+H4^4/3)</f>
        <v>464.45512483381083</v>
      </c>
      <c r="K4" s="11">
        <f ca="1">TINV(0.0455,J4)</f>
        <v>2.0054046453878498</v>
      </c>
      <c r="L4" s="8">
        <f ca="1">I4*K4</f>
        <v>1.3862268401907814</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22" zoomScaleNormal="100" workbookViewId="0">
      <selection activeCell="T81" sqref="T8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7"/>
      <c r="J1" s="147"/>
      <c r="K1" s="147"/>
      <c r="M1" s="65"/>
      <c r="O1" s="145" t="s">
        <v>80</v>
      </c>
      <c r="P1" s="145"/>
      <c r="Q1" s="145"/>
      <c r="R1" s="146" t="str">
        <f>INFORMACIÓN!G3</f>
        <v>JD2080-24</v>
      </c>
      <c r="S1" s="146"/>
    </row>
    <row r="2" spans="1:27" ht="16.95" customHeight="1" x14ac:dyDescent="0.3">
      <c r="G2" s="149"/>
      <c r="H2" s="149"/>
      <c r="I2" s="149"/>
      <c r="J2" s="148"/>
      <c r="K2" s="148"/>
    </row>
    <row r="3" spans="1:27" ht="16.95" customHeight="1" x14ac:dyDescent="0.3">
      <c r="B3" s="84"/>
      <c r="C3" s="143" t="s">
        <v>71</v>
      </c>
      <c r="D3" s="143"/>
      <c r="E3" s="143"/>
      <c r="F3" s="143"/>
      <c r="G3" s="143"/>
      <c r="H3" s="143"/>
      <c r="I3" s="143"/>
      <c r="J3" s="143"/>
      <c r="K3" s="143"/>
      <c r="L3" s="143"/>
      <c r="M3" s="143"/>
      <c r="N3" s="143"/>
      <c r="O3" s="143"/>
      <c r="P3" s="143"/>
      <c r="Q3" s="143"/>
      <c r="R3" s="143"/>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5" t="s">
        <v>62</v>
      </c>
      <c r="D5" s="145"/>
      <c r="E5" s="145"/>
      <c r="F5" s="145"/>
      <c r="G5" s="145"/>
      <c r="H5" s="53"/>
      <c r="I5" s="144" t="str">
        <f>INFORMACIÓN!A3</f>
        <v>AGITADOR DE PLAQUETAS</v>
      </c>
      <c r="J5" s="144"/>
      <c r="K5" s="144"/>
      <c r="L5" s="144"/>
      <c r="M5" s="144"/>
      <c r="N5" s="144"/>
      <c r="O5" s="144"/>
      <c r="P5" s="144"/>
      <c r="Q5" s="144"/>
      <c r="R5" s="144"/>
      <c r="S5"/>
      <c r="T5"/>
      <c r="U5"/>
      <c r="V5"/>
      <c r="W5"/>
      <c r="X5"/>
      <c r="Y5"/>
      <c r="Z5"/>
      <c r="AA5"/>
    </row>
    <row r="6" spans="1:27" s="55" customFormat="1" ht="16.95" customHeight="1" x14ac:dyDescent="0.3">
      <c r="B6" s="79"/>
      <c r="C6" s="145" t="s">
        <v>63</v>
      </c>
      <c r="D6" s="145"/>
      <c r="E6" s="145"/>
      <c r="F6" s="145"/>
      <c r="G6" s="145"/>
      <c r="H6" s="53"/>
      <c r="I6" s="144" t="str">
        <f>INFORMACIÓN!B3</f>
        <v>HELMER</v>
      </c>
      <c r="J6" s="144"/>
      <c r="K6" s="144"/>
      <c r="L6" s="144"/>
      <c r="M6" s="144"/>
      <c r="N6" s="144"/>
      <c r="O6" s="144"/>
      <c r="P6" s="144"/>
      <c r="Q6" s="144"/>
      <c r="R6" s="144"/>
      <c r="S6"/>
      <c r="T6"/>
      <c r="U6"/>
      <c r="V6"/>
      <c r="W6"/>
      <c r="X6"/>
      <c r="Y6"/>
      <c r="Z6"/>
      <c r="AA6"/>
    </row>
    <row r="7" spans="1:27" s="55" customFormat="1" ht="16.95" customHeight="1" x14ac:dyDescent="0.3">
      <c r="B7" s="79"/>
      <c r="C7" s="145" t="s">
        <v>64</v>
      </c>
      <c r="D7" s="145"/>
      <c r="E7" s="145"/>
      <c r="F7" s="145"/>
      <c r="G7" s="145"/>
      <c r="H7" s="53"/>
      <c r="I7" s="144" t="str">
        <f>INFORMACIÓN!C3</f>
        <v>PF15I</v>
      </c>
      <c r="J7" s="144"/>
      <c r="K7" s="144"/>
      <c r="L7" s="144"/>
      <c r="M7" s="144"/>
      <c r="N7" s="144"/>
      <c r="O7" s="144"/>
      <c r="P7" s="144"/>
      <c r="Q7" s="144"/>
      <c r="R7" s="144"/>
      <c r="S7"/>
      <c r="T7"/>
      <c r="U7"/>
      <c r="V7"/>
      <c r="W7"/>
      <c r="X7"/>
      <c r="Y7"/>
      <c r="Z7"/>
      <c r="AA7"/>
    </row>
    <row r="8" spans="1:27" s="55" customFormat="1" ht="16.95" customHeight="1" x14ac:dyDescent="0.3">
      <c r="B8" s="79"/>
      <c r="C8" s="145" t="s">
        <v>65</v>
      </c>
      <c r="D8" s="145"/>
      <c r="E8" s="145"/>
      <c r="F8" s="145"/>
      <c r="G8" s="145"/>
      <c r="H8" s="53"/>
      <c r="I8" s="144" t="str">
        <f>INFORMACIÓN!D3</f>
        <v>107150</v>
      </c>
      <c r="J8" s="144"/>
      <c r="K8" s="144"/>
      <c r="L8" s="144"/>
      <c r="M8" s="144"/>
      <c r="N8" s="144"/>
      <c r="O8" s="144"/>
      <c r="P8" s="144"/>
      <c r="Q8" s="144"/>
      <c r="R8" s="144"/>
      <c r="S8"/>
      <c r="T8"/>
      <c r="U8"/>
      <c r="V8"/>
      <c r="W8"/>
      <c r="X8"/>
      <c r="Y8"/>
      <c r="Z8"/>
      <c r="AA8"/>
    </row>
    <row r="9" spans="1:27" s="55" customFormat="1" ht="16.95" customHeight="1" x14ac:dyDescent="0.3">
      <c r="B9" s="79"/>
      <c r="C9" s="145" t="s">
        <v>66</v>
      </c>
      <c r="D9" s="145"/>
      <c r="E9" s="145"/>
      <c r="F9" s="145"/>
      <c r="G9" s="145"/>
      <c r="H9" s="53"/>
      <c r="I9" s="144">
        <f>INFORMACIÓN!F3</f>
        <v>17421</v>
      </c>
      <c r="J9" s="144"/>
      <c r="K9" s="144"/>
      <c r="L9" s="144"/>
      <c r="M9" s="144"/>
      <c r="N9" s="144"/>
      <c r="O9" s="144"/>
      <c r="P9" s="144"/>
      <c r="Q9" s="144"/>
      <c r="R9" s="144"/>
      <c r="S9"/>
      <c r="T9"/>
      <c r="U9"/>
      <c r="V9"/>
      <c r="W9"/>
      <c r="X9"/>
      <c r="Y9"/>
      <c r="Z9"/>
      <c r="AA9"/>
    </row>
    <row r="10" spans="1:27" s="55" customFormat="1" ht="16.95" customHeight="1" x14ac:dyDescent="0.3">
      <c r="B10" s="79"/>
      <c r="C10" s="145" t="s">
        <v>68</v>
      </c>
      <c r="D10" s="145"/>
      <c r="E10" s="145"/>
      <c r="F10" s="145"/>
      <c r="G10" s="145"/>
      <c r="H10" s="53"/>
      <c r="I10" s="144" t="str">
        <f>INFORMACIÓN!E3</f>
        <v xml:space="preserve">Laboratorio Clínico </v>
      </c>
      <c r="J10" s="144"/>
      <c r="K10" s="144"/>
      <c r="L10" s="144"/>
      <c r="M10" s="144"/>
      <c r="N10" s="144"/>
      <c r="O10" s="144"/>
      <c r="P10" s="144"/>
      <c r="Q10" s="144"/>
      <c r="R10" s="144"/>
      <c r="S10"/>
      <c r="T10"/>
      <c r="U10"/>
      <c r="V10"/>
      <c r="W10"/>
      <c r="X10"/>
      <c r="Y10"/>
      <c r="Z10"/>
      <c r="AA10"/>
    </row>
    <row r="11" spans="1:27" s="55" customFormat="1" ht="16.95" customHeight="1" x14ac:dyDescent="0.3">
      <c r="B11" s="79"/>
      <c r="C11" s="145" t="s">
        <v>67</v>
      </c>
      <c r="D11" s="145"/>
      <c r="E11" s="145"/>
      <c r="F11" s="145"/>
      <c r="G11" s="145"/>
      <c r="H11" s="53"/>
      <c r="I11" s="144" t="str">
        <f>INFORMACIÓN!B8</f>
        <v>BUEN ESTADO</v>
      </c>
      <c r="J11" s="144"/>
      <c r="K11" s="144"/>
      <c r="L11" s="144"/>
      <c r="M11" s="144"/>
      <c r="N11" s="144"/>
      <c r="O11" s="144"/>
      <c r="P11" s="144"/>
      <c r="Q11" s="144"/>
      <c r="R11" s="144"/>
      <c r="S11"/>
      <c r="T11"/>
      <c r="U11"/>
      <c r="V11"/>
      <c r="W11"/>
      <c r="X11"/>
      <c r="Y11"/>
      <c r="Z11"/>
      <c r="AA11"/>
    </row>
    <row r="12" spans="1:27" s="55" customFormat="1" ht="16.95" customHeight="1" x14ac:dyDescent="0.3">
      <c r="B12" s="79"/>
      <c r="C12" s="145" t="s">
        <v>77</v>
      </c>
      <c r="D12" s="145"/>
      <c r="E12" s="145"/>
      <c r="F12" s="145"/>
      <c r="G12" s="145"/>
      <c r="H12" s="80"/>
      <c r="I12" s="150">
        <f>INFORMACIÓN!H3</f>
        <v>45489</v>
      </c>
      <c r="J12" s="150"/>
      <c r="K12" s="150"/>
      <c r="L12" s="150"/>
      <c r="M12" s="150"/>
      <c r="N12" s="150"/>
      <c r="O12" s="150"/>
      <c r="P12" s="150"/>
      <c r="Q12" s="150"/>
      <c r="R12" s="150"/>
      <c r="S12"/>
      <c r="T12"/>
      <c r="U12"/>
      <c r="V12"/>
      <c r="W12"/>
      <c r="X12"/>
      <c r="Y12"/>
      <c r="Z12"/>
      <c r="AA12"/>
    </row>
    <row r="13" spans="1:27" s="55" customFormat="1" ht="16.95" customHeight="1" x14ac:dyDescent="0.3">
      <c r="B13" s="79"/>
      <c r="C13" s="145" t="s">
        <v>76</v>
      </c>
      <c r="D13" s="145"/>
      <c r="E13" s="145"/>
      <c r="F13" s="145"/>
      <c r="G13" s="145"/>
      <c r="H13" s="80"/>
      <c r="I13" s="150">
        <f>INFORMACIÓN!B9</f>
        <v>45489</v>
      </c>
      <c r="J13" s="150"/>
      <c r="K13" s="150"/>
      <c r="L13" s="150"/>
      <c r="M13" s="150"/>
      <c r="N13" s="150"/>
      <c r="O13" s="150"/>
      <c r="P13" s="150"/>
      <c r="Q13" s="150"/>
      <c r="R13" s="150"/>
      <c r="S13"/>
      <c r="T13"/>
      <c r="U13"/>
      <c r="V13"/>
      <c r="W13"/>
      <c r="X13"/>
      <c r="Y13"/>
      <c r="Z13"/>
      <c r="AA13"/>
    </row>
    <row r="14" spans="1:27" ht="16.95" customHeight="1" x14ac:dyDescent="0.3"/>
    <row r="15" spans="1:27" ht="16.95" customHeight="1" x14ac:dyDescent="0.3">
      <c r="B15" s="65"/>
      <c r="C15" s="151" t="s">
        <v>70</v>
      </c>
      <c r="D15" s="151"/>
      <c r="E15" s="151"/>
      <c r="F15" s="151"/>
      <c r="G15" s="151"/>
      <c r="H15" s="151"/>
      <c r="I15" s="151"/>
      <c r="J15" s="151"/>
      <c r="K15" s="151"/>
      <c r="L15" s="151"/>
      <c r="M15" s="151"/>
      <c r="N15" s="151"/>
      <c r="O15" s="151"/>
      <c r="P15" s="151"/>
      <c r="Q15" s="151"/>
      <c r="R15" s="151"/>
    </row>
    <row r="16" spans="1:27" ht="16.95" customHeight="1" x14ac:dyDescent="0.3"/>
    <row r="17" spans="1:18" ht="16.95" customHeight="1" x14ac:dyDescent="0.3">
      <c r="B17" s="52"/>
      <c r="C17" s="130" t="s">
        <v>72</v>
      </c>
      <c r="D17" s="130"/>
      <c r="E17" s="130"/>
      <c r="F17" s="130"/>
      <c r="G17" s="130"/>
      <c r="H17" s="51"/>
      <c r="I17" s="129" t="str">
        <f>INFORMACIÓN!E7</f>
        <v>CLÍNICA SAGRADA FAMILIA</v>
      </c>
      <c r="J17" s="129"/>
      <c r="K17" s="129"/>
      <c r="L17" s="129"/>
      <c r="M17" s="129"/>
      <c r="N17" s="129"/>
      <c r="O17" s="129"/>
      <c r="P17" s="129"/>
      <c r="Q17" s="129"/>
      <c r="R17" s="129"/>
    </row>
    <row r="18" spans="1:18" ht="16.95" customHeight="1" x14ac:dyDescent="0.3">
      <c r="B18" s="52"/>
      <c r="C18" s="130" t="s">
        <v>73</v>
      </c>
      <c r="D18" s="130"/>
      <c r="E18" s="130"/>
      <c r="F18" s="130"/>
      <c r="G18" s="130"/>
      <c r="H18" s="51"/>
      <c r="I18" s="129" t="str">
        <f>INFORMACIÓN!E8</f>
        <v>901.352.353-3</v>
      </c>
      <c r="J18" s="129"/>
      <c r="K18" s="129"/>
      <c r="L18" s="129"/>
      <c r="M18" s="129"/>
      <c r="N18" s="129"/>
      <c r="O18" s="129"/>
      <c r="P18" s="129"/>
      <c r="Q18" s="129"/>
      <c r="R18" s="129"/>
    </row>
    <row r="19" spans="1:18" ht="16.95" customHeight="1" x14ac:dyDescent="0.3">
      <c r="B19" s="52"/>
      <c r="C19" s="130" t="s">
        <v>90</v>
      </c>
      <c r="D19" s="130"/>
      <c r="E19" s="130"/>
      <c r="F19" s="130"/>
      <c r="G19" s="130"/>
      <c r="H19" s="51"/>
      <c r="I19" s="129">
        <f>INFORMACIÓN!E9</f>
        <v>7466262</v>
      </c>
      <c r="J19" s="129"/>
      <c r="K19" s="129"/>
      <c r="L19" s="129"/>
      <c r="M19" s="129"/>
      <c r="N19" s="129"/>
      <c r="O19" s="129"/>
      <c r="P19" s="129"/>
      <c r="Q19" s="129"/>
      <c r="R19" s="129"/>
    </row>
    <row r="20" spans="1:18" ht="16.95" customHeight="1" x14ac:dyDescent="0.3">
      <c r="B20" s="52"/>
      <c r="C20" s="130" t="s">
        <v>74</v>
      </c>
      <c r="D20" s="130"/>
      <c r="E20" s="130"/>
      <c r="F20" s="130"/>
      <c r="G20" s="130"/>
      <c r="H20" s="51"/>
      <c r="I20" s="129" t="str">
        <f>INFORMACIÓN!E10</f>
        <v>CARRERA 15 # 10- ESQ.</v>
      </c>
      <c r="J20" s="129"/>
      <c r="K20" s="129"/>
      <c r="L20" s="129"/>
      <c r="M20" s="129"/>
      <c r="N20" s="129"/>
      <c r="O20" s="129"/>
      <c r="P20" s="129"/>
      <c r="Q20" s="129"/>
      <c r="R20" s="129"/>
    </row>
    <row r="21" spans="1:18" ht="16.95" customHeight="1" x14ac:dyDescent="0.3">
      <c r="B21" s="52"/>
      <c r="C21" s="130" t="s">
        <v>75</v>
      </c>
      <c r="D21" s="130"/>
      <c r="E21" s="130"/>
      <c r="F21" s="130"/>
      <c r="G21" s="130"/>
      <c r="H21" s="51"/>
      <c r="I21" s="129" t="str">
        <f>INFORMACIÓN!E11</f>
        <v>QUINDÍO-ARMENIA</v>
      </c>
      <c r="J21" s="129"/>
      <c r="K21" s="129"/>
      <c r="L21" s="129"/>
      <c r="M21" s="129"/>
      <c r="N21" s="129"/>
      <c r="O21" s="129"/>
      <c r="P21" s="129"/>
      <c r="Q21" s="129"/>
      <c r="R21" s="129"/>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6" t="s">
        <v>169</v>
      </c>
      <c r="D23" s="156"/>
      <c r="E23" s="156"/>
      <c r="F23" s="156"/>
      <c r="G23" s="156"/>
      <c r="H23" s="156"/>
      <c r="I23" s="156"/>
      <c r="J23" s="156"/>
      <c r="K23" s="156"/>
      <c r="L23" s="156"/>
      <c r="M23" s="156"/>
      <c r="N23" s="156"/>
      <c r="O23" s="156"/>
      <c r="P23" s="156"/>
      <c r="Q23" s="156"/>
      <c r="R23" s="156"/>
    </row>
    <row r="24" spans="1:18" ht="16.95" customHeight="1" x14ac:dyDescent="0.3">
      <c r="A24" s="78"/>
      <c r="B24" s="78"/>
      <c r="C24" s="157"/>
      <c r="D24" s="157"/>
      <c r="E24" s="157"/>
      <c r="F24" s="157"/>
      <c r="G24" s="157"/>
      <c r="H24" s="157"/>
      <c r="I24" s="157"/>
      <c r="J24" s="157"/>
      <c r="K24" s="157"/>
      <c r="L24" s="157"/>
      <c r="M24" s="157"/>
      <c r="N24" s="157"/>
      <c r="O24" s="157"/>
      <c r="P24" s="157"/>
      <c r="Q24" s="157"/>
      <c r="R24" s="157"/>
    </row>
    <row r="25" spans="1:18" ht="16.95" customHeight="1" x14ac:dyDescent="0.3">
      <c r="A25" s="78"/>
      <c r="B25" s="78"/>
      <c r="C25" s="157"/>
      <c r="D25" s="157"/>
      <c r="E25" s="157"/>
      <c r="F25" s="157"/>
      <c r="G25" s="157"/>
      <c r="H25" s="157"/>
      <c r="I25" s="157"/>
      <c r="J25" s="157"/>
      <c r="K25" s="157"/>
      <c r="L25" s="157"/>
      <c r="M25" s="157"/>
      <c r="N25" s="157"/>
      <c r="O25" s="157"/>
      <c r="P25" s="157"/>
      <c r="Q25" s="157"/>
      <c r="R25" s="157"/>
    </row>
    <row r="26" spans="1:18" ht="16.95" customHeight="1" x14ac:dyDescent="0.3">
      <c r="A26" s="78"/>
      <c r="B26" s="78"/>
      <c r="C26" s="157"/>
      <c r="D26" s="157"/>
      <c r="E26" s="157"/>
      <c r="F26" s="157"/>
      <c r="G26" s="157"/>
      <c r="H26" s="157"/>
      <c r="I26" s="157"/>
      <c r="J26" s="157"/>
      <c r="K26" s="157"/>
      <c r="L26" s="157"/>
      <c r="M26" s="157"/>
      <c r="N26" s="157"/>
      <c r="O26" s="157"/>
      <c r="P26" s="157"/>
      <c r="Q26" s="157"/>
      <c r="R26" s="157"/>
    </row>
    <row r="27" spans="1:18" ht="16.95" customHeight="1" x14ac:dyDescent="0.3">
      <c r="A27" s="78"/>
      <c r="B27" s="78"/>
      <c r="C27" s="157"/>
      <c r="D27" s="157"/>
      <c r="E27" s="157"/>
      <c r="F27" s="157"/>
      <c r="G27" s="157"/>
      <c r="H27" s="157"/>
      <c r="I27" s="157"/>
      <c r="J27" s="157"/>
      <c r="K27" s="157"/>
      <c r="L27" s="157"/>
      <c r="M27" s="157"/>
      <c r="N27" s="157"/>
      <c r="O27" s="157"/>
      <c r="P27" s="157"/>
      <c r="Q27" s="157"/>
      <c r="R27" s="157"/>
    </row>
    <row r="28" spans="1:18" ht="16.95" customHeight="1" x14ac:dyDescent="0.3">
      <c r="A28" s="78"/>
      <c r="B28" s="78"/>
      <c r="C28" s="158"/>
      <c r="D28" s="158"/>
      <c r="E28" s="158"/>
      <c r="F28" s="158"/>
      <c r="G28" s="158"/>
      <c r="H28" s="158"/>
      <c r="I28" s="158"/>
      <c r="J28" s="158"/>
      <c r="K28" s="158"/>
      <c r="L28" s="158"/>
      <c r="M28" s="158"/>
      <c r="N28" s="158"/>
      <c r="O28" s="158"/>
      <c r="P28" s="158"/>
      <c r="Q28" s="158"/>
      <c r="R28" s="158"/>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30" t="s">
        <v>78</v>
      </c>
      <c r="J31" s="130"/>
      <c r="K31" s="130"/>
      <c r="L31" s="130"/>
      <c r="M31" s="129" t="str">
        <f>INFORMACIÓN!B15</f>
        <v>ING. GABRIEL DURÁN</v>
      </c>
      <c r="N31" s="129"/>
      <c r="O31" s="129"/>
      <c r="P31" s="129"/>
      <c r="Q31" s="129"/>
      <c r="R31" s="129"/>
    </row>
    <row r="32" spans="1:18" ht="16.95" customHeight="1" x14ac:dyDescent="0.3">
      <c r="F32" s="52"/>
      <c r="G32" s="52"/>
      <c r="H32" s="52"/>
      <c r="I32" s="130" t="s">
        <v>79</v>
      </c>
      <c r="J32" s="130"/>
      <c r="K32" s="130"/>
      <c r="L32" s="130"/>
      <c r="M32" s="154">
        <f>INFORMACIÓN!B10</f>
        <v>45489</v>
      </c>
      <c r="N32" s="154"/>
      <c r="O32" s="154"/>
      <c r="P32" s="64"/>
      <c r="Q32" s="64"/>
      <c r="R32" s="52"/>
    </row>
    <row r="33" spans="1:19" ht="16.95" customHeight="1" x14ac:dyDescent="0.3">
      <c r="I33" s="130" t="s">
        <v>83</v>
      </c>
      <c r="J33" s="130"/>
      <c r="K33" s="130"/>
      <c r="L33" s="130"/>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0" t="str">
        <f>O1</f>
        <v>CERTIFICADO N°:</v>
      </c>
      <c r="P38" s="130"/>
      <c r="Q38" s="130"/>
      <c r="R38" s="153" t="str">
        <f>R1</f>
        <v>JD2080-24</v>
      </c>
      <c r="S38" s="153"/>
    </row>
    <row r="39" spans="1:19" ht="16.95" customHeight="1" x14ac:dyDescent="0.3"/>
    <row r="40" spans="1:19" ht="16.95" customHeight="1" x14ac:dyDescent="0.3">
      <c r="B40" s="136" t="s">
        <v>84</v>
      </c>
      <c r="C40" s="136"/>
      <c r="D40" s="136"/>
      <c r="E40" s="136"/>
      <c r="F40" s="136"/>
      <c r="G40" s="136"/>
      <c r="H40" s="136"/>
      <c r="I40" s="136"/>
      <c r="J40" s="136"/>
      <c r="K40" s="136"/>
      <c r="L40" s="136"/>
      <c r="M40" s="136"/>
      <c r="N40" s="136"/>
      <c r="O40" s="136"/>
      <c r="P40" s="136"/>
      <c r="Q40" s="136"/>
      <c r="R40" s="136"/>
      <c r="S40" s="136"/>
    </row>
    <row r="41" spans="1:19" ht="16.95" customHeight="1" x14ac:dyDescent="0.3">
      <c r="B41" s="119" t="s">
        <v>170</v>
      </c>
      <c r="C41" s="119"/>
      <c r="D41" s="119"/>
      <c r="E41" s="119"/>
      <c r="F41" s="119"/>
      <c r="G41" s="119"/>
      <c r="H41" s="119"/>
      <c r="I41" s="119"/>
      <c r="J41" s="119"/>
      <c r="K41" s="119"/>
      <c r="L41" s="119"/>
      <c r="M41" s="119"/>
      <c r="N41" s="119"/>
      <c r="O41" s="119"/>
      <c r="P41" s="119"/>
      <c r="Q41" s="119"/>
      <c r="R41" s="119"/>
      <c r="S41" s="119"/>
    </row>
    <row r="42" spans="1:19" ht="16.95" customHeight="1" x14ac:dyDescent="0.3">
      <c r="A42" s="87"/>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7"/>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7" t="s">
        <v>85</v>
      </c>
      <c r="G45" s="138"/>
      <c r="H45" s="138"/>
      <c r="I45" s="138"/>
      <c r="J45" s="139"/>
      <c r="K45" s="116" t="s">
        <v>86</v>
      </c>
      <c r="L45" s="117"/>
      <c r="M45" s="117"/>
      <c r="N45" s="117"/>
      <c r="O45" s="118"/>
    </row>
    <row r="46" spans="1:19" ht="16.95" customHeight="1" x14ac:dyDescent="0.3">
      <c r="E46" s="76"/>
      <c r="F46" s="141">
        <f>AVERAGE(INFORMACIÓN!B11:B12)</f>
        <v>24.65</v>
      </c>
      <c r="G46" s="142"/>
      <c r="H46" s="72" t="s">
        <v>87</v>
      </c>
      <c r="I46" s="73">
        <f>ABS(INFORMACIÓN!B11-INFORMACIÓN!B12)</f>
        <v>0.30000000000000071</v>
      </c>
      <c r="J46" s="77"/>
      <c r="K46" s="113">
        <f>AVERAGE(INFORMACIÓN!B13:B14)</f>
        <v>62</v>
      </c>
      <c r="L46" s="114"/>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0" t="s">
        <v>171</v>
      </c>
      <c r="G48" s="140"/>
      <c r="H48" s="140"/>
      <c r="I48" s="140"/>
      <c r="J48" s="140"/>
      <c r="K48" s="115" t="s">
        <v>172</v>
      </c>
      <c r="L48" s="115"/>
      <c r="M48" s="115"/>
      <c r="N48" s="115"/>
      <c r="O48" s="115"/>
      <c r="P48" s="115"/>
    </row>
    <row r="49" spans="1:19" ht="13.2" customHeight="1" x14ac:dyDescent="0.3"/>
    <row r="50" spans="1:19" ht="16.95" customHeight="1" x14ac:dyDescent="0.3">
      <c r="B50" s="155" t="s">
        <v>88</v>
      </c>
      <c r="C50" s="155"/>
      <c r="D50" s="155"/>
      <c r="E50" s="155"/>
      <c r="F50" s="155"/>
      <c r="G50" s="155"/>
      <c r="H50" s="155"/>
      <c r="I50" s="155"/>
      <c r="J50" s="155"/>
      <c r="K50" s="155"/>
      <c r="L50" s="155"/>
      <c r="M50" s="155"/>
      <c r="N50" s="155"/>
      <c r="O50" s="155"/>
      <c r="P50" s="155"/>
      <c r="Q50" s="155"/>
      <c r="R50" s="155"/>
      <c r="S50" s="155"/>
    </row>
    <row r="51" spans="1:19" ht="16.95" customHeight="1" x14ac:dyDescent="0.3">
      <c r="B51" s="119" t="s">
        <v>173</v>
      </c>
      <c r="C51" s="119"/>
      <c r="D51" s="119"/>
      <c r="E51" s="119"/>
      <c r="F51" s="119"/>
      <c r="G51" s="119"/>
      <c r="H51" s="119"/>
      <c r="I51" s="119"/>
      <c r="J51" s="119"/>
      <c r="K51" s="119"/>
      <c r="L51" s="119"/>
      <c r="M51" s="119"/>
      <c r="N51" s="119"/>
      <c r="O51" s="119"/>
      <c r="P51" s="119"/>
      <c r="Q51" s="119"/>
      <c r="R51" s="119"/>
      <c r="S51" s="119"/>
    </row>
    <row r="52" spans="1:19" ht="16.95" customHeight="1" x14ac:dyDescent="0.3">
      <c r="A52" s="87"/>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7"/>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7"/>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7"/>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7"/>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7"/>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7"/>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6" t="s">
        <v>89</v>
      </c>
      <c r="C60" s="136"/>
      <c r="D60" s="136"/>
      <c r="E60" s="136"/>
      <c r="F60" s="136"/>
      <c r="G60" s="136"/>
      <c r="H60" s="136"/>
      <c r="I60" s="136"/>
      <c r="J60" s="136"/>
      <c r="K60" s="136"/>
      <c r="L60" s="136"/>
      <c r="M60" s="136"/>
      <c r="N60" s="136"/>
      <c r="O60" s="136"/>
      <c r="P60" s="136"/>
      <c r="Q60" s="136"/>
      <c r="R60" s="136"/>
      <c r="S60" s="136"/>
    </row>
    <row r="61" spans="1:19" ht="16.95" customHeight="1" x14ac:dyDescent="0.3">
      <c r="B61" s="119" t="s">
        <v>174</v>
      </c>
      <c r="C61" s="119"/>
      <c r="D61" s="119"/>
      <c r="E61" s="119"/>
      <c r="F61" s="119"/>
      <c r="G61" s="119"/>
      <c r="H61" s="119"/>
      <c r="I61" s="119"/>
      <c r="J61" s="119"/>
      <c r="K61" s="119"/>
      <c r="L61" s="119"/>
      <c r="M61" s="119"/>
      <c r="N61" s="119"/>
      <c r="O61" s="119"/>
      <c r="P61" s="119"/>
      <c r="Q61" s="119"/>
      <c r="R61" s="119"/>
      <c r="S61" s="119"/>
    </row>
    <row r="62" spans="1:19" ht="16.95" customHeight="1" x14ac:dyDescent="0.3">
      <c r="A62" s="87"/>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36" t="s">
        <v>95</v>
      </c>
      <c r="C64" s="136"/>
      <c r="D64" s="136"/>
      <c r="E64" s="136"/>
      <c r="F64" s="136"/>
      <c r="G64" s="136"/>
      <c r="H64" s="136"/>
      <c r="I64" s="136"/>
      <c r="J64" s="136"/>
      <c r="K64" s="136"/>
      <c r="L64" s="136"/>
      <c r="M64" s="136"/>
      <c r="N64" s="136"/>
      <c r="O64" s="136"/>
      <c r="P64" s="136"/>
      <c r="Q64" s="136"/>
      <c r="R64" s="136"/>
      <c r="S64" s="136"/>
    </row>
    <row r="65" spans="1:19" ht="19.2" customHeight="1" x14ac:dyDescent="0.3">
      <c r="B65" s="119" t="s">
        <v>175</v>
      </c>
      <c r="C65" s="119"/>
      <c r="D65" s="119"/>
      <c r="E65" s="119"/>
      <c r="F65" s="119"/>
      <c r="G65" s="119"/>
      <c r="H65" s="119"/>
      <c r="I65" s="119"/>
      <c r="J65" s="119"/>
      <c r="K65" s="119"/>
      <c r="L65" s="119"/>
      <c r="M65" s="119"/>
      <c r="N65" s="119"/>
      <c r="O65" s="119"/>
      <c r="P65" s="119"/>
      <c r="Q65" s="119"/>
      <c r="R65" s="119"/>
      <c r="S65" s="119"/>
    </row>
    <row r="66" spans="1:19" ht="16.95" customHeight="1" x14ac:dyDescent="0.3">
      <c r="A66" s="87"/>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7"/>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7"/>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32" t="s">
        <v>91</v>
      </c>
      <c r="C70" s="132"/>
      <c r="D70" s="132"/>
      <c r="E70" s="132"/>
      <c r="F70" s="132"/>
      <c r="G70" s="132"/>
      <c r="H70" s="132" t="s">
        <v>92</v>
      </c>
      <c r="I70" s="132"/>
      <c r="J70" s="132"/>
      <c r="K70" s="132"/>
      <c r="L70" s="132"/>
      <c r="M70" s="132" t="s">
        <v>93</v>
      </c>
      <c r="N70" s="132"/>
      <c r="O70" s="132"/>
      <c r="P70" s="132" t="s">
        <v>94</v>
      </c>
      <c r="Q70" s="132"/>
      <c r="R70" s="132"/>
      <c r="S70" s="132"/>
    </row>
    <row r="71" spans="1:19" ht="16.95" customHeight="1" x14ac:dyDescent="0.3">
      <c r="B71" s="135" t="str">
        <f>PATRON!G35</f>
        <v>Tacómetro óptico</v>
      </c>
      <c r="C71" s="135"/>
      <c r="D71" s="135"/>
      <c r="E71" s="135"/>
      <c r="F71" s="135"/>
      <c r="G71" s="135"/>
      <c r="H71" s="133" t="str">
        <f>PATRON!G38</f>
        <v>I.483223</v>
      </c>
      <c r="I71" s="133"/>
      <c r="J71" s="133"/>
      <c r="K71" s="133"/>
      <c r="L71" s="133"/>
      <c r="M71" s="134">
        <v>45754</v>
      </c>
      <c r="N71" s="134"/>
      <c r="O71" s="134"/>
      <c r="P71" s="131" t="s">
        <v>168</v>
      </c>
      <c r="Q71" s="131"/>
      <c r="R71" s="131"/>
      <c r="S71" s="13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0" t="str">
        <f>O1</f>
        <v>CERTIFICADO N°:</v>
      </c>
      <c r="P76" s="130"/>
      <c r="Q76" s="130"/>
      <c r="R76" s="153" t="str">
        <f>R1</f>
        <v>JD2080-24</v>
      </c>
      <c r="S76" s="153"/>
    </row>
    <row r="77" spans="1:19" ht="16.95" customHeight="1" x14ac:dyDescent="0.3"/>
    <row r="78" spans="1:19" ht="16.95" customHeight="1" x14ac:dyDescent="0.3">
      <c r="B78" s="152" t="s">
        <v>96</v>
      </c>
      <c r="C78" s="152"/>
      <c r="D78" s="152"/>
      <c r="E78" s="152"/>
      <c r="F78" s="152"/>
      <c r="G78" s="152"/>
      <c r="H78" s="152"/>
      <c r="I78" s="152"/>
      <c r="J78" s="152"/>
      <c r="K78" s="152"/>
      <c r="L78" s="152"/>
      <c r="M78" s="152"/>
      <c r="N78" s="152"/>
      <c r="O78" s="152"/>
      <c r="P78" s="152"/>
      <c r="Q78" s="152"/>
      <c r="R78" s="152"/>
      <c r="S78" s="152"/>
    </row>
    <row r="79" spans="1:19" ht="16.649999999999999" customHeight="1" x14ac:dyDescent="0.3"/>
    <row r="80" spans="1:19" ht="16.2" customHeight="1" x14ac:dyDescent="0.3"/>
    <row r="81" spans="2:19" ht="16.95" customHeight="1" x14ac:dyDescent="0.3">
      <c r="B81" s="52" t="s">
        <v>139</v>
      </c>
      <c r="C81" s="52"/>
      <c r="D81" s="52"/>
      <c r="E81" s="52"/>
      <c r="F81" s="52"/>
      <c r="G81" s="52"/>
      <c r="H81" s="52"/>
      <c r="I81" s="123" t="s">
        <v>140</v>
      </c>
      <c r="J81" s="123"/>
      <c r="K81" s="123"/>
      <c r="L81" s="123"/>
      <c r="M81" s="123"/>
      <c r="N81" s="122">
        <v>120</v>
      </c>
      <c r="O81" s="122"/>
      <c r="P81" s="124" t="s">
        <v>141</v>
      </c>
      <c r="Q81" s="124"/>
      <c r="R81" s="124"/>
      <c r="S81" s="90">
        <v>1</v>
      </c>
    </row>
    <row r="82" spans="2:19" ht="16.95" customHeight="1" x14ac:dyDescent="0.3"/>
    <row r="83" spans="2:19" ht="16.95" customHeight="1" x14ac:dyDescent="0.3">
      <c r="B83" s="125" t="s">
        <v>142</v>
      </c>
      <c r="C83" s="125"/>
      <c r="D83" s="121" t="s">
        <v>125</v>
      </c>
      <c r="E83" s="121"/>
      <c r="F83" s="121"/>
      <c r="G83" s="121"/>
      <c r="H83" s="121"/>
      <c r="I83" s="121"/>
      <c r="J83" s="121"/>
      <c r="K83" s="121"/>
      <c r="L83" s="127" t="s">
        <v>149</v>
      </c>
      <c r="M83" s="128"/>
      <c r="N83" s="128"/>
      <c r="O83" s="128"/>
      <c r="P83" s="128"/>
      <c r="Q83" s="128"/>
      <c r="R83" s="128"/>
      <c r="S83" s="128"/>
    </row>
    <row r="84" spans="2:19" ht="24" customHeight="1" x14ac:dyDescent="0.3">
      <c r="B84" s="125"/>
      <c r="C84" s="125"/>
      <c r="D84" s="126" t="s">
        <v>143</v>
      </c>
      <c r="E84" s="126"/>
      <c r="F84" s="126" t="s">
        <v>144</v>
      </c>
      <c r="G84" s="126"/>
      <c r="H84" s="126" t="s">
        <v>145</v>
      </c>
      <c r="I84" s="126"/>
      <c r="J84" s="126" t="s">
        <v>146</v>
      </c>
      <c r="K84" s="126"/>
      <c r="L84" s="125" t="s">
        <v>147</v>
      </c>
      <c r="M84" s="125"/>
      <c r="N84" s="125" t="s">
        <v>148</v>
      </c>
      <c r="O84" s="125"/>
      <c r="P84" s="126" t="s">
        <v>97</v>
      </c>
      <c r="Q84" s="126"/>
      <c r="R84" s="126"/>
      <c r="S84" s="89" t="s">
        <v>14</v>
      </c>
    </row>
    <row r="85" spans="2:19" ht="16.95" customHeight="1" x14ac:dyDescent="0.3">
      <c r="B85" s="160">
        <f>MEDIDA!B5</f>
        <v>120</v>
      </c>
      <c r="C85" s="160"/>
      <c r="D85" s="161">
        <f>MEDIDA!C5</f>
        <v>118</v>
      </c>
      <c r="E85" s="161"/>
      <c r="F85" s="161">
        <f ca="1">MEDIDA!D5</f>
        <v>118.57189430364409</v>
      </c>
      <c r="G85" s="161"/>
      <c r="H85" s="161">
        <f ca="1">MEDIDA!E5</f>
        <v>118.11645204769235</v>
      </c>
      <c r="I85" s="161"/>
      <c r="J85" s="161">
        <f ca="1">MEDIDA!F5</f>
        <v>117.82752116975458</v>
      </c>
      <c r="K85" s="161"/>
      <c r="L85" s="162">
        <f ca="1">AVERAGE(D85:K85)</f>
        <v>118.12896688027276</v>
      </c>
      <c r="M85" s="162"/>
      <c r="N85" s="162">
        <f ca="1">B85-L85</f>
        <v>1.8710331197272438</v>
      </c>
      <c r="O85" s="162"/>
      <c r="P85" s="162">
        <f ca="1">INCERTIDUMBRE!L4</f>
        <v>1.3862268401907814</v>
      </c>
      <c r="Q85" s="162"/>
      <c r="R85" s="162"/>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52" t="s">
        <v>98</v>
      </c>
      <c r="C99" s="152"/>
      <c r="D99" s="152"/>
      <c r="E99" s="152"/>
      <c r="F99" s="152"/>
      <c r="G99" s="152"/>
      <c r="H99" s="152"/>
      <c r="I99" s="152"/>
      <c r="J99" s="152"/>
      <c r="K99" s="152"/>
      <c r="L99" s="152"/>
      <c r="M99" s="152"/>
      <c r="N99" s="152"/>
      <c r="O99" s="152"/>
      <c r="P99" s="152"/>
      <c r="Q99" s="152"/>
      <c r="R99" s="152"/>
      <c r="S99" s="152"/>
    </row>
    <row r="100" spans="2:20" ht="16.649999999999999" customHeight="1" x14ac:dyDescent="0.3"/>
    <row r="101" spans="2:20" ht="16.8" customHeight="1" x14ac:dyDescent="0.3">
      <c r="B101" s="145" t="s">
        <v>99</v>
      </c>
      <c r="C101" s="145"/>
      <c r="D101" s="145"/>
      <c r="E101" s="145"/>
      <c r="F101" s="145"/>
      <c r="G101" s="145"/>
      <c r="I101" s="78" t="s">
        <v>100</v>
      </c>
      <c r="J101" s="78"/>
      <c r="K101" s="78"/>
      <c r="L101" s="78"/>
      <c r="M101" s="78"/>
      <c r="N101" s="78"/>
      <c r="O101" s="78"/>
      <c r="P101" s="78"/>
      <c r="Q101" s="78"/>
      <c r="R101" s="78"/>
      <c r="S101" s="78"/>
    </row>
    <row r="102" spans="2:20" ht="16.8" customHeight="1" x14ac:dyDescent="0.3">
      <c r="B102" s="146" t="s">
        <v>101</v>
      </c>
      <c r="C102" s="146"/>
      <c r="D102" s="146"/>
      <c r="E102" s="146"/>
      <c r="F102" s="146"/>
      <c r="G102" s="146"/>
      <c r="I102" s="78" t="s">
        <v>100</v>
      </c>
    </row>
    <row r="103" spans="2:20" ht="24" customHeight="1" x14ac:dyDescent="0.3">
      <c r="B103" s="145" t="s">
        <v>102</v>
      </c>
      <c r="C103" s="145"/>
      <c r="D103" s="145"/>
      <c r="E103" s="145"/>
      <c r="F103" s="145"/>
      <c r="G103" s="145"/>
      <c r="I103" s="78" t="s">
        <v>100</v>
      </c>
      <c r="J103" s="78"/>
      <c r="K103" s="78"/>
      <c r="L103" s="78"/>
      <c r="M103" s="78"/>
      <c r="N103" s="78"/>
      <c r="O103" s="78"/>
      <c r="P103" s="78"/>
      <c r="Q103" s="78"/>
      <c r="R103" s="78"/>
      <c r="S103" s="78"/>
    </row>
    <row r="104" spans="2:20" ht="16.8" customHeight="1" x14ac:dyDescent="0.3">
      <c r="B104" s="159" t="s">
        <v>103</v>
      </c>
      <c r="C104" s="159"/>
      <c r="D104" s="159"/>
      <c r="E104" s="159"/>
      <c r="F104" s="159"/>
      <c r="G104" s="159"/>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51" t="s">
        <v>176</v>
      </c>
      <c r="C108" s="151"/>
      <c r="D108" s="151"/>
      <c r="E108" s="151"/>
      <c r="F108" s="151"/>
      <c r="G108" s="151"/>
      <c r="H108" s="151"/>
      <c r="I108" s="151"/>
      <c r="J108" s="151"/>
      <c r="K108" s="151"/>
      <c r="L108" s="151"/>
      <c r="M108" s="151"/>
      <c r="N108" s="151"/>
      <c r="O108" s="151"/>
      <c r="P108" s="151"/>
      <c r="Q108" s="151"/>
      <c r="R108" s="151"/>
      <c r="S108" s="151"/>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L85:M85"/>
    <mergeCell ref="J84:K84"/>
    <mergeCell ref="N84:O84"/>
    <mergeCell ref="P84:R84"/>
    <mergeCell ref="L84:M84"/>
    <mergeCell ref="N85:O85"/>
    <mergeCell ref="P85:R85"/>
    <mergeCell ref="B85:C85"/>
    <mergeCell ref="D85:E85"/>
    <mergeCell ref="F85:G85"/>
    <mergeCell ref="H85:I85"/>
    <mergeCell ref="J85:K85"/>
    <mergeCell ref="B104:G104"/>
    <mergeCell ref="B108:S108"/>
    <mergeCell ref="B101:G101"/>
    <mergeCell ref="B102:G102"/>
    <mergeCell ref="B103:G103"/>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I11:R11"/>
    <mergeCell ref="I12:R12"/>
    <mergeCell ref="C19:G19"/>
    <mergeCell ref="C20:G20"/>
    <mergeCell ref="C21:G21"/>
    <mergeCell ref="I17:R17"/>
    <mergeCell ref="I18:R18"/>
    <mergeCell ref="I19:R19"/>
    <mergeCell ref="I20:R20"/>
    <mergeCell ref="C15:R15"/>
    <mergeCell ref="C17:G17"/>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K46:L46"/>
    <mergeCell ref="K48:P48"/>
    <mergeCell ref="K45:O45"/>
    <mergeCell ref="B51:S58"/>
    <mergeCell ref="D83:K83"/>
    <mergeCell ref="N81:O81"/>
    <mergeCell ref="I81:M81"/>
    <mergeCell ref="P81:R81"/>
    <mergeCell ref="B83:C84"/>
    <mergeCell ref="D84:E84"/>
    <mergeCell ref="F84:G84"/>
    <mergeCell ref="H84:I84"/>
    <mergeCell ref="L83:S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2026-05-19T22:57:38Z</cp:lastPrinted>
  <dcterms:created xsi:type="dcterms:W3CDTF">2012-07-25T22:15:54Z</dcterms:created>
  <dcterms:modified xsi:type="dcterms:W3CDTF">2026-05-19T22:57:44Z</dcterms:modified>
</cp:coreProperties>
</file>