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22091774-625E-4755-88AA-F09E7628D43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5" i="20" l="1"/>
  <c r="D14" i="20"/>
  <c r="D13" i="20"/>
  <c r="F13" i="20" s="1"/>
  <c r="D6" i="20"/>
  <c r="D5" i="20"/>
  <c r="D4" i="20"/>
  <c r="F4" i="20" s="1"/>
  <c r="F14" i="20" l="1"/>
  <c r="H14" i="20" s="1"/>
  <c r="K100" i="31" s="1"/>
  <c r="F5" i="20"/>
  <c r="H5" i="20" s="1"/>
  <c r="K83" i="31" s="1"/>
  <c r="F6" i="20"/>
  <c r="H6" i="20" s="1"/>
  <c r="K84" i="31" s="1"/>
  <c r="F15" i="20"/>
  <c r="I101" i="31" s="1"/>
  <c r="H4" i="20"/>
  <c r="K82" i="31" s="1"/>
  <c r="E100" i="31"/>
  <c r="G100" i="31"/>
  <c r="E101" i="31"/>
  <c r="G101" i="31"/>
  <c r="I99" i="31"/>
  <c r="G99" i="31"/>
  <c r="E99" i="31"/>
  <c r="I82" i="31"/>
  <c r="G83" i="31"/>
  <c r="G84" i="31"/>
  <c r="G82" i="31"/>
  <c r="H13" i="20"/>
  <c r="K99" i="31" s="1"/>
  <c r="M100" i="31"/>
  <c r="M101" i="31"/>
  <c r="M99" i="31"/>
  <c r="P100" i="31"/>
  <c r="P101" i="31"/>
  <c r="P99" i="31"/>
  <c r="N46" i="31"/>
  <c r="K46" i="31"/>
  <c r="I46" i="31"/>
  <c r="F46" i="31"/>
  <c r="M32" i="31"/>
  <c r="M31" i="31"/>
  <c r="I18" i="31"/>
  <c r="I19" i="31"/>
  <c r="I20" i="31"/>
  <c r="I21" i="31"/>
  <c r="I17" i="31"/>
  <c r="I13" i="31"/>
  <c r="I12" i="31"/>
  <c r="I11" i="31"/>
  <c r="I10" i="31"/>
  <c r="I9" i="31"/>
  <c r="I8" i="31"/>
  <c r="I7" i="31"/>
  <c r="I6" i="31"/>
  <c r="I5" i="31"/>
  <c r="R1" i="31"/>
  <c r="F21" i="21"/>
  <c r="F22" i="21"/>
  <c r="F20" i="21"/>
  <c r="F13" i="21"/>
  <c r="F14" i="21"/>
  <c r="F12" i="21"/>
  <c r="F5" i="21"/>
  <c r="F6" i="21"/>
  <c r="F4" i="21"/>
  <c r="B10" i="23"/>
  <c r="B9" i="23"/>
  <c r="I100" i="31" l="1"/>
  <c r="I83" i="31"/>
  <c r="I84" i="31"/>
  <c r="H15" i="20"/>
  <c r="K101" i="31" s="1"/>
  <c r="R75" i="31"/>
  <c r="R112" i="31" s="1"/>
  <c r="O75" i="31"/>
  <c r="O112" i="31" s="1"/>
  <c r="D21" i="21"/>
  <c r="I21" i="21"/>
  <c r="D22" i="21"/>
  <c r="D20" i="21"/>
  <c r="C13" i="21"/>
  <c r="C14" i="21"/>
  <c r="C12" i="21"/>
  <c r="AD5" i="25"/>
  <c r="AD6" i="25"/>
  <c r="AD7" i="25"/>
  <c r="AD8" i="25"/>
  <c r="AC5" i="25"/>
  <c r="AC6" i="25"/>
  <c r="AC7" i="25"/>
  <c r="AC8" i="25"/>
  <c r="AC4" i="25"/>
  <c r="Z5" i="25"/>
  <c r="Z6" i="25"/>
  <c r="Z7" i="25"/>
  <c r="Z8" i="25"/>
  <c r="Z4" i="25"/>
  <c r="AD4" i="25"/>
  <c r="AE4" i="25"/>
  <c r="AF4" i="25"/>
  <c r="D5" i="21"/>
  <c r="D6" i="21"/>
  <c r="D4" i="21"/>
  <c r="E83" i="31"/>
  <c r="E84" i="31"/>
  <c r="E82" i="31"/>
  <c r="D14" i="21"/>
  <c r="D13" i="21"/>
  <c r="D12" i="21"/>
  <c r="I22" i="21"/>
  <c r="I20" i="21"/>
  <c r="G21" i="21"/>
  <c r="G22" i="21"/>
  <c r="C21" i="21"/>
  <c r="C22" i="21"/>
  <c r="G20" i="21"/>
  <c r="C20" i="21"/>
  <c r="B21" i="21"/>
  <c r="B22" i="21"/>
  <c r="B20" i="21"/>
  <c r="G14" i="21"/>
  <c r="I14" i="21"/>
  <c r="G13" i="21"/>
  <c r="I13" i="21"/>
  <c r="G12" i="21"/>
  <c r="I12" i="21"/>
  <c r="B13" i="21"/>
  <c r="B14" i="21"/>
  <c r="B12" i="21"/>
  <c r="B5" i="21"/>
  <c r="B6" i="21"/>
  <c r="B4" i="21"/>
  <c r="I5" i="21"/>
  <c r="I6" i="21"/>
  <c r="I4" i="21"/>
  <c r="G5" i="21"/>
  <c r="G6" i="21"/>
  <c r="G4" i="21"/>
  <c r="C5" i="21"/>
  <c r="C6" i="21"/>
  <c r="C4" i="21"/>
  <c r="R5" i="25"/>
  <c r="R6" i="25"/>
  <c r="R4" i="25"/>
  <c r="O6" i="25"/>
  <c r="O5" i="25"/>
  <c r="T4" i="25"/>
  <c r="O4" i="25"/>
  <c r="H5" i="25"/>
  <c r="H6" i="25"/>
  <c r="H4" i="25"/>
  <c r="S6" i="25"/>
  <c r="S4" i="25"/>
  <c r="S5" i="25"/>
  <c r="U4" i="25"/>
  <c r="J4" i="25"/>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126" i="29"/>
  <c r="F382"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H126" i="29"/>
  <c r="F126" i="29"/>
  <c r="E390" i="29"/>
  <c r="F393" i="29"/>
  <c r="J391" i="29"/>
  <c r="C390" i="29"/>
  <c r="D390" i="29"/>
  <c r="J390" i="29"/>
  <c r="C396" i="29"/>
  <c r="D396" i="29"/>
  <c r="E396" i="29"/>
  <c r="E393"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B404" i="29"/>
  <c r="A396" i="29"/>
  <c r="C398" i="29"/>
  <c r="C399" i="29"/>
  <c r="C400" i="29"/>
  <c r="B364"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438" i="29"/>
  <c r="E438" i="29"/>
  <c r="E398" i="29"/>
  <c r="J398" i="29"/>
  <c r="J399" i="29"/>
  <c r="K398" i="29"/>
  <c r="E401" i="29"/>
  <c r="G134" i="29"/>
  <c r="H134" i="29"/>
  <c r="H82" i="29"/>
  <c r="H198" i="29"/>
  <c r="F198"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F441" i="29"/>
  <c r="G438" i="29"/>
  <c r="D438" i="29"/>
  <c r="F401" i="29"/>
  <c r="G398" i="29"/>
  <c r="D398" i="29"/>
  <c r="F134" i="29"/>
  <c r="F96" i="29"/>
  <c r="G93" i="29"/>
  <c r="H93" i="29"/>
  <c r="C94" i="29"/>
  <c r="C95" i="29"/>
  <c r="D93" i="29"/>
  <c r="D137" i="29"/>
  <c r="K134" i="29"/>
  <c r="A140" i="29"/>
  <c r="D135" i="29"/>
  <c r="H478" i="29"/>
  <c r="F481" i="29"/>
  <c r="F479" i="29"/>
  <c r="D441" i="29"/>
  <c r="D439" i="29"/>
  <c r="H438" i="29"/>
  <c r="F438" i="29"/>
  <c r="H398" i="29"/>
  <c r="F398" i="29"/>
  <c r="D401" i="29"/>
  <c r="D399" i="29"/>
  <c r="E145" i="29"/>
  <c r="C142" i="29"/>
  <c r="D142" i="29"/>
  <c r="J143" i="29"/>
  <c r="J142" i="29"/>
  <c r="E142" i="29"/>
  <c r="F145" i="29"/>
  <c r="C148" i="29"/>
  <c r="D148" i="29"/>
  <c r="E148" i="29"/>
  <c r="F93" i="29"/>
  <c r="D96" i="29"/>
  <c r="K93" i="29"/>
  <c r="A99" i="29"/>
  <c r="D94" i="29"/>
  <c r="G142" i="29"/>
  <c r="H142" i="29"/>
  <c r="C143" i="29"/>
  <c r="C144" i="29"/>
  <c r="E104" i="29"/>
  <c r="J102" i="29"/>
  <c r="J101" i="29"/>
  <c r="C107" i="29"/>
  <c r="D107" i="29"/>
  <c r="E107" i="29"/>
  <c r="E101" i="29"/>
  <c r="F104" i="29"/>
  <c r="C101" i="29"/>
  <c r="D101" i="29"/>
  <c r="D143" i="29"/>
  <c r="D145" i="29"/>
  <c r="F142" i="29"/>
  <c r="K142" i="29"/>
  <c r="A148" i="29"/>
  <c r="C102" i="29"/>
  <c r="C103" i="29"/>
  <c r="G101" i="29"/>
  <c r="H101" i="29"/>
  <c r="D102" i="29"/>
  <c r="D104" i="29"/>
  <c r="C156" i="29"/>
  <c r="D156" i="29"/>
  <c r="E156" i="29"/>
  <c r="E150" i="29"/>
  <c r="F153" i="29"/>
  <c r="E153" i="29"/>
  <c r="J151" i="29"/>
  <c r="C150" i="29"/>
  <c r="J150" i="29"/>
  <c r="K101" i="29"/>
  <c r="A107" i="29"/>
  <c r="C109" i="29"/>
  <c r="F101" i="29"/>
  <c r="G150" i="29"/>
  <c r="H150" i="29"/>
  <c r="C151" i="29"/>
  <c r="C152" i="29"/>
  <c r="D150" i="29"/>
  <c r="E109" i="29"/>
  <c r="F112" i="29"/>
  <c r="E112" i="29"/>
  <c r="C115" i="29"/>
  <c r="D115" i="29"/>
  <c r="E115" i="29"/>
  <c r="J110" i="29"/>
  <c r="J109" i="29"/>
  <c r="C110" i="29"/>
  <c r="C111" i="29"/>
  <c r="D109" i="29"/>
  <c r="F150" i="29"/>
  <c r="G109" i="29"/>
  <c r="H109" i="29"/>
  <c r="D151" i="29"/>
  <c r="D153" i="29"/>
  <c r="K150" i="29"/>
  <c r="A156" i="29"/>
  <c r="D110" i="29"/>
  <c r="D112" i="29"/>
  <c r="K109" i="29"/>
  <c r="A115" i="29"/>
  <c r="F109" i="29"/>
  <c r="J118" i="29"/>
  <c r="C117" i="29"/>
  <c r="C118" i="29"/>
  <c r="C119" i="29"/>
  <c r="J117" i="29"/>
  <c r="E120" i="29"/>
  <c r="E117" i="29"/>
  <c r="F120" i="29"/>
  <c r="E158" i="29"/>
  <c r="C158" i="29"/>
  <c r="C159" i="29"/>
  <c r="C160" i="29"/>
  <c r="E161" i="29"/>
  <c r="J159" i="29"/>
  <c r="J158" i="29"/>
  <c r="G117" i="29"/>
  <c r="F117" i="29"/>
  <c r="D117" i="29"/>
  <c r="D120" i="29"/>
  <c r="K117" i="29"/>
  <c r="B83" i="29"/>
  <c r="F161" i="29"/>
  <c r="G158" i="29"/>
  <c r="D158" i="29"/>
  <c r="H117" i="29"/>
  <c r="D118" i="29"/>
  <c r="H158" i="29"/>
  <c r="F158" i="29"/>
  <c r="D161" i="29"/>
  <c r="K158" i="29"/>
  <c r="B124" i="29"/>
  <c r="D159" i="29"/>
  <c r="J4" i="21" l="1"/>
  <c r="K4" i="21" s="1"/>
  <c r="P82" i="31" s="1"/>
  <c r="J12" i="21"/>
  <c r="K12" i="21" s="1"/>
  <c r="J20" i="21"/>
  <c r="K20" i="21" s="1"/>
  <c r="J5" i="21"/>
  <c r="K5" i="21" s="1"/>
  <c r="P83" i="31" s="1"/>
  <c r="J22" i="21"/>
  <c r="K22" i="21" s="1"/>
  <c r="J13" i="21"/>
  <c r="K13" i="21" s="1"/>
  <c r="J6" i="21"/>
  <c r="K6" i="21" s="1"/>
  <c r="P84" i="31" s="1"/>
  <c r="J14" i="21"/>
  <c r="K14" i="21" s="1"/>
  <c r="J21" i="21"/>
  <c r="K21" i="21" s="1"/>
  <c r="R38" i="31"/>
  <c r="L6" i="21" l="1"/>
  <c r="L20" i="21"/>
  <c r="A43" i="29"/>
  <c r="L12" i="21"/>
  <c r="L13" i="21"/>
  <c r="L22" i="21"/>
  <c r="L4" i="21"/>
  <c r="L14" i="21"/>
  <c r="L5" i="21"/>
  <c r="L21" i="21"/>
  <c r="A244" i="29" l="1"/>
  <c r="A284" i="29"/>
  <c r="E45" i="29"/>
  <c r="F48" i="29" s="1"/>
  <c r="C51" i="29"/>
  <c r="D51" i="29" s="1"/>
  <c r="E51" i="29" s="1"/>
  <c r="J46" i="29"/>
  <c r="J45" i="29"/>
  <c r="C42" i="29"/>
  <c r="D42" i="29" s="1"/>
  <c r="E48" i="29"/>
  <c r="A324" i="29"/>
  <c r="A3" i="29"/>
  <c r="J326" i="29" l="1"/>
  <c r="E329" i="29"/>
  <c r="C332" i="29"/>
  <c r="D332" i="29" s="1"/>
  <c r="E332" i="29" s="1"/>
  <c r="E326" i="29"/>
  <c r="F329" i="29" s="1"/>
  <c r="C323" i="29"/>
  <c r="D323" i="29" s="1"/>
  <c r="J327" i="29"/>
  <c r="G45" i="29"/>
  <c r="C283" i="29"/>
  <c r="D283" i="29" s="1"/>
  <c r="C292" i="29"/>
  <c r="D292" i="29" s="1"/>
  <c r="E292" i="29" s="1"/>
  <c r="E286" i="29"/>
  <c r="F289" i="29" s="1"/>
  <c r="J287" i="29"/>
  <c r="E289" i="29"/>
  <c r="J286" i="29"/>
  <c r="C2" i="29"/>
  <c r="D2" i="29" s="1"/>
  <c r="C11" i="29"/>
  <c r="D11" i="29" s="1"/>
  <c r="E11" i="29" s="1"/>
  <c r="E5" i="29"/>
  <c r="F8" i="29" s="1"/>
  <c r="J6" i="29"/>
  <c r="J5" i="29"/>
  <c r="E8" i="29"/>
  <c r="G5" i="29" s="1"/>
  <c r="H5" i="29" s="1"/>
  <c r="E42" i="29"/>
  <c r="F42" i="29" s="1"/>
  <c r="C45" i="29" s="1"/>
  <c r="D43" i="29"/>
  <c r="C252" i="29"/>
  <c r="D252" i="29" s="1"/>
  <c r="E252" i="29" s="1"/>
  <c r="E249" i="29"/>
  <c r="E246" i="29"/>
  <c r="F249" i="29" s="1"/>
  <c r="J246" i="29"/>
  <c r="C243" i="29"/>
  <c r="D243" i="29" s="1"/>
  <c r="J247" i="29"/>
  <c r="D3" i="29" l="1"/>
  <c r="E2" i="29"/>
  <c r="F2" i="29" s="1"/>
  <c r="C5" i="29" s="1"/>
  <c r="C46" i="29"/>
  <c r="C47" i="29" s="1"/>
  <c r="D45" i="29"/>
  <c r="E283" i="29"/>
  <c r="F283" i="29" s="1"/>
  <c r="C286" i="29" s="1"/>
  <c r="D284" i="29"/>
  <c r="G326" i="29"/>
  <c r="H326" i="29" s="1"/>
  <c r="D244" i="29"/>
  <c r="E243" i="29"/>
  <c r="F243" i="29" s="1"/>
  <c r="C246" i="29" s="1"/>
  <c r="G246" i="29"/>
  <c r="F5" i="29"/>
  <c r="F286" i="29"/>
  <c r="H45" i="29"/>
  <c r="F45" i="29"/>
  <c r="D324" i="29"/>
  <c r="E323" i="29"/>
  <c r="F323" i="29" s="1"/>
  <c r="C326" i="29" s="1"/>
  <c r="G286" i="29"/>
  <c r="H286" i="29" s="1"/>
  <c r="D286" i="29" l="1"/>
  <c r="C287" i="29"/>
  <c r="C288" i="29" s="1"/>
  <c r="D48" i="29"/>
  <c r="D46" i="29"/>
  <c r="C6" i="29"/>
  <c r="C7" i="29" s="1"/>
  <c r="D5" i="29"/>
  <c r="H42" i="29"/>
  <c r="K45" i="29"/>
  <c r="A51" i="29" s="1"/>
  <c r="D246" i="29"/>
  <c r="C247" i="29"/>
  <c r="C248" i="29" s="1"/>
  <c r="H246" i="29"/>
  <c r="F246" i="29"/>
  <c r="D326" i="29"/>
  <c r="C327" i="29"/>
  <c r="C328" i="29" s="1"/>
  <c r="F326" i="29"/>
  <c r="J54" i="29" l="1"/>
  <c r="J53" i="29"/>
  <c r="E56" i="29"/>
  <c r="C59" i="29"/>
  <c r="D59" i="29" s="1"/>
  <c r="E59" i="29" s="1"/>
  <c r="E53" i="29"/>
  <c r="F56" i="29" s="1"/>
  <c r="C53" i="29"/>
  <c r="K326" i="29"/>
  <c r="A332" i="29" s="1"/>
  <c r="H323" i="29"/>
  <c r="D6" i="29"/>
  <c r="D8" i="29"/>
  <c r="K5" i="29" s="1"/>
  <c r="A11" i="29" s="1"/>
  <c r="D327" i="29"/>
  <c r="D329" i="29"/>
  <c r="K246" i="29"/>
  <c r="A252" i="29" s="1"/>
  <c r="H243" i="29"/>
  <c r="H283" i="29"/>
  <c r="K286" i="29"/>
  <c r="A292" i="29" s="1"/>
  <c r="D249" i="29"/>
  <c r="D247" i="29"/>
  <c r="D289" i="29"/>
  <c r="D287" i="29"/>
  <c r="H2" i="29" l="1"/>
  <c r="D53" i="29"/>
  <c r="C54" i="29"/>
  <c r="C55" i="29" s="1"/>
  <c r="G53" i="29"/>
  <c r="H53" i="29" s="1"/>
  <c r="F53" i="29"/>
  <c r="E294" i="29"/>
  <c r="F297" i="29" s="1"/>
  <c r="J295" i="29"/>
  <c r="J294" i="29"/>
  <c r="C300" i="29"/>
  <c r="D300" i="29" s="1"/>
  <c r="E300" i="29" s="1"/>
  <c r="E297" i="29"/>
  <c r="C294" i="29"/>
  <c r="J13" i="29"/>
  <c r="E13" i="29"/>
  <c r="F16" i="29" s="1"/>
  <c r="C19" i="29"/>
  <c r="D19" i="29" s="1"/>
  <c r="E19" i="29" s="1"/>
  <c r="J14" i="29"/>
  <c r="E16" i="29"/>
  <c r="C13" i="29"/>
  <c r="C260" i="29"/>
  <c r="D260" i="29" s="1"/>
  <c r="E260" i="29" s="1"/>
  <c r="C254" i="29"/>
  <c r="J254" i="29"/>
  <c r="J255" i="29"/>
  <c r="E254" i="29"/>
  <c r="F257" i="29" s="1"/>
  <c r="E257" i="29"/>
  <c r="C334" i="29"/>
  <c r="E334" i="29"/>
  <c r="F337" i="29" s="1"/>
  <c r="J335" i="29"/>
  <c r="C340" i="29"/>
  <c r="D340" i="29" s="1"/>
  <c r="E340" i="29" s="1"/>
  <c r="J334" i="29"/>
  <c r="E337" i="29"/>
  <c r="G254" i="29" l="1"/>
  <c r="H254" i="29" s="1"/>
  <c r="C255" i="29"/>
  <c r="C256" i="29" s="1"/>
  <c r="K254" i="29" s="1"/>
  <c r="A260" i="29" s="1"/>
  <c r="D254" i="29"/>
  <c r="C14" i="29"/>
  <c r="C15" i="29" s="1"/>
  <c r="D13" i="29"/>
  <c r="G13" i="29"/>
  <c r="H13" i="29" s="1"/>
  <c r="G294" i="29"/>
  <c r="D334" i="29"/>
  <c r="C335" i="29"/>
  <c r="C336" i="29" s="1"/>
  <c r="K334" i="29" s="1"/>
  <c r="A340" i="29" s="1"/>
  <c r="D294" i="29"/>
  <c r="C295" i="29"/>
  <c r="C296" i="29" s="1"/>
  <c r="K294" i="29" s="1"/>
  <c r="A300" i="29" s="1"/>
  <c r="G334" i="29"/>
  <c r="H334" i="29" s="1"/>
  <c r="D56" i="29"/>
  <c r="K53" i="29" s="1"/>
  <c r="A59" i="29" s="1"/>
  <c r="D54" i="29"/>
  <c r="F254" i="29" l="1"/>
  <c r="E64" i="29"/>
  <c r="J61" i="29"/>
  <c r="C67" i="29"/>
  <c r="D67" i="29" s="1"/>
  <c r="E67" i="29" s="1"/>
  <c r="E61" i="29"/>
  <c r="F64" i="29" s="1"/>
  <c r="C61" i="29"/>
  <c r="D61" i="29" s="1"/>
  <c r="J62" i="29"/>
  <c r="F13" i="29"/>
  <c r="D335" i="29"/>
  <c r="D337" i="29"/>
  <c r="F294" i="29"/>
  <c r="H294" i="29"/>
  <c r="D14" i="29"/>
  <c r="D16" i="29"/>
  <c r="K13" i="29" s="1"/>
  <c r="A19" i="29" s="1"/>
  <c r="C308" i="29"/>
  <c r="D308" i="29" s="1"/>
  <c r="E308" i="29" s="1"/>
  <c r="J303" i="29"/>
  <c r="C302" i="29"/>
  <c r="E305" i="29"/>
  <c r="E302" i="29"/>
  <c r="F305" i="29" s="1"/>
  <c r="J302" i="29"/>
  <c r="J343" i="29"/>
  <c r="E342" i="29"/>
  <c r="F345" i="29" s="1"/>
  <c r="C348" i="29"/>
  <c r="D348" i="29" s="1"/>
  <c r="E348" i="29" s="1"/>
  <c r="E345" i="29"/>
  <c r="C342" i="29"/>
  <c r="J342" i="29"/>
  <c r="D295" i="29"/>
  <c r="D297" i="29"/>
  <c r="D255" i="29"/>
  <c r="D257" i="29"/>
  <c r="G61" i="29"/>
  <c r="H61" i="29" s="1"/>
  <c r="F334" i="29"/>
  <c r="E265" i="29"/>
  <c r="E262" i="29"/>
  <c r="F265" i="29" s="1"/>
  <c r="C268" i="29"/>
  <c r="D268" i="29" s="1"/>
  <c r="E268" i="29" s="1"/>
  <c r="J263" i="29"/>
  <c r="J262" i="29"/>
  <c r="C262" i="29"/>
  <c r="G342" i="29" l="1"/>
  <c r="J21" i="29"/>
  <c r="E24" i="29"/>
  <c r="J22" i="29"/>
  <c r="C27" i="29"/>
  <c r="D27" i="29" s="1"/>
  <c r="E27" i="29" s="1"/>
  <c r="C21" i="29"/>
  <c r="D21" i="29" s="1"/>
  <c r="E21" i="29"/>
  <c r="F24" i="29" s="1"/>
  <c r="C62" i="29"/>
  <c r="C63" i="29" s="1"/>
  <c r="K61" i="29" s="1"/>
  <c r="D342" i="29"/>
  <c r="C343" i="29"/>
  <c r="C344" i="29" s="1"/>
  <c r="K342" i="29" s="1"/>
  <c r="D262" i="29"/>
  <c r="C263" i="29"/>
  <c r="C264" i="29" s="1"/>
  <c r="K262" i="29" s="1"/>
  <c r="D62" i="29"/>
  <c r="D64" i="29"/>
  <c r="G302" i="29"/>
  <c r="C303" i="29"/>
  <c r="C304" i="29" s="1"/>
  <c r="K302" i="29" s="1"/>
  <c r="D302" i="29"/>
  <c r="G262" i="29"/>
  <c r="F61" i="29"/>
  <c r="A308" i="29" l="1"/>
  <c r="B284" i="29"/>
  <c r="A348" i="29"/>
  <c r="B324" i="29"/>
  <c r="F342" i="29"/>
  <c r="H342" i="29"/>
  <c r="A268" i="29"/>
  <c r="B244" i="29"/>
  <c r="A67" i="29"/>
  <c r="B43" i="29"/>
  <c r="G21" i="29"/>
  <c r="C22" i="29"/>
  <c r="C23" i="29" s="1"/>
  <c r="K21" i="29" s="1"/>
  <c r="H302" i="29"/>
  <c r="F302" i="29"/>
  <c r="D22" i="29"/>
  <c r="D24" i="29"/>
  <c r="E270" i="29"/>
  <c r="F273" i="29" s="1"/>
  <c r="C270" i="29"/>
  <c r="J271" i="29"/>
  <c r="E273" i="29"/>
  <c r="J270" i="29"/>
  <c r="C276" i="29"/>
  <c r="D276" i="29" s="1"/>
  <c r="E276" i="29" s="1"/>
  <c r="D263" i="29"/>
  <c r="D265" i="29"/>
  <c r="D305" i="29"/>
  <c r="D303" i="29"/>
  <c r="C356" i="29"/>
  <c r="D356" i="29" s="1"/>
  <c r="E356" i="29" s="1"/>
  <c r="J351" i="29"/>
  <c r="E350" i="29"/>
  <c r="F353" i="29" s="1"/>
  <c r="J350" i="29"/>
  <c r="E353" i="29"/>
  <c r="C350" i="29"/>
  <c r="F262" i="29"/>
  <c r="H262" i="29"/>
  <c r="J310" i="29"/>
  <c r="E313" i="29"/>
  <c r="E310" i="29"/>
  <c r="F313" i="29" s="1"/>
  <c r="C310" i="29"/>
  <c r="C316" i="29"/>
  <c r="D316" i="29" s="1"/>
  <c r="E316" i="29" s="1"/>
  <c r="J311" i="29"/>
  <c r="D343" i="29"/>
  <c r="D345" i="29"/>
  <c r="A27" i="29" l="1"/>
  <c r="B3" i="29"/>
  <c r="H21" i="29"/>
  <c r="F21" i="29"/>
  <c r="E72" i="29"/>
  <c r="C75" i="29"/>
  <c r="D75" i="29" s="1"/>
  <c r="E75" i="29" s="1"/>
  <c r="J70" i="29"/>
  <c r="E69" i="29"/>
  <c r="F72" i="29" s="1"/>
  <c r="J69" i="29"/>
  <c r="C69" i="29"/>
  <c r="G310" i="29"/>
  <c r="H310" i="29" s="1"/>
  <c r="D310" i="29"/>
  <c r="C311" i="29"/>
  <c r="C312" i="29" s="1"/>
  <c r="K310" i="29" s="1"/>
  <c r="A316" i="29" s="1"/>
  <c r="G270" i="29"/>
  <c r="F310" i="29"/>
  <c r="D350" i="29"/>
  <c r="C351" i="29"/>
  <c r="C352" i="29" s="1"/>
  <c r="K350" i="29" s="1"/>
  <c r="A356" i="29" s="1"/>
  <c r="G350" i="29"/>
  <c r="H350" i="29" s="1"/>
  <c r="D270" i="29"/>
  <c r="C271" i="29"/>
  <c r="C272" i="29" s="1"/>
  <c r="K270" i="29" s="1"/>
  <c r="A276" i="29" s="1"/>
  <c r="G69" i="29" l="1"/>
  <c r="H69" i="29" s="1"/>
  <c r="D69" i="29"/>
  <c r="C70" i="29"/>
  <c r="C71" i="29" s="1"/>
  <c r="K69" i="29" s="1"/>
  <c r="A75" i="29" s="1"/>
  <c r="F69" i="29"/>
  <c r="C29" i="29"/>
  <c r="E32" i="29"/>
  <c r="J30" i="29"/>
  <c r="C35" i="29"/>
  <c r="D35" i="29" s="1"/>
  <c r="E35" i="29" s="1"/>
  <c r="J29" i="29"/>
  <c r="E29" i="29"/>
  <c r="J318" i="29"/>
  <c r="E321" i="29"/>
  <c r="E318" i="29"/>
  <c r="J319" i="29"/>
  <c r="C318" i="29"/>
  <c r="C319" i="29" s="1"/>
  <c r="C320" i="29" s="1"/>
  <c r="E358" i="29"/>
  <c r="E361" i="29"/>
  <c r="J359" i="29"/>
  <c r="C358" i="29"/>
  <c r="C359" i="29" s="1"/>
  <c r="C360" i="29" s="1"/>
  <c r="K358" i="29" s="1"/>
  <c r="J358" i="29"/>
  <c r="D353" i="29"/>
  <c r="D351" i="29"/>
  <c r="E281" i="29"/>
  <c r="J279" i="29"/>
  <c r="C278" i="29"/>
  <c r="C279" i="29" s="1"/>
  <c r="C280" i="29" s="1"/>
  <c r="J278" i="29"/>
  <c r="E278" i="29"/>
  <c r="D313" i="29"/>
  <c r="D311" i="29"/>
  <c r="F350" i="29"/>
  <c r="D273" i="29"/>
  <c r="D271" i="29"/>
  <c r="H270" i="29"/>
  <c r="F270" i="29"/>
  <c r="K318" i="29" l="1"/>
  <c r="K278" i="29"/>
  <c r="D29" i="29"/>
  <c r="C30" i="29"/>
  <c r="C31" i="29" s="1"/>
  <c r="K29" i="29" s="1"/>
  <c r="A35" i="29" s="1"/>
  <c r="J77" i="29"/>
  <c r="J78" i="29"/>
  <c r="E80" i="29"/>
  <c r="E77" i="29"/>
  <c r="C77" i="29"/>
  <c r="C78" i="29" s="1"/>
  <c r="C79" i="29" s="1"/>
  <c r="K77" i="29" s="1"/>
  <c r="F32" i="29"/>
  <c r="G29" i="29" s="1"/>
  <c r="D72" i="29"/>
  <c r="D70" i="29"/>
  <c r="F321" i="29"/>
  <c r="G318" i="29" s="1"/>
  <c r="D318" i="29"/>
  <c r="D358" i="29"/>
  <c r="F361" i="29"/>
  <c r="G358" i="29" s="1"/>
  <c r="F281" i="29"/>
  <c r="G278" i="29" s="1"/>
  <c r="D278" i="29"/>
  <c r="H29" i="29" l="1"/>
  <c r="F29" i="29"/>
  <c r="D77" i="29"/>
  <c r="F80" i="29"/>
  <c r="G77" i="29" s="1"/>
  <c r="J38" i="29"/>
  <c r="C37" i="29"/>
  <c r="C38" i="29" s="1"/>
  <c r="C39" i="29" s="1"/>
  <c r="K37" i="29" s="1"/>
  <c r="E37" i="29"/>
  <c r="J37" i="29"/>
  <c r="E40" i="29"/>
  <c r="D32" i="29"/>
  <c r="D30" i="29"/>
  <c r="H278" i="29"/>
  <c r="F278" i="29"/>
  <c r="H358" i="29"/>
  <c r="F358" i="29"/>
  <c r="H318" i="29"/>
  <c r="F318" i="29"/>
  <c r="D321" i="29"/>
  <c r="D319" i="29"/>
  <c r="D279" i="29"/>
  <c r="D281" i="29"/>
  <c r="D361" i="29"/>
  <c r="D359" i="29"/>
  <c r="H77" i="29" l="1"/>
  <c r="F77" i="29"/>
  <c r="D37" i="29"/>
  <c r="F40" i="29"/>
  <c r="D78" i="29"/>
  <c r="D80" i="29"/>
  <c r="G37" i="29"/>
  <c r="H37" i="29" s="1"/>
  <c r="D40" i="29" l="1"/>
  <c r="D38" i="29"/>
  <c r="F3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B2C1646-7796-45DE-8FA7-871775C2873E}">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<sst xmlns="http://schemas.openxmlformats.org/spreadsheetml/2006/main" count="1016" uniqueCount="168">
  <si>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</si>
  <si>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</si>
  <si>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</si>
  <si>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</si>
  <si>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</si>
  <si>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</si>
  <si>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</si>
  <si>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</si>
  <si>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</si>
  <si>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</si>
  <si>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</si>
  <si>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</si>
  <si>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</si>
  <si>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</si>
  <si>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</si>
  <si>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</si>
  <si>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</si>
  <si>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</si>
  <si>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</si>
  <si>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</si>
  <si>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</si>
  <si>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</si>
  <si>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</si>
  <si>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</si>
  <si>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</si>
  <si>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</si>
  <si>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</si>
  <si>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</si>
  <si>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</si>
  <si>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</si>
  <si>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</si>
  <si>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</si>
  <si>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</si>
  <si>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</si>
  <si>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</si>
  <si>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</si>
  <si>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</si>
  <si>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</si>
  <si>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</si>
  <si>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</si>
  <si>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</si>
  <si>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</si>
  <si>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</si>
  <si>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</si>
  <si>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</si>
  <si>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</si>
  <si>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</si>
  <si>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</si>
  <si>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</si>
  <si>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</si>
  <si>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</si>
  <si>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</si>
  <si>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</si>
  <si>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</si>
  <si>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</si>
  <si>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</si>
  <si>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</si>
  <si>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</si>
  <si>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</si>
  <si>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</si>
  <si>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</si>
  <si>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</si>
  <si>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</si>
  <si>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</si>
  <si>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</si>
  <si>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</si>
  <si>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</si>
  <si>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</si>
  <si>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</si>
  <si>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</si>
  <si>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</si>
  <si>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</si>
  <si>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</si>
  <si>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</si>
  <si>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</si>
  <si>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</si>
  <si>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</si>
  <si>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</si>
  <si>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</si>
  <si>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</si>
  <si>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</si>
  <si>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</si>
  <si>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</si>
  <si>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</si>
  <si>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</si>
  <si>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</si>
  <si>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</si>
  <si>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</si>
  <si>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</si>
  <si>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</si>
  <si>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</si>
  <si>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</si>
  <si>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</si>
  <si>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</si>
  <si>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</si>
  <si>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</si>
  <si>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</si>
  <si>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</si>
  <si>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</si>
  <si>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</si>
  <si>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</si>
  <si>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</si>
  <si>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</si>
  <si>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</si>
  <si>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</si>
  <si>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</si>
  <si>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</si>
  <si>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</si>
  <si>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</si>
  <si>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</si>
  <si>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</si>
  <si>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</si>
  <si>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</si>
  <si>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</si>
  <si>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</si>
  <si>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</si>
  <si>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</si>
  <si>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</si>
  <si>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</si>
  <si>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</si>
  <si>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</si>
  <si>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</si>
  <si>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</si>
  <si>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</si>
  <si>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</si>
  <si>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</si>
  <si>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</si>
  <si>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</si>
  <si>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</si>
  <si>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</si>
  <si>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</si>
  <si>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Intervalo de medición (°C):</t>
  </si>
  <si>
    <t>Resolución (°C):</t>
  </si>
  <si>
    <t>Incertidumbre Expandida ±</t>
  </si>
  <si>
    <t>Error             (°C)</t>
  </si>
  <si>
    <t>Patrón          (°C)</t>
  </si>
  <si>
    <t>Temperatura (°C)</t>
  </si>
  <si>
    <t>Kelvin= °C+ 273,15</t>
  </si>
  <si>
    <t>EBP                   (°C)</t>
  </si>
  <si>
    <t>FUENTES DE INCERTIDUMBRE TEMPERATURA AMBIENTE</t>
  </si>
  <si>
    <t>Equipo bajo prueba               (°C)</t>
  </si>
  <si>
    <t>TEMPERATURA AMBIENTE</t>
  </si>
  <si>
    <t>TEMPERATURA SONDA</t>
  </si>
  <si>
    <t>Termómetro</t>
  </si>
  <si>
    <t>Temperatura sonda</t>
  </si>
  <si>
    <t>FUENTES DE INCERTIDUMBRE TEMPERATURA SONDA</t>
  </si>
  <si>
    <t>Intrumento</t>
  </si>
  <si>
    <t>Marca</t>
  </si>
  <si>
    <t>Modelo</t>
  </si>
  <si>
    <t>Serie</t>
  </si>
  <si>
    <t>Ubicación</t>
  </si>
  <si>
    <t>Inventario</t>
  </si>
  <si>
    <t>Número de Certificado</t>
  </si>
  <si>
    <t>Fecha de Recepción</t>
  </si>
  <si>
    <t>Estado Físico:</t>
  </si>
  <si>
    <t>ING. GABRIEL DURÁN</t>
  </si>
  <si>
    <t>Calibración de sonda de temperatura</t>
  </si>
  <si>
    <t>2 a 8</t>
  </si>
  <si>
    <t xml:space="preserve">319239_A     319239_B    </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</si>
  <si>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</si>
  <si>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</si>
  <si>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</si>
  <si>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</si>
  <si>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</si>
  <si>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termómetro BTM-P-015.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</si>
  <si>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</si>
  <si>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</si>
  <si>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-15 a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</si>
</sst>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
      <sz val="9"/>
      <color rgb="FF000000"/>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97">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164" fontId="3" fillId="0" borderId="5" xfId="0" applyNumberFormat="1" applyFont="1" applyBorder="1" applyAlignment="1">
      <alignment horizontal="center" vertical="center"/>
    </xf>
    <xf numFmtId="164" fontId="11" fillId="0" borderId="0" xfId="0" applyNumberFormat="1" applyFont="1" applyAlignment="1">
      <alignment horizontal="center"/>
    </xf>
    <xf numFmtId="2" fontId="11" fillId="0" borderId="0" xfId="0" applyNumberFormat="1" applyFont="1" applyAlignment="1">
      <alignment horizont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164" fontId="11" fillId="12" borderId="1" xfId="0" applyNumberFormat="1" applyFont="1" applyFill="1" applyBorder="1" applyAlignment="1">
      <alignment horizontal="center"/>
    </xf>
    <xf numFmtId="0" fontId="15" fillId="12" borderId="1" xfId="0" applyFont="1" applyFill="1" applyBorder="1" applyAlignment="1">
      <alignment horizontal="center" vertical="center" wrapText="1"/>
    </xf>
    <xf numFmtId="164" fontId="11" fillId="0" borderId="5" xfId="0" applyNumberFormat="1" applyFont="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5" fillId="0" borderId="19" xfId="0" applyFont="1" applyBorder="1" applyAlignment="1">
      <alignment horizontal="center" vertical="center" wrapText="1"/>
    </xf>
    <xf numFmtId="0" fontId="16" fillId="0" borderId="19" xfId="0"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vertical="center"/>
    </xf>
    <xf numFmtId="0" fontId="6" fillId="0" borderId="26" xfId="0" applyFont="1" applyBorder="1" applyAlignment="1">
      <alignment horizontal="center"/>
    </xf>
    <xf numFmtId="0" fontId="6" fillId="0" borderId="0" xfId="0" applyFont="1" applyAlignment="1">
      <alignment horizontal="right"/>
    </xf>
    <xf numFmtId="0" fontId="11" fillId="0" borderId="1" xfId="0" applyFont="1" applyBorder="1" applyAlignment="1">
      <alignment horizontal="center"/>
    </xf>
    <xf numFmtId="0" fontId="11" fillId="0" borderId="3" xfId="0" applyFont="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49" fontId="11" fillId="0" borderId="0" xfId="0" applyNumberFormat="1" applyFont="1" applyAlignment="1">
      <alignment horizontal="left"/>
    </xf>
    <xf numFmtId="0" fontId="15" fillId="0" borderId="0" xfId="0" applyFont="1" applyAlignment="1">
      <alignment horizontal="right"/>
    </xf>
    <xf numFmtId="0" fontId="15" fillId="0" borderId="0" xfId="0" applyFont="1" applyAlignment="1">
      <alignment horizont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wrapText="1"/>
    </xf>
    <xf numFmtId="0" fontId="6" fillId="0" borderId="0" xfId="0" applyFont="1" applyAlignment="1">
      <alignment horizontal="left"/>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2" fontId="11" fillId="0" borderId="5" xfId="0" applyNumberFormat="1" applyFont="1" applyBorder="1" applyAlignment="1">
      <alignment horizontal="center"/>
    </xf>
    <xf numFmtId="0" fontId="11" fillId="0" borderId="5"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1" fontId="11" fillId="14" borderId="5" xfId="0" applyNumberFormat="1" applyFont="1" applyFill="1" applyBorder="1" applyAlignment="1">
      <alignment horizontal="center"/>
    </xf>
    <xf numFmtId="164" fontId="11" fillId="14" borderId="5" xfId="0" applyNumberFormat="1" applyFont="1" applyFill="1" applyBorder="1" applyAlignment="1">
      <alignment horizontal="center"/>
    </xf>
    <xf numFmtId="0" fontId="11" fillId="14" borderId="5" xfId="0" applyFont="1" applyFill="1" applyBorder="1" applyAlignment="1">
      <alignment horizontal="center"/>
    </xf>
    <xf numFmtId="164" fontId="28" fillId="0" borderId="5" xfId="0" applyNumberFormat="1" applyFont="1" applyBorder="1" applyAlignment="1">
      <alignment horizontal="center"/>
    </xf>
    <xf numFmtId="0" fontId="6" fillId="0" borderId="5" xfId="0" applyFont="1"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74823109088551"/>
          <c:y val="7.0512820512820512E-2"/>
          <c:w val="0.84338293264672715"/>
          <c:h val="0.78714718352513624"/>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f>MEDIDA!$B$4:$B$6</c:f>
              <c:numCache>
                <c:formatCode>0</c:formatCode>
                <c:ptCount val="3"/>
                <c:pt idx="0">
                  <c:v>2</c:v>
                </c:pt>
                <c:pt idx="1">
                  <c:v>4</c:v>
                </c:pt>
                <c:pt idx="2">
                  <c:v>8</c:v>
                </c:pt>
              </c:numCache>
            </c:numRef>
          </c:xVal>
          <c:yVal>
            <c:numRef>
              <c:f>MEDIDA!$C$4:$C$6</c:f>
              <c:numCache>
                <c:formatCode>0</c:formatCode>
                <c:ptCount val="3"/>
              </c:numCache>
            </c:numRef>
          </c:yVal>
          <c:smooth val="0"/>
          <c:extLst>
            <c:ext xmlns:c16="http://schemas.microsoft.com/office/drawing/2014/chart" uri="{C3380CC4-5D6E-409C-BE32-E72D297353CC}">
              <c16:uniqueId val="{00000000-73A5-4175-87ED-D19249DC2D27}"/>
            </c:ext>
          </c:extLst>
        </c:ser>
        <c:ser>
          <c:idx val="1"/>
          <c:order val="1"/>
          <c:spPr>
            <a:ln w="25400"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INCERTIDUMBRE!$L$12:$L$14</c:f>
                <c:numCache>
                  <c:formatCode>General</c:formatCode>
                  <c:ptCount val="3"/>
                  <c:pt idx="0">
                    <c:v>0.40426857556412293</c:v>
                  </c:pt>
                  <c:pt idx="1">
                    <c:v>0.40426857556412293</c:v>
                  </c:pt>
                  <c:pt idx="2">
                    <c:v>0.40426857556412293</c:v>
                  </c:pt>
                </c:numCache>
              </c:numRef>
            </c:plus>
            <c:minus>
              <c:numRef>
                <c:f>INCERTIDUMBRE!$L$12:$L$14</c:f>
                <c:numCache>
                  <c:formatCode>General</c:formatCode>
                  <c:ptCount val="3"/>
                  <c:pt idx="0">
                    <c:v>0.40426857556412293</c:v>
                  </c:pt>
                  <c:pt idx="1">
                    <c:v>0.40426857556412293</c:v>
                  </c:pt>
                  <c:pt idx="2">
                    <c:v>0.40426857556412293</c:v>
                  </c:pt>
                </c:numCache>
              </c:numRef>
            </c:minus>
            <c:spPr>
              <a:noFill/>
              <a:ln w="9525" cap="flat" cmpd="sng" algn="ctr">
                <a:solidFill>
                  <a:schemeClr val="tx1">
                    <a:lumMod val="65000"/>
                    <a:lumOff val="35000"/>
                  </a:schemeClr>
                </a:solidFill>
                <a:round/>
              </a:ln>
              <a:effectLst/>
            </c:spPr>
          </c:errBars>
          <c:xVal>
            <c:numRef>
              <c:f>MEDIDA!$B$4:$B$6</c:f>
              <c:numCache>
                <c:formatCode>0</c:formatCode>
                <c:ptCount val="3"/>
                <c:pt idx="0">
                  <c:v>2</c:v>
                </c:pt>
                <c:pt idx="1">
                  <c:v>4</c:v>
                </c:pt>
                <c:pt idx="2">
                  <c:v>8</c:v>
                </c:pt>
              </c:numCache>
            </c:numRef>
          </c:xVal>
          <c:yVal>
            <c:numRef>
              <c:f>MEDIDA!$H$4:$H$6</c:f>
              <c:numCache>
                <c:formatCode>0.0</c:formatCode>
                <c:ptCount val="3"/>
                <c:pt idx="0">
                  <c:v>-0.34486477379315561</c:v>
                </c:pt>
                <c:pt idx="1">
                  <c:v>-0.36004453305487605</c:v>
                </c:pt>
                <c:pt idx="2">
                  <c:v>-0.13926043043209546</c:v>
                </c:pt>
              </c:numCache>
            </c:numRef>
          </c:yVal>
          <c:smooth val="0"/>
          <c:extLst>
            <c:ext xmlns:c16="http://schemas.microsoft.com/office/drawing/2014/chart" uri="{C3380CC4-5D6E-409C-BE32-E72D297353CC}">
              <c16:uniqueId val="{00000001-73A5-4175-87ED-D19249DC2D27}"/>
            </c:ext>
          </c:extLst>
        </c:ser>
        <c:dLbls>
          <c:showLegendKey val="0"/>
          <c:showVal val="0"/>
          <c:showCatName val="0"/>
          <c:showSerName val="0"/>
          <c:showPercent val="0"/>
          <c:showBubbleSize val="0"/>
        </c:dLbls>
        <c:axId val="544539696"/>
        <c:axId val="544548816"/>
      </c:scatterChart>
      <c:valAx>
        <c:axId val="5445396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°C</a:t>
                </a:r>
              </a:p>
            </c:rich>
          </c:tx>
          <c:layout>
            <c:manualLayout>
              <c:xMode val="edge"/>
              <c:yMode val="edge"/>
              <c:x val="0.42998263525044161"/>
              <c:y val="0.876890773268726"/>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48816"/>
        <c:crosses val="autoZero"/>
        <c:crossBetween val="midCat"/>
      </c:valAx>
      <c:valAx>
        <c:axId val="544548816"/>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a:t>
                </a:r>
              </a:p>
            </c:rich>
          </c:tx>
          <c:layout>
            <c:manualLayout>
              <c:xMode val="edge"/>
              <c:yMode val="edge"/>
              <c:x val="1.6248839368616527E-2"/>
              <c:y val="0.1293214897724561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0" sourceLinked="0"/>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39696"/>
        <c:crosses val="autoZero"/>
        <c:crossBetween val="midCat"/>
      </c:valAx>
      <c:spPr>
        <a:solidFill>
          <a:schemeClr val="bg1">
            <a:lumMod val="95000"/>
          </a:schemeClr>
        </a:solidFill>
        <a:ln cap="rnd">
          <a:solidFill>
            <a:schemeClr val="bg1">
              <a:lumMod val="85000"/>
              <a:alpha val="97000"/>
            </a:schemeClr>
          </a:solid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613739122304375E-2"/>
          <c:y val="7.1895424836601302E-2"/>
          <c:w val="0.85816887392892682"/>
          <c:h val="0.75682980803870104"/>
        </c:manualLayout>
      </c:layout>
      <c:scatterChart>
        <c:scatterStyle val="lineMarker"/>
        <c:varyColors val="0"/>
        <c:ser>
          <c:idx val="0"/>
          <c:order val="0"/>
          <c:tx>
            <c:strRef>
              <c:f>MEDIDA!$C$12</c:f>
              <c:strCache>
                <c:ptCount val="1"/>
              </c:strCache>
            </c:strRef>
          </c:tx>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MEDIDA!$B$13:$B$15</c:f>
              <c:numCache>
                <c:formatCode>0.0</c:formatCode>
                <c:ptCount val="3"/>
                <c:pt idx="0">
                  <c:v>-15</c:v>
                </c:pt>
                <c:pt idx="1">
                  <c:v>-20</c:v>
                </c:pt>
                <c:pt idx="2">
                  <c:v>-24</c:v>
                </c:pt>
              </c:numCache>
            </c:numRef>
          </c:xVal>
          <c:yVal>
            <c:numRef>
              <c:f>MEDIDA!$C$13:$C$15</c:f>
              <c:numCache>
                <c:formatCode>0.0</c:formatCode>
                <c:ptCount val="3"/>
              </c:numCache>
            </c:numRef>
          </c:yVal>
          <c:smooth val="0"/>
          <c:extLst>
            <c:ext xmlns:c16="http://schemas.microsoft.com/office/drawing/2014/chart" uri="{C3380CC4-5D6E-409C-BE32-E72D297353CC}">
              <c16:uniqueId val="{00000000-B24B-40A7-A0AE-AFAC38CE59A9}"/>
            </c:ext>
          </c:extLst>
        </c:ser>
        <c:ser>
          <c:idx val="1"/>
          <c:order val="1"/>
          <c:tx>
            <c:strRef>
              <c:f>MEDIDA!$H$12</c:f>
              <c:strCache>
                <c:ptCount val="1"/>
                <c:pt idx="0">
                  <c:v>Error             (°C)</c:v>
                </c:pt>
              </c:strCache>
            </c:strRef>
          </c:tx>
          <c:spPr>
            <a:ln w="28575" cap="rnd">
              <a:no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INCERTIDUMBRE!$L$4:$L$6</c:f>
                <c:numCache>
                  <c:formatCode>General</c:formatCode>
                  <c:ptCount val="3"/>
                  <c:pt idx="0">
                    <c:v>0.38848313526405043</c:v>
                  </c:pt>
                  <c:pt idx="1">
                    <c:v>0.38848313526405043</c:v>
                  </c:pt>
                  <c:pt idx="2">
                    <c:v>0.38848313526405043</c:v>
                  </c:pt>
                </c:numCache>
              </c:numRef>
            </c:plus>
            <c:minus>
              <c:numRef>
                <c:f>INCERTIDUMBRE!$L$4:$L$6</c:f>
                <c:numCache>
                  <c:formatCode>General</c:formatCode>
                  <c:ptCount val="3"/>
                  <c:pt idx="0">
                    <c:v>0.38848313526405043</c:v>
                  </c:pt>
                  <c:pt idx="1">
                    <c:v>0.38848313526405043</c:v>
                  </c:pt>
                  <c:pt idx="2">
                    <c:v>0.38848313526405043</c:v>
                  </c:pt>
                </c:numCache>
              </c:numRef>
            </c:minus>
            <c:spPr>
              <a:noFill/>
              <a:ln w="9525" cap="flat" cmpd="sng" algn="ctr">
                <a:solidFill>
                  <a:schemeClr val="tx1">
                    <a:lumMod val="65000"/>
                    <a:lumOff val="35000"/>
                  </a:schemeClr>
                </a:solidFill>
                <a:round/>
              </a:ln>
              <a:effectLst/>
            </c:spPr>
          </c:errBars>
          <c:xVal>
            <c:numRef>
              <c:f>MEDIDA!$B$13:$B$15</c:f>
              <c:numCache>
                <c:formatCode>0.0</c:formatCode>
                <c:ptCount val="3"/>
                <c:pt idx="0">
                  <c:v>-15</c:v>
                </c:pt>
                <c:pt idx="1">
                  <c:v>-20</c:v>
                </c:pt>
                <c:pt idx="2">
                  <c:v>-24</c:v>
                </c:pt>
              </c:numCache>
            </c:numRef>
          </c:xVal>
          <c:yVal>
            <c:numRef>
              <c:f>MEDIDA!$H$13:$H$15</c:f>
              <c:numCache>
                <c:formatCode>0.0</c:formatCode>
                <c:ptCount val="3"/>
                <c:pt idx="0">
                  <c:v>-0.39678778555757077</c:v>
                </c:pt>
                <c:pt idx="1">
                  <c:v>-0.15914737188733952</c:v>
                </c:pt>
                <c:pt idx="2">
                  <c:v>-0.33796198086720608</c:v>
                </c:pt>
              </c:numCache>
            </c:numRef>
          </c:yVal>
          <c:smooth val="0"/>
          <c:extLst>
            <c:ext xmlns:c16="http://schemas.microsoft.com/office/drawing/2014/chart" uri="{C3380CC4-5D6E-409C-BE32-E72D297353CC}">
              <c16:uniqueId val="{00000001-B24B-40A7-A0AE-AFAC38CE59A9}"/>
            </c:ext>
          </c:extLst>
        </c:ser>
        <c:dLbls>
          <c:showLegendKey val="0"/>
          <c:showVal val="0"/>
          <c:showCatName val="0"/>
          <c:showSerName val="0"/>
          <c:showPercent val="0"/>
          <c:showBubbleSize val="0"/>
        </c:dLbls>
        <c:axId val="544541136"/>
        <c:axId val="544550736"/>
      </c:scatterChart>
      <c:valAx>
        <c:axId val="544541136"/>
        <c:scaling>
          <c:orientation val="minMax"/>
        </c:scaling>
        <c:delete val="0"/>
        <c:axPos val="b"/>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Valor nominal °C</a:t>
                </a:r>
              </a:p>
            </c:rich>
          </c:tx>
          <c:layout>
            <c:manualLayout>
              <c:xMode val="edge"/>
              <c:yMode val="edge"/>
              <c:x val="0.450242113384276"/>
              <c:y val="0.85486902372497553"/>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50736"/>
        <c:crosses val="autoZero"/>
        <c:crossBetween val="midCat"/>
      </c:valAx>
      <c:valAx>
        <c:axId val="544550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b="1">
                    <a:solidFill>
                      <a:sysClr val="windowText" lastClr="000000"/>
                    </a:solidFill>
                  </a:rPr>
                  <a:t>Error ± Incertidumbre °C</a:t>
                </a:r>
              </a:p>
            </c:rich>
          </c:tx>
          <c:layout>
            <c:manualLayout>
              <c:xMode val="edge"/>
              <c:yMode val="edge"/>
              <c:x val="3.3927056827820185E-2"/>
              <c:y val="9.4280788430857909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4541136"/>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1</xdr:col>
      <xdr:colOff>22860</xdr:colOff>
      <xdr:row>84</xdr:row>
      <xdr:rowOff>121920</xdr:rowOff>
    </xdr:from>
    <xdr:to>
      <xdr:col>19</xdr:col>
      <xdr:colOff>15240</xdr:colOff>
      <xdr:row>94</xdr:row>
      <xdr:rowOff>0</xdr:rowOff>
    </xdr:to>
    <xdr:graphicFrame macro="">
      <xdr:nvGraphicFramePr>
        <xdr:cNvPr id="6" name="Gráfico 5">
          <a:extLst>
            <a:ext uri="{FF2B5EF4-FFF2-40B4-BE49-F238E27FC236}">
              <a16:creationId xmlns:a16="http://schemas.microsoft.com/office/drawing/2014/main" id="{9F49AA54-F949-4DAD-B8F8-893C24D7C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101</xdr:row>
      <xdr:rowOff>152400</xdr:rowOff>
    </xdr:from>
    <xdr:to>
      <xdr:col>18</xdr:col>
      <xdr:colOff>304800</xdr:colOff>
      <xdr:row>110</xdr:row>
      <xdr:rowOff>342900</xdr:rowOff>
    </xdr:to>
    <xdr:graphicFrame macro="">
      <xdr:nvGraphicFramePr>
        <xdr:cNvPr id="8" name="Gráfico 7">
          <a:extLst>
            <a:ext uri="{FF2B5EF4-FFF2-40B4-BE49-F238E27FC236}">
              <a16:creationId xmlns:a16="http://schemas.microsoft.com/office/drawing/2014/main" id="{57161EC0-6EC0-4769-B4C4-D225C99137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D885D19-78C0-49F0-9A6C-6ABC6F57827D}">
  <we:reference id="wa200010725" version="1.0.0.1" store="es-ES" storeType="OMEX"/>
  <we:alternateReferences>
    <we:reference id="WA200010725" version="1.0.0.1" store="" storeType="OMEX"/>
  </we:alternateReferences>
  <we:properties>
    <we:property name="claude.fileId" value="&quot;02c12a1c-e7d1-462c-aecf-e8e26b180ec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21" sqref="C21"/>
    </sheetView>
  </sheetViews>
  <sheetFormatPr baseColWidth="10" defaultColWidth="3.6640625" defaultRowHeight="12.75" customHeight="1" x14ac:dyDescent="0.3"/>
  <cols>
    <col min="1" max="1" width="29.5546875"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1" t="s">
        <v>104</v>
      </c>
      <c r="B1" s="172"/>
      <c r="C1" s="172"/>
      <c r="D1" s="172"/>
      <c r="E1" s="172"/>
      <c r="F1" s="172"/>
      <c r="G1" s="172"/>
      <c r="H1" s="173"/>
      <c r="I1"/>
      <c r="J1"/>
      <c r="K1"/>
      <c r="L1"/>
      <c r="M1"/>
      <c r="N1"/>
      <c r="O1" t="s">
        <v>116</v>
      </c>
      <c r="P1"/>
      <c r="Q1"/>
      <c r="R1"/>
      <c r="S1"/>
      <c r="T1"/>
      <c r="U1"/>
      <c r="V1"/>
      <c r="W1"/>
      <c r="X1"/>
      <c r="Y1"/>
      <c r="Z1"/>
      <c r="AA1"/>
      <c r="AB1"/>
      <c r="AC1"/>
      <c r="AD1"/>
      <c r="AE1"/>
    </row>
    <row r="2" spans="1:31" ht="14.4" x14ac:dyDescent="0.3">
      <c r="A2" s="105" t="s">
        <v>146</v>
      </c>
      <c r="B2" s="105" t="s">
        <v>147</v>
      </c>
      <c r="C2" s="105" t="s">
        <v>148</v>
      </c>
      <c r="D2" s="105" t="s">
        <v>149</v>
      </c>
      <c r="E2" s="105" t="s">
        <v>150</v>
      </c>
      <c r="F2" s="105" t="s">
        <v>151</v>
      </c>
      <c r="G2" s="105" t="s">
        <v>152</v>
      </c>
      <c r="H2" s="105" t="s">
        <v>153</v>
      </c>
      <c r="I2"/>
      <c r="J2"/>
      <c r="K2"/>
      <c r="L2"/>
      <c r="M2"/>
      <c r="N2"/>
      <c r="O2" t="s">
        <v>117</v>
      </c>
      <c r="P2"/>
      <c r="Q2"/>
      <c r="R2"/>
      <c r="S2"/>
      <c r="T2"/>
      <c r="U2"/>
      <c r="V2"/>
      <c r="W2"/>
      <c r="X2"/>
      <c r="Y2"/>
      <c r="Z2"/>
      <c r="AA2"/>
      <c r="AB2"/>
      <c r="AC2"/>
      <c r="AD2"/>
      <c r="AE2"/>
    </row>
    <row r="3" spans="1:31" ht="12.75" customHeight="1" x14ac:dyDescent="0.3">
      <c r="A3" s="106"/>
      <c r="B3" s="106"/>
      <c r="C3" s="107"/>
      <c r="D3" s="108"/>
      <c r="E3" s="109"/>
      <c r="F3" s="110"/>
      <c r="G3" s="111"/>
      <c r="H3" s="112"/>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4" t="s">
        <v>105</v>
      </c>
      <c r="B6" s="174"/>
      <c r="C6"/>
      <c r="D6" s="104" t="s">
        <v>103</v>
      </c>
      <c r="E6" s="104"/>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113"/>
      <c r="H7"/>
      <c r="I7"/>
      <c r="J7"/>
      <c r="K7"/>
      <c r="L7"/>
      <c r="M7"/>
      <c r="N7"/>
      <c r="O7"/>
      <c r="P7"/>
      <c r="Q7"/>
      <c r="R7"/>
      <c r="S7"/>
      <c r="T7"/>
      <c r="U7"/>
      <c r="V7"/>
      <c r="W7"/>
      <c r="X7"/>
      <c r="Y7"/>
      <c r="Z7"/>
      <c r="AA7"/>
      <c r="AB7"/>
      <c r="AC7"/>
      <c r="AD7"/>
      <c r="AE7"/>
    </row>
    <row r="8" spans="1:31" ht="12.75" customHeight="1" x14ac:dyDescent="0.3">
      <c r="A8" s="20" t="s">
        <v>154</v>
      </c>
      <c r="B8" s="89" t="s">
        <v>69</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114"/>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114"/>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33A75136-D604-424B-BA43-62728F98224A}">
      <formula1>$O$1:$O$2</formula1>
    </dataValidation>
    <dataValidation type="list" allowBlank="1" showInputMessage="1" showErrorMessage="1" sqref="B8" xr:uid="{8073F91D-C06C-45F8-A526-430C94BFBDA6}">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8" t="s">
        <v>58</v>
      </c>
      <c r="B1" s="179"/>
      <c r="C1" s="179"/>
      <c r="D1" s="179"/>
      <c r="E1" s="179"/>
      <c r="F1" s="179"/>
      <c r="G1" s="179"/>
      <c r="H1" s="179"/>
      <c r="I1" s="179"/>
      <c r="J1" s="179"/>
      <c r="K1" s="180"/>
    </row>
    <row r="2" spans="1:11" ht="15" thickBot="1" x14ac:dyDescent="0.35">
      <c r="A2" s="31" t="s">
        <v>31</v>
      </c>
      <c r="B2" s="18" t="s">
        <v>30</v>
      </c>
      <c r="C2" t="str">
        <f>FIXED(A3,6)</f>
        <v>0,388483</v>
      </c>
      <c r="D2" t="str">
        <f>RIGHT(C2,1)</f>
        <v>3</v>
      </c>
      <c r="E2">
        <f>D2/1000000</f>
        <v>3.0000000000000001E-6</v>
      </c>
      <c r="F2" s="30">
        <f>A3-E2</f>
        <v>0.38848013526405045</v>
      </c>
      <c r="H2" t="str">
        <f>IF(C7=5,IF(AND(D3=0,D8=FALSE),J5,J6),J6)</f>
        <v>0,3885</v>
      </c>
      <c r="K2" s="27"/>
    </row>
    <row r="3" spans="1:11" ht="18.600000000000001" thickBot="1" x14ac:dyDescent="0.4">
      <c r="A3" s="29">
        <f>INCERTIDUMBRE!L5</f>
        <v>0.38848313526405043</v>
      </c>
      <c r="B3" s="28" t="str">
        <f>IF(A3&gt;=10,K37,IF(A3&gt;=1,K29,IF(A3&gt;=0.1,K21,IF(A3&gt;=0.01,K13,IF(A3&gt;=0.001,K5)))))</f>
        <v>0,39</v>
      </c>
      <c r="C3" t="s">
        <v>29</v>
      </c>
      <c r="D3">
        <f>D2+0</f>
        <v>3</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05</v>
      </c>
      <c r="D5" t="str">
        <f>LEFT(C5,1)</f>
        <v>0</v>
      </c>
      <c r="E5" s="30">
        <f>TRUNC(A3)</f>
        <v>0</v>
      </c>
      <c r="F5" s="14" t="str">
        <f>FIXED(A3-E5,G5)</f>
        <v>0,38848313526405</v>
      </c>
      <c r="G5">
        <f>ABS(E8-F8)</f>
        <v>14</v>
      </c>
      <c r="H5" t="str">
        <f>RIGHT(A3,G5)</f>
        <v>38848313526405</v>
      </c>
      <c r="I5">
        <v>5.0000000000000002E-5</v>
      </c>
      <c r="J5" s="14">
        <f>(A3-I5)</f>
        <v>0.38843313526405043</v>
      </c>
      <c r="K5" s="45" t="str">
        <f>IF(C7=5,IF(AND(D3=0,D8=FALSE),J5,J6),J6)</f>
        <v>0,3885</v>
      </c>
    </row>
    <row r="6" spans="1:11" hidden="1" x14ac:dyDescent="0.3">
      <c r="A6" s="31"/>
      <c r="C6" t="str">
        <f>RIGHT(C5,1)</f>
        <v>5</v>
      </c>
      <c r="D6">
        <f>D5+0</f>
        <v>0</v>
      </c>
      <c r="J6" t="str">
        <f>FIXED(A3,4)</f>
        <v>0,3885</v>
      </c>
      <c r="K6" s="27"/>
    </row>
    <row r="7" spans="1:11" hidden="1" x14ac:dyDescent="0.3">
      <c r="A7" s="31"/>
      <c r="C7">
        <f>C6+0</f>
        <v>5</v>
      </c>
      <c r="D7" t="s">
        <v>35</v>
      </c>
      <c r="E7" t="s">
        <v>34</v>
      </c>
      <c r="F7" t="s">
        <v>33</v>
      </c>
      <c r="K7" s="27"/>
    </row>
    <row r="8" spans="1:11" hidden="1" x14ac:dyDescent="0.3">
      <c r="A8" s="31"/>
      <c r="D8" t="b">
        <f>ISODD(D5)</f>
        <v>0</v>
      </c>
      <c r="E8">
        <f>LEN(A3)</f>
        <v>16</v>
      </c>
      <c r="F8">
        <f>LEN(E5)+1</f>
        <v>2</v>
      </c>
      <c r="K8" s="27"/>
    </row>
    <row r="9" spans="1:11" hidden="1" x14ac:dyDescent="0.3">
      <c r="A9" s="31"/>
      <c r="K9" s="27"/>
    </row>
    <row r="10" spans="1:11" hidden="1" x14ac:dyDescent="0.3">
      <c r="A10" s="175" t="s">
        <v>48</v>
      </c>
      <c r="B10" s="176"/>
      <c r="C10" s="176"/>
      <c r="D10" s="176"/>
      <c r="E10" s="176"/>
      <c r="F10" s="176"/>
      <c r="G10" s="176"/>
      <c r="H10" s="176"/>
      <c r="I10" s="176"/>
      <c r="J10" s="176"/>
      <c r="K10" s="177"/>
    </row>
    <row r="11" spans="1:11" hidden="1" x14ac:dyDescent="0.3">
      <c r="A11" s="42" t="str">
        <f>K5</f>
        <v>0,3885</v>
      </c>
      <c r="C11" t="str">
        <f>FIXED(A3,5)</f>
        <v>0,38848</v>
      </c>
      <c r="D11" t="str">
        <f>RIGHT(C11,1)</f>
        <v>8</v>
      </c>
      <c r="E11">
        <f>D11+0</f>
        <v>8</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85</v>
      </c>
      <c r="D13" t="str">
        <f>LEFT(C13,1)</f>
        <v>8</v>
      </c>
      <c r="E13" s="36">
        <f>TRUNC(A11)</f>
        <v>0</v>
      </c>
      <c r="F13" s="14" t="str">
        <f>FIXED(A11-E13,G13)</f>
        <v>0,3885</v>
      </c>
      <c r="G13">
        <f>ABS(E16-F16)</f>
        <v>4</v>
      </c>
      <c r="H13" t="str">
        <f>RIGHT(A11,G13)</f>
        <v>3885</v>
      </c>
      <c r="I13">
        <v>5.0000000000000001E-4</v>
      </c>
      <c r="J13" s="44">
        <f>(A11-I13)</f>
        <v>0.38800000000000001</v>
      </c>
      <c r="K13" s="43" t="str">
        <f>IF(C15=5,IF(AND(E11=0,D16=FALSE),J13,J14),J14)</f>
        <v>0,389</v>
      </c>
    </row>
    <row r="14" spans="1:11" hidden="1" x14ac:dyDescent="0.3">
      <c r="A14" s="31"/>
      <c r="C14" t="str">
        <f>RIGHT(C13,1)</f>
        <v>5</v>
      </c>
      <c r="D14">
        <f>D13+0</f>
        <v>8</v>
      </c>
      <c r="J14" t="str">
        <f>FIXED(A11,3)</f>
        <v>0,389</v>
      </c>
      <c r="K14" s="27"/>
    </row>
    <row r="15" spans="1:11" hidden="1" x14ac:dyDescent="0.3">
      <c r="A15" s="31"/>
      <c r="C15">
        <f>C14+0</f>
        <v>5</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75" t="s">
        <v>47</v>
      </c>
      <c r="B18" s="176"/>
      <c r="C18" s="176"/>
      <c r="D18" s="176"/>
      <c r="E18" s="176"/>
      <c r="F18" s="176"/>
      <c r="G18" s="176"/>
      <c r="H18" s="176"/>
      <c r="I18" s="176"/>
      <c r="J18" s="176"/>
      <c r="K18" s="177"/>
    </row>
    <row r="19" spans="1:11" hidden="1" x14ac:dyDescent="0.3">
      <c r="A19" s="42" t="str">
        <f>K13</f>
        <v>0,389</v>
      </c>
      <c r="C19" t="str">
        <f>FIXED(A11,4)</f>
        <v>0,3885</v>
      </c>
      <c r="D19" t="str">
        <f>RIGHT(C19,1)</f>
        <v>5</v>
      </c>
      <c r="E19">
        <f>D19+0</f>
        <v>5</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89</v>
      </c>
      <c r="D21" t="str">
        <f>LEFT(C21,1)</f>
        <v>8</v>
      </c>
      <c r="E21" s="36">
        <f>TRUNC(A19)</f>
        <v>0</v>
      </c>
      <c r="F21" s="14" t="str">
        <f>FIXED(A19-E21,G21)</f>
        <v>0,389</v>
      </c>
      <c r="G21">
        <f>ABS(E24-F24)</f>
        <v>3</v>
      </c>
      <c r="H21" t="str">
        <f>RIGHT(A19,G21)</f>
        <v>389</v>
      </c>
      <c r="I21">
        <v>5.0000000000000001E-3</v>
      </c>
      <c r="J21" s="3">
        <f>(A19-I21)</f>
        <v>0.38400000000000001</v>
      </c>
      <c r="K21" s="41" t="str">
        <f>IF(C23=5,IF(AND(E19=0,D24=FALSE),J21,J22),J22)</f>
        <v>0,39</v>
      </c>
    </row>
    <row r="22" spans="1:11" ht="18" hidden="1" x14ac:dyDescent="0.35">
      <c r="A22" s="31"/>
      <c r="C22" t="str">
        <f>RIGHT(C21,1)</f>
        <v>9</v>
      </c>
      <c r="D22">
        <f>D21+0</f>
        <v>8</v>
      </c>
      <c r="J22" t="str">
        <f>FIXED(A19,2)</f>
        <v>0,39</v>
      </c>
      <c r="K22" s="41"/>
    </row>
    <row r="23" spans="1:11" hidden="1" x14ac:dyDescent="0.3">
      <c r="A23" s="31"/>
      <c r="C23">
        <f>C22+0</f>
        <v>9</v>
      </c>
      <c r="D23" t="s">
        <v>35</v>
      </c>
      <c r="E23" t="s">
        <v>34</v>
      </c>
      <c r="F23" t="s">
        <v>33</v>
      </c>
      <c r="K23" s="27"/>
    </row>
    <row r="24" spans="1:11" hidden="1" x14ac:dyDescent="0.3">
      <c r="A24" s="31"/>
      <c r="D24" t="b">
        <f>ISODD(D21)</f>
        <v>0</v>
      </c>
      <c r="E24">
        <f>LEN(A19)</f>
        <v>5</v>
      </c>
      <c r="F24">
        <f>LEN(E21)+1</f>
        <v>2</v>
      </c>
      <c r="K24" s="27"/>
    </row>
    <row r="25" spans="1:11" hidden="1" x14ac:dyDescent="0.3">
      <c r="A25" s="31"/>
      <c r="K25" s="27"/>
    </row>
    <row r="26" spans="1:11" hidden="1" x14ac:dyDescent="0.3">
      <c r="A26" s="175" t="s">
        <v>46</v>
      </c>
      <c r="B26" s="176"/>
      <c r="C26" s="176"/>
      <c r="D26" s="176"/>
      <c r="E26" s="176"/>
      <c r="F26" s="176"/>
      <c r="G26" s="176"/>
      <c r="H26" s="176"/>
      <c r="I26" s="176"/>
      <c r="J26" s="176"/>
      <c r="K26" s="177"/>
    </row>
    <row r="27" spans="1:11" hidden="1" x14ac:dyDescent="0.3">
      <c r="A27" s="39" t="str">
        <f>K21</f>
        <v>0,39</v>
      </c>
      <c r="C27" t="str">
        <f>FIXED(A19,3)</f>
        <v>0,389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39</v>
      </c>
      <c r="D29" t="str">
        <f>LEFT(C29,1)</f>
        <v>3</v>
      </c>
      <c r="E29" s="36">
        <f>TRUNC(A27)</f>
        <v>0</v>
      </c>
      <c r="F29" s="14" t="str">
        <f>FIXED(A27-E29,G29)</f>
        <v>0,39</v>
      </c>
      <c r="G29">
        <f>ABS(E32-F32)</f>
        <v>2</v>
      </c>
      <c r="H29" t="str">
        <f>RIGHT(A27,G29)</f>
        <v>39</v>
      </c>
      <c r="I29">
        <v>0.05</v>
      </c>
      <c r="J29" s="3">
        <f>(A27-I29)</f>
        <v>0.34</v>
      </c>
      <c r="K29" s="41" t="str">
        <f>IF(C31=5,IF(AND(E27=0,D32=FALSE),J29,J30),J30)</f>
        <v>0,4</v>
      </c>
    </row>
    <row r="30" spans="1:11" hidden="1" x14ac:dyDescent="0.3">
      <c r="A30" s="31"/>
      <c r="C30" t="str">
        <f>RIGHT(C29,1)</f>
        <v>9</v>
      </c>
      <c r="D30">
        <f>D29+0</f>
        <v>3</v>
      </c>
      <c r="J30" t="str">
        <f>FIXED(A27,1)</f>
        <v>0,4</v>
      </c>
      <c r="K30" s="40"/>
    </row>
    <row r="31" spans="1:11" hidden="1" x14ac:dyDescent="0.3">
      <c r="A31" s="31"/>
      <c r="C31">
        <f>C30+0</f>
        <v>9</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75" t="s">
        <v>45</v>
      </c>
      <c r="B34" s="176"/>
      <c r="C34" s="176"/>
      <c r="D34" s="176"/>
      <c r="E34" s="176"/>
      <c r="F34" s="176"/>
      <c r="G34" s="176"/>
      <c r="H34" s="176"/>
      <c r="I34" s="176"/>
      <c r="J34" s="176"/>
      <c r="K34" s="177"/>
    </row>
    <row r="35" spans="1:11" hidden="1" x14ac:dyDescent="0.3">
      <c r="A35" s="39" t="str">
        <f>K29</f>
        <v>0,4</v>
      </c>
      <c r="C35" t="str">
        <f>FIXED(A27,2)</f>
        <v>0,39</v>
      </c>
      <c r="D35" t="str">
        <f>RIGHT(C35,1)</f>
        <v>9</v>
      </c>
      <c r="E35">
        <f>D35+0</f>
        <v>9</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,4</v>
      </c>
      <c r="D37" t="str">
        <f>RIGHT(E37,1)</f>
        <v>0</v>
      </c>
      <c r="E37" s="36">
        <f>TRUNC(A35)</f>
        <v>0</v>
      </c>
      <c r="F37" s="14" t="str">
        <f>FIXED(A35-E37,G37)</f>
        <v>0,4</v>
      </c>
      <c r="G37">
        <f>ABS(E40-F40)</f>
        <v>1</v>
      </c>
      <c r="H37" t="str">
        <f>RIGHT(A35,G37)</f>
        <v>4</v>
      </c>
      <c r="I37">
        <v>0.5</v>
      </c>
      <c r="J37" s="12">
        <f>(A35-I37)</f>
        <v>-9.9999999999999978E-2</v>
      </c>
      <c r="K37" s="35" t="str">
        <f>IF(C39=5,IF(AND(E35=0,D40=FALSE),J37,J38),J38)</f>
        <v>0</v>
      </c>
    </row>
    <row r="38" spans="1:11" hidden="1" x14ac:dyDescent="0.3">
      <c r="A38" s="31"/>
      <c r="C38" t="str">
        <f>RIGHT(C37,1)</f>
        <v>4</v>
      </c>
      <c r="D38">
        <f>D37+0</f>
        <v>0</v>
      </c>
      <c r="J38" t="str">
        <f>FIXED(A35,0)</f>
        <v>0</v>
      </c>
      <c r="K38" s="34"/>
    </row>
    <row r="39" spans="1:11" hidden="1" x14ac:dyDescent="0.3">
      <c r="A39" s="31"/>
      <c r="C39">
        <f>C38+0</f>
        <v>4</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78" t="s">
        <v>57</v>
      </c>
      <c r="B41" s="179"/>
      <c r="C41" s="179"/>
      <c r="D41" s="179"/>
      <c r="E41" s="179"/>
      <c r="F41" s="179"/>
      <c r="G41" s="179"/>
      <c r="H41" s="179"/>
      <c r="I41" s="179"/>
      <c r="J41" s="179"/>
      <c r="K41" s="180"/>
    </row>
    <row r="42" spans="1:11" ht="15" thickBot="1" x14ac:dyDescent="0.35">
      <c r="A42" s="31" t="s">
        <v>31</v>
      </c>
      <c r="B42" s="18" t="s">
        <v>30</v>
      </c>
      <c r="C42" t="str">
        <f>FIXED(A43,6)</f>
        <v>0,388483</v>
      </c>
      <c r="D42" t="str">
        <f>RIGHT(C42,1)</f>
        <v>3</v>
      </c>
      <c r="E42">
        <f>D42/1000000</f>
        <v>3.0000000000000001E-6</v>
      </c>
      <c r="F42" s="30">
        <f>A43-E42</f>
        <v>0.38848013526405045</v>
      </c>
      <c r="H42" t="str">
        <f>IF(C47=5,IF(AND(D43=0,D48=FALSE),J45,J46),J46)</f>
        <v>0,3885</v>
      </c>
      <c r="K42" s="27"/>
    </row>
    <row r="43" spans="1:11" ht="18.600000000000001" thickBot="1" x14ac:dyDescent="0.4">
      <c r="A43" s="29">
        <f>INCERTIDUMBRE!L6</f>
        <v>0.38848313526405043</v>
      </c>
      <c r="B43" s="28" t="str">
        <f>IF(A43&gt;=10,K77,IF(A43&gt;=1,K69,IF(A43&gt;=0.1,K61,IF(A43&gt;=0.01,K53,IF(A43&gt;=0.001,K45)))))</f>
        <v>0,39</v>
      </c>
      <c r="C43" t="s">
        <v>29</v>
      </c>
      <c r="D43">
        <f>D42+0</f>
        <v>3</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05</v>
      </c>
      <c r="D45" t="str">
        <f>LEFT(C45,1)</f>
        <v>0</v>
      </c>
      <c r="E45" s="30">
        <f>TRUNC(A43)</f>
        <v>0</v>
      </c>
      <c r="F45" s="14" t="str">
        <f>FIXED(A43-E45,G45)</f>
        <v>0,38848313526405</v>
      </c>
      <c r="G45">
        <f>ABS(E48-F48)</f>
        <v>14</v>
      </c>
      <c r="H45" t="str">
        <f>RIGHT(A43,G45)</f>
        <v>38848313526405</v>
      </c>
      <c r="I45">
        <v>5.0000000000000002E-5</v>
      </c>
      <c r="J45" s="14">
        <f>(A43-I45)</f>
        <v>0.38843313526405043</v>
      </c>
      <c r="K45" s="45" t="str">
        <f>IF(C47=5,IF(AND(D43=0,D48=FALSE),J45,J46),J46)</f>
        <v>0,3885</v>
      </c>
    </row>
    <row r="46" spans="1:11" hidden="1" x14ac:dyDescent="0.3">
      <c r="A46" s="31"/>
      <c r="C46" t="str">
        <f>RIGHT(C45,1)</f>
        <v>5</v>
      </c>
      <c r="D46">
        <f>D45+0</f>
        <v>0</v>
      </c>
      <c r="J46" t="str">
        <f>FIXED(A43,4)</f>
        <v>0,3885</v>
      </c>
      <c r="K46" s="27"/>
    </row>
    <row r="47" spans="1:11" hidden="1" x14ac:dyDescent="0.3">
      <c r="A47" s="31"/>
      <c r="C47">
        <f>C46+0</f>
        <v>5</v>
      </c>
      <c r="D47" t="s">
        <v>35</v>
      </c>
      <c r="E47" t="s">
        <v>34</v>
      </c>
      <c r="F47" t="s">
        <v>33</v>
      </c>
      <c r="K47" s="27"/>
    </row>
    <row r="48" spans="1:11" hidden="1" x14ac:dyDescent="0.3">
      <c r="A48" s="31"/>
      <c r="D48" t="b">
        <f>ISODD(D45)</f>
        <v>0</v>
      </c>
      <c r="E48">
        <f>LEN(A43)</f>
        <v>16</v>
      </c>
      <c r="F48">
        <f>LEN(E45)+1</f>
        <v>2</v>
      </c>
      <c r="K48" s="27"/>
    </row>
    <row r="49" spans="1:11" hidden="1" x14ac:dyDescent="0.3">
      <c r="A49" s="31"/>
      <c r="K49" s="27"/>
    </row>
    <row r="50" spans="1:11" hidden="1" x14ac:dyDescent="0.3">
      <c r="A50" s="175" t="s">
        <v>48</v>
      </c>
      <c r="B50" s="176"/>
      <c r="C50" s="176"/>
      <c r="D50" s="176"/>
      <c r="E50" s="176"/>
      <c r="F50" s="176"/>
      <c r="G50" s="176"/>
      <c r="H50" s="176"/>
      <c r="I50" s="176"/>
      <c r="J50" s="176"/>
      <c r="K50" s="177"/>
    </row>
    <row r="51" spans="1:11" hidden="1" x14ac:dyDescent="0.3">
      <c r="A51" s="42" t="str">
        <f>K45</f>
        <v>0,3885</v>
      </c>
      <c r="C51" t="str">
        <f>FIXED(A43,5)</f>
        <v>0,38848</v>
      </c>
      <c r="D51" t="str">
        <f>RIGHT(C51,1)</f>
        <v>8</v>
      </c>
      <c r="E51">
        <f>D51+0</f>
        <v>8</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85</v>
      </c>
      <c r="D53" t="str">
        <f>LEFT(C53,1)</f>
        <v>8</v>
      </c>
      <c r="E53" s="36">
        <f>TRUNC(A51)</f>
        <v>0</v>
      </c>
      <c r="F53" s="14" t="str">
        <f>FIXED(A51-E53,G53)</f>
        <v>0,3885</v>
      </c>
      <c r="G53">
        <f>ABS(E56-F56)</f>
        <v>4</v>
      </c>
      <c r="H53" t="str">
        <f>RIGHT(A51,G53)</f>
        <v>3885</v>
      </c>
      <c r="I53">
        <v>5.0000000000000001E-4</v>
      </c>
      <c r="J53" s="44">
        <f>(A51-I53)</f>
        <v>0.38800000000000001</v>
      </c>
      <c r="K53" s="43" t="str">
        <f>IF(C55=5,IF(AND(E51=0,D56=FALSE),J53,J54),J54)</f>
        <v>0,389</v>
      </c>
    </row>
    <row r="54" spans="1:11" hidden="1" x14ac:dyDescent="0.3">
      <c r="A54" s="31"/>
      <c r="C54" t="str">
        <f>RIGHT(C53,1)</f>
        <v>5</v>
      </c>
      <c r="D54">
        <f>D53+0</f>
        <v>8</v>
      </c>
      <c r="J54" t="str">
        <f>FIXED(A51,3)</f>
        <v>0,389</v>
      </c>
      <c r="K54" s="27"/>
    </row>
    <row r="55" spans="1:11" hidden="1" x14ac:dyDescent="0.3">
      <c r="A55" s="31"/>
      <c r="C55">
        <f>C54+0</f>
        <v>5</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75" t="s">
        <v>47</v>
      </c>
      <c r="B58" s="176"/>
      <c r="C58" s="176"/>
      <c r="D58" s="176"/>
      <c r="E58" s="176"/>
      <c r="F58" s="176"/>
      <c r="G58" s="176"/>
      <c r="H58" s="176"/>
      <c r="I58" s="176"/>
      <c r="J58" s="176"/>
      <c r="K58" s="177"/>
    </row>
    <row r="59" spans="1:11" hidden="1" x14ac:dyDescent="0.3">
      <c r="A59" s="42" t="str">
        <f>K53</f>
        <v>0,389</v>
      </c>
      <c r="C59" t="str">
        <f>FIXED(A51,4)</f>
        <v>0,3885</v>
      </c>
      <c r="D59" t="str">
        <f>RIGHT(C59,1)</f>
        <v>5</v>
      </c>
      <c r="E59">
        <f>D59+0</f>
        <v>5</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89</v>
      </c>
      <c r="D61" t="str">
        <f>LEFT(C61,1)</f>
        <v>8</v>
      </c>
      <c r="E61" s="36">
        <f>TRUNC(A59)</f>
        <v>0</v>
      </c>
      <c r="F61" s="14" t="str">
        <f>FIXED(A59-E61,G61)</f>
        <v>0,389</v>
      </c>
      <c r="G61">
        <f>ABS(E64-F64)</f>
        <v>3</v>
      </c>
      <c r="H61" t="str">
        <f>RIGHT(A59,G61)</f>
        <v>389</v>
      </c>
      <c r="I61">
        <v>5.0000000000000001E-3</v>
      </c>
      <c r="J61" s="3">
        <f>(A59-I61)</f>
        <v>0.38400000000000001</v>
      </c>
      <c r="K61" s="41" t="str">
        <f>IF(C63=5,IF(AND(E59=0,D64=FALSE),J61,J62),J62)</f>
        <v>0,39</v>
      </c>
    </row>
    <row r="62" spans="1:11" ht="18" hidden="1" x14ac:dyDescent="0.35">
      <c r="A62" s="31"/>
      <c r="C62" t="str">
        <f>RIGHT(C61,1)</f>
        <v>9</v>
      </c>
      <c r="D62">
        <f>D61+0</f>
        <v>8</v>
      </c>
      <c r="J62" t="str">
        <f>FIXED(A59,2)</f>
        <v>0,39</v>
      </c>
      <c r="K62" s="41"/>
    </row>
    <row r="63" spans="1:11" hidden="1" x14ac:dyDescent="0.3">
      <c r="A63" s="31"/>
      <c r="C63">
        <f>C62+0</f>
        <v>9</v>
      </c>
      <c r="D63" t="s">
        <v>35</v>
      </c>
      <c r="E63" t="s">
        <v>34</v>
      </c>
      <c r="F63" t="s">
        <v>33</v>
      </c>
      <c r="K63" s="27"/>
    </row>
    <row r="64" spans="1:11" hidden="1" x14ac:dyDescent="0.3">
      <c r="A64" s="31"/>
      <c r="D64" t="b">
        <f>ISODD(D61)</f>
        <v>0</v>
      </c>
      <c r="E64">
        <f>LEN(A59)</f>
        <v>5</v>
      </c>
      <c r="F64">
        <f>LEN(E61)+1</f>
        <v>2</v>
      </c>
      <c r="K64" s="27"/>
    </row>
    <row r="65" spans="1:11" hidden="1" x14ac:dyDescent="0.3">
      <c r="A65" s="31"/>
      <c r="K65" s="27"/>
    </row>
    <row r="66" spans="1:11" hidden="1" x14ac:dyDescent="0.3">
      <c r="A66" s="175" t="s">
        <v>46</v>
      </c>
      <c r="B66" s="176"/>
      <c r="C66" s="176"/>
      <c r="D66" s="176"/>
      <c r="E66" s="176"/>
      <c r="F66" s="176"/>
      <c r="G66" s="176"/>
      <c r="H66" s="176"/>
      <c r="I66" s="176"/>
      <c r="J66" s="176"/>
      <c r="K66" s="177"/>
    </row>
    <row r="67" spans="1:11" hidden="1" x14ac:dyDescent="0.3">
      <c r="A67" s="39" t="str">
        <f>K61</f>
        <v>0,39</v>
      </c>
      <c r="C67" t="str">
        <f>FIXED(A59,3)</f>
        <v>0,389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39</v>
      </c>
      <c r="D69" t="str">
        <f>LEFT(C69,1)</f>
        <v>3</v>
      </c>
      <c r="E69" s="36">
        <f>TRUNC(A67)</f>
        <v>0</v>
      </c>
      <c r="F69" s="14" t="str">
        <f>FIXED(A67-E69,G69)</f>
        <v>0,39</v>
      </c>
      <c r="G69">
        <f>ABS(E72-F72)</f>
        <v>2</v>
      </c>
      <c r="H69" t="str">
        <f>RIGHT(A67,G69)</f>
        <v>39</v>
      </c>
      <c r="I69">
        <v>0.05</v>
      </c>
      <c r="J69" s="3">
        <f>(A67-I69)</f>
        <v>0.34</v>
      </c>
      <c r="K69" s="41" t="str">
        <f>IF(C71=5,IF(AND(E67=0,D72=FALSE),J69,J70),J70)</f>
        <v>0,4</v>
      </c>
    </row>
    <row r="70" spans="1:11" hidden="1" x14ac:dyDescent="0.3">
      <c r="A70" s="31"/>
      <c r="C70" t="str">
        <f>RIGHT(C69,1)</f>
        <v>9</v>
      </c>
      <c r="D70">
        <f>D69+0</f>
        <v>3</v>
      </c>
      <c r="J70" t="str">
        <f>FIXED(A67,1)</f>
        <v>0,4</v>
      </c>
      <c r="K70" s="40"/>
    </row>
    <row r="71" spans="1:11" hidden="1" x14ac:dyDescent="0.3">
      <c r="A71" s="31"/>
      <c r="C71">
        <f>C70+0</f>
        <v>9</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75" t="s">
        <v>45</v>
      </c>
      <c r="B74" s="176"/>
      <c r="C74" s="176"/>
      <c r="D74" s="176"/>
      <c r="E74" s="176"/>
      <c r="F74" s="176"/>
      <c r="G74" s="176"/>
      <c r="H74" s="176"/>
      <c r="I74" s="176"/>
      <c r="J74" s="176"/>
      <c r="K74" s="177"/>
    </row>
    <row r="75" spans="1:11" hidden="1" x14ac:dyDescent="0.3">
      <c r="A75" s="39" t="str">
        <f>K69</f>
        <v>0,4</v>
      </c>
      <c r="C75" t="str">
        <f>FIXED(A67,2)</f>
        <v>0,39</v>
      </c>
      <c r="D75" t="str">
        <f>RIGHT(C75,1)</f>
        <v>9</v>
      </c>
      <c r="E75">
        <f>D75+0</f>
        <v>9</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,4</v>
      </c>
      <c r="D77" t="str">
        <f>RIGHT(E77,1)</f>
        <v>0</v>
      </c>
      <c r="E77" s="36">
        <f>TRUNC(A75)</f>
        <v>0</v>
      </c>
      <c r="F77" s="14" t="str">
        <f>FIXED(A75-E77,G77)</f>
        <v>0,4</v>
      </c>
      <c r="G77">
        <f>ABS(E80-F80)</f>
        <v>1</v>
      </c>
      <c r="H77" t="str">
        <f>RIGHT(A75,G77)</f>
        <v>4</v>
      </c>
      <c r="I77">
        <v>0.5</v>
      </c>
      <c r="J77" s="12">
        <f>(A75-I77)</f>
        <v>-9.9999999999999978E-2</v>
      </c>
      <c r="K77" s="35" t="str">
        <f>IF(C79=5,IF(AND(E75=0,D80=FALSE),J77,J78),J78)</f>
        <v>0</v>
      </c>
    </row>
    <row r="78" spans="1:11" hidden="1" x14ac:dyDescent="0.3">
      <c r="A78" s="31"/>
      <c r="C78" t="str">
        <f>RIGHT(C77,1)</f>
        <v>4</v>
      </c>
      <c r="D78">
        <f>D77+0</f>
        <v>0</v>
      </c>
      <c r="J78" t="str">
        <f>FIXED(A75,0)</f>
        <v>0</v>
      </c>
      <c r="K78" s="34"/>
    </row>
    <row r="79" spans="1:11" hidden="1" x14ac:dyDescent="0.3">
      <c r="A79" s="31"/>
      <c r="C79">
        <f>C78+0</f>
        <v>4</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78" t="s">
        <v>56</v>
      </c>
      <c r="B81" s="179"/>
      <c r="C81" s="179"/>
      <c r="D81" s="179"/>
      <c r="E81" s="179"/>
      <c r="F81" s="179"/>
      <c r="G81" s="179"/>
      <c r="H81" s="179"/>
      <c r="I81" s="179"/>
      <c r="J81" s="179"/>
      <c r="K81" s="180"/>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5" t="s">
        <v>48</v>
      </c>
      <c r="B90" s="176"/>
      <c r="C90" s="176"/>
      <c r="D90" s="176"/>
      <c r="E90" s="176"/>
      <c r="F90" s="176"/>
      <c r="G90" s="176"/>
      <c r="H90" s="176"/>
      <c r="I90" s="176"/>
      <c r="J90" s="176"/>
      <c r="K90" s="177"/>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5" t="s">
        <v>47</v>
      </c>
      <c r="B98" s="176"/>
      <c r="C98" s="176"/>
      <c r="D98" s="176"/>
      <c r="E98" s="176"/>
      <c r="F98" s="176"/>
      <c r="G98" s="176"/>
      <c r="H98" s="176"/>
      <c r="I98" s="176"/>
      <c r="J98" s="176"/>
      <c r="K98" s="177"/>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5" t="s">
        <v>46</v>
      </c>
      <c r="B106" s="176"/>
      <c r="C106" s="176"/>
      <c r="D106" s="176"/>
      <c r="E106" s="176"/>
      <c r="F106" s="176"/>
      <c r="G106" s="176"/>
      <c r="H106" s="176"/>
      <c r="I106" s="176"/>
      <c r="J106" s="176"/>
      <c r="K106" s="177"/>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5" t="s">
        <v>45</v>
      </c>
      <c r="B114" s="176"/>
      <c r="C114" s="176"/>
      <c r="D114" s="176"/>
      <c r="E114" s="176"/>
      <c r="F114" s="176"/>
      <c r="G114" s="176"/>
      <c r="H114" s="176"/>
      <c r="I114" s="176"/>
      <c r="J114" s="176"/>
      <c r="K114" s="177"/>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78" t="s">
        <v>55</v>
      </c>
      <c r="B122" s="179"/>
      <c r="C122" s="179"/>
      <c r="D122" s="179"/>
      <c r="E122" s="179"/>
      <c r="F122" s="179"/>
      <c r="G122" s="179"/>
      <c r="H122" s="179"/>
      <c r="I122" s="179"/>
      <c r="J122" s="179"/>
      <c r="K122" s="180"/>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5" t="s">
        <v>48</v>
      </c>
      <c r="B131" s="176"/>
      <c r="C131" s="176"/>
      <c r="D131" s="176"/>
      <c r="E131" s="176"/>
      <c r="F131" s="176"/>
      <c r="G131" s="176"/>
      <c r="H131" s="176"/>
      <c r="I131" s="176"/>
      <c r="J131" s="176"/>
      <c r="K131" s="177"/>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5" t="s">
        <v>47</v>
      </c>
      <c r="B139" s="176"/>
      <c r="C139" s="176"/>
      <c r="D139" s="176"/>
      <c r="E139" s="176"/>
      <c r="F139" s="176"/>
      <c r="G139" s="176"/>
      <c r="H139" s="176"/>
      <c r="I139" s="176"/>
      <c r="J139" s="176"/>
      <c r="K139" s="177"/>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5" t="s">
        <v>46</v>
      </c>
      <c r="B147" s="176"/>
      <c r="C147" s="176"/>
      <c r="D147" s="176"/>
      <c r="E147" s="176"/>
      <c r="F147" s="176"/>
      <c r="G147" s="176"/>
      <c r="H147" s="176"/>
      <c r="I147" s="176"/>
      <c r="J147" s="176"/>
      <c r="K147" s="177"/>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5" t="s">
        <v>45</v>
      </c>
      <c r="B155" s="176"/>
      <c r="C155" s="176"/>
      <c r="D155" s="176"/>
      <c r="E155" s="176"/>
      <c r="F155" s="176"/>
      <c r="G155" s="176"/>
      <c r="H155" s="176"/>
      <c r="I155" s="176"/>
      <c r="J155" s="176"/>
      <c r="K155" s="177"/>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78" t="s">
        <v>54</v>
      </c>
      <c r="B162" s="179"/>
      <c r="C162" s="179"/>
      <c r="D162" s="179"/>
      <c r="E162" s="179"/>
      <c r="F162" s="179"/>
      <c r="G162" s="179"/>
      <c r="H162" s="179"/>
      <c r="I162" s="179"/>
      <c r="J162" s="179"/>
      <c r="K162" s="180"/>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5" t="s">
        <v>48</v>
      </c>
      <c r="B171" s="176"/>
      <c r="C171" s="176"/>
      <c r="D171" s="176"/>
      <c r="E171" s="176"/>
      <c r="F171" s="176"/>
      <c r="G171" s="176"/>
      <c r="H171" s="176"/>
      <c r="I171" s="176"/>
      <c r="J171" s="176"/>
      <c r="K171" s="177"/>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5" t="s">
        <v>47</v>
      </c>
      <c r="B179" s="176"/>
      <c r="C179" s="176"/>
      <c r="D179" s="176"/>
      <c r="E179" s="176"/>
      <c r="F179" s="176"/>
      <c r="G179" s="176"/>
      <c r="H179" s="176"/>
      <c r="I179" s="176"/>
      <c r="J179" s="176"/>
      <c r="K179" s="177"/>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5" t="s">
        <v>46</v>
      </c>
      <c r="B187" s="176"/>
      <c r="C187" s="176"/>
      <c r="D187" s="176"/>
      <c r="E187" s="176"/>
      <c r="F187" s="176"/>
      <c r="G187" s="176"/>
      <c r="H187" s="176"/>
      <c r="I187" s="176"/>
      <c r="J187" s="176"/>
      <c r="K187" s="177"/>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5" t="s">
        <v>45</v>
      </c>
      <c r="B195" s="176"/>
      <c r="C195" s="176"/>
      <c r="D195" s="176"/>
      <c r="E195" s="176"/>
      <c r="F195" s="176"/>
      <c r="G195" s="176"/>
      <c r="H195" s="176"/>
      <c r="I195" s="176"/>
      <c r="J195" s="176"/>
      <c r="K195" s="177"/>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78" t="s">
        <v>54</v>
      </c>
      <c r="B202" s="179"/>
      <c r="C202" s="179"/>
      <c r="D202" s="179"/>
      <c r="E202" s="179"/>
      <c r="F202" s="179"/>
      <c r="G202" s="179"/>
      <c r="H202" s="179"/>
      <c r="I202" s="179"/>
      <c r="J202" s="179"/>
      <c r="K202" s="180"/>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5" t="s">
        <v>48</v>
      </c>
      <c r="B211" s="176"/>
      <c r="C211" s="176"/>
      <c r="D211" s="176"/>
      <c r="E211" s="176"/>
      <c r="F211" s="176"/>
      <c r="G211" s="176"/>
      <c r="H211" s="176"/>
      <c r="I211" s="176"/>
      <c r="J211" s="176"/>
      <c r="K211" s="177"/>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5" t="s">
        <v>47</v>
      </c>
      <c r="B219" s="176"/>
      <c r="C219" s="176"/>
      <c r="D219" s="176"/>
      <c r="E219" s="176"/>
      <c r="F219" s="176"/>
      <c r="G219" s="176"/>
      <c r="H219" s="176"/>
      <c r="I219" s="176"/>
      <c r="J219" s="176"/>
      <c r="K219" s="177"/>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5" t="s">
        <v>46</v>
      </c>
      <c r="B227" s="176"/>
      <c r="C227" s="176"/>
      <c r="D227" s="176"/>
      <c r="E227" s="176"/>
      <c r="F227" s="176"/>
      <c r="G227" s="176"/>
      <c r="H227" s="176"/>
      <c r="I227" s="176"/>
      <c r="J227" s="176"/>
      <c r="K227" s="177"/>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5" t="s">
        <v>45</v>
      </c>
      <c r="B235" s="176"/>
      <c r="C235" s="176"/>
      <c r="D235" s="176"/>
      <c r="E235" s="176"/>
      <c r="F235" s="176"/>
      <c r="G235" s="176"/>
      <c r="H235" s="176"/>
      <c r="I235" s="176"/>
      <c r="J235" s="176"/>
      <c r="K235" s="177"/>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78" t="s">
        <v>53</v>
      </c>
      <c r="B242" s="179"/>
      <c r="C242" s="179"/>
      <c r="D242" s="179"/>
      <c r="E242" s="179"/>
      <c r="F242" s="179"/>
      <c r="G242" s="179"/>
      <c r="H242" s="179"/>
      <c r="I242" s="179"/>
      <c r="J242" s="179"/>
      <c r="K242" s="180"/>
    </row>
    <row r="243" spans="1:11" ht="15" thickBot="1" x14ac:dyDescent="0.35">
      <c r="A243" s="31" t="s">
        <v>31</v>
      </c>
      <c r="B243" s="18" t="s">
        <v>30</v>
      </c>
      <c r="C243" t="str">
        <f>FIXED(A244,6)</f>
        <v>0,404269</v>
      </c>
      <c r="D243" t="str">
        <f>RIGHT(C243,1)</f>
        <v>9</v>
      </c>
      <c r="E243">
        <f>D243/1000000</f>
        <v>9.0000000000000002E-6</v>
      </c>
      <c r="F243" s="30">
        <f>A244-E243</f>
        <v>0.40425957556412295</v>
      </c>
      <c r="H243" t="str">
        <f>IF(C248=5,IF(AND(D244=0,D249=FALSE),J246,J247),J247)</f>
        <v>0,4043</v>
      </c>
      <c r="K243" s="27"/>
    </row>
    <row r="244" spans="1:11" ht="18.600000000000001" thickBot="1" x14ac:dyDescent="0.4">
      <c r="A244" s="29">
        <f>INCERTIDUMBRE!L12</f>
        <v>0.40426857556412293</v>
      </c>
      <c r="B244" s="28" t="str">
        <f>IF(A244&gt;=10,K278,IF(A244&gt;=1,K270,IF(A244&gt;=0.1,K262,IF(A244&gt;=0.01,K254,IF(A244&gt;=0.001,K246)))))</f>
        <v>0,40</v>
      </c>
      <c r="C244" t="s">
        <v>29</v>
      </c>
      <c r="D244">
        <f>D243+0</f>
        <v>9</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23</v>
      </c>
      <c r="D246" t="str">
        <f>LEFT(C246,1)</f>
        <v>2</v>
      </c>
      <c r="E246" s="30">
        <f>TRUNC(A244)</f>
        <v>0</v>
      </c>
      <c r="F246" s="14" t="str">
        <f>FIXED(A244-E246,G246)</f>
        <v>0,404268575564123</v>
      </c>
      <c r="G246">
        <f>ABS(E249-F249)</f>
        <v>15</v>
      </c>
      <c r="H246" t="str">
        <f>RIGHT(A244,G246)</f>
        <v>404268575564123</v>
      </c>
      <c r="I246">
        <v>5.0000000000000002E-5</v>
      </c>
      <c r="J246" s="14">
        <f>(A244-I246)</f>
        <v>0.40421857556412294</v>
      </c>
      <c r="K246" s="45" t="str">
        <f>IF(C248=5,IF(AND(D244=0,D249=FALSE),J246,J247),J247)</f>
        <v>0,4043</v>
      </c>
    </row>
    <row r="247" spans="1:11" hidden="1" x14ac:dyDescent="0.3">
      <c r="A247" s="31"/>
      <c r="C247" t="str">
        <f>RIGHT(C246,1)</f>
        <v>3</v>
      </c>
      <c r="D247">
        <f>D246+0</f>
        <v>2</v>
      </c>
      <c r="J247" t="str">
        <f>FIXED(A244,4)</f>
        <v>0,4043</v>
      </c>
      <c r="K247" s="27"/>
    </row>
    <row r="248" spans="1:11" hidden="1" x14ac:dyDescent="0.3">
      <c r="A248" s="31"/>
      <c r="C248">
        <f>C247+0</f>
        <v>3</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5" t="s">
        <v>48</v>
      </c>
      <c r="B251" s="176"/>
      <c r="C251" s="176"/>
      <c r="D251" s="176"/>
      <c r="E251" s="176"/>
      <c r="F251" s="176"/>
      <c r="G251" s="176"/>
      <c r="H251" s="176"/>
      <c r="I251" s="176"/>
      <c r="J251" s="176"/>
      <c r="K251" s="177"/>
    </row>
    <row r="252" spans="1:11" hidden="1" x14ac:dyDescent="0.3">
      <c r="A252" s="42" t="str">
        <f>K246</f>
        <v>0,4043</v>
      </c>
      <c r="C252" t="str">
        <f>FIXED(A244,5)</f>
        <v>0,40427</v>
      </c>
      <c r="D252" t="str">
        <f>RIGHT(C252,1)</f>
        <v>7</v>
      </c>
      <c r="E252">
        <f>D252+0</f>
        <v>7</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43</v>
      </c>
      <c r="D254" t="str">
        <f>LEFT(C254,1)</f>
        <v>4</v>
      </c>
      <c r="E254" s="36">
        <f>TRUNC(A252)</f>
        <v>0</v>
      </c>
      <c r="F254" s="14" t="str">
        <f>FIXED(A252-E254,G254)</f>
        <v>0,4043</v>
      </c>
      <c r="G254">
        <f>ABS(E257-F257)</f>
        <v>4</v>
      </c>
      <c r="H254" t="str">
        <f>RIGHT(A252,G254)</f>
        <v>4043</v>
      </c>
      <c r="I254">
        <v>5.0000000000000001E-4</v>
      </c>
      <c r="J254" s="44">
        <f>(A252-I254)</f>
        <v>0.40379999999999999</v>
      </c>
      <c r="K254" s="43" t="str">
        <f>IF(C256=5,IF(AND(E252=0,D257=FALSE),J254,J255),J255)</f>
        <v>0,404</v>
      </c>
    </row>
    <row r="255" spans="1:11" hidden="1" x14ac:dyDescent="0.3">
      <c r="A255" s="31"/>
      <c r="C255" t="str">
        <f>RIGHT(C254,1)</f>
        <v>3</v>
      </c>
      <c r="D255">
        <f>D254+0</f>
        <v>4</v>
      </c>
      <c r="J255" t="str">
        <f>FIXED(A252,3)</f>
        <v>0,404</v>
      </c>
      <c r="K255" s="27"/>
    </row>
    <row r="256" spans="1:11" hidden="1" x14ac:dyDescent="0.3">
      <c r="A256" s="31"/>
      <c r="C256">
        <f>C255+0</f>
        <v>3</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75" t="s">
        <v>47</v>
      </c>
      <c r="B259" s="176"/>
      <c r="C259" s="176"/>
      <c r="D259" s="176"/>
      <c r="E259" s="176"/>
      <c r="F259" s="176"/>
      <c r="G259" s="176"/>
      <c r="H259" s="176"/>
      <c r="I259" s="176"/>
      <c r="J259" s="176"/>
      <c r="K259" s="177"/>
    </row>
    <row r="260" spans="1:11" hidden="1" x14ac:dyDescent="0.3">
      <c r="A260" s="42" t="str">
        <f>K254</f>
        <v>0,404</v>
      </c>
      <c r="C260" t="str">
        <f>FIXED(A252,4)</f>
        <v>0,4043</v>
      </c>
      <c r="D260" t="str">
        <f>RIGHT(C260,1)</f>
        <v>3</v>
      </c>
      <c r="E260">
        <f>D260+0</f>
        <v>3</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04</v>
      </c>
      <c r="D262" t="str">
        <f>LEFT(C262,1)</f>
        <v>0</v>
      </c>
      <c r="E262" s="36">
        <f>TRUNC(A260)</f>
        <v>0</v>
      </c>
      <c r="F262" s="14" t="str">
        <f>FIXED(A260-E262,G262)</f>
        <v>0,404</v>
      </c>
      <c r="G262">
        <f>ABS(E265-F265)</f>
        <v>3</v>
      </c>
      <c r="H262" t="str">
        <f>RIGHT(A260,G262)</f>
        <v>404</v>
      </c>
      <c r="I262">
        <v>5.0000000000000001E-3</v>
      </c>
      <c r="J262" s="3">
        <f>(A260-I262)</f>
        <v>0.39900000000000002</v>
      </c>
      <c r="K262" s="41" t="str">
        <f>IF(C264=5,IF(AND(E260=0,D265=FALSE),J262,J263),J263)</f>
        <v>0,40</v>
      </c>
    </row>
    <row r="263" spans="1:11" ht="18" hidden="1" x14ac:dyDescent="0.35">
      <c r="A263" s="31"/>
      <c r="C263" t="str">
        <f>RIGHT(C262,1)</f>
        <v>4</v>
      </c>
      <c r="D263">
        <f>D262+0</f>
        <v>0</v>
      </c>
      <c r="J263" t="str">
        <f>FIXED(A260,2)</f>
        <v>0,40</v>
      </c>
      <c r="K263" s="41"/>
    </row>
    <row r="264" spans="1:11" hidden="1" x14ac:dyDescent="0.3">
      <c r="A264" s="31"/>
      <c r="C264">
        <f>C263+0</f>
        <v>4</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5" t="s">
        <v>46</v>
      </c>
      <c r="B267" s="176"/>
      <c r="C267" s="176"/>
      <c r="D267" s="176"/>
      <c r="E267" s="176"/>
      <c r="F267" s="176"/>
      <c r="G267" s="176"/>
      <c r="H267" s="176"/>
      <c r="I267" s="176"/>
      <c r="J267" s="176"/>
      <c r="K267" s="177"/>
    </row>
    <row r="268" spans="1:11" hidden="1" x14ac:dyDescent="0.3">
      <c r="A268" s="39" t="str">
        <f>K262</f>
        <v>0,40</v>
      </c>
      <c r="C268" t="str">
        <f>FIXED(A260,3)</f>
        <v>0,404</v>
      </c>
      <c r="D268" t="str">
        <f>RIGHT(C268,1)</f>
        <v>4</v>
      </c>
      <c r="E268">
        <f>D268+0</f>
        <v>4</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40</v>
      </c>
      <c r="D270" t="str">
        <f>LEFT(C270,1)</f>
        <v>4</v>
      </c>
      <c r="E270" s="36">
        <f>TRUNC(A268)</f>
        <v>0</v>
      </c>
      <c r="F270" s="14" t="str">
        <f>FIXED(A268-E270,G270)</f>
        <v>0,40</v>
      </c>
      <c r="G270">
        <f>ABS(E273-F273)</f>
        <v>2</v>
      </c>
      <c r="H270" t="str">
        <f>RIGHT(A268,G270)</f>
        <v>40</v>
      </c>
      <c r="I270">
        <v>0.05</v>
      </c>
      <c r="J270" s="3">
        <f>(A268-I270)</f>
        <v>0.35000000000000003</v>
      </c>
      <c r="K270" s="41" t="str">
        <f>IF(C272=5,IF(AND(E268=0,D273=FALSE),J270,J271),J271)</f>
        <v>0,4</v>
      </c>
    </row>
    <row r="271" spans="1:11" hidden="1" x14ac:dyDescent="0.3">
      <c r="A271" s="31"/>
      <c r="C271" t="str">
        <f>RIGHT(C270,1)</f>
        <v>0</v>
      </c>
      <c r="D271">
        <f>D270+0</f>
        <v>4</v>
      </c>
      <c r="J271" t="str">
        <f>FIXED(A268,1)</f>
        <v>0,4</v>
      </c>
      <c r="K271" s="40"/>
    </row>
    <row r="272" spans="1:11" hidden="1" x14ac:dyDescent="0.3">
      <c r="A272" s="31"/>
      <c r="C272">
        <f>C271+0</f>
        <v>0</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5" t="s">
        <v>45</v>
      </c>
      <c r="B275" s="176"/>
      <c r="C275" s="176"/>
      <c r="D275" s="176"/>
      <c r="E275" s="176"/>
      <c r="F275" s="176"/>
      <c r="G275" s="176"/>
      <c r="H275" s="176"/>
      <c r="I275" s="176"/>
      <c r="J275" s="176"/>
      <c r="K275" s="177"/>
    </row>
    <row r="276" spans="1:11" hidden="1" x14ac:dyDescent="0.3">
      <c r="A276" s="39" t="str">
        <f>K270</f>
        <v>0,4</v>
      </c>
      <c r="C276" t="str">
        <f>FIXED(A268,2)</f>
        <v>0,40</v>
      </c>
      <c r="D276" t="str">
        <f>RIGHT(C276,1)</f>
        <v>0</v>
      </c>
      <c r="E276">
        <f>D276+0</f>
        <v>0</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,4</v>
      </c>
      <c r="D278" t="str">
        <f>RIGHT(E278,1)</f>
        <v>0</v>
      </c>
      <c r="E278" s="36">
        <f>TRUNC(A276)</f>
        <v>0</v>
      </c>
      <c r="F278" s="14" t="str">
        <f>FIXED(A276-E278,G278)</f>
        <v>0,4</v>
      </c>
      <c r="G278">
        <f>ABS(E281-F281)</f>
        <v>1</v>
      </c>
      <c r="H278" t="str">
        <f>RIGHT(A276,G278)</f>
        <v>4</v>
      </c>
      <c r="I278">
        <v>0.5</v>
      </c>
      <c r="J278" s="12">
        <f>(A276-I278)</f>
        <v>-9.9999999999999978E-2</v>
      </c>
      <c r="K278" s="35" t="str">
        <f>IF(C280=5,IF(AND(E276=0,D281=FALSE),J278,J279),J279)</f>
        <v>0</v>
      </c>
    </row>
    <row r="279" spans="1:11" hidden="1" x14ac:dyDescent="0.3">
      <c r="A279" s="31"/>
      <c r="C279" t="str">
        <f>RIGHT(C278,1)</f>
        <v>4</v>
      </c>
      <c r="D279">
        <f>D278+0</f>
        <v>0</v>
      </c>
      <c r="J279" t="str">
        <f>FIXED(A276,0)</f>
        <v>0</v>
      </c>
      <c r="K279" s="34"/>
    </row>
    <row r="280" spans="1:11" hidden="1" x14ac:dyDescent="0.3">
      <c r="A280" s="31"/>
      <c r="C280">
        <f>C279+0</f>
        <v>4</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78" t="s">
        <v>52</v>
      </c>
      <c r="B282" s="179"/>
      <c r="C282" s="179"/>
      <c r="D282" s="179"/>
      <c r="E282" s="179"/>
      <c r="F282" s="179"/>
      <c r="G282" s="179"/>
      <c r="H282" s="179"/>
      <c r="I282" s="179"/>
      <c r="J282" s="179"/>
      <c r="K282" s="180"/>
    </row>
    <row r="283" spans="1:11" ht="15" thickBot="1" x14ac:dyDescent="0.35">
      <c r="A283" s="31" t="s">
        <v>31</v>
      </c>
      <c r="B283" s="18" t="s">
        <v>30</v>
      </c>
      <c r="C283" t="str">
        <f>FIXED(A284,6)</f>
        <v>0,404269</v>
      </c>
      <c r="D283" t="str">
        <f>RIGHT(C283,1)</f>
        <v>9</v>
      </c>
      <c r="E283">
        <f>D283/1000000</f>
        <v>9.0000000000000002E-6</v>
      </c>
      <c r="F283" s="30">
        <f>A284-E283</f>
        <v>0.40425957556412295</v>
      </c>
      <c r="H283" t="str">
        <f>IF(C288=5,IF(AND(D284=0,D289=FALSE),J286,J287),J287)</f>
        <v>0,4043</v>
      </c>
      <c r="K283" s="27"/>
    </row>
    <row r="284" spans="1:11" ht="18.600000000000001" thickBot="1" x14ac:dyDescent="0.4">
      <c r="A284" s="29">
        <f>INCERTIDUMBRE!L13</f>
        <v>0.40426857556412293</v>
      </c>
      <c r="B284" s="28" t="str">
        <f>IF(A284&gt;=10,K318,IF(A284&gt;=1,K310,IF(A284&gt;=0.1,K302,IF(A284&gt;=0.01,K294,IF(A284&gt;=0.001,K286)))))</f>
        <v>0,40</v>
      </c>
      <c r="C284" t="s">
        <v>29</v>
      </c>
      <c r="D284">
        <f>D283+0</f>
        <v>9</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23</v>
      </c>
      <c r="D286" t="str">
        <f>LEFT(C286,1)</f>
        <v>2</v>
      </c>
      <c r="E286" s="30">
        <f>TRUNC(A284)</f>
        <v>0</v>
      </c>
      <c r="F286" s="14" t="str">
        <f>FIXED(A284-E286,G286)</f>
        <v>0,404268575564123</v>
      </c>
      <c r="G286">
        <f>ABS(E289-F289)</f>
        <v>15</v>
      </c>
      <c r="H286" t="str">
        <f>RIGHT(A284,G286)</f>
        <v>404268575564123</v>
      </c>
      <c r="I286">
        <v>5.0000000000000002E-5</v>
      </c>
      <c r="J286" s="14">
        <f>(A284-I286)</f>
        <v>0.40421857556412294</v>
      </c>
      <c r="K286" s="45" t="str">
        <f>IF(C288=5,IF(AND(D284=0,D289=FALSE),J286,J287),J287)</f>
        <v>0,4043</v>
      </c>
    </row>
    <row r="287" spans="1:11" hidden="1" x14ac:dyDescent="0.3">
      <c r="A287" s="31"/>
      <c r="C287" t="str">
        <f>RIGHT(C286,1)</f>
        <v>3</v>
      </c>
      <c r="D287">
        <f>D286+0</f>
        <v>2</v>
      </c>
      <c r="J287" t="str">
        <f>FIXED(A284,4)</f>
        <v>0,4043</v>
      </c>
      <c r="K287" s="27"/>
    </row>
    <row r="288" spans="1:11" hidden="1" x14ac:dyDescent="0.3">
      <c r="A288" s="31"/>
      <c r="C288">
        <f>C287+0</f>
        <v>3</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5" t="s">
        <v>48</v>
      </c>
      <c r="B291" s="176"/>
      <c r="C291" s="176"/>
      <c r="D291" s="176"/>
      <c r="E291" s="176"/>
      <c r="F291" s="176"/>
      <c r="G291" s="176"/>
      <c r="H291" s="176"/>
      <c r="I291" s="176"/>
      <c r="J291" s="176"/>
      <c r="K291" s="177"/>
    </row>
    <row r="292" spans="1:11" hidden="1" x14ac:dyDescent="0.3">
      <c r="A292" s="42" t="str">
        <f>K286</f>
        <v>0,4043</v>
      </c>
      <c r="C292" t="str">
        <f>FIXED(A284,5)</f>
        <v>0,40427</v>
      </c>
      <c r="D292" t="str">
        <f>RIGHT(C292,1)</f>
        <v>7</v>
      </c>
      <c r="E292">
        <f>D292+0</f>
        <v>7</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43</v>
      </c>
      <c r="D294" t="str">
        <f>LEFT(C294,1)</f>
        <v>4</v>
      </c>
      <c r="E294" s="36">
        <f>TRUNC(A292)</f>
        <v>0</v>
      </c>
      <c r="F294" s="14" t="str">
        <f>FIXED(A292-E294,G294)</f>
        <v>0,4043</v>
      </c>
      <c r="G294">
        <f>ABS(E297-F297)</f>
        <v>4</v>
      </c>
      <c r="H294" t="str">
        <f>RIGHT(A292,G294)</f>
        <v>4043</v>
      </c>
      <c r="I294">
        <v>5.0000000000000001E-4</v>
      </c>
      <c r="J294" s="44">
        <f>(A292-I294)</f>
        <v>0.40379999999999999</v>
      </c>
      <c r="K294" s="43" t="str">
        <f>IF(C296=5,IF(AND(E292=0,D297=FALSE),J294,J295),J295)</f>
        <v>0,404</v>
      </c>
    </row>
    <row r="295" spans="1:11" hidden="1" x14ac:dyDescent="0.3">
      <c r="A295" s="31"/>
      <c r="C295" t="str">
        <f>RIGHT(C294,1)</f>
        <v>3</v>
      </c>
      <c r="D295">
        <f>D294+0</f>
        <v>4</v>
      </c>
      <c r="J295" t="str">
        <f>FIXED(A292,3)</f>
        <v>0,404</v>
      </c>
      <c r="K295" s="27"/>
    </row>
    <row r="296" spans="1:11" hidden="1" x14ac:dyDescent="0.3">
      <c r="A296" s="31"/>
      <c r="C296">
        <f>C295+0</f>
        <v>3</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75" t="s">
        <v>47</v>
      </c>
      <c r="B299" s="176"/>
      <c r="C299" s="176"/>
      <c r="D299" s="176"/>
      <c r="E299" s="176"/>
      <c r="F299" s="176"/>
      <c r="G299" s="176"/>
      <c r="H299" s="176"/>
      <c r="I299" s="176"/>
      <c r="J299" s="176"/>
      <c r="K299" s="177"/>
    </row>
    <row r="300" spans="1:11" hidden="1" x14ac:dyDescent="0.3">
      <c r="A300" s="42" t="str">
        <f>K294</f>
        <v>0,404</v>
      </c>
      <c r="C300" t="str">
        <f>FIXED(A292,4)</f>
        <v>0,4043</v>
      </c>
      <c r="D300" t="str">
        <f>RIGHT(C300,1)</f>
        <v>3</v>
      </c>
      <c r="E300">
        <f>D300+0</f>
        <v>3</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04</v>
      </c>
      <c r="D302" t="str">
        <f>LEFT(C302,1)</f>
        <v>0</v>
      </c>
      <c r="E302" s="36">
        <f>TRUNC(A300)</f>
        <v>0</v>
      </c>
      <c r="F302" s="14" t="str">
        <f>FIXED(A300-E302,G302)</f>
        <v>0,404</v>
      </c>
      <c r="G302">
        <f>ABS(E305-F305)</f>
        <v>3</v>
      </c>
      <c r="H302" t="str">
        <f>RIGHT(A300,G302)</f>
        <v>404</v>
      </c>
      <c r="I302">
        <v>5.0000000000000001E-3</v>
      </c>
      <c r="J302" s="3">
        <f>(A300-I302)</f>
        <v>0.39900000000000002</v>
      </c>
      <c r="K302" s="41" t="str">
        <f>IF(C304=5,IF(AND(E300=0,D305=FALSE),J302,J303),J303)</f>
        <v>0,40</v>
      </c>
    </row>
    <row r="303" spans="1:11" ht="18" hidden="1" x14ac:dyDescent="0.35">
      <c r="A303" s="31"/>
      <c r="C303" t="str">
        <f>RIGHT(C302,1)</f>
        <v>4</v>
      </c>
      <c r="D303">
        <f>D302+0</f>
        <v>0</v>
      </c>
      <c r="J303" t="str">
        <f>FIXED(A300,2)</f>
        <v>0,40</v>
      </c>
      <c r="K303" s="41"/>
    </row>
    <row r="304" spans="1:11" hidden="1" x14ac:dyDescent="0.3">
      <c r="A304" s="31"/>
      <c r="C304">
        <f>C303+0</f>
        <v>4</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5" t="s">
        <v>46</v>
      </c>
      <c r="B307" s="176"/>
      <c r="C307" s="176"/>
      <c r="D307" s="176"/>
      <c r="E307" s="176"/>
      <c r="F307" s="176"/>
      <c r="G307" s="176"/>
      <c r="H307" s="176"/>
      <c r="I307" s="176"/>
      <c r="J307" s="176"/>
      <c r="K307" s="177"/>
    </row>
    <row r="308" spans="1:11" hidden="1" x14ac:dyDescent="0.3">
      <c r="A308" s="39" t="str">
        <f>K302</f>
        <v>0,40</v>
      </c>
      <c r="C308" t="str">
        <f>FIXED(A300,3)</f>
        <v>0,404</v>
      </c>
      <c r="D308" t="str">
        <f>RIGHT(C308,1)</f>
        <v>4</v>
      </c>
      <c r="E308">
        <f>D308+0</f>
        <v>4</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40</v>
      </c>
      <c r="D310" t="str">
        <f>LEFT(C310,1)</f>
        <v>4</v>
      </c>
      <c r="E310" s="36">
        <f>TRUNC(A308)</f>
        <v>0</v>
      </c>
      <c r="F310" s="14" t="str">
        <f>FIXED(A308-E310,G310)</f>
        <v>0,40</v>
      </c>
      <c r="G310">
        <f>ABS(E313-F313)</f>
        <v>2</v>
      </c>
      <c r="H310" t="str">
        <f>RIGHT(A308,G310)</f>
        <v>40</v>
      </c>
      <c r="I310">
        <v>0.05</v>
      </c>
      <c r="J310" s="3">
        <f>(A308-I310)</f>
        <v>0.35000000000000003</v>
      </c>
      <c r="K310" s="41" t="str">
        <f>IF(C312=5,IF(AND(E308=0,D313=FALSE),J310,J311),J311)</f>
        <v>0,4</v>
      </c>
    </row>
    <row r="311" spans="1:11" hidden="1" x14ac:dyDescent="0.3">
      <c r="A311" s="31"/>
      <c r="C311" t="str">
        <f>RIGHT(C310,1)</f>
        <v>0</v>
      </c>
      <c r="D311">
        <f>D310+0</f>
        <v>4</v>
      </c>
      <c r="J311" t="str">
        <f>FIXED(A308,1)</f>
        <v>0,4</v>
      </c>
      <c r="K311" s="40"/>
    </row>
    <row r="312" spans="1:11" hidden="1" x14ac:dyDescent="0.3">
      <c r="A312" s="31"/>
      <c r="C312">
        <f>C311+0</f>
        <v>0</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5" t="s">
        <v>45</v>
      </c>
      <c r="B315" s="176"/>
      <c r="C315" s="176"/>
      <c r="D315" s="176"/>
      <c r="E315" s="176"/>
      <c r="F315" s="176"/>
      <c r="G315" s="176"/>
      <c r="H315" s="176"/>
      <c r="I315" s="176"/>
      <c r="J315" s="176"/>
      <c r="K315" s="177"/>
    </row>
    <row r="316" spans="1:11" hidden="1" x14ac:dyDescent="0.3">
      <c r="A316" s="39" t="str">
        <f>K310</f>
        <v>0,4</v>
      </c>
      <c r="C316" t="str">
        <f>FIXED(A308,2)</f>
        <v>0,40</v>
      </c>
      <c r="D316" t="str">
        <f>RIGHT(C316,1)</f>
        <v>0</v>
      </c>
      <c r="E316">
        <f>D316+0</f>
        <v>0</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,4</v>
      </c>
      <c r="D318" t="str">
        <f>RIGHT(E318,1)</f>
        <v>0</v>
      </c>
      <c r="E318" s="36">
        <f>TRUNC(A316)</f>
        <v>0</v>
      </c>
      <c r="F318" s="14" t="str">
        <f>FIXED(A316-E318,G318)</f>
        <v>0,4</v>
      </c>
      <c r="G318">
        <f>ABS(E321-F321)</f>
        <v>1</v>
      </c>
      <c r="H318" t="str">
        <f>RIGHT(A316,G318)</f>
        <v>4</v>
      </c>
      <c r="I318">
        <v>0.5</v>
      </c>
      <c r="J318" s="12">
        <f>(A316-I318)</f>
        <v>-9.9999999999999978E-2</v>
      </c>
      <c r="K318" s="35" t="str">
        <f>IF(C320=5,IF(AND(E316=0,D321=FALSE),J318,J319),J319)</f>
        <v>0</v>
      </c>
    </row>
    <row r="319" spans="1:11" hidden="1" x14ac:dyDescent="0.3">
      <c r="A319" s="31"/>
      <c r="C319" t="str">
        <f>RIGHT(C318,1)</f>
        <v>4</v>
      </c>
      <c r="D319">
        <f>D318+0</f>
        <v>0</v>
      </c>
      <c r="J319" t="str">
        <f>FIXED(A316,0)</f>
        <v>0</v>
      </c>
      <c r="K319" s="34"/>
    </row>
    <row r="320" spans="1:11" hidden="1" x14ac:dyDescent="0.3">
      <c r="A320" s="31"/>
      <c r="C320">
        <f>C319+0</f>
        <v>4</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78" t="s">
        <v>51</v>
      </c>
      <c r="B322" s="179"/>
      <c r="C322" s="179"/>
      <c r="D322" s="179"/>
      <c r="E322" s="179"/>
      <c r="F322" s="179"/>
      <c r="G322" s="179"/>
      <c r="H322" s="179"/>
      <c r="I322" s="179"/>
      <c r="J322" s="179"/>
      <c r="K322" s="180"/>
    </row>
    <row r="323" spans="1:11" ht="15" thickBot="1" x14ac:dyDescent="0.35">
      <c r="A323" s="31" t="s">
        <v>31</v>
      </c>
      <c r="B323" s="18" t="s">
        <v>30</v>
      </c>
      <c r="C323" t="str">
        <f>FIXED(A324,6)</f>
        <v>0,404269</v>
      </c>
      <c r="D323" t="str">
        <f>RIGHT(C323,1)</f>
        <v>9</v>
      </c>
      <c r="E323">
        <f>D323/1000000</f>
        <v>9.0000000000000002E-6</v>
      </c>
      <c r="F323" s="30">
        <f>A324-E323</f>
        <v>0.40425957556412295</v>
      </c>
      <c r="H323" t="str">
        <f>IF(C328=5,IF(AND(D324=0,D329=FALSE),J326,J327),J327)</f>
        <v>0,4043</v>
      </c>
      <c r="K323" s="27"/>
    </row>
    <row r="324" spans="1:11" ht="18.600000000000001" thickBot="1" x14ac:dyDescent="0.4">
      <c r="A324" s="29">
        <f>INCERTIDUMBRE!L14</f>
        <v>0.40426857556412293</v>
      </c>
      <c r="B324" s="28" t="str">
        <f>IF(A324&gt;=10,K358,IF(A324&gt;=1,K350,IF(A324&gt;=0.1,K342,IF(A324&gt;=0.01,K334,IF(A324&gt;=0.001,K326)))))</f>
        <v>0,40</v>
      </c>
      <c r="C324" t="s">
        <v>29</v>
      </c>
      <c r="D324">
        <f>D323+0</f>
        <v>9</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23</v>
      </c>
      <c r="D326" t="str">
        <f>LEFT(C326,1)</f>
        <v>2</v>
      </c>
      <c r="E326" s="30">
        <f>TRUNC(A324)</f>
        <v>0</v>
      </c>
      <c r="F326" s="14" t="str">
        <f>FIXED(A324-E326,G326)</f>
        <v>0,404268575564123</v>
      </c>
      <c r="G326">
        <f>ABS(E329-F329)</f>
        <v>15</v>
      </c>
      <c r="H326" t="str">
        <f>RIGHT(A324,G326)</f>
        <v>404268575564123</v>
      </c>
      <c r="I326">
        <v>5.0000000000000002E-5</v>
      </c>
      <c r="J326" s="14">
        <f>(A324-I326)</f>
        <v>0.40421857556412294</v>
      </c>
      <c r="K326" s="45" t="str">
        <f>IF(C328=5,IF(AND(D324=0,D329=FALSE),J326,J327),J327)</f>
        <v>0,4043</v>
      </c>
    </row>
    <row r="327" spans="1:11" hidden="1" x14ac:dyDescent="0.3">
      <c r="A327" s="31"/>
      <c r="C327" t="str">
        <f>RIGHT(C326,1)</f>
        <v>3</v>
      </c>
      <c r="D327">
        <f>D326+0</f>
        <v>2</v>
      </c>
      <c r="J327" t="str">
        <f>FIXED(A324,4)</f>
        <v>0,4043</v>
      </c>
      <c r="K327" s="27"/>
    </row>
    <row r="328" spans="1:11" hidden="1" x14ac:dyDescent="0.3">
      <c r="A328" s="31"/>
      <c r="C328">
        <f>C327+0</f>
        <v>3</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5" t="s">
        <v>48</v>
      </c>
      <c r="B331" s="176"/>
      <c r="C331" s="176"/>
      <c r="D331" s="176"/>
      <c r="E331" s="176"/>
      <c r="F331" s="176"/>
      <c r="G331" s="176"/>
      <c r="H331" s="176"/>
      <c r="I331" s="176"/>
      <c r="J331" s="176"/>
      <c r="K331" s="177"/>
    </row>
    <row r="332" spans="1:11" hidden="1" x14ac:dyDescent="0.3">
      <c r="A332" s="42" t="str">
        <f>K326</f>
        <v>0,4043</v>
      </c>
      <c r="C332" t="str">
        <f>FIXED(A324,5)</f>
        <v>0,40427</v>
      </c>
      <c r="D332" t="str">
        <f>RIGHT(C332,1)</f>
        <v>7</v>
      </c>
      <c r="E332">
        <f>D332+0</f>
        <v>7</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43</v>
      </c>
      <c r="D334" t="str">
        <f>LEFT(C334,1)</f>
        <v>4</v>
      </c>
      <c r="E334" s="36">
        <f>TRUNC(A332)</f>
        <v>0</v>
      </c>
      <c r="F334" s="14" t="str">
        <f>FIXED(A332-E334,G334)</f>
        <v>0,4043</v>
      </c>
      <c r="G334">
        <f>ABS(E337-F337)</f>
        <v>4</v>
      </c>
      <c r="H334" t="str">
        <f>RIGHT(A332,G334)</f>
        <v>4043</v>
      </c>
      <c r="I334">
        <v>5.0000000000000001E-4</v>
      </c>
      <c r="J334" s="44">
        <f>(A332-I334)</f>
        <v>0.40379999999999999</v>
      </c>
      <c r="K334" s="43" t="str">
        <f>IF(C336=5,IF(AND(E332=0,D337=FALSE),J334,J335),J335)</f>
        <v>0,404</v>
      </c>
    </row>
    <row r="335" spans="1:11" hidden="1" x14ac:dyDescent="0.3">
      <c r="A335" s="31"/>
      <c r="C335" t="str">
        <f>RIGHT(C334,1)</f>
        <v>3</v>
      </c>
      <c r="D335">
        <f>D334+0</f>
        <v>4</v>
      </c>
      <c r="J335" t="str">
        <f>FIXED(A332,3)</f>
        <v>0,404</v>
      </c>
      <c r="K335" s="27"/>
    </row>
    <row r="336" spans="1:11" hidden="1" x14ac:dyDescent="0.3">
      <c r="A336" s="31"/>
      <c r="C336">
        <f>C335+0</f>
        <v>3</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75" t="s">
        <v>47</v>
      </c>
      <c r="B339" s="176"/>
      <c r="C339" s="176"/>
      <c r="D339" s="176"/>
      <c r="E339" s="176"/>
      <c r="F339" s="176"/>
      <c r="G339" s="176"/>
      <c r="H339" s="176"/>
      <c r="I339" s="176"/>
      <c r="J339" s="176"/>
      <c r="K339" s="177"/>
    </row>
    <row r="340" spans="1:11" hidden="1" x14ac:dyDescent="0.3">
      <c r="A340" s="42" t="str">
        <f>K334</f>
        <v>0,404</v>
      </c>
      <c r="C340" t="str">
        <f>FIXED(A332,4)</f>
        <v>0,4043</v>
      </c>
      <c r="D340" t="str">
        <f>RIGHT(C340,1)</f>
        <v>3</v>
      </c>
      <c r="E340">
        <f>D340+0</f>
        <v>3</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04</v>
      </c>
      <c r="D342" t="str">
        <f>LEFT(C342,1)</f>
        <v>0</v>
      </c>
      <c r="E342" s="36">
        <f>TRUNC(A340)</f>
        <v>0</v>
      </c>
      <c r="F342" s="14" t="str">
        <f>FIXED(A340-E342,G342)</f>
        <v>0,404</v>
      </c>
      <c r="G342">
        <f>ABS(E345-F345)</f>
        <v>3</v>
      </c>
      <c r="H342" t="str">
        <f>RIGHT(A340,G342)</f>
        <v>404</v>
      </c>
      <c r="I342">
        <v>5.0000000000000001E-3</v>
      </c>
      <c r="J342" s="3">
        <f>(A340-I342)</f>
        <v>0.39900000000000002</v>
      </c>
      <c r="K342" s="41" t="str">
        <f>IF(C344=5,IF(AND(E340=0,D345=FALSE),J342,J343),J343)</f>
        <v>0,40</v>
      </c>
    </row>
    <row r="343" spans="1:11" ht="18" hidden="1" x14ac:dyDescent="0.35">
      <c r="A343" s="31"/>
      <c r="C343" t="str">
        <f>RIGHT(C342,1)</f>
        <v>4</v>
      </c>
      <c r="D343">
        <f>D342+0</f>
        <v>0</v>
      </c>
      <c r="J343" t="str">
        <f>FIXED(A340,2)</f>
        <v>0,40</v>
      </c>
      <c r="K343" s="41"/>
    </row>
    <row r="344" spans="1:11" hidden="1" x14ac:dyDescent="0.3">
      <c r="A344" s="31"/>
      <c r="C344">
        <f>C343+0</f>
        <v>4</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5" t="s">
        <v>46</v>
      </c>
      <c r="B347" s="176"/>
      <c r="C347" s="176"/>
      <c r="D347" s="176"/>
      <c r="E347" s="176"/>
      <c r="F347" s="176"/>
      <c r="G347" s="176"/>
      <c r="H347" s="176"/>
      <c r="I347" s="176"/>
      <c r="J347" s="176"/>
      <c r="K347" s="177"/>
    </row>
    <row r="348" spans="1:11" hidden="1" x14ac:dyDescent="0.3">
      <c r="A348" s="39" t="str">
        <f>K342</f>
        <v>0,40</v>
      </c>
      <c r="C348" t="str">
        <f>FIXED(A340,3)</f>
        <v>0,404</v>
      </c>
      <c r="D348" t="str">
        <f>RIGHT(C348,1)</f>
        <v>4</v>
      </c>
      <c r="E348">
        <f>D348+0</f>
        <v>4</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40</v>
      </c>
      <c r="D350" t="str">
        <f>LEFT(C350,1)</f>
        <v>4</v>
      </c>
      <c r="E350" s="36">
        <f>TRUNC(A348)</f>
        <v>0</v>
      </c>
      <c r="F350" s="14" t="str">
        <f>FIXED(A348-E350,G350)</f>
        <v>0,40</v>
      </c>
      <c r="G350">
        <f>ABS(E353-F353)</f>
        <v>2</v>
      </c>
      <c r="H350" t="str">
        <f>RIGHT(A348,G350)</f>
        <v>40</v>
      </c>
      <c r="I350">
        <v>0.05</v>
      </c>
      <c r="J350" s="3">
        <f>(A348-I350)</f>
        <v>0.35000000000000003</v>
      </c>
      <c r="K350" s="41" t="str">
        <f>IF(C352=5,IF(AND(E348=0,D353=FALSE),J350,J351),J351)</f>
        <v>0,4</v>
      </c>
    </row>
    <row r="351" spans="1:11" hidden="1" x14ac:dyDescent="0.3">
      <c r="A351" s="31"/>
      <c r="C351" t="str">
        <f>RIGHT(C350,1)</f>
        <v>0</v>
      </c>
      <c r="D351">
        <f>D350+0</f>
        <v>4</v>
      </c>
      <c r="J351" t="str">
        <f>FIXED(A348,1)</f>
        <v>0,4</v>
      </c>
      <c r="K351" s="40"/>
    </row>
    <row r="352" spans="1:11" hidden="1" x14ac:dyDescent="0.3">
      <c r="A352" s="31"/>
      <c r="C352">
        <f>C351+0</f>
        <v>0</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5" t="s">
        <v>45</v>
      </c>
      <c r="B355" s="176"/>
      <c r="C355" s="176"/>
      <c r="D355" s="176"/>
      <c r="E355" s="176"/>
      <c r="F355" s="176"/>
      <c r="G355" s="176"/>
      <c r="H355" s="176"/>
      <c r="I355" s="176"/>
      <c r="J355" s="176"/>
      <c r="K355" s="177"/>
    </row>
    <row r="356" spans="1:11" hidden="1" x14ac:dyDescent="0.3">
      <c r="A356" s="39" t="str">
        <f>K350</f>
        <v>0,4</v>
      </c>
      <c r="C356" t="str">
        <f>FIXED(A348,2)</f>
        <v>0,40</v>
      </c>
      <c r="D356" t="str">
        <f>RIGHT(C356,1)</f>
        <v>0</v>
      </c>
      <c r="E356">
        <f>D356+0</f>
        <v>0</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,4</v>
      </c>
      <c r="D358" t="str">
        <f>RIGHT(E358,1)</f>
        <v>0</v>
      </c>
      <c r="E358" s="36">
        <f>TRUNC(A356)</f>
        <v>0</v>
      </c>
      <c r="F358" s="14" t="str">
        <f>FIXED(A356-E358,G358)</f>
        <v>0,4</v>
      </c>
      <c r="G358">
        <f>ABS(E361-F361)</f>
        <v>1</v>
      </c>
      <c r="H358" t="str">
        <f>RIGHT(A356,G358)</f>
        <v>4</v>
      </c>
      <c r="I358">
        <v>0.5</v>
      </c>
      <c r="J358" s="12">
        <f>(A356-I358)</f>
        <v>-9.9999999999999978E-2</v>
      </c>
      <c r="K358" s="35" t="str">
        <f>IF(C360=5,IF(AND(E356=0,D361=FALSE),J358,J359),J359)</f>
        <v>0</v>
      </c>
    </row>
    <row r="359" spans="1:11" hidden="1" x14ac:dyDescent="0.3">
      <c r="A359" s="31"/>
      <c r="C359" t="str">
        <f>RIGHT(C358,1)</f>
        <v>4</v>
      </c>
      <c r="D359">
        <f>D358+0</f>
        <v>0</v>
      </c>
      <c r="J359" t="str">
        <f>FIXED(A356,0)</f>
        <v>0</v>
      </c>
      <c r="K359" s="34"/>
    </row>
    <row r="360" spans="1:11" hidden="1" x14ac:dyDescent="0.3">
      <c r="A360" s="31"/>
      <c r="C360">
        <f>C359+0</f>
        <v>4</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78" t="s">
        <v>50</v>
      </c>
      <c r="B362" s="179"/>
      <c r="C362" s="179"/>
      <c r="D362" s="179"/>
      <c r="E362" s="179"/>
      <c r="F362" s="179"/>
      <c r="G362" s="179"/>
      <c r="H362" s="179"/>
      <c r="I362" s="179"/>
      <c r="J362" s="179"/>
      <c r="K362" s="180"/>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INCERTIDUMBRE!L15</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5" t="s">
        <v>48</v>
      </c>
      <c r="B371" s="176"/>
      <c r="C371" s="176"/>
      <c r="D371" s="176"/>
      <c r="E371" s="176"/>
      <c r="F371" s="176"/>
      <c r="G371" s="176"/>
      <c r="H371" s="176"/>
      <c r="I371" s="176"/>
      <c r="J371" s="176"/>
      <c r="K371" s="177"/>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5" t="s">
        <v>47</v>
      </c>
      <c r="B379" s="176"/>
      <c r="C379" s="176"/>
      <c r="D379" s="176"/>
      <c r="E379" s="176"/>
      <c r="F379" s="176"/>
      <c r="G379" s="176"/>
      <c r="H379" s="176"/>
      <c r="I379" s="176"/>
      <c r="J379" s="176"/>
      <c r="K379" s="177"/>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5" t="s">
        <v>46</v>
      </c>
      <c r="B387" s="176"/>
      <c r="C387" s="176"/>
      <c r="D387" s="176"/>
      <c r="E387" s="176"/>
      <c r="F387" s="176"/>
      <c r="G387" s="176"/>
      <c r="H387" s="176"/>
      <c r="I387" s="176"/>
      <c r="J387" s="176"/>
      <c r="K387" s="177"/>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5" t="s">
        <v>45</v>
      </c>
      <c r="B395" s="176"/>
      <c r="C395" s="176"/>
      <c r="D395" s="176"/>
      <c r="E395" s="176"/>
      <c r="F395" s="176"/>
      <c r="G395" s="176"/>
      <c r="H395" s="176"/>
      <c r="I395" s="176"/>
      <c r="J395" s="176"/>
      <c r="K395" s="177"/>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78" t="s">
        <v>49</v>
      </c>
      <c r="B402" s="179"/>
      <c r="C402" s="179"/>
      <c r="D402" s="179"/>
      <c r="E402" s="179"/>
      <c r="F402" s="179"/>
      <c r="G402" s="179"/>
      <c r="H402" s="179"/>
      <c r="I402" s="179"/>
      <c r="J402" s="179"/>
      <c r="K402" s="180"/>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INCERTIDUMBRE!L16</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5" t="s">
        <v>48</v>
      </c>
      <c r="B411" s="176"/>
      <c r="C411" s="176"/>
      <c r="D411" s="176"/>
      <c r="E411" s="176"/>
      <c r="F411" s="176"/>
      <c r="G411" s="176"/>
      <c r="H411" s="176"/>
      <c r="I411" s="176"/>
      <c r="J411" s="176"/>
      <c r="K411" s="177"/>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5" t="s">
        <v>47</v>
      </c>
      <c r="B419" s="176"/>
      <c r="C419" s="176"/>
      <c r="D419" s="176"/>
      <c r="E419" s="176"/>
      <c r="F419" s="176"/>
      <c r="G419" s="176"/>
      <c r="H419" s="176"/>
      <c r="I419" s="176"/>
      <c r="J419" s="176"/>
      <c r="K419" s="177"/>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5" t="s">
        <v>46</v>
      </c>
      <c r="B427" s="176"/>
      <c r="C427" s="176"/>
      <c r="D427" s="176"/>
      <c r="E427" s="176"/>
      <c r="F427" s="176"/>
      <c r="G427" s="176"/>
      <c r="H427" s="176"/>
      <c r="I427" s="176"/>
      <c r="J427" s="176"/>
      <c r="K427" s="177"/>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5" t="s">
        <v>45</v>
      </c>
      <c r="B435" s="176"/>
      <c r="C435" s="176"/>
      <c r="D435" s="176"/>
      <c r="E435" s="176"/>
      <c r="F435" s="176"/>
      <c r="G435" s="176"/>
      <c r="H435" s="176"/>
      <c r="I435" s="176"/>
      <c r="J435" s="176"/>
      <c r="K435" s="177"/>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78" t="s">
        <v>32</v>
      </c>
      <c r="B442" s="179"/>
      <c r="C442" s="179"/>
      <c r="D442" s="179"/>
      <c r="E442" s="179"/>
      <c r="F442" s="179"/>
      <c r="G442" s="179"/>
      <c r="H442" s="179"/>
      <c r="I442" s="179"/>
      <c r="J442" s="179"/>
      <c r="K442" s="180"/>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5" t="s">
        <v>48</v>
      </c>
      <c r="D451" s="176"/>
      <c r="E451" s="176"/>
      <c r="F451" s="176"/>
      <c r="G451" s="176"/>
      <c r="H451" s="176"/>
      <c r="I451" s="176"/>
      <c r="J451" s="176"/>
      <c r="K451" s="176"/>
      <c r="L451" s="176"/>
      <c r="M451" s="177"/>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5" t="s">
        <v>47</v>
      </c>
      <c r="D459" s="176"/>
      <c r="E459" s="176"/>
      <c r="F459" s="176"/>
      <c r="G459" s="176"/>
      <c r="H459" s="176"/>
      <c r="I459" s="176"/>
      <c r="J459" s="176"/>
      <c r="K459" s="176"/>
      <c r="L459" s="176"/>
      <c r="M459" s="177"/>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5" t="s">
        <v>46</v>
      </c>
      <c r="D467" s="176"/>
      <c r="E467" s="176"/>
      <c r="F467" s="176"/>
      <c r="G467" s="176"/>
      <c r="H467" s="176"/>
      <c r="I467" s="176"/>
      <c r="J467" s="176"/>
      <c r="K467" s="176"/>
      <c r="L467" s="176"/>
      <c r="M467" s="177"/>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5" t="s">
        <v>45</v>
      </c>
      <c r="D475" s="176"/>
      <c r="E475" s="176"/>
      <c r="F475" s="176"/>
      <c r="G475" s="176"/>
      <c r="H475" s="176"/>
      <c r="I475" s="176"/>
      <c r="J475" s="176"/>
      <c r="K475" s="176"/>
      <c r="L475" s="176"/>
      <c r="M475" s="177"/>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61"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6" t="s">
        <v>144</v>
      </c>
      <c r="Y2" s="186"/>
      <c r="Z2" s="186"/>
      <c r="AA2" s="186"/>
      <c r="AB2" s="186"/>
      <c r="AC2" s="186"/>
      <c r="AD2" s="186"/>
      <c r="AE2" s="186"/>
      <c r="AF2" s="186"/>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5">
        <v>24.713999999999999</v>
      </c>
      <c r="D4" s="95">
        <v>24.3</v>
      </c>
      <c r="E4" s="95">
        <f t="shared" ref="E4:E6" si="0">C4-D4</f>
        <v>0.41399999999999793</v>
      </c>
      <c r="F4" s="97">
        <v>0.28000000000000003</v>
      </c>
      <c r="G4" s="23">
        <v>2</v>
      </c>
      <c r="H4" s="6">
        <f>$K$9*D4^2-$K$10*D4+$K$11</f>
        <v>0.41399999999999626</v>
      </c>
      <c r="I4" s="6">
        <f>E4-H4</f>
        <v>1.6653345369377348E-15</v>
      </c>
      <c r="J4" s="6">
        <f>6-3-1</f>
        <v>2</v>
      </c>
      <c r="K4" s="6">
        <f>(SQRT(SUMSQ(I4:I14)/J4))</f>
        <v>1.7919013374855212E-15</v>
      </c>
      <c r="M4" s="95">
        <v>30.678999999999998</v>
      </c>
      <c r="N4" s="95">
        <v>42.2</v>
      </c>
      <c r="O4" s="95">
        <f t="shared" ref="O4:O6" si="1">M4-N4</f>
        <v>-11.521000000000004</v>
      </c>
      <c r="P4" s="97">
        <v>7.7000000000000002E-3</v>
      </c>
      <c r="Q4" s="23">
        <v>2</v>
      </c>
      <c r="R4" s="6">
        <f>$T$9*N4^2-$T$10*N4-$T$11</f>
        <v>-11.550976</v>
      </c>
      <c r="S4" s="6">
        <f>O4-R4</f>
        <v>2.9975999999996006E-2</v>
      </c>
      <c r="T4" s="6">
        <f>6-3-1</f>
        <v>2</v>
      </c>
      <c r="U4" s="6">
        <f>(SQRT(SUMSQ(S4:S14)/T4))</f>
        <v>9.8831104117076379E-2</v>
      </c>
      <c r="X4" s="95">
        <v>-24.99</v>
      </c>
      <c r="Y4" s="95">
        <v>-25.2</v>
      </c>
      <c r="Z4" s="95">
        <f t="shared" ref="Z4:Z8" si="2">X4-Y4</f>
        <v>0.21000000000000085</v>
      </c>
      <c r="AA4" s="97">
        <v>7.7000000000000002E-3</v>
      </c>
      <c r="AB4" s="23">
        <v>2</v>
      </c>
      <c r="AC4" s="6">
        <f>AD$11*Y4^4-AD$12*Y4^3+AD$13*Y4^2+AD$14*Y4-AD$15</f>
        <v>0.21068662358399992</v>
      </c>
      <c r="AD4" s="6">
        <f>Z4-AC4</f>
        <v>-6.8662358399906864E-4</v>
      </c>
      <c r="AE4" s="6">
        <f>6-3-1</f>
        <v>2</v>
      </c>
      <c r="AF4" s="6">
        <f>(SQRT(SUMSQ(AD4:AD14)/AE4))</f>
        <v>5.2653479179116787E-2</v>
      </c>
    </row>
    <row r="5" spans="1:32" x14ac:dyDescent="0.3">
      <c r="C5" s="95">
        <v>30.474</v>
      </c>
      <c r="D5" s="95">
        <v>29.9</v>
      </c>
      <c r="E5" s="95">
        <f t="shared" si="0"/>
        <v>0.57400000000000162</v>
      </c>
      <c r="F5" s="97">
        <v>0.28000000000000003</v>
      </c>
      <c r="G5" s="23">
        <v>2</v>
      </c>
      <c r="H5" s="6">
        <f t="shared" ref="H5:H6" si="3">$K$9*D5^2-$K$10*D5+$K$11</f>
        <v>0.57400000000000007</v>
      </c>
      <c r="I5" s="6">
        <f>E5-H5</f>
        <v>1.5543122344752192E-15</v>
      </c>
      <c r="J5" s="3"/>
      <c r="K5" s="3"/>
      <c r="M5" s="95">
        <v>50.405000000000001</v>
      </c>
      <c r="N5" s="95">
        <v>59.9</v>
      </c>
      <c r="O5" s="95">
        <f t="shared" si="1"/>
        <v>-9.4949999999999974</v>
      </c>
      <c r="P5" s="97">
        <v>7.7000000000000002E-3</v>
      </c>
      <c r="Q5" s="23">
        <v>2</v>
      </c>
      <c r="R5" s="6">
        <f t="shared" ref="R5:R6" si="4">$T$9*N5^2-$T$10*N5-$T$11</f>
        <v>-9.5560090000000013</v>
      </c>
      <c r="S5" s="6">
        <f>O5-R5</f>
        <v>6.1009000000003866E-2</v>
      </c>
      <c r="T5" s="3"/>
      <c r="U5" s="3"/>
      <c r="X5" s="95">
        <v>9.99</v>
      </c>
      <c r="Y5" s="95">
        <v>10.4</v>
      </c>
      <c r="Z5" s="95">
        <f t="shared" si="2"/>
        <v>-0.41000000000000014</v>
      </c>
      <c r="AA5" s="97">
        <v>7.7000000000000002E-3</v>
      </c>
      <c r="AB5" s="23">
        <v>2</v>
      </c>
      <c r="AC5" s="6">
        <f t="shared" ref="AC5:AC8" si="5">AD$11*Y5^4-AD$12*Y5^3+AD$13*Y5^2+AD$14*Y5-AD$15</f>
        <v>-0.40997719049600001</v>
      </c>
      <c r="AD5" s="6">
        <f t="shared" ref="AD5:AD8" si="6">Z5-AC5</f>
        <v>-2.280950400013193E-5</v>
      </c>
      <c r="AE5" s="3"/>
      <c r="AF5" s="3"/>
    </row>
    <row r="6" spans="1:32" x14ac:dyDescent="0.3">
      <c r="C6" s="95">
        <v>36.279000000000003</v>
      </c>
      <c r="D6" s="95">
        <v>35.5</v>
      </c>
      <c r="E6" s="95">
        <f t="shared" si="0"/>
        <v>0.77900000000000347</v>
      </c>
      <c r="F6" s="97">
        <v>0.3</v>
      </c>
      <c r="G6" s="23">
        <v>2</v>
      </c>
      <c r="H6" s="6">
        <f t="shared" si="3"/>
        <v>0.77900000000000236</v>
      </c>
      <c r="I6" s="6">
        <f>E6-H6</f>
        <v>1.1102230246251565E-15</v>
      </c>
      <c r="J6" s="3"/>
      <c r="K6" s="3"/>
      <c r="M6" s="95">
        <v>80.024000000000001</v>
      </c>
      <c r="N6" s="95">
        <v>84.5</v>
      </c>
      <c r="O6" s="95">
        <f t="shared" si="1"/>
        <v>-4.4759999999999991</v>
      </c>
      <c r="P6" s="97">
        <v>7.7000000000000002E-3</v>
      </c>
      <c r="Q6" s="23">
        <v>2</v>
      </c>
      <c r="R6" s="6">
        <f t="shared" si="4"/>
        <v>-4.5981250000000014</v>
      </c>
      <c r="S6" s="6">
        <f>O6-R6</f>
        <v>0.12212500000000226</v>
      </c>
      <c r="T6" s="3"/>
      <c r="U6" s="3"/>
      <c r="X6" s="95">
        <v>29.99</v>
      </c>
      <c r="Y6" s="95">
        <v>30.2</v>
      </c>
      <c r="Z6" s="95">
        <f t="shared" si="2"/>
        <v>-0.21000000000000085</v>
      </c>
      <c r="AA6" s="97">
        <v>7.7000000000000002E-3</v>
      </c>
      <c r="AB6" s="23">
        <v>2</v>
      </c>
      <c r="AC6" s="6">
        <f t="shared" si="5"/>
        <v>-0.20848389233600007</v>
      </c>
      <c r="AD6" s="6">
        <f t="shared" si="6"/>
        <v>-1.5161076640007876E-3</v>
      </c>
      <c r="AE6" s="3"/>
      <c r="AF6" s="3"/>
    </row>
    <row r="7" spans="1:32" x14ac:dyDescent="0.3">
      <c r="C7" s="24"/>
      <c r="D7" s="95"/>
      <c r="E7" s="96"/>
      <c r="F7" s="97"/>
      <c r="G7" s="17"/>
      <c r="H7" s="6"/>
      <c r="I7" s="6"/>
      <c r="J7" s="3"/>
      <c r="K7" s="3"/>
      <c r="X7" s="95">
        <v>49.99</v>
      </c>
      <c r="Y7" s="95">
        <v>50.2</v>
      </c>
      <c r="Z7" s="95">
        <f t="shared" si="2"/>
        <v>-0.21000000000000085</v>
      </c>
      <c r="AC7" s="6">
        <f t="shared" si="5"/>
        <v>-0.19857785073599987</v>
      </c>
      <c r="AD7" s="6">
        <f t="shared" si="6"/>
        <v>-1.142214926400098E-2</v>
      </c>
    </row>
    <row r="8" spans="1:32" x14ac:dyDescent="0.3">
      <c r="C8" s="24"/>
      <c r="D8" s="95"/>
      <c r="E8" s="96"/>
      <c r="F8" s="97"/>
      <c r="G8" s="17"/>
      <c r="H8" s="6"/>
      <c r="I8" s="6"/>
      <c r="J8" s="3"/>
      <c r="K8" s="3"/>
      <c r="X8" s="95">
        <v>79.989999999999995</v>
      </c>
      <c r="Y8" s="95">
        <v>80.099999999999994</v>
      </c>
      <c r="Z8" s="95">
        <f t="shared" si="2"/>
        <v>-0.10999999999999943</v>
      </c>
      <c r="AC8" s="6">
        <f t="shared" si="5"/>
        <v>-3.6501261905998561E-2</v>
      </c>
      <c r="AD8" s="6">
        <f t="shared" si="6"/>
        <v>-7.3498738094000871E-2</v>
      </c>
    </row>
    <row r="9" spans="1:32" x14ac:dyDescent="0.3">
      <c r="C9" s="24"/>
      <c r="D9" s="95"/>
      <c r="E9" s="96"/>
      <c r="F9" s="97"/>
      <c r="G9" s="17"/>
      <c r="H9" s="6"/>
      <c r="I9" s="6"/>
      <c r="J9" s="3"/>
      <c r="K9" s="93">
        <v>7.1747448979589401E-4</v>
      </c>
      <c r="T9">
        <v>2.0999999999999999E-3</v>
      </c>
    </row>
    <row r="10" spans="1:32" x14ac:dyDescent="0.3">
      <c r="C10" s="24"/>
      <c r="D10" s="95"/>
      <c r="E10" s="96"/>
      <c r="F10" s="97"/>
      <c r="G10" s="17"/>
      <c r="H10" s="6"/>
      <c r="I10" s="6"/>
      <c r="J10" s="3"/>
      <c r="K10" s="98">
        <v>1.0315688775508199E-2</v>
      </c>
      <c r="T10">
        <v>0.1017</v>
      </c>
    </row>
    <row r="11" spans="1:32" x14ac:dyDescent="0.3">
      <c r="C11" s="22"/>
      <c r="D11" s="95"/>
      <c r="E11" s="96"/>
      <c r="F11" s="97"/>
      <c r="G11" s="17"/>
      <c r="H11" s="6"/>
      <c r="I11" s="6"/>
      <c r="J11" s="3"/>
      <c r="K11" s="98">
        <v>0.241009725765268</v>
      </c>
      <c r="T11">
        <v>10.999000000000001</v>
      </c>
      <c r="AD11">
        <v>1.4000000000000001E-7</v>
      </c>
    </row>
    <row r="12" spans="1:32" x14ac:dyDescent="0.3">
      <c r="C12" s="22"/>
      <c r="D12" s="95"/>
      <c r="E12" s="96"/>
      <c r="F12" s="97"/>
      <c r="G12" s="17"/>
      <c r="H12" s="6"/>
      <c r="I12" s="6"/>
      <c r="J12" s="3"/>
      <c r="K12" s="3"/>
      <c r="AD12">
        <v>1.9020000000000001E-5</v>
      </c>
    </row>
    <row r="13" spans="1:32" x14ac:dyDescent="0.3">
      <c r="C13" s="22"/>
      <c r="D13" s="95"/>
      <c r="E13" s="96"/>
      <c r="F13" s="97"/>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2"/>
    </row>
    <row r="17" spans="11:11" x14ac:dyDescent="0.3">
      <c r="K17" s="93"/>
    </row>
    <row r="34" spans="2:17" x14ac:dyDescent="0.3">
      <c r="B34" s="187" t="s">
        <v>13</v>
      </c>
      <c r="C34" s="187"/>
      <c r="D34" s="187"/>
      <c r="E34" s="187"/>
      <c r="F34" s="187"/>
      <c r="G34" s="187"/>
      <c r="H34" s="187"/>
      <c r="I34" s="187"/>
      <c r="J34" s="187"/>
      <c r="K34" s="187"/>
      <c r="L34" s="187"/>
      <c r="M34" s="187"/>
      <c r="N34" s="4"/>
      <c r="O34" s="4"/>
      <c r="P34" s="4"/>
      <c r="Q34" s="4"/>
    </row>
    <row r="35" spans="2:17" x14ac:dyDescent="0.3">
      <c r="B35" s="184" t="s">
        <v>12</v>
      </c>
      <c r="C35" s="184"/>
      <c r="D35" s="184"/>
      <c r="E35" s="184"/>
      <c r="F35" s="184"/>
      <c r="G35" s="181" t="s">
        <v>120</v>
      </c>
      <c r="H35" s="182"/>
      <c r="I35" s="182"/>
      <c r="J35" s="182"/>
      <c r="K35" s="182"/>
      <c r="L35" s="182"/>
      <c r="M35" s="183"/>
      <c r="N35" s="9"/>
      <c r="O35" s="9"/>
      <c r="P35" s="9"/>
      <c r="Q35" s="9"/>
    </row>
    <row r="36" spans="2:17" x14ac:dyDescent="0.3">
      <c r="B36" s="184" t="s">
        <v>7</v>
      </c>
      <c r="C36" s="184"/>
      <c r="D36" s="184"/>
      <c r="E36" s="184"/>
      <c r="F36" s="184"/>
      <c r="G36" s="181" t="s">
        <v>121</v>
      </c>
      <c r="H36" s="182"/>
      <c r="I36" s="182"/>
      <c r="J36" s="182"/>
      <c r="K36" s="182"/>
      <c r="L36" s="182"/>
      <c r="M36" s="183"/>
      <c r="N36" s="9"/>
      <c r="O36" s="9"/>
      <c r="P36" s="9"/>
      <c r="Q36" s="9"/>
    </row>
    <row r="37" spans="2:17" x14ac:dyDescent="0.3">
      <c r="B37" s="184" t="s">
        <v>6</v>
      </c>
      <c r="C37" s="184"/>
      <c r="D37" s="184"/>
      <c r="E37" s="184"/>
      <c r="F37" s="184"/>
      <c r="G37" s="181" t="s">
        <v>122</v>
      </c>
      <c r="H37" s="182"/>
      <c r="I37" s="182"/>
      <c r="J37" s="182"/>
      <c r="K37" s="182"/>
      <c r="L37" s="182"/>
      <c r="M37" s="183"/>
      <c r="N37" s="9"/>
      <c r="O37" s="9"/>
      <c r="P37" s="9"/>
      <c r="Q37" s="9"/>
    </row>
    <row r="38" spans="2:17" x14ac:dyDescent="0.3">
      <c r="B38" s="184" t="s">
        <v>4</v>
      </c>
      <c r="C38" s="184"/>
      <c r="D38" s="184"/>
      <c r="E38" s="184"/>
      <c r="F38" s="184"/>
      <c r="G38" s="181" t="s">
        <v>123</v>
      </c>
      <c r="H38" s="182"/>
      <c r="I38" s="182"/>
      <c r="J38" s="182"/>
      <c r="K38" s="182"/>
      <c r="L38" s="182"/>
      <c r="M38" s="183"/>
      <c r="N38" s="9"/>
      <c r="O38" s="9"/>
      <c r="P38" s="9"/>
      <c r="Q38" s="9"/>
    </row>
    <row r="39" spans="2:17" x14ac:dyDescent="0.3">
      <c r="B39" s="2" t="s">
        <v>11</v>
      </c>
      <c r="C39" s="2"/>
      <c r="D39" s="2"/>
      <c r="E39" s="2"/>
      <c r="F39" s="2"/>
      <c r="G39" s="188">
        <v>44986</v>
      </c>
      <c r="H39" s="188"/>
      <c r="I39" s="188"/>
      <c r="J39" s="188"/>
      <c r="K39" s="188"/>
      <c r="L39" s="188"/>
      <c r="M39" s="188"/>
      <c r="N39" s="10"/>
      <c r="O39" s="10"/>
      <c r="P39" s="10"/>
      <c r="Q39" s="10"/>
    </row>
    <row r="40" spans="2:17" x14ac:dyDescent="0.3">
      <c r="B40" s="184" t="s">
        <v>10</v>
      </c>
      <c r="C40" s="184"/>
      <c r="D40" s="184"/>
      <c r="E40" s="184"/>
      <c r="F40" s="184"/>
      <c r="G40" s="185">
        <v>242208</v>
      </c>
      <c r="H40" s="185"/>
      <c r="I40" s="185"/>
      <c r="J40" s="185"/>
      <c r="K40" s="185"/>
      <c r="L40" s="185"/>
      <c r="M40" s="185"/>
      <c r="N40" s="9"/>
      <c r="O40" s="9"/>
      <c r="P40" s="9"/>
      <c r="Q40" s="9"/>
    </row>
    <row r="41" spans="2:17" x14ac:dyDescent="0.3">
      <c r="B41" s="184" t="s">
        <v>124</v>
      </c>
      <c r="C41" s="184"/>
      <c r="D41" s="184"/>
      <c r="E41" s="184"/>
      <c r="F41" s="184"/>
      <c r="G41" s="181">
        <v>0.3</v>
      </c>
      <c r="H41" s="182"/>
      <c r="I41" s="182"/>
      <c r="J41" s="182"/>
      <c r="K41" s="182"/>
      <c r="L41" s="182"/>
      <c r="M41" s="183"/>
      <c r="N41" s="5"/>
      <c r="O41" s="5"/>
      <c r="P41" s="5"/>
      <c r="Q41" s="5"/>
    </row>
    <row r="42" spans="2:17" x14ac:dyDescent="0.3">
      <c r="B42" s="184" t="s">
        <v>125</v>
      </c>
      <c r="C42" s="184"/>
      <c r="D42" s="184"/>
      <c r="E42" s="184"/>
      <c r="F42" s="184"/>
      <c r="G42" s="181">
        <v>2</v>
      </c>
      <c r="H42" s="182"/>
      <c r="I42" s="182"/>
      <c r="J42" s="182"/>
      <c r="K42" s="182"/>
      <c r="L42" s="182"/>
      <c r="M42" s="183"/>
      <c r="N42" s="5"/>
      <c r="O42" s="5"/>
      <c r="P42" s="5"/>
      <c r="Q42" s="5"/>
    </row>
    <row r="43" spans="2:17" x14ac:dyDescent="0.3">
      <c r="B43" s="2" t="s">
        <v>126</v>
      </c>
      <c r="C43" s="2"/>
      <c r="D43" s="2"/>
      <c r="E43" s="2"/>
      <c r="F43" s="2"/>
      <c r="G43" s="181">
        <v>0.2</v>
      </c>
      <c r="H43" s="182"/>
      <c r="I43" s="182"/>
      <c r="J43" s="182"/>
      <c r="K43" s="182"/>
      <c r="L43" s="182"/>
      <c r="M43" s="183"/>
      <c r="N43" s="5"/>
      <c r="O43" s="5"/>
      <c r="P43" s="5"/>
      <c r="Q43" s="5"/>
    </row>
    <row r="44" spans="2:17" x14ac:dyDescent="0.3">
      <c r="B44" s="2" t="s">
        <v>127</v>
      </c>
      <c r="C44" s="2"/>
      <c r="D44" s="2"/>
      <c r="E44" s="2"/>
      <c r="F44" s="2"/>
      <c r="G44" s="181">
        <v>1</v>
      </c>
      <c r="H44" s="182"/>
      <c r="I44" s="182"/>
      <c r="J44" s="182"/>
      <c r="K44" s="182"/>
      <c r="L44" s="182"/>
      <c r="M44" s="183"/>
    </row>
    <row r="45" spans="2:17" x14ac:dyDescent="0.3">
      <c r="B45" s="2" t="s">
        <v>128</v>
      </c>
      <c r="C45" s="2"/>
      <c r="D45" s="2"/>
      <c r="E45" s="2"/>
      <c r="F45" s="2"/>
      <c r="G45" s="181">
        <v>0.1</v>
      </c>
      <c r="H45" s="182"/>
      <c r="I45" s="182"/>
      <c r="J45" s="182"/>
      <c r="K45" s="182"/>
      <c r="L45" s="182"/>
      <c r="M45" s="183"/>
    </row>
    <row r="46" spans="2:17" x14ac:dyDescent="0.3">
      <c r="B46" s="2" t="s">
        <v>129</v>
      </c>
      <c r="C46" s="2"/>
      <c r="D46" s="2"/>
      <c r="E46" s="2"/>
      <c r="F46" s="2"/>
      <c r="G46" s="181">
        <v>0.1</v>
      </c>
      <c r="H46" s="182"/>
      <c r="I46" s="182"/>
      <c r="J46" s="182"/>
      <c r="K46" s="182"/>
      <c r="L46" s="182"/>
      <c r="M46" s="183"/>
    </row>
    <row r="47" spans="2:17" x14ac:dyDescent="0.3">
      <c r="B47" s="184" t="s">
        <v>9</v>
      </c>
      <c r="C47" s="184"/>
      <c r="D47" s="184"/>
      <c r="E47" s="184"/>
      <c r="F47" s="184"/>
      <c r="G47" s="181">
        <v>2</v>
      </c>
      <c r="H47" s="182"/>
      <c r="I47" s="182"/>
      <c r="J47" s="182"/>
      <c r="K47" s="182"/>
      <c r="L47" s="182"/>
      <c r="M47" s="183"/>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58"/>
      <c r="D88" s="158"/>
      <c r="E88" s="158"/>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R46"/>
  <sheetViews>
    <sheetView zoomScaleNormal="100" workbookViewId="0">
      <selection activeCell="S6" sqref="S6"/>
    </sheetView>
  </sheetViews>
  <sheetFormatPr baseColWidth="10" defaultColWidth="11.44140625" defaultRowHeight="14.4" x14ac:dyDescent="0.3"/>
  <cols>
    <col min="1" max="1" width="5.77734375" style="16" customWidth="1"/>
    <col min="2" max="7" width="4.77734375" style="16" customWidth="1"/>
    <col min="8" max="8" width="6" style="16" bestFit="1" customWidth="1"/>
    <col min="9" max="12" width="4.77734375" style="16" customWidth="1"/>
    <col min="13" max="13" width="6.44140625" style="16" customWidth="1"/>
    <col min="14" max="14" width="10.33203125" style="16" customWidth="1"/>
    <col min="15" max="15" width="6.44140625" style="16" customWidth="1"/>
    <col min="16" max="19" width="10.33203125" style="16" customWidth="1"/>
    <col min="20" max="16384" width="11.44140625" style="16"/>
  </cols>
  <sheetData>
    <row r="1" spans="1:18" x14ac:dyDescent="0.3">
      <c r="A1"/>
      <c r="B1"/>
      <c r="C1"/>
      <c r="D1"/>
      <c r="E1"/>
      <c r="F1"/>
      <c r="G1"/>
      <c r="H1"/>
      <c r="I1"/>
      <c r="J1"/>
      <c r="K1"/>
      <c r="L1"/>
      <c r="M1"/>
    </row>
    <row r="2" spans="1:18" x14ac:dyDescent="0.3">
      <c r="A2"/>
      <c r="B2" s="193" t="s">
        <v>141</v>
      </c>
      <c r="C2" s="193"/>
      <c r="D2" s="193"/>
      <c r="E2" s="193"/>
      <c r="F2" s="193"/>
      <c r="G2" s="193"/>
      <c r="H2"/>
      <c r="I2"/>
      <c r="J2"/>
      <c r="K2"/>
      <c r="L2"/>
      <c r="M2"/>
    </row>
    <row r="3" spans="1:18" ht="30" customHeight="1" x14ac:dyDescent="0.3">
      <c r="A3"/>
      <c r="B3" s="165" t="s">
        <v>136</v>
      </c>
      <c r="C3" s="165"/>
      <c r="D3" s="165" t="s">
        <v>135</v>
      </c>
      <c r="E3" s="165"/>
      <c r="F3" s="165" t="s">
        <v>138</v>
      </c>
      <c r="G3" s="165"/>
      <c r="H3" s="116" t="s">
        <v>134</v>
      </c>
      <c r="I3"/>
      <c r="J3"/>
      <c r="K3"/>
      <c r="L3"/>
      <c r="M3"/>
    </row>
    <row r="4" spans="1:18" x14ac:dyDescent="0.3">
      <c r="A4"/>
      <c r="B4" s="189">
        <v>2</v>
      </c>
      <c r="C4" s="189"/>
      <c r="D4" s="190">
        <f ca="1">B4+RANDBETWEEN(-2,2)/10</f>
        <v>2.1</v>
      </c>
      <c r="E4" s="191"/>
      <c r="F4" s="192">
        <f ca="1">D4+IF(RAND()&lt;0.5,-1,1)*RAND()*0.4</f>
        <v>1.7551352262068445</v>
      </c>
      <c r="G4" s="117"/>
      <c r="H4" s="91">
        <f ca="1">F4-D4</f>
        <v>-0.34486477379315561</v>
      </c>
      <c r="I4"/>
      <c r="J4"/>
      <c r="K4"/>
      <c r="L4"/>
      <c r="M4"/>
    </row>
    <row r="5" spans="1:18" x14ac:dyDescent="0.3">
      <c r="A5"/>
      <c r="B5" s="189">
        <v>4</v>
      </c>
      <c r="C5" s="189"/>
      <c r="D5" s="190">
        <f ca="1">B5+RANDBETWEEN(-2,2)/10</f>
        <v>3.8</v>
      </c>
      <c r="E5" s="191"/>
      <c r="F5" s="192">
        <f ca="1">D5+SIGN(F4-D4)*RAND()*0.4</f>
        <v>3.4399554669451238</v>
      </c>
      <c r="G5" s="117"/>
      <c r="H5" s="91">
        <f t="shared" ref="H5:H6" ca="1" si="0">F5-D5</f>
        <v>-0.36004453305487605</v>
      </c>
      <c r="I5"/>
      <c r="J5"/>
      <c r="K5"/>
      <c r="L5"/>
      <c r="M5"/>
    </row>
    <row r="6" spans="1:18" x14ac:dyDescent="0.3">
      <c r="A6"/>
      <c r="B6" s="189">
        <v>8</v>
      </c>
      <c r="C6" s="189"/>
      <c r="D6" s="190">
        <f ca="1">B6+RANDBETWEEN(-2,2)/10</f>
        <v>7.8</v>
      </c>
      <c r="E6" s="190"/>
      <c r="F6" s="192">
        <f ca="1">D6+SIGN(F4-D4)*RAND()*0.4</f>
        <v>7.6607395695679044</v>
      </c>
      <c r="G6" s="117"/>
      <c r="H6" s="91">
        <f t="shared" ca="1" si="0"/>
        <v>-0.13926043043209546</v>
      </c>
      <c r="I6"/>
      <c r="J6"/>
      <c r="K6"/>
      <c r="L6"/>
      <c r="M6"/>
    </row>
    <row r="7" spans="1:18" x14ac:dyDescent="0.3">
      <c r="A7"/>
      <c r="B7" s="23"/>
      <c r="C7" s="23"/>
      <c r="D7" s="17"/>
      <c r="E7" s="17"/>
      <c r="F7" s="17"/>
      <c r="G7" s="17"/>
      <c r="H7" s="17"/>
      <c r="I7"/>
      <c r="J7"/>
      <c r="K7"/>
      <c r="L7"/>
      <c r="M7"/>
      <c r="N7"/>
      <c r="O7"/>
      <c r="P7"/>
      <c r="Q7"/>
      <c r="R7"/>
    </row>
    <row r="8" spans="1:18" x14ac:dyDescent="0.3">
      <c r="A8"/>
      <c r="B8" s="17"/>
      <c r="C8" s="17"/>
      <c r="D8" s="17"/>
      <c r="E8" s="17"/>
      <c r="F8" s="17"/>
      <c r="G8" s="17"/>
      <c r="H8" s="17"/>
      <c r="I8" s="99"/>
      <c r="J8" s="99"/>
      <c r="K8" s="99"/>
      <c r="L8" s="99"/>
      <c r="M8"/>
      <c r="N8"/>
      <c r="O8"/>
      <c r="P8"/>
      <c r="Q8"/>
      <c r="R8"/>
    </row>
    <row r="9" spans="1:18" x14ac:dyDescent="0.3">
      <c r="A9"/>
      <c r="B9" s="17"/>
      <c r="C9" s="17"/>
      <c r="D9" s="17"/>
      <c r="E9" s="17"/>
      <c r="F9" s="17"/>
      <c r="G9" s="17"/>
      <c r="H9" s="17"/>
      <c r="I9"/>
      <c r="J9"/>
      <c r="K9"/>
      <c r="L9"/>
      <c r="M9"/>
      <c r="N9"/>
      <c r="O9"/>
      <c r="P9"/>
      <c r="Q9"/>
      <c r="R9"/>
    </row>
    <row r="10" spans="1:18" x14ac:dyDescent="0.3">
      <c r="A10"/>
      <c r="B10" s="17"/>
      <c r="C10" s="17"/>
      <c r="D10" s="17"/>
      <c r="E10" s="17"/>
      <c r="F10" s="17"/>
      <c r="G10" s="17"/>
      <c r="H10" s="17"/>
      <c r="I10"/>
      <c r="J10"/>
      <c r="K10"/>
      <c r="L10"/>
      <c r="M10"/>
      <c r="N10"/>
      <c r="O10"/>
      <c r="P10"/>
      <c r="Q10"/>
      <c r="R10"/>
    </row>
    <row r="11" spans="1:18" x14ac:dyDescent="0.3">
      <c r="A11"/>
      <c r="B11" s="193" t="s">
        <v>142</v>
      </c>
      <c r="C11" s="193"/>
      <c r="D11" s="193"/>
      <c r="E11" s="193"/>
      <c r="F11" s="193"/>
      <c r="G11" s="193"/>
      <c r="H11" s="17"/>
      <c r="I11"/>
      <c r="J11"/>
      <c r="K11"/>
      <c r="L11"/>
      <c r="M11"/>
      <c r="N11"/>
      <c r="O11"/>
      <c r="P11"/>
      <c r="Q11"/>
      <c r="R11"/>
    </row>
    <row r="12" spans="1:18" ht="25.8" customHeight="1" x14ac:dyDescent="0.3">
      <c r="A12"/>
      <c r="B12" s="165" t="s">
        <v>136</v>
      </c>
      <c r="C12" s="165"/>
      <c r="D12" s="165" t="s">
        <v>135</v>
      </c>
      <c r="E12" s="165"/>
      <c r="F12" s="165" t="s">
        <v>138</v>
      </c>
      <c r="G12" s="165"/>
      <c r="H12" s="116" t="s">
        <v>134</v>
      </c>
      <c r="I12"/>
      <c r="J12"/>
      <c r="K12"/>
      <c r="L12"/>
      <c r="M12"/>
      <c r="N12"/>
      <c r="O12"/>
      <c r="P12"/>
      <c r="Q12"/>
      <c r="R12"/>
    </row>
    <row r="13" spans="1:18" x14ac:dyDescent="0.3">
      <c r="A13"/>
      <c r="B13" s="190">
        <v>-15</v>
      </c>
      <c r="C13" s="190"/>
      <c r="D13" s="190">
        <f ca="1">B13+RANDBETWEEN(-2,2)/10</f>
        <v>-15.1</v>
      </c>
      <c r="E13" s="190"/>
      <c r="F13" s="192">
        <f ca="1">D13+IF(RAND()&lt;0.5,-1,1)*RAND()*0.4</f>
        <v>-15.49678778555757</v>
      </c>
      <c r="G13" s="117"/>
      <c r="H13" s="115">
        <f ca="1">F13-D13</f>
        <v>-0.39678778555757077</v>
      </c>
      <c r="I13"/>
      <c r="J13"/>
      <c r="K13"/>
      <c r="L13"/>
      <c r="M13"/>
      <c r="N13"/>
      <c r="O13"/>
      <c r="P13"/>
      <c r="Q13"/>
      <c r="R13"/>
    </row>
    <row r="14" spans="1:18" customFormat="1" x14ac:dyDescent="0.3">
      <c r="B14" s="190">
        <v>-20</v>
      </c>
      <c r="C14" s="190"/>
      <c r="D14" s="190">
        <f ca="1">B14+RANDBETWEEN(-2,2)/10</f>
        <v>-20</v>
      </c>
      <c r="E14" s="190"/>
      <c r="F14" s="192">
        <f ca="1">D14+SIGN(F13-D13)*RAND()*0.4</f>
        <v>-20.15914737188734</v>
      </c>
      <c r="G14" s="117"/>
      <c r="H14" s="115">
        <f t="shared" ref="H14:H15" ca="1" si="1">F14-D14</f>
        <v>-0.15914737188733952</v>
      </c>
    </row>
    <row r="15" spans="1:18" customFormat="1" x14ac:dyDescent="0.3">
      <c r="B15" s="190">
        <v>-24</v>
      </c>
      <c r="C15" s="190"/>
      <c r="D15" s="190">
        <f ca="1">B15+RANDBETWEEN(-2,2)/10</f>
        <v>-24.2</v>
      </c>
      <c r="E15" s="190"/>
      <c r="F15" s="192">
        <f ca="1">D15+SIGN(F13-D13)*RAND()*0.4</f>
        <v>-24.537961980867205</v>
      </c>
      <c r="G15" s="117"/>
      <c r="H15" s="115">
        <f t="shared" ca="1" si="1"/>
        <v>-0.33796198086720608</v>
      </c>
    </row>
    <row r="16" spans="1:18" customFormat="1" x14ac:dyDescent="0.3"/>
    <row r="17" spans="2:12" customFormat="1" x14ac:dyDescent="0.3">
      <c r="I17" s="99"/>
      <c r="J17" s="99"/>
      <c r="K17" s="99"/>
      <c r="L17" s="99"/>
    </row>
    <row r="18" spans="2:12" customFormat="1" x14ac:dyDescent="0.3">
      <c r="B18" s="100"/>
      <c r="C18" s="100"/>
      <c r="D18" s="100"/>
      <c r="E18" s="100"/>
      <c r="F18" s="100"/>
      <c r="G18" s="100"/>
      <c r="I18" s="99"/>
      <c r="J18" s="99"/>
      <c r="K18" s="99"/>
      <c r="L18" s="99"/>
    </row>
    <row r="19" spans="2:12" customFormat="1" x14ac:dyDescent="0.3">
      <c r="B19" s="100"/>
      <c r="C19" s="100"/>
      <c r="D19" s="100"/>
      <c r="E19" s="100"/>
      <c r="F19" s="100"/>
      <c r="G19" s="100"/>
      <c r="I19" s="99"/>
      <c r="J19" s="99"/>
      <c r="K19" s="99"/>
      <c r="L19" s="99"/>
    </row>
    <row r="20" spans="2:12" customFormat="1" x14ac:dyDescent="0.3"/>
    <row r="21" spans="2:12" x14ac:dyDescent="0.3">
      <c r="B21"/>
      <c r="C21"/>
      <c r="D21"/>
      <c r="E21"/>
      <c r="F21"/>
    </row>
    <row r="22" spans="2:12" customFormat="1" x14ac:dyDescent="0.3"/>
    <row r="23" spans="2:12" customFormat="1" x14ac:dyDescent="0.3"/>
    <row r="24" spans="2:12" customFormat="1" x14ac:dyDescent="0.3"/>
    <row r="25" spans="2:12" customFormat="1" x14ac:dyDescent="0.3"/>
    <row r="26" spans="2:12" customFormat="1" x14ac:dyDescent="0.3"/>
    <row r="27" spans="2:12" customFormat="1" x14ac:dyDescent="0.3"/>
    <row r="28" spans="2:12" customFormat="1" x14ac:dyDescent="0.3"/>
    <row r="29" spans="2:12" customFormat="1" x14ac:dyDescent="0.3"/>
    <row r="30" spans="2:12" customFormat="1" x14ac:dyDescent="0.3"/>
    <row r="31" spans="2:12" customFormat="1" x14ac:dyDescent="0.3"/>
    <row r="32" spans="2:1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26">
    <mergeCell ref="B15:C15"/>
    <mergeCell ref="D15:E15"/>
    <mergeCell ref="F15:G15"/>
    <mergeCell ref="B2:G2"/>
    <mergeCell ref="B11:G11"/>
    <mergeCell ref="B12:C12"/>
    <mergeCell ref="D12:E12"/>
    <mergeCell ref="F12:G12"/>
    <mergeCell ref="B6:C6"/>
    <mergeCell ref="D6:E6"/>
    <mergeCell ref="F6:G6"/>
    <mergeCell ref="B4:C4"/>
    <mergeCell ref="D4:E4"/>
    <mergeCell ref="F4:G4"/>
    <mergeCell ref="B3:C3"/>
    <mergeCell ref="D3:E3"/>
    <mergeCell ref="F3:G3"/>
    <mergeCell ref="B5:C5"/>
    <mergeCell ref="D5:E5"/>
    <mergeCell ref="F5:G5"/>
    <mergeCell ref="B14:C14"/>
    <mergeCell ref="D14:E14"/>
    <mergeCell ref="F14:G14"/>
    <mergeCell ref="B13:C13"/>
    <mergeCell ref="D13:E13"/>
    <mergeCell ref="F13:G1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N11" sqref="N11"/>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94" t="s">
        <v>139</v>
      </c>
      <c r="C2" s="195"/>
      <c r="D2" s="195"/>
      <c r="E2" s="195"/>
      <c r="F2" s="195"/>
      <c r="G2" s="195"/>
      <c r="H2" s="195"/>
      <c r="I2" s="195"/>
      <c r="J2" s="195"/>
      <c r="K2" s="195"/>
      <c r="L2" s="196"/>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f>MEDIDA!B4</f>
        <v>2</v>
      </c>
      <c r="C4" s="8">
        <f>PATRON!$G$41/2</f>
        <v>0.15</v>
      </c>
      <c r="D4" s="8">
        <f>PATRON!$G$43/SQRT(3)</f>
        <v>0.11547005383792516</v>
      </c>
      <c r="E4" s="8">
        <v>0</v>
      </c>
      <c r="F4" s="94">
        <f>0.1/SQRT(12)</f>
        <v>2.8867513459481291E-2</v>
      </c>
      <c r="G4" s="94">
        <f>PATRON!$G$45/SQRT(12)</f>
        <v>2.8867513459481291E-2</v>
      </c>
      <c r="H4" s="94">
        <v>0</v>
      </c>
      <c r="I4" s="8">
        <f>SQRT(SUMSQ(C4:H4))</f>
        <v>0.19364916731037085</v>
      </c>
      <c r="J4" s="15">
        <f>I4^4/(C4^4/200+D4^4/200+E4^4/200+F4^4/200+G4^4/200+H4^4/3)</f>
        <v>410.33434650455939</v>
      </c>
      <c r="K4" s="11">
        <f>TINV(0.0455,J4)</f>
        <v>2.0061182842134806</v>
      </c>
      <c r="L4" s="8">
        <f>I4*K4</f>
        <v>0.38848313526405043</v>
      </c>
    </row>
    <row r="5" spans="1:12" x14ac:dyDescent="0.3">
      <c r="A5" s="52"/>
      <c r="B5" s="7">
        <f>MEDIDA!B5</f>
        <v>4</v>
      </c>
      <c r="C5" s="8">
        <f>PATRON!$G$41/2</f>
        <v>0.15</v>
      </c>
      <c r="D5" s="8">
        <f>PATRON!$G$43/SQRT(3)</f>
        <v>0.11547005383792516</v>
      </c>
      <c r="E5" s="8">
        <v>0</v>
      </c>
      <c r="F5" s="94">
        <f t="shared" ref="F5:F6" si="0">0.1/SQRT(12)</f>
        <v>2.8867513459481291E-2</v>
      </c>
      <c r="G5" s="94">
        <f>PATRON!$G$45/SQRT(12)</f>
        <v>2.8867513459481291E-2</v>
      </c>
      <c r="H5" s="94">
        <v>0</v>
      </c>
      <c r="I5" s="8">
        <f>SQRT(SUMSQ(C5:H5))</f>
        <v>0.19364916731037085</v>
      </c>
      <c r="J5" s="15">
        <f>I5^4/(C5^4/200+D5^4/200+E5^4/200+F5^4/200+G5^4/200+H5^4/3)</f>
        <v>410.33434650455939</v>
      </c>
      <c r="K5" s="11">
        <f>TINV(0.0455,J5)</f>
        <v>2.0061182842134806</v>
      </c>
      <c r="L5" s="8">
        <f>I5*K5</f>
        <v>0.38848313526405043</v>
      </c>
    </row>
    <row r="6" spans="1:12" x14ac:dyDescent="0.3">
      <c r="A6" s="52"/>
      <c r="B6" s="7">
        <f>MEDIDA!B6</f>
        <v>8</v>
      </c>
      <c r="C6" s="8">
        <f>PATRON!$G$41/2</f>
        <v>0.15</v>
      </c>
      <c r="D6" s="8">
        <f>PATRON!$G$43/SQRT(3)</f>
        <v>0.11547005383792516</v>
      </c>
      <c r="E6" s="8">
        <v>0</v>
      </c>
      <c r="F6" s="94">
        <f t="shared" si="0"/>
        <v>2.8867513459481291E-2</v>
      </c>
      <c r="G6" s="94">
        <f>PATRON!$G$45/SQRT(12)</f>
        <v>2.8867513459481291E-2</v>
      </c>
      <c r="H6" s="94">
        <v>0</v>
      </c>
      <c r="I6" s="8">
        <f>SQRT(SUMSQ(C6:H6))</f>
        <v>0.19364916731037085</v>
      </c>
      <c r="J6" s="15">
        <f>I6^4/(C6^4/200+D6^4/200+E6^4/200+F6^4/200+G6^4/200+H6^4/3)</f>
        <v>410.33434650455939</v>
      </c>
      <c r="K6" s="11">
        <f t="shared" ref="K6" si="1">TINV(0.0455,J6)</f>
        <v>2.0061182842134806</v>
      </c>
      <c r="L6" s="8">
        <f t="shared" ref="L6" si="2">I6*K6</f>
        <v>0.38848313526405043</v>
      </c>
    </row>
    <row r="7" spans="1:12" x14ac:dyDescent="0.3">
      <c r="A7" s="52"/>
    </row>
    <row r="8" spans="1:12" x14ac:dyDescent="0.3">
      <c r="A8" s="52"/>
    </row>
    <row r="10" spans="1:12" x14ac:dyDescent="0.3">
      <c r="B10" s="194" t="s">
        <v>145</v>
      </c>
      <c r="C10" s="195"/>
      <c r="D10" s="195"/>
      <c r="E10" s="195"/>
      <c r="F10" s="195"/>
      <c r="G10" s="195"/>
      <c r="H10" s="195"/>
      <c r="I10" s="195"/>
      <c r="J10" s="195"/>
      <c r="K10" s="195"/>
      <c r="L10" s="196"/>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f>MEDIDA!B13</f>
        <v>-15</v>
      </c>
      <c r="C12" s="8">
        <f>0.32/2</f>
        <v>0.16</v>
      </c>
      <c r="D12" s="8">
        <f>PATRON!$G$43/SQRT(3)</f>
        <v>0.11547005383792516</v>
      </c>
      <c r="E12" s="8">
        <v>0</v>
      </c>
      <c r="F12" s="94">
        <f>0.1/SQRT(12)</f>
        <v>2.8867513459481291E-2</v>
      </c>
      <c r="G12" s="94">
        <f>PATRON!$G$45/SQRT(12)</f>
        <v>2.8867513459481291E-2</v>
      </c>
      <c r="H12" s="94">
        <v>0</v>
      </c>
      <c r="I12" s="8">
        <f>SQRT(SUMSQ(C12:H12))</f>
        <v>0.20149441679609884</v>
      </c>
      <c r="J12" s="15">
        <f>I12^4/(C12^4/200+D12^4/200+E12^4/200+F12^4/200+G12^4/200+H12^4/3)</f>
        <v>395.04070171514388</v>
      </c>
      <c r="K12" s="11">
        <f>TINV(0.0455,J12)</f>
        <v>2.0063512527655805</v>
      </c>
      <c r="L12" s="8">
        <f>I12*K12</f>
        <v>0.40426857556412293</v>
      </c>
    </row>
    <row r="13" spans="1:12" x14ac:dyDescent="0.3">
      <c r="B13" s="7">
        <f>MEDIDA!B14</f>
        <v>-20</v>
      </c>
      <c r="C13" s="8">
        <f t="shared" ref="C13:C14" si="3">0.32/2</f>
        <v>0.16</v>
      </c>
      <c r="D13" s="8">
        <f>PATRON!$G$43/SQRT(3)</f>
        <v>0.11547005383792516</v>
      </c>
      <c r="E13" s="8">
        <v>0</v>
      </c>
      <c r="F13" s="94">
        <f t="shared" ref="F13:F14" si="4">0.1/SQRT(12)</f>
        <v>2.8867513459481291E-2</v>
      </c>
      <c r="G13" s="94">
        <f>PATRON!$G$45/SQRT(12)</f>
        <v>2.8867513459481291E-2</v>
      </c>
      <c r="H13" s="94">
        <v>0</v>
      </c>
      <c r="I13" s="8">
        <f t="shared" ref="I13:I14" si="5">SQRT(SUMSQ(C13:H13))</f>
        <v>0.20149441679609884</v>
      </c>
      <c r="J13" s="15">
        <f t="shared" ref="J13:J14" si="6">I13^4/(C13^4/200+D13^4/200+E13^4/200+F13^4/200+G13^4/200+H13^4/3)</f>
        <v>395.04070171514388</v>
      </c>
      <c r="K13" s="11">
        <f t="shared" ref="K13:K14" si="7">TINV(0.0455,J13)</f>
        <v>2.0063512527655805</v>
      </c>
      <c r="L13" s="8">
        <f t="shared" ref="L13:L14" si="8">I13*K13</f>
        <v>0.40426857556412293</v>
      </c>
    </row>
    <row r="14" spans="1:12" x14ac:dyDescent="0.3">
      <c r="B14" s="7">
        <f>MEDIDA!B15</f>
        <v>-24</v>
      </c>
      <c r="C14" s="8">
        <f t="shared" si="3"/>
        <v>0.16</v>
      </c>
      <c r="D14" s="8">
        <f>PATRON!$G$43/SQRT(3)</f>
        <v>0.11547005383792516</v>
      </c>
      <c r="E14" s="8">
        <v>0</v>
      </c>
      <c r="F14" s="94">
        <f t="shared" si="4"/>
        <v>2.8867513459481291E-2</v>
      </c>
      <c r="G14" s="94">
        <f>PATRON!$G$45/SQRT(12)</f>
        <v>2.8867513459481291E-2</v>
      </c>
      <c r="H14" s="94">
        <v>0</v>
      </c>
      <c r="I14" s="8">
        <f t="shared" si="5"/>
        <v>0.20149441679609884</v>
      </c>
      <c r="J14" s="15">
        <f t="shared" si="6"/>
        <v>395.04070171514388</v>
      </c>
      <c r="K14" s="11">
        <f t="shared" si="7"/>
        <v>2.0063512527655805</v>
      </c>
      <c r="L14" s="8">
        <f t="shared" si="8"/>
        <v>0.40426857556412293</v>
      </c>
    </row>
    <row r="18" spans="2:12" x14ac:dyDescent="0.3">
      <c r="B18" s="194" t="s">
        <v>130</v>
      </c>
      <c r="C18" s="195"/>
      <c r="D18" s="195"/>
      <c r="E18" s="195"/>
      <c r="F18" s="195"/>
      <c r="G18" s="195"/>
      <c r="H18" s="195"/>
      <c r="I18" s="195"/>
      <c r="J18" s="195"/>
      <c r="K18" s="195"/>
      <c r="L18" s="196"/>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t="e">
        <f>MEDIDA!#REF!</f>
        <v>#REF!</v>
      </c>
      <c r="C20" s="8">
        <f>PATRON!$G$42/2</f>
        <v>1</v>
      </c>
      <c r="D20" s="101">
        <f>PATRON!$G$44/SQRT(3)</f>
        <v>0.57735026918962584</v>
      </c>
      <c r="E20" s="8">
        <v>0</v>
      </c>
      <c r="F20" s="94">
        <f>1/SQRT(12)</f>
        <v>0.28867513459481292</v>
      </c>
      <c r="G20" s="94">
        <f>PATRON!$G$46/SQRT(12)</f>
        <v>2.8867513459481291E-2</v>
      </c>
      <c r="H20" s="94">
        <v>0</v>
      </c>
      <c r="I20" s="8">
        <f>SQRT(SUMSQ(C20:H20))</f>
        <v>1.1905880899790657</v>
      </c>
      <c r="J20" s="15">
        <f>I20^4/(C20^4/200+D20^4/200+E20^4/200+F20^4/200+G20^4/200+H20^4/3)</f>
        <v>359.42847240467546</v>
      </c>
      <c r="K20" s="11">
        <f>TINV(0.0455,J20)</f>
        <v>2.0069900785842067</v>
      </c>
      <c r="L20" s="101">
        <f>I20*K20</f>
        <v>2.3894984842685059</v>
      </c>
    </row>
    <row r="21" spans="2:12" x14ac:dyDescent="0.3">
      <c r="B21" s="7" t="e">
        <f>MEDIDA!#REF!</f>
        <v>#REF!</v>
      </c>
      <c r="C21" s="8">
        <f>PATRON!$G$42/2</f>
        <v>1</v>
      </c>
      <c r="D21" s="101">
        <f>PATRON!$G$44/SQRT(3)</f>
        <v>0.57735026918962584</v>
      </c>
      <c r="E21" s="8">
        <v>0</v>
      </c>
      <c r="F21" s="94">
        <f t="shared" ref="F21:F22" si="9">1/SQRT(12)</f>
        <v>0.28867513459481292</v>
      </c>
      <c r="G21" s="94">
        <f>PATRON!$G$46/SQRT(12)</f>
        <v>2.8867513459481291E-2</v>
      </c>
      <c r="H21" s="94">
        <v>0</v>
      </c>
      <c r="I21" s="8">
        <f t="shared" ref="I21:I22" si="10">SQRT(SUMSQ(C21:H21))</f>
        <v>1.1905880899790657</v>
      </c>
      <c r="J21" s="15">
        <f t="shared" ref="J21:J22" si="11">I21^4/(C21^4/200+D21^4/200+E21^4/200+F21^4/200+G21^4/200+H21^4/3)</f>
        <v>359.42847240467546</v>
      </c>
      <c r="K21" s="11">
        <f t="shared" ref="K21:K22" si="12">TINV(0.0455,J21)</f>
        <v>2.0069900785842067</v>
      </c>
      <c r="L21" s="101">
        <f t="shared" ref="L21:L22" si="13">I21*K21</f>
        <v>2.3894984842685059</v>
      </c>
    </row>
    <row r="22" spans="2:12" x14ac:dyDescent="0.3">
      <c r="B22" s="7" t="e">
        <f>MEDIDA!#REF!</f>
        <v>#REF!</v>
      </c>
      <c r="C22" s="8">
        <f>PATRON!$G$42/2</f>
        <v>1</v>
      </c>
      <c r="D22" s="101">
        <f>PATRON!$G$44/SQRT(3)</f>
        <v>0.57735026918962584</v>
      </c>
      <c r="E22" s="8">
        <v>0</v>
      </c>
      <c r="F22" s="94">
        <f t="shared" si="9"/>
        <v>0.28867513459481292</v>
      </c>
      <c r="G22" s="94">
        <f>PATRON!$G$46/SQRT(12)</f>
        <v>2.8867513459481291E-2</v>
      </c>
      <c r="H22" s="94">
        <v>0</v>
      </c>
      <c r="I22" s="8">
        <f t="shared" si="10"/>
        <v>1.1905880899790657</v>
      </c>
      <c r="J22" s="15">
        <f t="shared" si="11"/>
        <v>359.42847240467546</v>
      </c>
      <c r="K22" s="11">
        <f t="shared" si="12"/>
        <v>2.0069900785842067</v>
      </c>
      <c r="L22" s="101">
        <f t="shared" si="13"/>
        <v>2.3894984842685059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1"/>
  <sheetViews>
    <sheetView tabSelected="1" view="pageLayout" topLeftCell="A80" zoomScaleNormal="100" workbookViewId="0">
      <selection activeCell="R99" sqref="R99"/>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39"/>
      <c r="J1" s="139"/>
      <c r="K1" s="139"/>
      <c r="M1" s="63"/>
      <c r="O1" s="136" t="s">
        <v>80</v>
      </c>
      <c r="P1" s="136"/>
      <c r="Q1" s="136"/>
      <c r="R1" s="137">
        <f>INFORMACIÓN!G3</f>
        <v>0</v>
      </c>
      <c r="S1" s="137"/>
    </row>
    <row r="2" spans="1:27" ht="16.95" customHeight="1" x14ac:dyDescent="0.3">
      <c r="G2" s="141"/>
      <c r="H2" s="141"/>
      <c r="I2" s="141"/>
      <c r="J2" s="140"/>
      <c r="K2" s="140"/>
    </row>
    <row r="3" spans="1:27" ht="16.95" customHeight="1" x14ac:dyDescent="0.3">
      <c r="B3" s="82"/>
      <c r="C3" s="142" t="s">
        <v>71</v>
      </c>
      <c r="D3" s="142"/>
      <c r="E3" s="142"/>
      <c r="F3" s="142"/>
      <c r="G3" s="142"/>
      <c r="H3" s="142"/>
      <c r="I3" s="142"/>
      <c r="J3" s="142"/>
      <c r="K3" s="142"/>
      <c r="L3" s="142"/>
      <c r="M3" s="142"/>
      <c r="N3" s="142"/>
      <c r="O3" s="142"/>
      <c r="P3" s="142"/>
      <c r="Q3" s="142"/>
      <c r="R3" s="142"/>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36" t="s">
        <v>62</v>
      </c>
      <c r="D5" s="136"/>
      <c r="E5" s="136"/>
      <c r="F5" s="136"/>
      <c r="G5" s="136"/>
      <c r="H5" s="51"/>
      <c r="I5" s="138">
        <f>INFORMACIÓN!A3</f>
        <v>0</v>
      </c>
      <c r="J5" s="138"/>
      <c r="K5" s="138"/>
      <c r="L5" s="138"/>
      <c r="M5" s="138"/>
      <c r="N5" s="138"/>
      <c r="O5" s="138"/>
      <c r="P5" s="138"/>
      <c r="Q5" s="138"/>
      <c r="R5" s="138"/>
      <c r="S5"/>
      <c r="T5"/>
      <c r="U5"/>
      <c r="V5"/>
      <c r="W5"/>
      <c r="X5"/>
      <c r="Y5"/>
      <c r="Z5"/>
      <c r="AA5"/>
    </row>
    <row r="6" spans="1:27" s="53" customFormat="1" ht="16.95" customHeight="1" x14ac:dyDescent="0.3">
      <c r="B6" s="77"/>
      <c r="C6" s="136" t="s">
        <v>63</v>
      </c>
      <c r="D6" s="136"/>
      <c r="E6" s="136"/>
      <c r="F6" s="136"/>
      <c r="G6" s="136"/>
      <c r="H6" s="51"/>
      <c r="I6" s="138">
        <f>INFORMACIÓN!B3</f>
        <v>0</v>
      </c>
      <c r="J6" s="138"/>
      <c r="K6" s="138"/>
      <c r="L6" s="138"/>
      <c r="M6" s="138"/>
      <c r="N6" s="138"/>
      <c r="O6" s="138"/>
      <c r="P6" s="138"/>
      <c r="Q6" s="138"/>
      <c r="R6" s="138"/>
      <c r="S6"/>
      <c r="T6"/>
      <c r="U6"/>
      <c r="V6"/>
      <c r="W6"/>
      <c r="X6"/>
      <c r="Y6"/>
      <c r="Z6"/>
      <c r="AA6"/>
    </row>
    <row r="7" spans="1:27" s="53" customFormat="1" ht="16.95" customHeight="1" x14ac:dyDescent="0.3">
      <c r="B7" s="77"/>
      <c r="C7" s="136" t="s">
        <v>64</v>
      </c>
      <c r="D7" s="136"/>
      <c r="E7" s="136"/>
      <c r="F7" s="136"/>
      <c r="G7" s="136"/>
      <c r="H7" s="51"/>
      <c r="I7" s="138">
        <f>INFORMACIÓN!C3</f>
        <v>0</v>
      </c>
      <c r="J7" s="138"/>
      <c r="K7" s="138"/>
      <c r="L7" s="138"/>
      <c r="M7" s="138"/>
      <c r="N7" s="138"/>
      <c r="O7" s="138"/>
      <c r="P7" s="138"/>
      <c r="Q7" s="138"/>
      <c r="R7" s="138"/>
      <c r="S7"/>
      <c r="T7"/>
      <c r="U7"/>
      <c r="V7"/>
      <c r="W7"/>
      <c r="X7"/>
      <c r="Y7"/>
      <c r="Z7"/>
      <c r="AA7"/>
    </row>
    <row r="8" spans="1:27" s="53" customFormat="1" ht="16.95" customHeight="1" x14ac:dyDescent="0.3">
      <c r="B8" s="77"/>
      <c r="C8" s="136" t="s">
        <v>65</v>
      </c>
      <c r="D8" s="136"/>
      <c r="E8" s="136"/>
      <c r="F8" s="136"/>
      <c r="G8" s="136"/>
      <c r="H8" s="51"/>
      <c r="I8" s="143">
        <f>INFORMACIÓN!D3</f>
        <v>0</v>
      </c>
      <c r="J8" s="138"/>
      <c r="K8" s="138"/>
      <c r="L8" s="138"/>
      <c r="M8" s="138"/>
      <c r="N8" s="138"/>
      <c r="O8" s="138"/>
      <c r="P8" s="138"/>
      <c r="Q8" s="138"/>
      <c r="R8" s="138"/>
      <c r="S8"/>
      <c r="T8"/>
      <c r="U8"/>
      <c r="V8"/>
      <c r="W8"/>
      <c r="X8"/>
      <c r="Y8"/>
      <c r="Z8"/>
      <c r="AA8"/>
    </row>
    <row r="9" spans="1:27" s="53" customFormat="1" ht="16.95" customHeight="1" x14ac:dyDescent="0.3">
      <c r="B9" s="77"/>
      <c r="C9" s="136" t="s">
        <v>66</v>
      </c>
      <c r="D9" s="136"/>
      <c r="E9" s="136"/>
      <c r="F9" s="136"/>
      <c r="G9" s="136"/>
      <c r="H9" s="51"/>
      <c r="I9" s="143">
        <f>INFORMACIÓN!F3</f>
        <v>0</v>
      </c>
      <c r="J9" s="138"/>
      <c r="K9" s="138"/>
      <c r="L9" s="138"/>
      <c r="M9" s="138"/>
      <c r="N9" s="138"/>
      <c r="O9" s="138"/>
      <c r="P9" s="138"/>
      <c r="Q9" s="138"/>
      <c r="R9" s="138"/>
      <c r="S9"/>
      <c r="T9"/>
      <c r="U9"/>
      <c r="V9"/>
      <c r="W9"/>
      <c r="X9"/>
      <c r="Y9"/>
      <c r="Z9"/>
      <c r="AA9"/>
    </row>
    <row r="10" spans="1:27" s="53" customFormat="1" ht="16.95" customHeight="1" x14ac:dyDescent="0.3">
      <c r="B10" s="77"/>
      <c r="C10" s="136" t="s">
        <v>68</v>
      </c>
      <c r="D10" s="136"/>
      <c r="E10" s="136"/>
      <c r="F10" s="136"/>
      <c r="G10" s="136"/>
      <c r="H10" s="51"/>
      <c r="I10" s="144">
        <f>INFORMACIÓN!E3</f>
        <v>0</v>
      </c>
      <c r="J10" s="138"/>
      <c r="K10" s="138"/>
      <c r="L10" s="138"/>
      <c r="M10" s="138"/>
      <c r="N10" s="138"/>
      <c r="O10" s="138"/>
      <c r="P10" s="138"/>
      <c r="Q10" s="138"/>
      <c r="R10" s="138"/>
      <c r="S10"/>
      <c r="T10"/>
      <c r="U10"/>
      <c r="V10"/>
      <c r="W10"/>
      <c r="X10"/>
      <c r="Y10"/>
      <c r="Z10"/>
      <c r="AA10"/>
    </row>
    <row r="11" spans="1:27" s="53" customFormat="1" ht="16.95" customHeight="1" x14ac:dyDescent="0.3">
      <c r="B11" s="77"/>
      <c r="C11" s="136" t="s">
        <v>67</v>
      </c>
      <c r="D11" s="136"/>
      <c r="E11" s="136"/>
      <c r="F11" s="136"/>
      <c r="G11" s="136"/>
      <c r="H11" s="51"/>
      <c r="I11" s="138" t="str">
        <f>INFORMACIÓN!B8</f>
        <v>BUEN ESTADO</v>
      </c>
      <c r="J11" s="138"/>
      <c r="K11" s="138"/>
      <c r="L11" s="138"/>
      <c r="M11" s="138"/>
      <c r="N11" s="138"/>
      <c r="O11" s="138"/>
      <c r="P11" s="138"/>
      <c r="Q11" s="138"/>
      <c r="R11" s="138"/>
      <c r="S11"/>
      <c r="T11"/>
      <c r="U11"/>
      <c r="V11"/>
      <c r="W11"/>
      <c r="X11"/>
      <c r="Y11"/>
      <c r="Z11"/>
      <c r="AA11"/>
    </row>
    <row r="12" spans="1:27" s="53" customFormat="1" ht="16.95" customHeight="1" x14ac:dyDescent="0.3">
      <c r="B12" s="77"/>
      <c r="C12" s="136" t="s">
        <v>77</v>
      </c>
      <c r="D12" s="136"/>
      <c r="E12" s="136"/>
      <c r="F12" s="136"/>
      <c r="G12" s="136"/>
      <c r="H12" s="78"/>
      <c r="I12" s="145">
        <f>INFORMACIÓN!H3</f>
        <v>0</v>
      </c>
      <c r="J12" s="145"/>
      <c r="K12" s="145"/>
      <c r="L12" s="145"/>
      <c r="M12" s="145"/>
      <c r="N12" s="145"/>
      <c r="O12" s="145"/>
      <c r="P12" s="145"/>
      <c r="Q12" s="145"/>
      <c r="R12" s="145"/>
      <c r="S12"/>
      <c r="T12"/>
      <c r="U12"/>
      <c r="V12"/>
      <c r="W12"/>
      <c r="X12"/>
      <c r="Y12"/>
      <c r="Z12"/>
      <c r="AA12"/>
    </row>
    <row r="13" spans="1:27" s="53" customFormat="1" ht="16.95" customHeight="1" x14ac:dyDescent="0.3">
      <c r="B13" s="77"/>
      <c r="C13" s="136" t="s">
        <v>76</v>
      </c>
      <c r="D13" s="136"/>
      <c r="E13" s="136"/>
      <c r="F13" s="136"/>
      <c r="G13" s="136"/>
      <c r="H13" s="78"/>
      <c r="I13" s="145">
        <f>INFORMACIÓN!B9</f>
        <v>0</v>
      </c>
      <c r="J13" s="145"/>
      <c r="K13" s="145"/>
      <c r="L13" s="145"/>
      <c r="M13" s="145"/>
      <c r="N13" s="145"/>
      <c r="O13" s="145"/>
      <c r="P13" s="145"/>
      <c r="Q13" s="145"/>
      <c r="R13" s="145"/>
      <c r="S13"/>
      <c r="T13"/>
      <c r="U13"/>
      <c r="V13"/>
      <c r="W13"/>
      <c r="X13"/>
      <c r="Y13"/>
      <c r="Z13"/>
      <c r="AA13"/>
    </row>
    <row r="14" spans="1:27" ht="16.95" customHeight="1" x14ac:dyDescent="0.3"/>
    <row r="15" spans="1:27" ht="16.95" customHeight="1" x14ac:dyDescent="0.3">
      <c r="B15" s="63"/>
      <c r="C15" s="147" t="s">
        <v>70</v>
      </c>
      <c r="D15" s="147"/>
      <c r="E15" s="147"/>
      <c r="F15" s="147"/>
      <c r="G15" s="147"/>
      <c r="H15" s="147"/>
      <c r="I15" s="147"/>
      <c r="J15" s="147"/>
      <c r="K15" s="147"/>
      <c r="L15" s="147"/>
      <c r="M15" s="147"/>
      <c r="N15" s="147"/>
      <c r="O15" s="147"/>
      <c r="P15" s="147"/>
      <c r="Q15" s="147"/>
      <c r="R15" s="147"/>
    </row>
    <row r="16" spans="1:27" ht="16.95" customHeight="1" x14ac:dyDescent="0.3"/>
    <row r="17" spans="1:18" ht="16.95" customHeight="1" x14ac:dyDescent="0.3">
      <c r="B17" s="50"/>
      <c r="C17" s="119" t="s">
        <v>72</v>
      </c>
      <c r="D17" s="119"/>
      <c r="E17" s="119"/>
      <c r="F17" s="119"/>
      <c r="G17" s="119"/>
      <c r="H17" s="49"/>
      <c r="I17" s="146">
        <f>INFORMACIÓN!E7</f>
        <v>0</v>
      </c>
      <c r="J17" s="146"/>
      <c r="K17" s="146"/>
      <c r="L17" s="146"/>
      <c r="M17" s="146"/>
      <c r="N17" s="146"/>
      <c r="O17" s="146"/>
      <c r="P17" s="146"/>
      <c r="Q17" s="146"/>
      <c r="R17" s="146"/>
    </row>
    <row r="18" spans="1:18" ht="16.95" customHeight="1" x14ac:dyDescent="0.3">
      <c r="B18" s="50"/>
      <c r="C18" s="119" t="s">
        <v>73</v>
      </c>
      <c r="D18" s="119"/>
      <c r="E18" s="119"/>
      <c r="F18" s="119"/>
      <c r="G18" s="119"/>
      <c r="H18" s="49"/>
      <c r="I18" s="146">
        <f>INFORMACIÓN!E8</f>
        <v>0</v>
      </c>
      <c r="J18" s="146"/>
      <c r="K18" s="146"/>
      <c r="L18" s="146"/>
      <c r="M18" s="146"/>
      <c r="N18" s="146"/>
      <c r="O18" s="146"/>
      <c r="P18" s="146"/>
      <c r="Q18" s="146"/>
      <c r="R18" s="146"/>
    </row>
    <row r="19" spans="1:18" ht="16.95" customHeight="1" x14ac:dyDescent="0.3">
      <c r="B19" s="50"/>
      <c r="C19" s="119" t="s">
        <v>90</v>
      </c>
      <c r="D19" s="119"/>
      <c r="E19" s="119"/>
      <c r="F19" s="119"/>
      <c r="G19" s="119"/>
      <c r="H19" s="49"/>
      <c r="I19" s="146">
        <f>INFORMACIÓN!E9</f>
        <v>0</v>
      </c>
      <c r="J19" s="146"/>
      <c r="K19" s="146"/>
      <c r="L19" s="146"/>
      <c r="M19" s="146"/>
      <c r="N19" s="146"/>
      <c r="O19" s="146"/>
      <c r="P19" s="146"/>
      <c r="Q19" s="146"/>
      <c r="R19" s="146"/>
    </row>
    <row r="20" spans="1:18" ht="16.95" customHeight="1" x14ac:dyDescent="0.3">
      <c r="B20" s="50"/>
      <c r="C20" s="119" t="s">
        <v>74</v>
      </c>
      <c r="D20" s="119"/>
      <c r="E20" s="119"/>
      <c r="F20" s="119"/>
      <c r="G20" s="119"/>
      <c r="H20" s="49"/>
      <c r="I20" s="146">
        <f>INFORMACIÓN!E10</f>
        <v>0</v>
      </c>
      <c r="J20" s="146"/>
      <c r="K20" s="146"/>
      <c r="L20" s="146"/>
      <c r="M20" s="146"/>
      <c r="N20" s="146"/>
      <c r="O20" s="146"/>
      <c r="P20" s="146"/>
      <c r="Q20" s="146"/>
      <c r="R20" s="146"/>
    </row>
    <row r="21" spans="1:18" ht="16.95" customHeight="1" x14ac:dyDescent="0.3">
      <c r="B21" s="50"/>
      <c r="C21" s="119" t="s">
        <v>75</v>
      </c>
      <c r="D21" s="119"/>
      <c r="E21" s="119"/>
      <c r="F21" s="119"/>
      <c r="G21" s="119"/>
      <c r="H21" s="49"/>
      <c r="I21" s="146">
        <f>INFORMACIÓN!E11</f>
        <v>0</v>
      </c>
      <c r="J21" s="146"/>
      <c r="K21" s="146"/>
      <c r="L21" s="146"/>
      <c r="M21" s="146"/>
      <c r="N21" s="146"/>
      <c r="O21" s="146"/>
      <c r="P21" s="146"/>
      <c r="Q21" s="146"/>
      <c r="R21" s="146"/>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59" t="s">
        <v>159</v>
      </c>
      <c r="D23" s="159"/>
      <c r="E23" s="159"/>
      <c r="F23" s="159"/>
      <c r="G23" s="159"/>
      <c r="H23" s="159"/>
      <c r="I23" s="159"/>
      <c r="J23" s="159"/>
      <c r="K23" s="159"/>
      <c r="L23" s="159"/>
      <c r="M23" s="159"/>
      <c r="N23" s="159"/>
      <c r="O23" s="159"/>
      <c r="P23" s="159"/>
      <c r="Q23" s="159"/>
      <c r="R23" s="159"/>
    </row>
    <row r="24" spans="1:18" ht="16.95" customHeight="1" x14ac:dyDescent="0.3">
      <c r="A24" s="76"/>
      <c r="B24" s="76"/>
      <c r="C24" s="160"/>
      <c r="D24" s="160"/>
      <c r="E24" s="160"/>
      <c r="F24" s="160"/>
      <c r="G24" s="160"/>
      <c r="H24" s="160"/>
      <c r="I24" s="160"/>
      <c r="J24" s="160"/>
      <c r="K24" s="160"/>
      <c r="L24" s="160"/>
      <c r="M24" s="160"/>
      <c r="N24" s="160"/>
      <c r="O24" s="160"/>
      <c r="P24" s="160"/>
      <c r="Q24" s="160"/>
      <c r="R24" s="160"/>
    </row>
    <row r="25" spans="1:18" ht="16.95" customHeight="1" x14ac:dyDescent="0.3">
      <c r="A25" s="76"/>
      <c r="B25" s="76"/>
      <c r="C25" s="160"/>
      <c r="D25" s="160"/>
      <c r="E25" s="160"/>
      <c r="F25" s="160"/>
      <c r="G25" s="160"/>
      <c r="H25" s="160"/>
      <c r="I25" s="160"/>
      <c r="J25" s="160"/>
      <c r="K25" s="160"/>
      <c r="L25" s="160"/>
      <c r="M25" s="160"/>
      <c r="N25" s="160"/>
      <c r="O25" s="160"/>
      <c r="P25" s="160"/>
      <c r="Q25" s="160"/>
      <c r="R25" s="160"/>
    </row>
    <row r="26" spans="1:18" ht="16.95" customHeight="1" x14ac:dyDescent="0.3">
      <c r="A26" s="76"/>
      <c r="B26" s="76"/>
      <c r="C26" s="160"/>
      <c r="D26" s="160"/>
      <c r="E26" s="160"/>
      <c r="F26" s="160"/>
      <c r="G26" s="160"/>
      <c r="H26" s="160"/>
      <c r="I26" s="160"/>
      <c r="J26" s="160"/>
      <c r="K26" s="160"/>
      <c r="L26" s="160"/>
      <c r="M26" s="160"/>
      <c r="N26" s="160"/>
      <c r="O26" s="160"/>
      <c r="P26" s="160"/>
      <c r="Q26" s="160"/>
      <c r="R26" s="160"/>
    </row>
    <row r="27" spans="1:18" ht="16.95" customHeight="1" x14ac:dyDescent="0.3">
      <c r="A27" s="76"/>
      <c r="B27" s="76"/>
      <c r="C27" s="160"/>
      <c r="D27" s="160"/>
      <c r="E27" s="160"/>
      <c r="F27" s="160"/>
      <c r="G27" s="160"/>
      <c r="H27" s="160"/>
      <c r="I27" s="160"/>
      <c r="J27" s="160"/>
      <c r="K27" s="160"/>
      <c r="L27" s="160"/>
      <c r="M27" s="160"/>
      <c r="N27" s="160"/>
      <c r="O27" s="160"/>
      <c r="P27" s="160"/>
      <c r="Q27" s="160"/>
      <c r="R27" s="160"/>
    </row>
    <row r="28" spans="1:18" ht="16.95" customHeight="1" x14ac:dyDescent="0.3">
      <c r="A28" s="76"/>
      <c r="B28" s="76"/>
      <c r="C28" s="161"/>
      <c r="D28" s="161"/>
      <c r="E28" s="161"/>
      <c r="F28" s="161"/>
      <c r="G28" s="161"/>
      <c r="H28" s="161"/>
      <c r="I28" s="161"/>
      <c r="J28" s="161"/>
      <c r="K28" s="161"/>
      <c r="L28" s="161"/>
      <c r="M28" s="161"/>
      <c r="N28" s="161"/>
      <c r="O28" s="161"/>
      <c r="P28" s="161"/>
      <c r="Q28" s="161"/>
      <c r="R28" s="161"/>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19" t="s">
        <v>78</v>
      </c>
      <c r="J31" s="119"/>
      <c r="K31" s="119"/>
      <c r="L31" s="119"/>
      <c r="M31" s="146" t="str">
        <f>INFORMACIÓN!B15</f>
        <v>ING. GABRIEL DURÁN</v>
      </c>
      <c r="N31" s="146"/>
      <c r="O31" s="146"/>
      <c r="P31" s="146"/>
      <c r="Q31" s="146"/>
      <c r="R31" s="146"/>
    </row>
    <row r="32" spans="1:18" ht="16.95" customHeight="1" x14ac:dyDescent="0.3">
      <c r="F32" s="50"/>
      <c r="G32" s="50"/>
      <c r="H32" s="50"/>
      <c r="I32" s="119" t="s">
        <v>79</v>
      </c>
      <c r="J32" s="119"/>
      <c r="K32" s="119"/>
      <c r="L32" s="119"/>
      <c r="M32" s="157">
        <f>INFORMACIÓN!B10</f>
        <v>0</v>
      </c>
      <c r="N32" s="157"/>
      <c r="O32" s="157"/>
      <c r="P32" s="62"/>
      <c r="Q32" s="62"/>
      <c r="R32" s="50"/>
    </row>
    <row r="33" spans="1:19" ht="16.95" customHeight="1" x14ac:dyDescent="0.3">
      <c r="I33" s="119" t="s">
        <v>83</v>
      </c>
      <c r="J33" s="119"/>
      <c r="K33" s="119"/>
      <c r="L33" s="119"/>
      <c r="M33" s="61">
        <v>4</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19" t="str">
        <f>O1</f>
        <v>CERTIFICADO N°:</v>
      </c>
      <c r="P38" s="119"/>
      <c r="Q38" s="119"/>
      <c r="R38" s="118">
        <f>R1</f>
        <v>0</v>
      </c>
      <c r="S38" s="118"/>
    </row>
    <row r="39" spans="1:19" ht="16.95" customHeight="1" x14ac:dyDescent="0.3"/>
    <row r="40" spans="1:19" ht="16.95" customHeight="1" x14ac:dyDescent="0.3">
      <c r="B40" s="124" t="s">
        <v>84</v>
      </c>
      <c r="C40" s="124"/>
      <c r="D40" s="124"/>
      <c r="E40" s="124"/>
      <c r="F40" s="124"/>
      <c r="G40" s="124"/>
      <c r="H40" s="124"/>
      <c r="I40" s="124"/>
      <c r="J40" s="124"/>
      <c r="K40" s="124"/>
      <c r="L40" s="124"/>
      <c r="M40" s="124"/>
      <c r="N40" s="124"/>
      <c r="O40" s="124"/>
      <c r="P40" s="124"/>
      <c r="Q40" s="124"/>
      <c r="R40" s="124"/>
      <c r="S40" s="124"/>
    </row>
    <row r="41" spans="1:19" ht="16.95" customHeight="1" x14ac:dyDescent="0.3">
      <c r="B41" s="134" t="s">
        <v>160</v>
      </c>
      <c r="C41" s="134"/>
      <c r="D41" s="134"/>
      <c r="E41" s="134"/>
      <c r="F41" s="134"/>
      <c r="G41" s="134"/>
      <c r="H41" s="134"/>
      <c r="I41" s="134"/>
      <c r="J41" s="134"/>
      <c r="K41" s="134"/>
      <c r="L41" s="134"/>
      <c r="M41" s="134"/>
      <c r="N41" s="134"/>
      <c r="O41" s="134"/>
      <c r="P41" s="134"/>
      <c r="Q41" s="134"/>
      <c r="R41" s="134"/>
      <c r="S41" s="134"/>
    </row>
    <row r="42" spans="1:19" ht="16.95" customHeight="1" x14ac:dyDescent="0.3">
      <c r="A42" s="85"/>
      <c r="B42" s="135"/>
      <c r="C42" s="135"/>
      <c r="D42" s="135"/>
      <c r="E42" s="135"/>
      <c r="F42" s="135"/>
      <c r="G42" s="135"/>
      <c r="H42" s="135"/>
      <c r="I42" s="135"/>
      <c r="J42" s="135"/>
      <c r="K42" s="135"/>
      <c r="L42" s="135"/>
      <c r="M42" s="135"/>
      <c r="N42" s="135"/>
      <c r="O42" s="135"/>
      <c r="P42" s="135"/>
      <c r="Q42" s="135"/>
      <c r="R42" s="135"/>
      <c r="S42" s="135"/>
    </row>
    <row r="43" spans="1:19" ht="16.95" customHeight="1" x14ac:dyDescent="0.3">
      <c r="A43" s="85"/>
      <c r="B43" s="135"/>
      <c r="C43" s="135"/>
      <c r="D43" s="135"/>
      <c r="E43" s="135"/>
      <c r="F43" s="135"/>
      <c r="G43" s="135"/>
      <c r="H43" s="135"/>
      <c r="I43" s="135"/>
      <c r="J43" s="135"/>
      <c r="K43" s="135"/>
      <c r="L43" s="135"/>
      <c r="M43" s="135"/>
      <c r="N43" s="135"/>
      <c r="O43" s="135"/>
      <c r="P43" s="135"/>
      <c r="Q43" s="135"/>
      <c r="R43" s="135"/>
      <c r="S43" s="135"/>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5" t="s">
        <v>85</v>
      </c>
      <c r="G45" s="126"/>
      <c r="H45" s="126"/>
      <c r="I45" s="126"/>
      <c r="J45" s="127"/>
      <c r="K45" s="162" t="s">
        <v>86</v>
      </c>
      <c r="L45" s="163"/>
      <c r="M45" s="163"/>
      <c r="N45" s="163"/>
      <c r="O45" s="164"/>
    </row>
    <row r="46" spans="1:19" ht="16.95" customHeight="1" x14ac:dyDescent="0.3">
      <c r="E46" s="74"/>
      <c r="F46" s="129">
        <f>AVERAGE(INFORMACIÓN!B11:B12)</f>
        <v>24.3</v>
      </c>
      <c r="G46" s="130"/>
      <c r="H46" s="70" t="s">
        <v>87</v>
      </c>
      <c r="I46" s="71">
        <f>ABS(INFORMACIÓN!B11-INFORMACIÓN!B12)</f>
        <v>0.39999999999999858</v>
      </c>
      <c r="J46" s="75"/>
      <c r="K46" s="131">
        <f>AVERAGE(INFORMACIÓN!B13:B14)</f>
        <v>61.5</v>
      </c>
      <c r="L46" s="132"/>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28" t="s">
        <v>161</v>
      </c>
      <c r="G48" s="128"/>
      <c r="H48" s="128"/>
      <c r="I48" s="128"/>
      <c r="J48" s="128"/>
      <c r="K48" s="133" t="s">
        <v>162</v>
      </c>
      <c r="L48" s="133"/>
      <c r="M48" s="133"/>
      <c r="N48" s="133"/>
      <c r="O48" s="133"/>
      <c r="P48" s="133"/>
    </row>
    <row r="49" spans="1:19" ht="13.2" customHeight="1" x14ac:dyDescent="0.3"/>
    <row r="50" spans="1:19" ht="16.95" customHeight="1" x14ac:dyDescent="0.3">
      <c r="B50" s="158" t="s">
        <v>88</v>
      </c>
      <c r="C50" s="158"/>
      <c r="D50" s="158"/>
      <c r="E50" s="158"/>
      <c r="F50" s="158"/>
      <c r="G50" s="158"/>
      <c r="H50" s="158"/>
      <c r="I50" s="158"/>
      <c r="J50" s="158"/>
      <c r="K50" s="158"/>
      <c r="L50" s="158"/>
      <c r="M50" s="158"/>
      <c r="N50" s="158"/>
      <c r="O50" s="158"/>
      <c r="P50" s="158"/>
      <c r="Q50" s="158"/>
      <c r="R50" s="158"/>
      <c r="S50" s="158"/>
    </row>
    <row r="51" spans="1:19" ht="16.95" customHeight="1" x14ac:dyDescent="0.3">
      <c r="B51" s="134" t="s">
        <v>163</v>
      </c>
      <c r="C51" s="134"/>
      <c r="D51" s="134"/>
      <c r="E51" s="134"/>
      <c r="F51" s="134"/>
      <c r="G51" s="134"/>
      <c r="H51" s="134"/>
      <c r="I51" s="134"/>
      <c r="J51" s="134"/>
      <c r="K51" s="134"/>
      <c r="L51" s="134"/>
      <c r="M51" s="134"/>
      <c r="N51" s="134"/>
      <c r="O51" s="134"/>
      <c r="P51" s="134"/>
      <c r="Q51" s="134"/>
      <c r="R51" s="134"/>
      <c r="S51" s="134"/>
    </row>
    <row r="52" spans="1:19" ht="16.95" customHeight="1" x14ac:dyDescent="0.3">
      <c r="A52" s="85"/>
      <c r="B52" s="135"/>
      <c r="C52" s="135"/>
      <c r="D52" s="135"/>
      <c r="E52" s="135"/>
      <c r="F52" s="135"/>
      <c r="G52" s="135"/>
      <c r="H52" s="135"/>
      <c r="I52" s="135"/>
      <c r="J52" s="135"/>
      <c r="K52" s="135"/>
      <c r="L52" s="135"/>
      <c r="M52" s="135"/>
      <c r="N52" s="135"/>
      <c r="O52" s="135"/>
      <c r="P52" s="135"/>
      <c r="Q52" s="135"/>
      <c r="R52" s="135"/>
      <c r="S52" s="135"/>
    </row>
    <row r="53" spans="1:19" ht="16.95" customHeight="1" x14ac:dyDescent="0.3">
      <c r="A53" s="85"/>
      <c r="B53" s="135"/>
      <c r="C53" s="135"/>
      <c r="D53" s="135"/>
      <c r="E53" s="135"/>
      <c r="F53" s="135"/>
      <c r="G53" s="135"/>
      <c r="H53" s="135"/>
      <c r="I53" s="135"/>
      <c r="J53" s="135"/>
      <c r="K53" s="135"/>
      <c r="L53" s="135"/>
      <c r="M53" s="135"/>
      <c r="N53" s="135"/>
      <c r="O53" s="135"/>
      <c r="P53" s="135"/>
      <c r="Q53" s="135"/>
      <c r="R53" s="135"/>
      <c r="S53" s="135"/>
    </row>
    <row r="54" spans="1:19" ht="16.95" customHeight="1" x14ac:dyDescent="0.3">
      <c r="A54" s="85"/>
      <c r="B54" s="135"/>
      <c r="C54" s="135"/>
      <c r="D54" s="135"/>
      <c r="E54" s="135"/>
      <c r="F54" s="135"/>
      <c r="G54" s="135"/>
      <c r="H54" s="135"/>
      <c r="I54" s="135"/>
      <c r="J54" s="135"/>
      <c r="K54" s="135"/>
      <c r="L54" s="135"/>
      <c r="M54" s="135"/>
      <c r="N54" s="135"/>
      <c r="O54" s="135"/>
      <c r="P54" s="135"/>
      <c r="Q54" s="135"/>
      <c r="R54" s="135"/>
      <c r="S54" s="135"/>
    </row>
    <row r="55" spans="1:19" ht="16.95" customHeight="1" x14ac:dyDescent="0.3">
      <c r="A55" s="85"/>
      <c r="B55" s="135"/>
      <c r="C55" s="135"/>
      <c r="D55" s="135"/>
      <c r="E55" s="135"/>
      <c r="F55" s="135"/>
      <c r="G55" s="135"/>
      <c r="H55" s="135"/>
      <c r="I55" s="135"/>
      <c r="J55" s="135"/>
      <c r="K55" s="135"/>
      <c r="L55" s="135"/>
      <c r="M55" s="135"/>
      <c r="N55" s="135"/>
      <c r="O55" s="135"/>
      <c r="P55" s="135"/>
      <c r="Q55" s="135"/>
      <c r="R55" s="135"/>
      <c r="S55" s="135"/>
    </row>
    <row r="56" spans="1:19" ht="16.95" customHeight="1" x14ac:dyDescent="0.3">
      <c r="A56" s="85"/>
      <c r="B56" s="135"/>
      <c r="C56" s="135"/>
      <c r="D56" s="135"/>
      <c r="E56" s="135"/>
      <c r="F56" s="135"/>
      <c r="G56" s="135"/>
      <c r="H56" s="135"/>
      <c r="I56" s="135"/>
      <c r="J56" s="135"/>
      <c r="K56" s="135"/>
      <c r="L56" s="135"/>
      <c r="M56" s="135"/>
      <c r="N56" s="135"/>
      <c r="O56" s="135"/>
      <c r="P56" s="135"/>
      <c r="Q56" s="135"/>
      <c r="R56" s="135"/>
      <c r="S56" s="135"/>
    </row>
    <row r="57" spans="1:19" ht="16.95" customHeight="1" x14ac:dyDescent="0.3">
      <c r="A57" s="85"/>
      <c r="B57" s="135"/>
      <c r="C57" s="135"/>
      <c r="D57" s="135"/>
      <c r="E57" s="135"/>
      <c r="F57" s="135"/>
      <c r="G57" s="135"/>
      <c r="H57" s="135"/>
      <c r="I57" s="135"/>
      <c r="J57" s="135"/>
      <c r="K57" s="135"/>
      <c r="L57" s="135"/>
      <c r="M57" s="135"/>
      <c r="N57" s="135"/>
      <c r="O57" s="135"/>
      <c r="P57" s="135"/>
      <c r="Q57" s="135"/>
      <c r="R57" s="135"/>
      <c r="S57" s="135"/>
    </row>
    <row r="58" spans="1:19" ht="16.95" customHeight="1" x14ac:dyDescent="0.3">
      <c r="A58" s="85"/>
      <c r="B58" s="135"/>
      <c r="C58" s="135"/>
      <c r="D58" s="135"/>
      <c r="E58" s="135"/>
      <c r="F58" s="135"/>
      <c r="G58" s="135"/>
      <c r="H58" s="135"/>
      <c r="I58" s="135"/>
      <c r="J58" s="135"/>
      <c r="K58" s="135"/>
      <c r="L58" s="135"/>
      <c r="M58" s="135"/>
      <c r="N58" s="135"/>
      <c r="O58" s="135"/>
      <c r="P58" s="135"/>
      <c r="Q58" s="135"/>
      <c r="R58" s="135"/>
      <c r="S58" s="135"/>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4" t="s">
        <v>89</v>
      </c>
      <c r="C60" s="124"/>
      <c r="D60" s="124"/>
      <c r="E60" s="124"/>
      <c r="F60" s="124"/>
      <c r="G60" s="124"/>
      <c r="H60" s="124"/>
      <c r="I60" s="124"/>
      <c r="J60" s="124"/>
      <c r="K60" s="124"/>
      <c r="L60" s="124"/>
      <c r="M60" s="124"/>
      <c r="N60" s="124"/>
      <c r="O60" s="124"/>
      <c r="P60" s="124"/>
      <c r="Q60" s="124"/>
      <c r="R60" s="124"/>
      <c r="S60" s="124"/>
    </row>
    <row r="61" spans="1:19" ht="16.95" customHeight="1" x14ac:dyDescent="0.3">
      <c r="B61" s="134" t="s">
        <v>164</v>
      </c>
      <c r="C61" s="134"/>
      <c r="D61" s="134"/>
      <c r="E61" s="134"/>
      <c r="F61" s="134"/>
      <c r="G61" s="134"/>
      <c r="H61" s="134"/>
      <c r="I61" s="134"/>
      <c r="J61" s="134"/>
      <c r="K61" s="134"/>
      <c r="L61" s="134"/>
      <c r="M61" s="134"/>
      <c r="N61" s="134"/>
      <c r="O61" s="134"/>
      <c r="P61" s="134"/>
      <c r="Q61" s="134"/>
      <c r="R61" s="134"/>
      <c r="S61" s="134"/>
    </row>
    <row r="62" spans="1:19" ht="16.95" customHeight="1" x14ac:dyDescent="0.3">
      <c r="A62" s="85"/>
      <c r="B62" s="135"/>
      <c r="C62" s="135"/>
      <c r="D62" s="135"/>
      <c r="E62" s="135"/>
      <c r="F62" s="135"/>
      <c r="G62" s="135"/>
      <c r="H62" s="135"/>
      <c r="I62" s="135"/>
      <c r="J62" s="135"/>
      <c r="K62" s="135"/>
      <c r="L62" s="135"/>
      <c r="M62" s="135"/>
      <c r="N62" s="135"/>
      <c r="O62" s="135"/>
      <c r="P62" s="135"/>
      <c r="Q62" s="135"/>
      <c r="R62" s="135"/>
      <c r="S62" s="135"/>
    </row>
    <row r="63" spans="1:19" ht="13.8" customHeight="1" x14ac:dyDescent="0.3"/>
    <row r="64" spans="1:19" ht="15" customHeight="1" x14ac:dyDescent="0.3">
      <c r="B64" s="124" t="s">
        <v>95</v>
      </c>
      <c r="C64" s="124"/>
      <c r="D64" s="124"/>
      <c r="E64" s="124"/>
      <c r="F64" s="124"/>
      <c r="G64" s="124"/>
      <c r="H64" s="124"/>
      <c r="I64" s="124"/>
      <c r="J64" s="124"/>
      <c r="K64" s="124"/>
      <c r="L64" s="124"/>
      <c r="M64" s="124"/>
      <c r="N64" s="124"/>
      <c r="O64" s="124"/>
      <c r="P64" s="124"/>
      <c r="Q64" s="124"/>
      <c r="R64" s="124"/>
      <c r="S64" s="124"/>
    </row>
    <row r="65" spans="1:19" ht="19.2" customHeight="1" x14ac:dyDescent="0.3">
      <c r="B65" s="134" t="s">
        <v>165</v>
      </c>
      <c r="C65" s="134"/>
      <c r="D65" s="134"/>
      <c r="E65" s="134"/>
      <c r="F65" s="134"/>
      <c r="G65" s="134"/>
      <c r="H65" s="134"/>
      <c r="I65" s="134"/>
      <c r="J65" s="134"/>
      <c r="K65" s="134"/>
      <c r="L65" s="134"/>
      <c r="M65" s="134"/>
      <c r="N65" s="134"/>
      <c r="O65" s="134"/>
      <c r="P65" s="134"/>
      <c r="Q65" s="134"/>
      <c r="R65" s="134"/>
      <c r="S65" s="134"/>
    </row>
    <row r="66" spans="1:19" ht="16.95" customHeight="1" x14ac:dyDescent="0.3">
      <c r="A66" s="85"/>
      <c r="B66" s="135"/>
      <c r="C66" s="135"/>
      <c r="D66" s="135"/>
      <c r="E66" s="135"/>
      <c r="F66" s="135"/>
      <c r="G66" s="135"/>
      <c r="H66" s="135"/>
      <c r="I66" s="135"/>
      <c r="J66" s="135"/>
      <c r="K66" s="135"/>
      <c r="L66" s="135"/>
      <c r="M66" s="135"/>
      <c r="N66" s="135"/>
      <c r="O66" s="135"/>
      <c r="P66" s="135"/>
      <c r="Q66" s="135"/>
      <c r="R66" s="135"/>
      <c r="S66" s="135"/>
    </row>
    <row r="67" spans="1:19" ht="16.95" customHeight="1" x14ac:dyDescent="0.3">
      <c r="A67" s="85"/>
      <c r="B67" s="135"/>
      <c r="C67" s="135"/>
      <c r="D67" s="135"/>
      <c r="E67" s="135"/>
      <c r="F67" s="135"/>
      <c r="G67" s="135"/>
      <c r="H67" s="135"/>
      <c r="I67" s="135"/>
      <c r="J67" s="135"/>
      <c r="K67" s="135"/>
      <c r="L67" s="135"/>
      <c r="M67" s="135"/>
      <c r="N67" s="135"/>
      <c r="O67" s="135"/>
      <c r="P67" s="135"/>
      <c r="Q67" s="135"/>
      <c r="R67" s="135"/>
      <c r="S67" s="135"/>
    </row>
    <row r="68" spans="1:19" ht="16.95" customHeight="1" x14ac:dyDescent="0.3">
      <c r="A68" s="85"/>
      <c r="B68" s="135"/>
      <c r="C68" s="135"/>
      <c r="D68" s="135"/>
      <c r="E68" s="135"/>
      <c r="F68" s="135"/>
      <c r="G68" s="135"/>
      <c r="H68" s="135"/>
      <c r="I68" s="135"/>
      <c r="J68" s="135"/>
      <c r="K68" s="135"/>
      <c r="L68" s="135"/>
      <c r="M68" s="135"/>
      <c r="N68" s="135"/>
      <c r="O68" s="135"/>
      <c r="P68" s="135"/>
      <c r="Q68" s="135"/>
      <c r="R68" s="135"/>
      <c r="S68" s="135"/>
    </row>
    <row r="69" spans="1:19" ht="16.95" customHeight="1" x14ac:dyDescent="0.3"/>
    <row r="70" spans="1:19" ht="16.95" customHeight="1" x14ac:dyDescent="0.3">
      <c r="B70" s="123" t="s">
        <v>91</v>
      </c>
      <c r="C70" s="123"/>
      <c r="D70" s="123"/>
      <c r="E70" s="123"/>
      <c r="F70" s="123"/>
      <c r="G70" s="123"/>
      <c r="H70" s="123" t="s">
        <v>92</v>
      </c>
      <c r="I70" s="123"/>
      <c r="J70" s="123"/>
      <c r="K70" s="123"/>
      <c r="L70" s="123"/>
      <c r="M70" s="123" t="s">
        <v>93</v>
      </c>
      <c r="N70" s="123"/>
      <c r="O70" s="123"/>
      <c r="P70" s="123" t="s">
        <v>94</v>
      </c>
      <c r="Q70" s="123"/>
      <c r="R70" s="123"/>
      <c r="S70" s="123"/>
    </row>
    <row r="71" spans="1:19" ht="16.95" customHeight="1" x14ac:dyDescent="0.3">
      <c r="B71" s="120" t="s">
        <v>143</v>
      </c>
      <c r="C71" s="120"/>
      <c r="D71" s="120"/>
      <c r="E71" s="120"/>
      <c r="F71" s="120"/>
      <c r="G71" s="120"/>
      <c r="H71" s="120">
        <v>230310997</v>
      </c>
      <c r="I71" s="120"/>
      <c r="J71" s="120"/>
      <c r="K71" s="120"/>
      <c r="L71" s="120"/>
      <c r="M71" s="121">
        <v>46055</v>
      </c>
      <c r="N71" s="121"/>
      <c r="O71" s="121"/>
      <c r="P71" s="122" t="s">
        <v>158</v>
      </c>
      <c r="Q71" s="122"/>
      <c r="R71" s="122"/>
      <c r="S71" s="122"/>
    </row>
    <row r="72" spans="1:19" ht="16.95" customHeight="1" x14ac:dyDescent="0.3"/>
    <row r="73" spans="1:19" ht="16.95" customHeight="1" x14ac:dyDescent="0.3"/>
    <row r="74" spans="1:19" ht="16.95" customHeight="1" x14ac:dyDescent="0.3"/>
    <row r="75" spans="1:19" ht="16.95" customHeight="1" x14ac:dyDescent="0.3">
      <c r="O75" s="119" t="str">
        <f>O1</f>
        <v>CERTIFICADO N°:</v>
      </c>
      <c r="P75" s="119"/>
      <c r="Q75" s="119"/>
      <c r="R75" s="118">
        <f>R1</f>
        <v>0</v>
      </c>
      <c r="S75" s="118"/>
    </row>
    <row r="76" spans="1:19" ht="7.8" customHeight="1" x14ac:dyDescent="0.3"/>
    <row r="77" spans="1:19" ht="16.95" customHeight="1" x14ac:dyDescent="0.3">
      <c r="B77" s="148" t="s">
        <v>96</v>
      </c>
      <c r="C77" s="148"/>
      <c r="D77" s="148"/>
      <c r="E77" s="148"/>
      <c r="F77" s="148"/>
      <c r="G77" s="148"/>
      <c r="H77" s="148"/>
      <c r="I77" s="148"/>
      <c r="J77" s="148"/>
      <c r="K77" s="148"/>
      <c r="L77" s="148"/>
      <c r="M77" s="148"/>
      <c r="N77" s="148"/>
      <c r="O77" s="148"/>
      <c r="P77" s="148"/>
      <c r="Q77" s="148"/>
      <c r="R77" s="148"/>
      <c r="S77" s="148"/>
    </row>
    <row r="78" spans="1:19" ht="9.6" customHeight="1" x14ac:dyDescent="0.3"/>
    <row r="79" spans="1:19" ht="16.95" customHeight="1" x14ac:dyDescent="0.3">
      <c r="B79" s="118" t="s">
        <v>156</v>
      </c>
      <c r="C79" s="118"/>
      <c r="D79" s="118"/>
      <c r="E79" s="118"/>
      <c r="F79" s="118"/>
      <c r="G79" s="118"/>
      <c r="H79" s="118"/>
      <c r="I79" s="155" t="s">
        <v>131</v>
      </c>
      <c r="J79" s="155"/>
      <c r="K79" s="155"/>
      <c r="L79" s="155"/>
      <c r="M79" s="155"/>
      <c r="N79" s="154" t="s">
        <v>157</v>
      </c>
      <c r="O79" s="154"/>
      <c r="P79" s="156" t="s">
        <v>132</v>
      </c>
      <c r="Q79" s="156"/>
      <c r="R79" s="156"/>
      <c r="S79" s="88">
        <v>0.1</v>
      </c>
    </row>
    <row r="80" spans="1:19" ht="15.45" customHeight="1" x14ac:dyDescent="0.3"/>
    <row r="81" spans="2:19" ht="40.799999999999997" customHeight="1" x14ac:dyDescent="0.3">
      <c r="E81" s="167" t="s">
        <v>136</v>
      </c>
      <c r="F81" s="168"/>
      <c r="G81" s="165" t="s">
        <v>135</v>
      </c>
      <c r="H81" s="165"/>
      <c r="I81" s="165" t="s">
        <v>140</v>
      </c>
      <c r="J81" s="165"/>
      <c r="K81" s="165" t="s">
        <v>134</v>
      </c>
      <c r="L81" s="165"/>
      <c r="M81" s="165" t="s">
        <v>133</v>
      </c>
      <c r="N81" s="165"/>
      <c r="O81" s="165"/>
      <c r="P81" s="87" t="s">
        <v>14</v>
      </c>
    </row>
    <row r="82" spans="2:19" ht="16.05" customHeight="1" x14ac:dyDescent="0.3">
      <c r="E82" s="150">
        <f>MEDIDA!B4</f>
        <v>2</v>
      </c>
      <c r="F82" s="151"/>
      <c r="G82" s="117">
        <f ca="1">MEDIDA!D4</f>
        <v>2.1</v>
      </c>
      <c r="H82" s="117"/>
      <c r="I82" s="117">
        <f ca="1">MEDIDA!F4</f>
        <v>1.7551352262068445</v>
      </c>
      <c r="J82" s="117"/>
      <c r="K82" s="117">
        <f ca="1">MEDIDA!H4</f>
        <v>-0.34486477379315561</v>
      </c>
      <c r="L82" s="117"/>
      <c r="M82" s="169">
        <v>0.64</v>
      </c>
      <c r="N82" s="170"/>
      <c r="O82" s="170"/>
      <c r="P82" s="91">
        <f>INCERTIDUMBRE!K4</f>
        <v>2.0061182842134806</v>
      </c>
    </row>
    <row r="83" spans="2:19" ht="16.05" customHeight="1" x14ac:dyDescent="0.3">
      <c r="E83" s="150">
        <f>MEDIDA!B5</f>
        <v>4</v>
      </c>
      <c r="F83" s="151"/>
      <c r="G83" s="117">
        <f ca="1">MEDIDA!D5</f>
        <v>3.8</v>
      </c>
      <c r="H83" s="117"/>
      <c r="I83" s="117">
        <f ca="1">MEDIDA!F5</f>
        <v>3.4399554669451238</v>
      </c>
      <c r="J83" s="117"/>
      <c r="K83" s="117">
        <f ca="1">MEDIDA!H5</f>
        <v>-0.36004453305487605</v>
      </c>
      <c r="L83" s="117"/>
      <c r="M83" s="169">
        <v>0.64</v>
      </c>
      <c r="N83" s="170"/>
      <c r="O83" s="170"/>
      <c r="P83" s="91">
        <f>INCERTIDUMBRE!K5</f>
        <v>2.0061182842134806</v>
      </c>
    </row>
    <row r="84" spans="2:19" ht="16.05" customHeight="1" x14ac:dyDescent="0.3">
      <c r="E84" s="150">
        <f>MEDIDA!B6</f>
        <v>8</v>
      </c>
      <c r="F84" s="151"/>
      <c r="G84" s="117">
        <f ca="1">MEDIDA!D6</f>
        <v>7.8</v>
      </c>
      <c r="H84" s="117"/>
      <c r="I84" s="117">
        <f ca="1">MEDIDA!F6</f>
        <v>7.6607395695679044</v>
      </c>
      <c r="J84" s="117"/>
      <c r="K84" s="117">
        <f ca="1">MEDIDA!H6</f>
        <v>-0.13926043043209546</v>
      </c>
      <c r="L84" s="117"/>
      <c r="M84" s="169">
        <v>0.64</v>
      </c>
      <c r="N84" s="170"/>
      <c r="O84" s="170"/>
      <c r="P84" s="91">
        <f>INCERTIDUMBRE!K6</f>
        <v>2.0061182842134806</v>
      </c>
    </row>
    <row r="85" spans="2:19" ht="15.45" customHeight="1" x14ac:dyDescent="0.3">
      <c r="E85" s="100"/>
      <c r="F85" s="100"/>
      <c r="G85" s="102"/>
      <c r="H85" s="102"/>
      <c r="I85" s="102"/>
      <c r="J85" s="102"/>
      <c r="K85" s="102"/>
      <c r="L85" s="102"/>
      <c r="M85" s="103"/>
      <c r="N85" s="100"/>
      <c r="O85" s="100"/>
      <c r="P85" s="102"/>
    </row>
    <row r="86" spans="2:19" ht="16.05" customHeight="1" x14ac:dyDescent="0.3">
      <c r="E86" s="100"/>
      <c r="F86" s="100"/>
      <c r="G86" s="102"/>
      <c r="H86" s="102"/>
      <c r="I86" s="102"/>
      <c r="J86" s="102"/>
      <c r="K86" s="102"/>
      <c r="L86" s="102"/>
      <c r="M86" s="103"/>
      <c r="N86" s="100"/>
      <c r="O86" s="100"/>
      <c r="P86" s="102"/>
    </row>
    <row r="87" spans="2:19" ht="16.05" customHeight="1" x14ac:dyDescent="0.3">
      <c r="E87" s="100"/>
      <c r="F87" s="100"/>
      <c r="G87" s="102"/>
      <c r="H87" s="102"/>
      <c r="I87" s="102"/>
      <c r="J87" s="102"/>
      <c r="K87" s="102"/>
      <c r="L87" s="102"/>
      <c r="M87" s="103"/>
      <c r="N87" s="100"/>
      <c r="O87" s="100"/>
      <c r="P87" s="102"/>
    </row>
    <row r="88" spans="2:19" ht="16.05" customHeight="1" x14ac:dyDescent="0.3">
      <c r="E88" s="100"/>
      <c r="F88" s="100"/>
      <c r="G88" s="102"/>
      <c r="H88" s="102"/>
      <c r="I88" s="102"/>
      <c r="J88" s="102"/>
      <c r="K88" s="102"/>
      <c r="L88" s="102"/>
      <c r="M88" s="103"/>
      <c r="N88" s="100"/>
      <c r="O88" s="100"/>
      <c r="P88" s="102"/>
    </row>
    <row r="89" spans="2:19" ht="16.05" customHeight="1" x14ac:dyDescent="0.3">
      <c r="E89" s="100"/>
      <c r="F89" s="100"/>
      <c r="G89" s="102"/>
      <c r="H89" s="102"/>
      <c r="I89" s="102"/>
      <c r="J89" s="102"/>
      <c r="K89" s="102"/>
      <c r="L89" s="102"/>
      <c r="M89" s="103"/>
      <c r="N89" s="100"/>
      <c r="O89" s="100"/>
      <c r="P89" s="102"/>
    </row>
    <row r="90" spans="2:19" ht="16.05" customHeight="1" x14ac:dyDescent="0.3">
      <c r="E90" s="100"/>
      <c r="F90" s="100"/>
      <c r="G90" s="102"/>
      <c r="H90" s="102"/>
      <c r="I90" s="102"/>
      <c r="J90" s="102"/>
      <c r="K90" s="102"/>
      <c r="L90" s="102"/>
      <c r="M90" s="103"/>
      <c r="N90" s="100"/>
      <c r="O90" s="100"/>
      <c r="P90" s="102"/>
    </row>
    <row r="91" spans="2:19" ht="16.05" customHeight="1" x14ac:dyDescent="0.3">
      <c r="E91" s="100"/>
      <c r="F91" s="100"/>
      <c r="G91" s="102"/>
      <c r="H91" s="102"/>
      <c r="I91" s="102"/>
      <c r="J91" s="102"/>
      <c r="K91" s="102"/>
      <c r="L91" s="102"/>
      <c r="M91" s="103"/>
      <c r="N91" s="100"/>
      <c r="O91" s="100"/>
      <c r="P91" s="102"/>
    </row>
    <row r="92" spans="2:19" ht="16.05" customHeight="1" x14ac:dyDescent="0.3"/>
    <row r="93" spans="2:19" ht="16.05" customHeight="1" x14ac:dyDescent="0.3"/>
    <row r="94" spans="2:19" ht="16.05" customHeight="1" x14ac:dyDescent="0.3"/>
    <row r="95" spans="2:19" ht="6" customHeight="1" x14ac:dyDescent="0.3"/>
    <row r="96" spans="2:19" ht="16.2" customHeight="1" x14ac:dyDescent="0.3">
      <c r="B96" s="118" t="s">
        <v>156</v>
      </c>
      <c r="C96" s="118"/>
      <c r="D96" s="118"/>
      <c r="E96" s="118"/>
      <c r="F96" s="118"/>
      <c r="G96" s="118"/>
      <c r="H96" s="118"/>
      <c r="I96" s="155" t="s">
        <v>131</v>
      </c>
      <c r="J96" s="155"/>
      <c r="K96" s="155"/>
      <c r="L96" s="155"/>
      <c r="M96" s="155"/>
      <c r="N96" s="154" t="s">
        <v>167</v>
      </c>
      <c r="O96" s="154"/>
      <c r="P96" s="156" t="s">
        <v>132</v>
      </c>
      <c r="Q96" s="156"/>
      <c r="R96" s="156"/>
      <c r="S96" s="88">
        <v>0.1</v>
      </c>
    </row>
    <row r="97" spans="5:19" ht="16.8" customHeight="1" x14ac:dyDescent="0.3"/>
    <row r="98" spans="5:19" ht="39" customHeight="1" x14ac:dyDescent="0.3">
      <c r="E98" s="167" t="s">
        <v>136</v>
      </c>
      <c r="F98" s="168"/>
      <c r="G98" s="165" t="s">
        <v>135</v>
      </c>
      <c r="H98" s="165"/>
      <c r="I98" s="165" t="s">
        <v>140</v>
      </c>
      <c r="J98" s="165"/>
      <c r="K98" s="165" t="s">
        <v>134</v>
      </c>
      <c r="L98" s="165"/>
      <c r="M98" s="165" t="s">
        <v>133</v>
      </c>
      <c r="N98" s="165"/>
      <c r="O98" s="165"/>
      <c r="P98" s="87" t="s">
        <v>14</v>
      </c>
    </row>
    <row r="99" spans="5:19" ht="15.45" customHeight="1" x14ac:dyDescent="0.3">
      <c r="E99" s="150">
        <f>MEDIDA!B13</f>
        <v>-15</v>
      </c>
      <c r="F99" s="151"/>
      <c r="G99" s="152">
        <f ca="1">MEDIDA!D13</f>
        <v>-15.1</v>
      </c>
      <c r="H99" s="153"/>
      <c r="I99" s="152">
        <f ca="1">MEDIDA!F13</f>
        <v>-15.49678778555757</v>
      </c>
      <c r="J99" s="153"/>
      <c r="K99" s="152">
        <f ca="1">MEDIDA!H13</f>
        <v>-0.39678778555757077</v>
      </c>
      <c r="L99" s="153"/>
      <c r="M99" s="117">
        <f>INCERTIDUMBRE!L12</f>
        <v>0.40426857556412293</v>
      </c>
      <c r="N99" s="117"/>
      <c r="O99" s="117"/>
      <c r="P99" s="91">
        <f>INCERTIDUMBRE!K20</f>
        <v>2.0069900785842067</v>
      </c>
    </row>
    <row r="100" spans="5:19" ht="15.45" customHeight="1" x14ac:dyDescent="0.3">
      <c r="E100" s="150">
        <f>MEDIDA!B14</f>
        <v>-20</v>
      </c>
      <c r="F100" s="151"/>
      <c r="G100" s="152">
        <f ca="1">MEDIDA!D14</f>
        <v>-20</v>
      </c>
      <c r="H100" s="153"/>
      <c r="I100" s="152">
        <f ca="1">MEDIDA!F14</f>
        <v>-20.15914737188734</v>
      </c>
      <c r="J100" s="153"/>
      <c r="K100" s="152">
        <f ca="1">MEDIDA!H14</f>
        <v>-0.15914737188733952</v>
      </c>
      <c r="L100" s="153"/>
      <c r="M100" s="117">
        <f>INCERTIDUMBRE!L13</f>
        <v>0.40426857556412293</v>
      </c>
      <c r="N100" s="117"/>
      <c r="O100" s="117"/>
      <c r="P100" s="91">
        <f>INCERTIDUMBRE!K21</f>
        <v>2.0069900785842067</v>
      </c>
    </row>
    <row r="101" spans="5:19" x14ac:dyDescent="0.3">
      <c r="E101" s="150">
        <f>MEDIDA!B15</f>
        <v>-24</v>
      </c>
      <c r="F101" s="151"/>
      <c r="G101" s="152">
        <f ca="1">MEDIDA!D15</f>
        <v>-24.2</v>
      </c>
      <c r="H101" s="153"/>
      <c r="I101" s="152">
        <f ca="1">MEDIDA!F15</f>
        <v>-24.537961980867205</v>
      </c>
      <c r="J101" s="153"/>
      <c r="K101" s="152">
        <f ca="1">MEDIDA!H15</f>
        <v>-0.33796198086720608</v>
      </c>
      <c r="L101" s="153"/>
      <c r="M101" s="117">
        <f>INCERTIDUMBRE!L14</f>
        <v>0.40426857556412293</v>
      </c>
      <c r="N101" s="117"/>
      <c r="O101" s="117"/>
      <c r="P101" s="91">
        <f>INCERTIDUMBRE!K22</f>
        <v>2.0069900785842067</v>
      </c>
    </row>
    <row r="102" spans="5:19" x14ac:dyDescent="0.3">
      <c r="E102" s="100"/>
      <c r="F102" s="100"/>
      <c r="G102" s="102"/>
      <c r="H102" s="102"/>
      <c r="I102" s="102"/>
      <c r="J102" s="102"/>
      <c r="K102" s="102"/>
      <c r="L102" s="102"/>
      <c r="M102" s="103"/>
      <c r="N102" s="100"/>
      <c r="O102" s="100"/>
      <c r="P102" s="102"/>
    </row>
    <row r="103" spans="5:19" x14ac:dyDescent="0.3">
      <c r="E103" s="100"/>
      <c r="F103" s="100"/>
      <c r="G103" s="102"/>
      <c r="H103" s="102"/>
      <c r="I103" s="102"/>
      <c r="J103" s="102"/>
      <c r="K103" s="102"/>
      <c r="L103" s="102"/>
      <c r="M103" s="103"/>
      <c r="N103" s="100"/>
      <c r="O103" s="100"/>
      <c r="P103" s="102"/>
    </row>
    <row r="104" spans="5:19" x14ac:dyDescent="0.3">
      <c r="E104" s="100"/>
      <c r="F104" s="100"/>
      <c r="G104" s="102"/>
      <c r="H104" s="102"/>
      <c r="I104" s="102"/>
      <c r="J104" s="102"/>
      <c r="K104" s="102"/>
      <c r="L104" s="102"/>
      <c r="M104" s="103"/>
      <c r="N104" s="100"/>
      <c r="O104" s="100"/>
      <c r="P104" s="102"/>
    </row>
    <row r="105" spans="5:19" x14ac:dyDescent="0.3">
      <c r="E105" s="100"/>
      <c r="F105" s="100"/>
      <c r="G105" s="102"/>
      <c r="H105" s="102"/>
      <c r="I105" s="102"/>
      <c r="J105" s="102"/>
      <c r="K105" s="102"/>
      <c r="L105" s="102"/>
      <c r="M105" s="103"/>
      <c r="N105" s="100"/>
      <c r="O105" s="100"/>
      <c r="P105" s="102"/>
    </row>
    <row r="106" spans="5:19" x14ac:dyDescent="0.3">
      <c r="E106" s="100"/>
      <c r="F106" s="100"/>
      <c r="G106" s="102"/>
      <c r="H106" s="102"/>
      <c r="I106" s="102"/>
      <c r="J106" s="102"/>
      <c r="K106" s="102"/>
      <c r="L106" s="102"/>
      <c r="M106" s="103"/>
      <c r="N106" s="100"/>
      <c r="O106" s="100"/>
      <c r="P106" s="102"/>
    </row>
    <row r="107" spans="5:19" x14ac:dyDescent="0.3">
      <c r="E107" s="100"/>
      <c r="F107" s="100"/>
      <c r="G107" s="102"/>
      <c r="H107" s="102"/>
      <c r="I107" s="102"/>
      <c r="J107" s="102"/>
      <c r="K107" s="102"/>
      <c r="L107" s="102"/>
      <c r="M107" s="103"/>
      <c r="N107" s="100"/>
      <c r="O107" s="100"/>
      <c r="P107" s="102"/>
    </row>
    <row r="108" spans="5:19" x14ac:dyDescent="0.3">
      <c r="E108" s="100"/>
      <c r="F108" s="100"/>
      <c r="G108" s="102"/>
      <c r="H108" s="102"/>
      <c r="I108" s="102"/>
      <c r="J108" s="102"/>
      <c r="K108" s="102"/>
      <c r="L108" s="102"/>
      <c r="M108" s="103"/>
      <c r="N108" s="100"/>
      <c r="O108" s="100"/>
      <c r="P108" s="102"/>
    </row>
    <row r="109" spans="5:19" x14ac:dyDescent="0.3">
      <c r="E109" s="100"/>
      <c r="F109" s="100"/>
      <c r="G109" s="102"/>
      <c r="H109" s="102"/>
      <c r="I109" s="102"/>
      <c r="J109" s="102"/>
      <c r="K109" s="102"/>
      <c r="L109" s="102"/>
      <c r="M109" s="103"/>
      <c r="N109" s="100"/>
      <c r="O109" s="100"/>
      <c r="P109" s="102"/>
    </row>
    <row r="110" spans="5:19" x14ac:dyDescent="0.3">
      <c r="E110" s="100"/>
      <c r="F110" s="100"/>
      <c r="G110" s="102"/>
      <c r="H110" s="102"/>
      <c r="I110" s="102"/>
      <c r="J110" s="102"/>
      <c r="K110" s="102"/>
      <c r="L110" s="102"/>
      <c r="M110" s="103"/>
      <c r="N110" s="100"/>
      <c r="O110" s="100"/>
      <c r="P110" s="102"/>
    </row>
    <row r="111" spans="5:19" ht="31.2" customHeight="1" x14ac:dyDescent="0.3"/>
    <row r="112" spans="5:19" ht="15.45" customHeight="1" x14ac:dyDescent="0.3">
      <c r="O112" s="158" t="str">
        <f>O75</f>
        <v>CERTIFICADO N°:</v>
      </c>
      <c r="P112" s="158"/>
      <c r="Q112" s="158"/>
      <c r="R112" s="166">
        <f>R75</f>
        <v>0</v>
      </c>
      <c r="S112" s="166"/>
    </row>
    <row r="113" spans="2:19" ht="15.45" customHeight="1" x14ac:dyDescent="0.3"/>
    <row r="116" spans="2:19" ht="16.8" customHeight="1" x14ac:dyDescent="0.3">
      <c r="B116" s="148" t="s">
        <v>97</v>
      </c>
      <c r="C116" s="148"/>
      <c r="D116" s="148"/>
      <c r="E116" s="148"/>
      <c r="F116" s="148"/>
      <c r="G116" s="148"/>
      <c r="H116" s="148"/>
      <c r="I116" s="148"/>
      <c r="J116" s="148"/>
      <c r="K116" s="148"/>
      <c r="L116" s="148"/>
      <c r="M116" s="148"/>
      <c r="N116" s="148"/>
      <c r="O116" s="148"/>
      <c r="P116" s="148"/>
      <c r="Q116" s="148"/>
      <c r="R116" s="148"/>
      <c r="S116" s="148"/>
    </row>
    <row r="117" spans="2:19" ht="16.8" customHeight="1" x14ac:dyDescent="0.3"/>
    <row r="118" spans="2:19" ht="16.8" customHeight="1" x14ac:dyDescent="0.3">
      <c r="B118" s="136" t="s">
        <v>98</v>
      </c>
      <c r="C118" s="136"/>
      <c r="D118" s="136"/>
      <c r="E118" s="136"/>
      <c r="F118" s="136"/>
      <c r="G118" s="136"/>
      <c r="I118" s="76" t="s">
        <v>99</v>
      </c>
      <c r="J118" s="76"/>
      <c r="K118" s="76"/>
      <c r="L118" s="76"/>
      <c r="M118" s="76"/>
      <c r="N118" s="76"/>
      <c r="O118" s="76"/>
      <c r="P118" s="76"/>
      <c r="Q118" s="76"/>
      <c r="R118" s="76"/>
      <c r="S118" s="76"/>
    </row>
    <row r="119" spans="2:19" ht="16.8" customHeight="1" x14ac:dyDescent="0.3">
      <c r="B119" s="137" t="s">
        <v>100</v>
      </c>
      <c r="C119" s="137"/>
      <c r="D119" s="137"/>
      <c r="E119" s="137"/>
      <c r="F119" s="137"/>
      <c r="G119" s="137"/>
      <c r="I119" s="76" t="s">
        <v>99</v>
      </c>
    </row>
    <row r="120" spans="2:19" ht="16.8" customHeight="1" x14ac:dyDescent="0.3">
      <c r="B120" s="136" t="s">
        <v>101</v>
      </c>
      <c r="C120" s="136"/>
      <c r="D120" s="136"/>
      <c r="E120" s="136"/>
      <c r="F120" s="136"/>
      <c r="G120" s="136"/>
      <c r="I120" s="76" t="s">
        <v>99</v>
      </c>
      <c r="J120" s="76"/>
      <c r="K120" s="76"/>
      <c r="L120" s="76"/>
      <c r="M120" s="76"/>
      <c r="N120" s="76"/>
      <c r="O120" s="76"/>
      <c r="P120" s="76"/>
      <c r="Q120" s="76"/>
      <c r="R120" s="76"/>
      <c r="S120" s="76"/>
    </row>
    <row r="121" spans="2:19" x14ac:dyDescent="0.3">
      <c r="B121" s="149" t="s">
        <v>102</v>
      </c>
      <c r="C121" s="149"/>
      <c r="D121" s="149"/>
      <c r="E121" s="149"/>
      <c r="F121" s="149"/>
      <c r="G121" s="149"/>
      <c r="I121" s="86" t="s">
        <v>137</v>
      </c>
      <c r="J121" s="86"/>
      <c r="K121" s="86"/>
      <c r="L121" s="86"/>
      <c r="M121" s="86"/>
      <c r="N121" s="86"/>
      <c r="O121" s="86"/>
      <c r="P121" s="86"/>
      <c r="Q121" s="86"/>
      <c r="R121" s="86"/>
      <c r="S121" s="86"/>
    </row>
    <row r="125" spans="2:19" ht="24" customHeight="1" x14ac:dyDescent="0.3">
      <c r="B125" s="147" t="s">
        <v>166</v>
      </c>
      <c r="C125" s="147"/>
      <c r="D125" s="147"/>
      <c r="E125" s="147"/>
      <c r="F125" s="147"/>
      <c r="G125" s="147"/>
      <c r="H125" s="147"/>
      <c r="I125" s="147"/>
      <c r="J125" s="147"/>
      <c r="K125" s="147"/>
      <c r="L125" s="147"/>
      <c r="M125" s="147"/>
      <c r="N125" s="147"/>
      <c r="O125" s="147"/>
      <c r="P125" s="147"/>
      <c r="Q125" s="147"/>
      <c r="R125" s="147"/>
      <c r="S125" s="147"/>
    </row>
    <row r="137" ht="16.2" customHeight="1" x14ac:dyDescent="0.3"/>
    <row r="142" ht="16.8" customHeight="1" x14ac:dyDescent="0.3"/>
    <row r="143" ht="24" customHeight="1" x14ac:dyDescent="0.3"/>
    <row r="147" ht="16.8" customHeight="1" x14ac:dyDescent="0.3"/>
    <row r="151" ht="24" customHeight="1" x14ac:dyDescent="0.3"/>
  </sheetData>
  <mergeCells count="124">
    <mergeCell ref="R112:S112"/>
    <mergeCell ref="E81:F81"/>
    <mergeCell ref="G81:H81"/>
    <mergeCell ref="I81:J81"/>
    <mergeCell ref="K81:L81"/>
    <mergeCell ref="M81:O81"/>
    <mergeCell ref="E82:F82"/>
    <mergeCell ref="M82:O82"/>
    <mergeCell ref="M83:O83"/>
    <mergeCell ref="O112:Q112"/>
    <mergeCell ref="M84:O84"/>
    <mergeCell ref="M99:O99"/>
    <mergeCell ref="N96:O96"/>
    <mergeCell ref="P96:R96"/>
    <mergeCell ref="E98:F98"/>
    <mergeCell ref="E100:F100"/>
    <mergeCell ref="G100:H100"/>
    <mergeCell ref="I100:J100"/>
    <mergeCell ref="K100:L100"/>
    <mergeCell ref="M100:O100"/>
    <mergeCell ref="I99:J99"/>
    <mergeCell ref="K99:L99"/>
    <mergeCell ref="B96:H96"/>
    <mergeCell ref="I96:M96"/>
    <mergeCell ref="E101:F101"/>
    <mergeCell ref="G101:H101"/>
    <mergeCell ref="I101:J101"/>
    <mergeCell ref="K101:L101"/>
    <mergeCell ref="M101:O101"/>
    <mergeCell ref="M98:O98"/>
    <mergeCell ref="K98:L98"/>
    <mergeCell ref="I98:J98"/>
    <mergeCell ref="G98:H98"/>
    <mergeCell ref="C15:R15"/>
    <mergeCell ref="C17:G17"/>
    <mergeCell ref="C18:G18"/>
    <mergeCell ref="I13:R13"/>
    <mergeCell ref="R75:S75"/>
    <mergeCell ref="O75:Q75"/>
    <mergeCell ref="B77:S77"/>
    <mergeCell ref="B41:S43"/>
    <mergeCell ref="B40:S40"/>
    <mergeCell ref="M32:O32"/>
    <mergeCell ref="I32:L32"/>
    <mergeCell ref="I33:L33"/>
    <mergeCell ref="B50:S50"/>
    <mergeCell ref="C23:R28"/>
    <mergeCell ref="M31:R31"/>
    <mergeCell ref="I31:L31"/>
    <mergeCell ref="B65:S68"/>
    <mergeCell ref="H70:L70"/>
    <mergeCell ref="K45:O45"/>
    <mergeCell ref="C19:G19"/>
    <mergeCell ref="C20:G20"/>
    <mergeCell ref="C21:G21"/>
    <mergeCell ref="I17:R17"/>
    <mergeCell ref="I18:R18"/>
    <mergeCell ref="I19:R19"/>
    <mergeCell ref="I20:R20"/>
    <mergeCell ref="I21:R21"/>
    <mergeCell ref="B125:S125"/>
    <mergeCell ref="B118:G118"/>
    <mergeCell ref="B119:G119"/>
    <mergeCell ref="B120:G120"/>
    <mergeCell ref="B116:S116"/>
    <mergeCell ref="B121:G121"/>
    <mergeCell ref="E84:F84"/>
    <mergeCell ref="G84:H84"/>
    <mergeCell ref="I84:J84"/>
    <mergeCell ref="K84:L84"/>
    <mergeCell ref="E83:F83"/>
    <mergeCell ref="G83:H83"/>
    <mergeCell ref="I83:J83"/>
    <mergeCell ref="K83:L83"/>
    <mergeCell ref="E99:F99"/>
    <mergeCell ref="G99:H99"/>
    <mergeCell ref="B70:G70"/>
    <mergeCell ref="N79:O79"/>
    <mergeCell ref="I79:M79"/>
    <mergeCell ref="P79:R79"/>
    <mergeCell ref="G82:H82"/>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I12:R12"/>
    <mergeCell ref="I82:J82"/>
    <mergeCell ref="K82:L82"/>
    <mergeCell ref="R38:S38"/>
    <mergeCell ref="O38:Q38"/>
    <mergeCell ref="B79:H79"/>
    <mergeCell ref="B71:G71"/>
    <mergeCell ref="H71:L71"/>
    <mergeCell ref="M71:O71"/>
    <mergeCell ref="P71:S71"/>
    <mergeCell ref="M70:O70"/>
    <mergeCell ref="P70:S70"/>
    <mergeCell ref="B60:S60"/>
    <mergeCell ref="B64:S64"/>
    <mergeCell ref="F45:J45"/>
    <mergeCell ref="F48:J48"/>
    <mergeCell ref="F46:G46"/>
    <mergeCell ref="K46:L46"/>
    <mergeCell ref="K48:P48"/>
    <mergeCell ref="B51:S58"/>
    <mergeCell ref="B61:S62"/>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rowBreaks count="2" manualBreakCount="2">
    <brk id="37" max="16383" man="1"/>
    <brk id="74" max="19" man="1"/>
  </rowBreaks>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2026-05-21T01:59:27Z</cp:lastPrinted>
  <dcterms:created xsi:type="dcterms:W3CDTF">2012-07-25T22:15:54Z</dcterms:created>
  <dcterms:modified xsi:type="dcterms:W3CDTF">2026-09-14T16:11:04Z</dcterms:modified>
</cp:coreProperties>
</file>