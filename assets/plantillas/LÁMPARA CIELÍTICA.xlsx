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69D31DA6-3846-461B-B2F3-061A0593EA64}"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 i="20" l="1"/>
  <c r="H6" i="20" s="1"/>
  <c r="J6" i="20" s="1"/>
  <c r="B84" i="31" l="1"/>
  <c r="N46" i="31"/>
  <c r="K46" i="31"/>
  <c r="I46" i="31"/>
  <c r="F46" i="31"/>
  <c r="M32" i="31"/>
  <c r="M31" i="31"/>
  <c r="I18" i="31"/>
  <c r="I19" i="31"/>
  <c r="I20" i="31"/>
  <c r="I21" i="31"/>
  <c r="I17" i="31"/>
  <c r="I13" i="31"/>
  <c r="I12" i="31"/>
  <c r="I11" i="31"/>
  <c r="I10" i="31"/>
  <c r="I9" i="31"/>
  <c r="I8" i="31"/>
  <c r="I7" i="31"/>
  <c r="I6" i="31"/>
  <c r="I5" i="31"/>
  <c r="R1" i="31"/>
  <c r="B10" i="23"/>
  <c r="B9" i="23"/>
  <c r="R76" i="31" l="1"/>
  <c r="H5" i="21"/>
  <c r="I5" i="21" s="1"/>
  <c r="J5" i="21" s="1"/>
  <c r="K5" i="21" s="1"/>
  <c r="H6" i="21"/>
  <c r="I6" i="21" s="1"/>
  <c r="J6" i="21" s="1"/>
  <c r="K6" i="21" s="1"/>
  <c r="L6" i="21" s="1"/>
  <c r="H7" i="21"/>
  <c r="I7" i="21" s="1"/>
  <c r="H8" i="21"/>
  <c r="I8" i="21" s="1"/>
  <c r="H4" i="21"/>
  <c r="I4" i="21" s="1"/>
  <c r="J4" i="21" s="1"/>
  <c r="K4" i="21" s="1"/>
  <c r="B8" i="21"/>
  <c r="C8" i="21"/>
  <c r="D8" i="21"/>
  <c r="F8" i="21"/>
  <c r="G8" i="21"/>
  <c r="L6" i="20"/>
  <c r="N6" i="20" s="1"/>
  <c r="N84" i="31" s="1"/>
  <c r="J84" i="31"/>
  <c r="H84" i="31"/>
  <c r="F84" i="31"/>
  <c r="D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R38" i="31" l="1"/>
  <c r="L84" i="31"/>
  <c r="J8" i="21"/>
  <c r="K8" i="21" s="1"/>
  <c r="J7" i="21"/>
  <c r="K7" i="21" s="1"/>
  <c r="A83" i="29"/>
  <c r="L5" i="21"/>
  <c r="A3" i="29" l="1"/>
  <c r="C11" i="29" s="1"/>
  <c r="D11" i="29" s="1"/>
  <c r="E11" i="29" s="1"/>
  <c r="L8" i="21"/>
  <c r="L7" i="21"/>
  <c r="E85" i="29"/>
  <c r="F88" i="29" s="1"/>
  <c r="J86" i="29"/>
  <c r="C91" i="29"/>
  <c r="D91" i="29" s="1"/>
  <c r="E91" i="29" s="1"/>
  <c r="J85" i="29"/>
  <c r="E88" i="29"/>
  <c r="C82" i="29"/>
  <c r="D82" i="29" s="1"/>
  <c r="A124" i="29" l="1"/>
  <c r="J127" i="29" s="1"/>
  <c r="C2" i="29"/>
  <c r="D2" i="29" s="1"/>
  <c r="D3" i="29" s="1"/>
  <c r="E8" i="29"/>
  <c r="J6" i="29"/>
  <c r="J5" i="29"/>
  <c r="E5" i="29"/>
  <c r="F8" i="29" s="1"/>
  <c r="G85" i="29"/>
  <c r="H85" i="29" s="1"/>
  <c r="E129" i="29"/>
  <c r="C123" i="29"/>
  <c r="D123" i="29" s="1"/>
  <c r="E126" i="29"/>
  <c r="F129" i="29" s="1"/>
  <c r="C132" i="29"/>
  <c r="D132" i="29" s="1"/>
  <c r="E132" i="29" s="1"/>
  <c r="E82" i="29"/>
  <c r="F82" i="29" s="1"/>
  <c r="C85" i="29" s="1"/>
  <c r="D83" i="29"/>
  <c r="J126" i="29" l="1"/>
  <c r="G5" i="29"/>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J21" i="29" l="1"/>
  <c r="J22" i="29"/>
  <c r="C27" i="29"/>
  <c r="D27" i="29" s="1"/>
  <c r="E27" i="29" s="1"/>
  <c r="E21" i="29"/>
  <c r="F24" i="29" s="1"/>
  <c r="G21" i="29" s="1"/>
  <c r="H21" i="29" s="1"/>
  <c r="C21" i="29"/>
  <c r="C22" i="29" s="1"/>
  <c r="C23" i="29" s="1"/>
  <c r="E101" i="29"/>
  <c r="F104" i="29" s="1"/>
  <c r="C107" i="29"/>
  <c r="D107" i="29" s="1"/>
  <c r="E107" i="29" s="1"/>
  <c r="J101" i="29"/>
  <c r="C101" i="29"/>
  <c r="D101" i="29" s="1"/>
  <c r="E104" i="29"/>
  <c r="K134" i="29"/>
  <c r="A140" i="29" s="1"/>
  <c r="E145" i="29" s="1"/>
  <c r="H134" i="29"/>
  <c r="F134" i="29"/>
  <c r="D21" i="29" l="1"/>
  <c r="D24" i="29" s="1"/>
  <c r="K21" i="29" s="1"/>
  <c r="A27" i="29" s="1"/>
  <c r="E32" i="29" s="1"/>
  <c r="G101" i="29"/>
  <c r="H101" i="29" s="1"/>
  <c r="C102" i="29"/>
  <c r="C103" i="29" s="1"/>
  <c r="J143" i="29"/>
  <c r="E142" i="29"/>
  <c r="F145" i="29" s="1"/>
  <c r="G142" i="29" s="1"/>
  <c r="H142" i="29" s="1"/>
  <c r="C148" i="29"/>
  <c r="D148" i="29" s="1"/>
  <c r="E148" i="29" s="1"/>
  <c r="J142" i="29"/>
  <c r="C142" i="29"/>
  <c r="D142" i="29" s="1"/>
  <c r="D143" i="29" s="1"/>
  <c r="F21" i="29"/>
  <c r="F101" i="29"/>
  <c r="D104" i="29"/>
  <c r="D102" i="29"/>
  <c r="B3" i="29" l="1"/>
  <c r="D22" i="29"/>
  <c r="K101" i="29"/>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C30" i="29"/>
  <c r="C31" i="29" s="1"/>
  <c r="K29" i="29" s="1"/>
  <c r="A35" i="29" s="1"/>
  <c r="E40" i="29" s="1"/>
  <c r="F29" i="29"/>
  <c r="D32" i="29"/>
  <c r="D30" i="29"/>
  <c r="J109" i="29" l="1"/>
  <c r="E109" i="29"/>
  <c r="F112" i="29" s="1"/>
  <c r="C109" i="29"/>
  <c r="C110" i="29" s="1"/>
  <c r="C111" i="29" s="1"/>
  <c r="J110" i="29"/>
  <c r="E112" i="29"/>
  <c r="E153" i="29"/>
  <c r="E150" i="29"/>
  <c r="F153" i="29" s="1"/>
  <c r="B124" i="29"/>
  <c r="C150" i="29"/>
  <c r="D150" i="29" s="1"/>
  <c r="D153" i="29" s="1"/>
  <c r="J150" i="29"/>
  <c r="C156" i="29"/>
  <c r="D156" i="29" s="1"/>
  <c r="E156" i="29" s="1"/>
  <c r="E37" i="29"/>
  <c r="D37" i="29" s="1"/>
  <c r="J37" i="29"/>
  <c r="J38" i="29"/>
  <c r="C37" i="29"/>
  <c r="C38" i="29" s="1"/>
  <c r="C39" i="29" s="1"/>
  <c r="D109" i="29" l="1"/>
  <c r="D110" i="29" s="1"/>
  <c r="K109" i="29"/>
  <c r="A115" i="29" s="1"/>
  <c r="E120" i="29" s="1"/>
  <c r="G109" i="29"/>
  <c r="H109" i="29" s="1"/>
  <c r="G150" i="29"/>
  <c r="H150" i="29" s="1"/>
  <c r="D151" i="29"/>
  <c r="C151" i="29"/>
  <c r="C152" i="29" s="1"/>
  <c r="K150" i="29" s="1"/>
  <c r="A156" i="29" s="1"/>
  <c r="E161" i="29" s="1"/>
  <c r="F40" i="29"/>
  <c r="G37" i="29" s="1"/>
  <c r="H37" i="29" s="1"/>
  <c r="K37" i="29"/>
  <c r="D40" i="29"/>
  <c r="D38" i="29"/>
  <c r="J118" i="29" l="1"/>
  <c r="F109" i="29"/>
  <c r="E117" i="29"/>
  <c r="D117" i="29" s="1"/>
  <c r="D118" i="29" s="1"/>
  <c r="D112" i="29"/>
  <c r="J117" i="29"/>
  <c r="C117" i="29"/>
  <c r="C118" i="29" s="1"/>
  <c r="C119" i="29" s="1"/>
  <c r="K117" i="29" s="1"/>
  <c r="F150" i="29"/>
  <c r="C158" i="29"/>
  <c r="C159" i="29" s="1"/>
  <c r="C160" i="29" s="1"/>
  <c r="J158" i="29"/>
  <c r="J159" i="29"/>
  <c r="E158" i="29"/>
  <c r="F161" i="29" s="1"/>
  <c r="G158" i="29" s="1"/>
  <c r="H158" i="29" s="1"/>
  <c r="F37" i="29"/>
  <c r="D120" i="29" l="1"/>
  <c r="F120" i="29"/>
  <c r="G117" i="29" s="1"/>
  <c r="H117" i="29" s="1"/>
  <c r="D158" i="29"/>
  <c r="D159" i="29" s="1"/>
  <c r="F158" i="29"/>
  <c r="K158" i="29"/>
  <c r="F117" i="29" l="1"/>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<sst xmlns="http://schemas.openxmlformats.org/spreadsheetml/2006/main" count="963" uniqueCount="169">
  <si>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</si>
  <si>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</si>
  <si>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</si>
  <si>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</si>
  <si>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</si>
  <si>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</si>
  <si>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</si>
  <si>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</si>
  <si>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</si>
  <si>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</si>
  <si>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</si>
  <si>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</si>
  <si>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</si>
  <si>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</si>
  <si>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</si>
  <si>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</si>
  <si>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</si>
  <si>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</si>
  <si>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</si>
  <si>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</si>
  <si>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</si>
  <si>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</si>
  <si>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</si>
  <si>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</si>
  <si>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</si>
  <si>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</si>
  <si>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</si>
  <si>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</si>
  <si>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</si>
  <si>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</si>
  <si>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</si>
  <si>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</si>
  <si>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</si>
  <si>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</si>
  <si>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</si>
  <si>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</si>
  <si>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</si>
  <si>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</si>
  <si>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</si>
  <si>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</si>
  <si>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</si>
  <si>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</si>
  <si>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</si>
  <si>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</si>
  <si>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</si>
  <si>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</si>
  <si>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</si>
  <si>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</si>
  <si>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</si>
  <si>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</si>
  <si>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</si>
  <si>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</si>
  <si>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</si>
  <si>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</si>
  <si>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</si>
  <si>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</si>
  <si>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</si>
  <si>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</si>
  <si>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</si>
  <si>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</si>
  <si>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</si>
  <si>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</si>
  <si>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</si>
  <si>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</si>
  <si>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</si>
  <si>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</si>
  <si>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</si>
  <si>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</si>
  <si>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</si>
  <si>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</si>
  <si>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</si>
  <si>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</si>
  <si>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</si>
  <si>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</si>
  <si>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</si>
  <si>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</si>
  <si>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</si>
  <si>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</si>
  <si>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</si>
  <si>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</si>
  <si>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</si>
  <si>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</si>
  <si>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</si>
  <si>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</si>
  <si>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</si>
  <si>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</si>
  <si>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</si>
  <si>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</si>
  <si>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</si>
  <si>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</si>
  <si>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</si>
  <si>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</si>
  <si>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</si>
  <si>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</si>
  <si>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</si>
  <si>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</si>
  <si>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</si>
  <si>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</si>
  <si>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</si>
  <si>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</si>
  <si>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</si>
  <si>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</si>
  <si>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</si>
  <si>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</si>
  <si>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</si>
  <si>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</si>
  <si>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</si>
  <si>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</si>
  <si>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</si>
  <si>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</si>
  <si>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</si>
  <si>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</si>
  <si>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</si>
  <si>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</si>
  <si>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</si>
  <si>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</si>
  <si>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</si>
  <si>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</si>
  <si>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</si>
  <si>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</si>
  <si>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</si>
  <si>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</si>
  <si>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</si>
  <si>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Incertidumbre flujo:</t>
  </si>
  <si>
    <t>Deriva flujo</t>
  </si>
  <si>
    <t>Resolución flujo</t>
  </si>
  <si>
    <t>Intrumento</t>
  </si>
  <si>
    <t>Marca</t>
  </si>
  <si>
    <t>Modelo</t>
  </si>
  <si>
    <t>Serie</t>
  </si>
  <si>
    <t>Ubicación</t>
  </si>
  <si>
    <t>Inventario</t>
  </si>
  <si>
    <t>Número de Certificado</t>
  </si>
  <si>
    <t>Fecha de Recepción</t>
  </si>
  <si>
    <t>Estado Físico:</t>
  </si>
  <si>
    <t>ING. GABRIEL DURÁN</t>
  </si>
  <si>
    <t>Radiómetro</t>
  </si>
  <si>
    <t>AK.20019</t>
  </si>
  <si>
    <t>DE2906-23</t>
  </si>
  <si>
    <t>Calibración de radiación</t>
  </si>
  <si>
    <t>N.A</t>
  </si>
  <si>
    <t>Intervalo de medición (Lux):</t>
  </si>
  <si>
    <t>Equipo bajo prueba     (Lux)</t>
  </si>
  <si>
    <t>Lectura 1 (Lux)</t>
  </si>
  <si>
    <t>Lectura 2 (Lux)</t>
  </si>
  <si>
    <t>Lectura 3  (Lux)</t>
  </si>
  <si>
    <t>Lectura 4 (Lux)</t>
  </si>
  <si>
    <t>Promedio (Lux)</t>
  </si>
  <si>
    <t>Error           (Lux)</t>
  </si>
  <si>
    <t>Luxómetro</t>
  </si>
  <si>
    <t>INTENSIDAD LUMÍNICA</t>
  </si>
  <si>
    <t>Equipo bajo prueba              (LUX)</t>
  </si>
  <si>
    <t>Lectura 1         (LUX)</t>
  </si>
  <si>
    <t>Lectura 2      (LUX)</t>
  </si>
  <si>
    <t>Lectura 3         (LUX)</t>
  </si>
  <si>
    <t>Lectura 4 (LUX)</t>
  </si>
  <si>
    <t>Promedio       (LUX)</t>
  </si>
  <si>
    <t>Error         (LUX)</t>
  </si>
  <si>
    <t>Resolución (Lux): 1</t>
  </si>
  <si>
    <t>D2405-25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</si>
  <si>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</si>
  <si>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</si>
  <si>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</si>
  <si>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</si>
  <si>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</si>
  <si>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Lámpara  Cielítica BTM-P-065.</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</si>
  <si>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</si>
  <si>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</si>
  <si>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(Lux)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</si>
</sst>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0" tint="-0.34998626667073579"/>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5" fillId="0" borderId="0" xfId="0" applyFont="1" applyAlignment="1">
      <alignment horizontal="center"/>
    </xf>
    <xf numFmtId="0" fontId="16" fillId="0" borderId="0" xfId="0" applyFont="1" applyAlignment="1">
      <alignment horizontal="left"/>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0" fontId="16" fillId="0" borderId="19" xfId="0" applyFont="1" applyBorder="1" applyAlignment="1">
      <alignment horizontal="center" vertical="center"/>
    </xf>
    <xf numFmtId="165" fontId="11"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15" fillId="0" borderId="5" xfId="0" applyFont="1" applyBorder="1" applyAlignment="1">
      <alignment horizontal="center" wrapText="1"/>
    </xf>
    <xf numFmtId="0" fontId="27" fillId="0" borderId="5" xfId="0" applyFont="1" applyBorder="1" applyAlignment="1">
      <alignment horizontal="center"/>
    </xf>
    <xf numFmtId="1" fontId="27" fillId="0" borderId="5" xfId="0" applyNumberFormat="1" applyFont="1" applyBorder="1" applyAlignment="1">
      <alignment horizontal="center"/>
    </xf>
    <xf numFmtId="1" fontId="27" fillId="13" borderId="5" xfId="0" applyNumberFormat="1" applyFont="1" applyFill="1" applyBorder="1" applyAlignment="1">
      <alignment horizontal="center"/>
    </xf>
    <xf numFmtId="2" fontId="27" fillId="13" borderId="5" xfId="0" applyNumberFormat="1" applyFont="1" applyFill="1" applyBorder="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b="1">
                <a:solidFill>
                  <a:sysClr val="windowText" lastClr="000000"/>
                </a:solidFill>
                <a:effectLst/>
              </a:rPr>
              <a:t>Error con Incertidumbre Expandida</a:t>
            </a:r>
            <a:endParaRPr lang="es-CO" sz="12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s-CO"/>
        </a:p>
      </c:txPr>
    </c:title>
    <c:autoTitleDeleted val="0"/>
    <c:plotArea>
      <c:layout>
        <c:manualLayout>
          <c:layoutTarget val="inner"/>
          <c:xMode val="edge"/>
          <c:yMode val="edge"/>
          <c:x val="0.15733641538775481"/>
          <c:y val="0.15623398871548241"/>
          <c:w val="0.79869575619401467"/>
          <c:h val="0.5922198909268078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160000</c:v>
                </c:pt>
              </c:numCache>
            </c:numRef>
          </c:xVal>
          <c:yVal>
            <c:numRef>
              <c:f>MEDIDA!$C$6:$C$6</c:f>
              <c:numCache>
                <c:formatCode>General</c:formatCode>
                <c:ptCount val="1"/>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200</c:v>
                  </c:pt>
                  <c:pt idx="1">
                    <c:v>0</c:v>
                  </c:pt>
                  <c:pt idx="2">
                    <c:v>0</c:v>
                  </c:pt>
                  <c:pt idx="3">
                    <c:v>0</c:v>
                  </c:pt>
                  <c:pt idx="4">
                    <c:v>0</c:v>
                  </c:pt>
                </c:numCache>
              </c:numRef>
            </c:plus>
            <c:minus>
              <c:numRef>
                <c:f>INCERTIDUMBRE!$L$4:$L$8</c:f>
                <c:numCache>
                  <c:formatCode>General</c:formatCode>
                  <c:ptCount val="5"/>
                  <c:pt idx="0">
                    <c:v>200</c:v>
                  </c:pt>
                  <c:pt idx="1">
                    <c:v>0</c:v>
                  </c:pt>
                  <c:pt idx="2">
                    <c:v>0</c:v>
                  </c:pt>
                  <c:pt idx="3">
                    <c:v>0</c:v>
                  </c:pt>
                  <c:pt idx="4">
                    <c:v>0</c:v>
                  </c:pt>
                </c:numCache>
              </c:numRef>
            </c:minus>
            <c:spPr>
              <a:noFill/>
              <a:ln w="9525" cap="flat" cmpd="sng" algn="ctr">
                <a:solidFill>
                  <a:schemeClr val="tx1">
                    <a:lumMod val="65000"/>
                    <a:lumOff val="35000"/>
                  </a:schemeClr>
                </a:solidFill>
                <a:round/>
              </a:ln>
              <a:effectLst/>
            </c:spPr>
          </c:errBars>
          <c:xVal>
            <c:numRef>
              <c:f>MEDIDA!$B$6:$B$6</c:f>
              <c:numCache>
                <c:formatCode>General</c:formatCode>
                <c:ptCount val="1"/>
                <c:pt idx="0">
                  <c:v>160000</c:v>
                </c:pt>
              </c:numCache>
            </c:numRef>
          </c:xVal>
          <c:yVal>
            <c:numRef>
              <c:f>MEDIDA!$N$6:$N$6</c:f>
              <c:numCache>
                <c:formatCode>0.00</c:formatCode>
                <c:ptCount val="1"/>
                <c:pt idx="0">
                  <c:v>872.05513410663116</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160000</c:v>
                </c:pt>
              </c:numCache>
            </c:numRef>
          </c:xVal>
          <c:yVal>
            <c:numRef>
              <c:f>MEDIDA!$O$6:$O$6</c:f>
              <c:numCache>
                <c:formatCode>0.00</c:formatCode>
                <c:ptCount val="1"/>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(Lux)</a:t>
                </a:r>
              </a:p>
            </c:rich>
          </c:tx>
          <c:layout>
            <c:manualLayout>
              <c:xMode val="edge"/>
              <c:yMode val="edge"/>
              <c:x val="0.43295317810474765"/>
              <c:y val="0.85747496688305824"/>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(Lux)</a:t>
                </a:r>
              </a:p>
            </c:rich>
          </c:tx>
          <c:layout>
            <c:manualLayout>
              <c:xMode val="edge"/>
              <c:yMode val="edge"/>
              <c:x val="1.7152571837611208E-2"/>
              <c:y val="0.1745630785672748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1</xdr:col>
      <xdr:colOff>15240</xdr:colOff>
      <xdr:row>84</xdr:row>
      <xdr:rowOff>190500</xdr:rowOff>
    </xdr:from>
    <xdr:to>
      <xdr:col>19</xdr:col>
      <xdr:colOff>0</xdr:colOff>
      <xdr:row>96</xdr:row>
      <xdr:rowOff>91440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7" sqref="E17"/>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5" t="s">
        <v>103</v>
      </c>
      <c r="B1" s="156"/>
      <c r="C1" s="156"/>
      <c r="D1" s="156"/>
      <c r="E1" s="156"/>
      <c r="F1" s="156"/>
      <c r="G1" s="156"/>
      <c r="H1" s="157"/>
      <c r="I1"/>
      <c r="J1"/>
      <c r="K1"/>
      <c r="L1"/>
      <c r="M1"/>
      <c r="N1"/>
      <c r="O1" t="s">
        <v>115</v>
      </c>
      <c r="P1"/>
      <c r="Q1"/>
      <c r="R1"/>
      <c r="S1"/>
      <c r="T1"/>
      <c r="U1"/>
      <c r="V1"/>
      <c r="W1"/>
      <c r="X1"/>
      <c r="Y1"/>
      <c r="Z1"/>
      <c r="AA1"/>
      <c r="AB1"/>
      <c r="AC1"/>
      <c r="AD1"/>
      <c r="AE1"/>
    </row>
    <row r="2" spans="1:31" ht="14.4" x14ac:dyDescent="0.3">
      <c r="A2" s="97" t="s">
        <v>126</v>
      </c>
      <c r="B2" s="97" t="s">
        <v>127</v>
      </c>
      <c r="C2" s="97" t="s">
        <v>128</v>
      </c>
      <c r="D2" s="97" t="s">
        <v>129</v>
      </c>
      <c r="E2" s="97" t="s">
        <v>130</v>
      </c>
      <c r="F2" s="97" t="s">
        <v>131</v>
      </c>
      <c r="G2" s="97" t="s">
        <v>132</v>
      </c>
      <c r="H2" s="97" t="s">
        <v>133</v>
      </c>
      <c r="I2"/>
      <c r="J2"/>
      <c r="K2"/>
      <c r="L2"/>
      <c r="M2"/>
      <c r="N2"/>
      <c r="O2" t="s">
        <v>116</v>
      </c>
      <c r="P2"/>
      <c r="Q2"/>
      <c r="R2"/>
      <c r="S2"/>
      <c r="T2"/>
      <c r="U2"/>
      <c r="V2"/>
      <c r="W2"/>
      <c r="X2"/>
      <c r="Y2"/>
      <c r="Z2"/>
      <c r="AA2"/>
      <c r="AB2"/>
      <c r="AC2"/>
      <c r="AD2"/>
      <c r="AE2"/>
    </row>
    <row r="3" spans="1:31" ht="12.75" customHeight="1" x14ac:dyDescent="0.3">
      <c r="A3" s="98"/>
      <c r="B3" s="98"/>
      <c r="C3" s="99"/>
      <c r="D3" s="100"/>
      <c r="E3" s="101"/>
      <c r="F3" s="102"/>
      <c r="G3" s="103"/>
      <c r="H3" s="10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117</v>
      </c>
      <c r="P5"/>
      <c r="Q5"/>
      <c r="R5"/>
      <c r="S5"/>
      <c r="T5"/>
      <c r="U5"/>
      <c r="V5"/>
      <c r="W5"/>
      <c r="X5"/>
      <c r="Y5"/>
      <c r="Z5"/>
      <c r="AA5"/>
      <c r="AB5"/>
      <c r="AC5"/>
      <c r="AD5"/>
      <c r="AE5"/>
    </row>
    <row r="6" spans="1:31" ht="12.75" customHeight="1" x14ac:dyDescent="0.3">
      <c r="A6" s="158" t="s">
        <v>104</v>
      </c>
      <c r="B6" s="158"/>
      <c r="C6"/>
      <c r="D6" s="96" t="s">
        <v>102</v>
      </c>
      <c r="E6" s="96"/>
      <c r="H6"/>
      <c r="I6"/>
      <c r="J6"/>
      <c r="K6"/>
      <c r="L6"/>
      <c r="M6"/>
      <c r="N6"/>
      <c r="O6" t="s">
        <v>118</v>
      </c>
      <c r="P6"/>
      <c r="Q6"/>
      <c r="R6"/>
      <c r="S6"/>
      <c r="T6"/>
      <c r="U6"/>
      <c r="V6"/>
      <c r="W6"/>
      <c r="X6"/>
      <c r="Y6"/>
      <c r="Z6"/>
      <c r="AA6"/>
      <c r="AB6"/>
      <c r="AC6"/>
      <c r="AD6"/>
      <c r="AE6"/>
    </row>
    <row r="7" spans="1:31" ht="12.75" customHeight="1" x14ac:dyDescent="0.3">
      <c r="A7" s="20" t="s">
        <v>106</v>
      </c>
      <c r="B7" s="88" t="s">
        <v>115</v>
      </c>
      <c r="C7"/>
      <c r="D7" s="20" t="s">
        <v>105</v>
      </c>
      <c r="E7" s="94"/>
      <c r="H7"/>
      <c r="I7"/>
      <c r="J7"/>
      <c r="K7"/>
      <c r="L7"/>
      <c r="M7"/>
      <c r="N7"/>
      <c r="O7"/>
      <c r="P7"/>
      <c r="Q7"/>
      <c r="R7"/>
      <c r="S7"/>
      <c r="T7"/>
      <c r="U7"/>
      <c r="V7"/>
      <c r="W7"/>
      <c r="X7"/>
      <c r="Y7"/>
      <c r="Z7"/>
      <c r="AA7"/>
      <c r="AB7"/>
      <c r="AC7"/>
      <c r="AD7"/>
      <c r="AE7"/>
    </row>
    <row r="8" spans="1:31" ht="12.75" customHeight="1" x14ac:dyDescent="0.3">
      <c r="A8" s="20" t="s">
        <v>134</v>
      </c>
      <c r="B8" s="88" t="s">
        <v>68</v>
      </c>
      <c r="C8"/>
      <c r="D8" s="20" t="s">
        <v>8</v>
      </c>
      <c r="E8" s="88"/>
      <c r="H8"/>
      <c r="I8"/>
      <c r="J8"/>
      <c r="K8"/>
      <c r="L8"/>
      <c r="M8"/>
      <c r="N8"/>
      <c r="O8"/>
      <c r="P8"/>
      <c r="Q8"/>
      <c r="R8"/>
      <c r="S8"/>
      <c r="T8"/>
      <c r="U8"/>
      <c r="V8"/>
      <c r="W8"/>
      <c r="X8"/>
      <c r="Y8"/>
      <c r="Z8"/>
      <c r="AA8"/>
      <c r="AB8"/>
      <c r="AC8"/>
      <c r="AD8"/>
      <c r="AE8"/>
    </row>
    <row r="9" spans="1:31" ht="12.75" customHeight="1" x14ac:dyDescent="0.3">
      <c r="A9" s="20" t="s">
        <v>108</v>
      </c>
      <c r="B9" s="89">
        <f>H3</f>
        <v>0</v>
      </c>
      <c r="C9"/>
      <c r="D9" s="20" t="s">
        <v>107</v>
      </c>
      <c r="E9" s="88"/>
      <c r="H9"/>
      <c r="I9"/>
      <c r="J9"/>
      <c r="K9"/>
      <c r="L9"/>
      <c r="M9"/>
      <c r="N9"/>
      <c r="O9"/>
      <c r="P9"/>
      <c r="Q9"/>
      <c r="R9"/>
      <c r="S9"/>
      <c r="T9"/>
      <c r="U9"/>
      <c r="V9"/>
      <c r="W9"/>
      <c r="X9"/>
      <c r="Y9"/>
      <c r="Z9"/>
      <c r="AA9"/>
      <c r="AB9"/>
      <c r="AC9"/>
      <c r="AD9"/>
      <c r="AE9"/>
    </row>
    <row r="10" spans="1:31" ht="12.75" customHeight="1" x14ac:dyDescent="0.3">
      <c r="A10" s="20" t="s">
        <v>109</v>
      </c>
      <c r="B10" s="89">
        <f>H3</f>
        <v>0</v>
      </c>
      <c r="C10"/>
      <c r="D10" s="20" t="s">
        <v>5</v>
      </c>
      <c r="E10" s="95"/>
      <c r="G10"/>
      <c r="H10"/>
      <c r="I10"/>
      <c r="J10"/>
      <c r="K10"/>
      <c r="L10"/>
      <c r="M10"/>
      <c r="N10"/>
      <c r="O10"/>
      <c r="P10"/>
      <c r="Q10"/>
      <c r="R10"/>
      <c r="S10"/>
      <c r="T10"/>
      <c r="U10"/>
      <c r="V10"/>
      <c r="W10"/>
      <c r="X10"/>
      <c r="Y10"/>
      <c r="Z10"/>
      <c r="AA10"/>
      <c r="AB10"/>
      <c r="AC10"/>
      <c r="AD10"/>
      <c r="AE10"/>
    </row>
    <row r="11" spans="1:31" ht="12.75" customHeight="1" x14ac:dyDescent="0.3">
      <c r="A11" s="20" t="s">
        <v>110</v>
      </c>
      <c r="B11" s="88">
        <v>24.1</v>
      </c>
      <c r="C11"/>
      <c r="D11" s="20" t="s">
        <v>3</v>
      </c>
      <c r="E11" s="95"/>
      <c r="G11"/>
      <c r="H11"/>
      <c r="I11"/>
      <c r="J11"/>
      <c r="K11"/>
      <c r="L11"/>
      <c r="M11"/>
      <c r="N11"/>
      <c r="O11"/>
      <c r="P11"/>
      <c r="Q11"/>
      <c r="R11"/>
      <c r="S11"/>
      <c r="T11"/>
      <c r="U11"/>
      <c r="V11"/>
      <c r="W11"/>
      <c r="X11"/>
      <c r="Y11"/>
      <c r="Z11"/>
      <c r="AA11"/>
      <c r="AB11"/>
      <c r="AC11"/>
      <c r="AD11"/>
      <c r="AE11"/>
    </row>
    <row r="12" spans="1:31" ht="12.75" customHeight="1" x14ac:dyDescent="0.3">
      <c r="A12" s="20" t="s">
        <v>111</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112</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113</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114</v>
      </c>
      <c r="B15" s="88" t="s">
        <v>135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2" t="s">
        <v>57</v>
      </c>
      <c r="B1" s="163"/>
      <c r="C1" s="163"/>
      <c r="D1" s="163"/>
      <c r="E1" s="163"/>
      <c r="F1" s="163"/>
      <c r="G1" s="163"/>
      <c r="H1" s="163"/>
      <c r="I1" s="163"/>
      <c r="J1" s="163"/>
      <c r="K1" s="164"/>
    </row>
    <row r="2" spans="1:11" ht="15" thickBot="1" x14ac:dyDescent="0.35">
      <c r="A2" s="31" t="s">
        <v>30</v>
      </c>
      <c r="B2" s="18" t="s">
        <v>29</v>
      </c>
      <c r="C2" t="e">
        <f>FIXED(A3,6)</f>
        <v>#REF!</v>
      </c>
      <c r="D2" t="e">
        <f>RIGHT(C2,1)</f>
        <v>#REF!</v>
      </c>
      <c r="E2" t="e">
        <f>D2/1000000</f>
        <v>#REF!</v>
      </c>
      <c r="F2" s="30" t="e">
        <f>A3-E2</f>
        <v>#REF!</v>
      </c>
      <c r="H2" t="e">
        <f>IF(C7=5,IF(AND(D3=0,D8=FALSE),J5,J6),J6)</f>
        <v>#REF!</v>
      </c>
      <c r="K2" s="27"/>
    </row>
    <row r="3" spans="1:11" ht="18.600000000000001" thickBot="1" x14ac:dyDescent="0.4">
      <c r="A3" s="29" t="e">
        <f>INCERTIDUMBRE!L5</f>
        <v>#REF!</v>
      </c>
      <c r="B3" s="28" t="e">
        <f>IF(A3&gt;=10,K37,IF(A3&gt;=1,K29,IF(A3&gt;=0.1,K21,IF(A3&gt;=0.01,K13,IF(A3&gt;=0.001,K5)))))</f>
        <v>#REF!</v>
      </c>
      <c r="C3" t="s">
        <v>28</v>
      </c>
      <c r="D3" t="e">
        <f>D2+0</f>
        <v>#REF!</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34</v>
      </c>
      <c r="E7" t="s">
        <v>33</v>
      </c>
      <c r="F7" t="s">
        <v>32</v>
      </c>
      <c r="K7" s="27"/>
    </row>
    <row r="8" spans="1:11" hidden="1" x14ac:dyDescent="0.3">
      <c r="A8" s="31"/>
      <c r="D8" t="e">
        <f>ISODD(D5)</f>
        <v>#REF!</v>
      </c>
      <c r="E8" t="e">
        <f>LEN(A3)</f>
        <v>#REF!</v>
      </c>
      <c r="F8" t="e">
        <f>LEN(E5)+1</f>
        <v>#REF!</v>
      </c>
      <c r="K8" s="27"/>
    </row>
    <row r="9" spans="1:11" hidden="1" x14ac:dyDescent="0.3">
      <c r="A9" s="31"/>
      <c r="K9" s="27"/>
    </row>
    <row r="10" spans="1:11" hidden="1" x14ac:dyDescent="0.3">
      <c r="A10" s="159" t="s">
        <v>47</v>
      </c>
      <c r="B10" s="160"/>
      <c r="C10" s="160"/>
      <c r="D10" s="160"/>
      <c r="E10" s="160"/>
      <c r="F10" s="160"/>
      <c r="G10" s="160"/>
      <c r="H10" s="160"/>
      <c r="I10" s="160"/>
      <c r="J10" s="160"/>
      <c r="K10" s="161"/>
    </row>
    <row r="11" spans="1:11" hidden="1" x14ac:dyDescent="0.3">
      <c r="A11" s="42" t="e">
        <f>K5</f>
        <v>#REF!</v>
      </c>
      <c r="C11" t="e">
        <f>FIXED(A3,5)</f>
        <v>#REF!</v>
      </c>
      <c r="D11" t="e">
        <f>RIGHT(C11,1)</f>
        <v>#REF!</v>
      </c>
      <c r="E11" t="e">
        <f>D11+0</f>
        <v>#REF!</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34</v>
      </c>
      <c r="E15" t="s">
        <v>33</v>
      </c>
      <c r="F15" t="s">
        <v>32</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59" t="s">
        <v>46</v>
      </c>
      <c r="B18" s="160"/>
      <c r="C18" s="160"/>
      <c r="D18" s="160"/>
      <c r="E18" s="160"/>
      <c r="F18" s="160"/>
      <c r="G18" s="160"/>
      <c r="H18" s="160"/>
      <c r="I18" s="160"/>
      <c r="J18" s="160"/>
      <c r="K18" s="161"/>
    </row>
    <row r="19" spans="1:11" hidden="1" x14ac:dyDescent="0.3">
      <c r="A19" s="42" t="e">
        <f>K13</f>
        <v>#REF!</v>
      </c>
      <c r="C19" t="e">
        <f>FIXED(A11,4)</f>
        <v>#REF!</v>
      </c>
      <c r="D19" t="e">
        <f>RIGHT(C19,1)</f>
        <v>#REF!</v>
      </c>
      <c r="E19" t="e">
        <f>D19+0</f>
        <v>#REF!</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2"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34</v>
      </c>
      <c r="E23" t="s">
        <v>33</v>
      </c>
      <c r="F23" t="s">
        <v>32</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59" t="s">
        <v>45</v>
      </c>
      <c r="B26" s="160"/>
      <c r="C26" s="160"/>
      <c r="D26" s="160"/>
      <c r="E26" s="160"/>
      <c r="F26" s="160"/>
      <c r="G26" s="160"/>
      <c r="H26" s="160"/>
      <c r="I26" s="160"/>
      <c r="J26" s="160"/>
      <c r="K26" s="161"/>
    </row>
    <row r="27" spans="1:11" hidden="1" x14ac:dyDescent="0.3">
      <c r="A27" s="39" t="e">
        <f>K21</f>
        <v>#REF!</v>
      </c>
      <c r="C27" t="e">
        <f>FIXED(A19,3)</f>
        <v>#REF!</v>
      </c>
      <c r="D27" t="e">
        <f>RIGHT(C27,1)</f>
        <v>#REF!</v>
      </c>
      <c r="E27" t="e">
        <f>D27+0</f>
        <v>#REF!</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2"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34</v>
      </c>
      <c r="E31" t="s">
        <v>33</v>
      </c>
      <c r="F31" t="s">
        <v>32</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59" t="s">
        <v>44</v>
      </c>
      <c r="B34" s="160"/>
      <c r="C34" s="160"/>
      <c r="D34" s="160"/>
      <c r="E34" s="160"/>
      <c r="F34" s="160"/>
      <c r="G34" s="160"/>
      <c r="H34" s="160"/>
      <c r="I34" s="160"/>
      <c r="J34" s="160"/>
      <c r="K34" s="161"/>
    </row>
    <row r="35" spans="1:11" hidden="1" x14ac:dyDescent="0.3">
      <c r="A35" s="39" t="e">
        <f>K29</f>
        <v>#REF!</v>
      </c>
      <c r="C35" t="e">
        <f>FIXED(A27,2)</f>
        <v>#REF!</v>
      </c>
      <c r="D35" t="e">
        <f>RIGHT(C35,1)</f>
        <v>#REF!</v>
      </c>
      <c r="E35" t="e">
        <f>D35+0</f>
        <v>#REF!</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34</v>
      </c>
      <c r="E39" t="s">
        <v>33</v>
      </c>
      <c r="F39" t="s">
        <v>32</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62" t="s">
        <v>56</v>
      </c>
      <c r="B41" s="163"/>
      <c r="C41" s="163"/>
      <c r="D41" s="163"/>
      <c r="E41" s="163"/>
      <c r="F41" s="163"/>
      <c r="G41" s="163"/>
      <c r="H41" s="163"/>
      <c r="I41" s="163"/>
      <c r="J41" s="163"/>
      <c r="K41" s="164"/>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59" t="s">
        <v>47</v>
      </c>
      <c r="B50" s="160"/>
      <c r="C50" s="160"/>
      <c r="D50" s="160"/>
      <c r="E50" s="160"/>
      <c r="F50" s="160"/>
      <c r="G50" s="160"/>
      <c r="H50" s="160"/>
      <c r="I50" s="160"/>
      <c r="J50" s="160"/>
      <c r="K50" s="161"/>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59" t="s">
        <v>46</v>
      </c>
      <c r="B58" s="160"/>
      <c r="C58" s="160"/>
      <c r="D58" s="160"/>
      <c r="E58" s="160"/>
      <c r="F58" s="160"/>
      <c r="G58" s="160"/>
      <c r="H58" s="160"/>
      <c r="I58" s="160"/>
      <c r="J58" s="160"/>
      <c r="K58" s="161"/>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59" t="s">
        <v>45</v>
      </c>
      <c r="B66" s="160"/>
      <c r="C66" s="160"/>
      <c r="D66" s="160"/>
      <c r="E66" s="160"/>
      <c r="F66" s="160"/>
      <c r="G66" s="160"/>
      <c r="H66" s="160"/>
      <c r="I66" s="160"/>
      <c r="J66" s="160"/>
      <c r="K66" s="161"/>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59" t="s">
        <v>44</v>
      </c>
      <c r="B74" s="160"/>
      <c r="C74" s="160"/>
      <c r="D74" s="160"/>
      <c r="E74" s="160"/>
      <c r="F74" s="160"/>
      <c r="G74" s="160"/>
      <c r="H74" s="160"/>
      <c r="I74" s="160"/>
      <c r="J74" s="160"/>
      <c r="K74" s="161"/>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2" t="s">
        <v>55</v>
      </c>
      <c r="B81" s="163"/>
      <c r="C81" s="163"/>
      <c r="D81" s="163"/>
      <c r="E81" s="163"/>
      <c r="F81" s="163"/>
      <c r="G81" s="163"/>
      <c r="H81" s="163"/>
      <c r="I81" s="163"/>
      <c r="J81" s="163"/>
      <c r="K81" s="164"/>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59" t="s">
        <v>47</v>
      </c>
      <c r="B90" s="160"/>
      <c r="C90" s="160"/>
      <c r="D90" s="160"/>
      <c r="E90" s="160"/>
      <c r="F90" s="160"/>
      <c r="G90" s="160"/>
      <c r="H90" s="160"/>
      <c r="I90" s="160"/>
      <c r="J90" s="160"/>
      <c r="K90" s="161"/>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59" t="s">
        <v>46</v>
      </c>
      <c r="B98" s="160"/>
      <c r="C98" s="160"/>
      <c r="D98" s="160"/>
      <c r="E98" s="160"/>
      <c r="F98" s="160"/>
      <c r="G98" s="160"/>
      <c r="H98" s="160"/>
      <c r="I98" s="160"/>
      <c r="J98" s="160"/>
      <c r="K98" s="161"/>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59" t="s">
        <v>45</v>
      </c>
      <c r="B106" s="160"/>
      <c r="C106" s="160"/>
      <c r="D106" s="160"/>
      <c r="E106" s="160"/>
      <c r="F106" s="160"/>
      <c r="G106" s="160"/>
      <c r="H106" s="160"/>
      <c r="I106" s="160"/>
      <c r="J106" s="160"/>
      <c r="K106" s="161"/>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59" t="s">
        <v>44</v>
      </c>
      <c r="B114" s="160"/>
      <c r="C114" s="160"/>
      <c r="D114" s="160"/>
      <c r="E114" s="160"/>
      <c r="F114" s="160"/>
      <c r="G114" s="160"/>
      <c r="H114" s="160"/>
      <c r="I114" s="160"/>
      <c r="J114" s="160"/>
      <c r="K114" s="161"/>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2" t="s">
        <v>54</v>
      </c>
      <c r="B122" s="163"/>
      <c r="C122" s="163"/>
      <c r="D122" s="163"/>
      <c r="E122" s="163"/>
      <c r="F122" s="163"/>
      <c r="G122" s="163"/>
      <c r="H122" s="163"/>
      <c r="I122" s="163"/>
      <c r="J122" s="163"/>
      <c r="K122" s="164"/>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59" t="s">
        <v>47</v>
      </c>
      <c r="B131" s="160"/>
      <c r="C131" s="160"/>
      <c r="D131" s="160"/>
      <c r="E131" s="160"/>
      <c r="F131" s="160"/>
      <c r="G131" s="160"/>
      <c r="H131" s="160"/>
      <c r="I131" s="160"/>
      <c r="J131" s="160"/>
      <c r="K131" s="161"/>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59" t="s">
        <v>46</v>
      </c>
      <c r="B139" s="160"/>
      <c r="C139" s="160"/>
      <c r="D139" s="160"/>
      <c r="E139" s="160"/>
      <c r="F139" s="160"/>
      <c r="G139" s="160"/>
      <c r="H139" s="160"/>
      <c r="I139" s="160"/>
      <c r="J139" s="160"/>
      <c r="K139" s="161"/>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59" t="s">
        <v>45</v>
      </c>
      <c r="B147" s="160"/>
      <c r="C147" s="160"/>
      <c r="D147" s="160"/>
      <c r="E147" s="160"/>
      <c r="F147" s="160"/>
      <c r="G147" s="160"/>
      <c r="H147" s="160"/>
      <c r="I147" s="160"/>
      <c r="J147" s="160"/>
      <c r="K147" s="161"/>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59" t="s">
        <v>44</v>
      </c>
      <c r="B155" s="160"/>
      <c r="C155" s="160"/>
      <c r="D155" s="160"/>
      <c r="E155" s="160"/>
      <c r="F155" s="160"/>
      <c r="G155" s="160"/>
      <c r="H155" s="160"/>
      <c r="I155" s="160"/>
      <c r="J155" s="160"/>
      <c r="K155" s="161"/>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2" t="s">
        <v>53</v>
      </c>
      <c r="B162" s="163"/>
      <c r="C162" s="163"/>
      <c r="D162" s="163"/>
      <c r="E162" s="163"/>
      <c r="F162" s="163"/>
      <c r="G162" s="163"/>
      <c r="H162" s="163"/>
      <c r="I162" s="163"/>
      <c r="J162" s="163"/>
      <c r="K162" s="164"/>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59" t="s">
        <v>47</v>
      </c>
      <c r="B171" s="160"/>
      <c r="C171" s="160"/>
      <c r="D171" s="160"/>
      <c r="E171" s="160"/>
      <c r="F171" s="160"/>
      <c r="G171" s="160"/>
      <c r="H171" s="160"/>
      <c r="I171" s="160"/>
      <c r="J171" s="160"/>
      <c r="K171" s="161"/>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59" t="s">
        <v>46</v>
      </c>
      <c r="B179" s="160"/>
      <c r="C179" s="160"/>
      <c r="D179" s="160"/>
      <c r="E179" s="160"/>
      <c r="F179" s="160"/>
      <c r="G179" s="160"/>
      <c r="H179" s="160"/>
      <c r="I179" s="160"/>
      <c r="J179" s="160"/>
      <c r="K179" s="161"/>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59" t="s">
        <v>45</v>
      </c>
      <c r="B187" s="160"/>
      <c r="C187" s="160"/>
      <c r="D187" s="160"/>
      <c r="E187" s="160"/>
      <c r="F187" s="160"/>
      <c r="G187" s="160"/>
      <c r="H187" s="160"/>
      <c r="I187" s="160"/>
      <c r="J187" s="160"/>
      <c r="K187" s="161"/>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59" t="s">
        <v>44</v>
      </c>
      <c r="B195" s="160"/>
      <c r="C195" s="160"/>
      <c r="D195" s="160"/>
      <c r="E195" s="160"/>
      <c r="F195" s="160"/>
      <c r="G195" s="160"/>
      <c r="H195" s="160"/>
      <c r="I195" s="160"/>
      <c r="J195" s="160"/>
      <c r="K195" s="161"/>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2" t="s">
        <v>53</v>
      </c>
      <c r="B202" s="163"/>
      <c r="C202" s="163"/>
      <c r="D202" s="163"/>
      <c r="E202" s="163"/>
      <c r="F202" s="163"/>
      <c r="G202" s="163"/>
      <c r="H202" s="163"/>
      <c r="I202" s="163"/>
      <c r="J202" s="163"/>
      <c r="K202" s="164"/>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59" t="s">
        <v>47</v>
      </c>
      <c r="B211" s="160"/>
      <c r="C211" s="160"/>
      <c r="D211" s="160"/>
      <c r="E211" s="160"/>
      <c r="F211" s="160"/>
      <c r="G211" s="160"/>
      <c r="H211" s="160"/>
      <c r="I211" s="160"/>
      <c r="J211" s="160"/>
      <c r="K211" s="161"/>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59" t="s">
        <v>46</v>
      </c>
      <c r="B219" s="160"/>
      <c r="C219" s="160"/>
      <c r="D219" s="160"/>
      <c r="E219" s="160"/>
      <c r="F219" s="160"/>
      <c r="G219" s="160"/>
      <c r="H219" s="160"/>
      <c r="I219" s="160"/>
      <c r="J219" s="160"/>
      <c r="K219" s="161"/>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59" t="s">
        <v>45</v>
      </c>
      <c r="B227" s="160"/>
      <c r="C227" s="160"/>
      <c r="D227" s="160"/>
      <c r="E227" s="160"/>
      <c r="F227" s="160"/>
      <c r="G227" s="160"/>
      <c r="H227" s="160"/>
      <c r="I227" s="160"/>
      <c r="J227" s="160"/>
      <c r="K227" s="161"/>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59" t="s">
        <v>44</v>
      </c>
      <c r="B235" s="160"/>
      <c r="C235" s="160"/>
      <c r="D235" s="160"/>
      <c r="E235" s="160"/>
      <c r="F235" s="160"/>
      <c r="G235" s="160"/>
      <c r="H235" s="160"/>
      <c r="I235" s="160"/>
      <c r="J235" s="160"/>
      <c r="K235" s="161"/>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2" t="s">
        <v>52</v>
      </c>
      <c r="B242" s="163"/>
      <c r="C242" s="163"/>
      <c r="D242" s="163"/>
      <c r="E242" s="163"/>
      <c r="F242" s="163"/>
      <c r="G242" s="163"/>
      <c r="H242" s="163"/>
      <c r="I242" s="163"/>
      <c r="J242" s="163"/>
      <c r="K242" s="164"/>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59" t="s">
        <v>47</v>
      </c>
      <c r="B251" s="160"/>
      <c r="C251" s="160"/>
      <c r="D251" s="160"/>
      <c r="E251" s="160"/>
      <c r="F251" s="160"/>
      <c r="G251" s="160"/>
      <c r="H251" s="160"/>
      <c r="I251" s="160"/>
      <c r="J251" s="160"/>
      <c r="K251" s="161"/>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59" t="s">
        <v>46</v>
      </c>
      <c r="B259" s="160"/>
      <c r="C259" s="160"/>
      <c r="D259" s="160"/>
      <c r="E259" s="160"/>
      <c r="F259" s="160"/>
      <c r="G259" s="160"/>
      <c r="H259" s="160"/>
      <c r="I259" s="160"/>
      <c r="J259" s="160"/>
      <c r="K259" s="161"/>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59" t="s">
        <v>45</v>
      </c>
      <c r="B267" s="160"/>
      <c r="C267" s="160"/>
      <c r="D267" s="160"/>
      <c r="E267" s="160"/>
      <c r="F267" s="160"/>
      <c r="G267" s="160"/>
      <c r="H267" s="160"/>
      <c r="I267" s="160"/>
      <c r="J267" s="160"/>
      <c r="K267" s="161"/>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59" t="s">
        <v>44</v>
      </c>
      <c r="B275" s="160"/>
      <c r="C275" s="160"/>
      <c r="D275" s="160"/>
      <c r="E275" s="160"/>
      <c r="F275" s="160"/>
      <c r="G275" s="160"/>
      <c r="H275" s="160"/>
      <c r="I275" s="160"/>
      <c r="J275" s="160"/>
      <c r="K275" s="161"/>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2" t="s">
        <v>51</v>
      </c>
      <c r="B282" s="163"/>
      <c r="C282" s="163"/>
      <c r="D282" s="163"/>
      <c r="E282" s="163"/>
      <c r="F282" s="163"/>
      <c r="G282" s="163"/>
      <c r="H282" s="163"/>
      <c r="I282" s="163"/>
      <c r="J282" s="163"/>
      <c r="K282" s="164"/>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59" t="s">
        <v>47</v>
      </c>
      <c r="B291" s="160"/>
      <c r="C291" s="160"/>
      <c r="D291" s="160"/>
      <c r="E291" s="160"/>
      <c r="F291" s="160"/>
      <c r="G291" s="160"/>
      <c r="H291" s="160"/>
      <c r="I291" s="160"/>
      <c r="J291" s="160"/>
      <c r="K291" s="161"/>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59" t="s">
        <v>46</v>
      </c>
      <c r="B299" s="160"/>
      <c r="C299" s="160"/>
      <c r="D299" s="160"/>
      <c r="E299" s="160"/>
      <c r="F299" s="160"/>
      <c r="G299" s="160"/>
      <c r="H299" s="160"/>
      <c r="I299" s="160"/>
      <c r="J299" s="160"/>
      <c r="K299" s="161"/>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59" t="s">
        <v>45</v>
      </c>
      <c r="B307" s="160"/>
      <c r="C307" s="160"/>
      <c r="D307" s="160"/>
      <c r="E307" s="160"/>
      <c r="F307" s="160"/>
      <c r="G307" s="160"/>
      <c r="H307" s="160"/>
      <c r="I307" s="160"/>
      <c r="J307" s="160"/>
      <c r="K307" s="161"/>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59" t="s">
        <v>44</v>
      </c>
      <c r="B315" s="160"/>
      <c r="C315" s="160"/>
      <c r="D315" s="160"/>
      <c r="E315" s="160"/>
      <c r="F315" s="160"/>
      <c r="G315" s="160"/>
      <c r="H315" s="160"/>
      <c r="I315" s="160"/>
      <c r="J315" s="160"/>
      <c r="K315" s="161"/>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2" t="s">
        <v>50</v>
      </c>
      <c r="B322" s="163"/>
      <c r="C322" s="163"/>
      <c r="D322" s="163"/>
      <c r="E322" s="163"/>
      <c r="F322" s="163"/>
      <c r="G322" s="163"/>
      <c r="H322" s="163"/>
      <c r="I322" s="163"/>
      <c r="J322" s="163"/>
      <c r="K322" s="164"/>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59" t="s">
        <v>47</v>
      </c>
      <c r="B331" s="160"/>
      <c r="C331" s="160"/>
      <c r="D331" s="160"/>
      <c r="E331" s="160"/>
      <c r="F331" s="160"/>
      <c r="G331" s="160"/>
      <c r="H331" s="160"/>
      <c r="I331" s="160"/>
      <c r="J331" s="160"/>
      <c r="K331" s="161"/>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59" t="s">
        <v>46</v>
      </c>
      <c r="B339" s="160"/>
      <c r="C339" s="160"/>
      <c r="D339" s="160"/>
      <c r="E339" s="160"/>
      <c r="F339" s="160"/>
      <c r="G339" s="160"/>
      <c r="H339" s="160"/>
      <c r="I339" s="160"/>
      <c r="J339" s="160"/>
      <c r="K339" s="161"/>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59" t="s">
        <v>45</v>
      </c>
      <c r="B347" s="160"/>
      <c r="C347" s="160"/>
      <c r="D347" s="160"/>
      <c r="E347" s="160"/>
      <c r="F347" s="160"/>
      <c r="G347" s="160"/>
      <c r="H347" s="160"/>
      <c r="I347" s="160"/>
      <c r="J347" s="160"/>
      <c r="K347" s="161"/>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59" t="s">
        <v>44</v>
      </c>
      <c r="B355" s="160"/>
      <c r="C355" s="160"/>
      <c r="D355" s="160"/>
      <c r="E355" s="160"/>
      <c r="F355" s="160"/>
      <c r="G355" s="160"/>
      <c r="H355" s="160"/>
      <c r="I355" s="160"/>
      <c r="J355" s="160"/>
      <c r="K355" s="161"/>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2" t="s">
        <v>49</v>
      </c>
      <c r="B362" s="163"/>
      <c r="C362" s="163"/>
      <c r="D362" s="163"/>
      <c r="E362" s="163"/>
      <c r="F362" s="163"/>
      <c r="G362" s="163"/>
      <c r="H362" s="163"/>
      <c r="I362" s="163"/>
      <c r="J362" s="163"/>
      <c r="K362" s="164"/>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59" t="s">
        <v>47</v>
      </c>
      <c r="B371" s="160"/>
      <c r="C371" s="160"/>
      <c r="D371" s="160"/>
      <c r="E371" s="160"/>
      <c r="F371" s="160"/>
      <c r="G371" s="160"/>
      <c r="H371" s="160"/>
      <c r="I371" s="160"/>
      <c r="J371" s="160"/>
      <c r="K371" s="161"/>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59" t="s">
        <v>46</v>
      </c>
      <c r="B379" s="160"/>
      <c r="C379" s="160"/>
      <c r="D379" s="160"/>
      <c r="E379" s="160"/>
      <c r="F379" s="160"/>
      <c r="G379" s="160"/>
      <c r="H379" s="160"/>
      <c r="I379" s="160"/>
      <c r="J379" s="160"/>
      <c r="K379" s="161"/>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59" t="s">
        <v>45</v>
      </c>
      <c r="B387" s="160"/>
      <c r="C387" s="160"/>
      <c r="D387" s="160"/>
      <c r="E387" s="160"/>
      <c r="F387" s="160"/>
      <c r="G387" s="160"/>
      <c r="H387" s="160"/>
      <c r="I387" s="160"/>
      <c r="J387" s="160"/>
      <c r="K387" s="161"/>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59" t="s">
        <v>44</v>
      </c>
      <c r="B395" s="160"/>
      <c r="C395" s="160"/>
      <c r="D395" s="160"/>
      <c r="E395" s="160"/>
      <c r="F395" s="160"/>
      <c r="G395" s="160"/>
      <c r="H395" s="160"/>
      <c r="I395" s="160"/>
      <c r="J395" s="160"/>
      <c r="K395" s="161"/>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2" t="s">
        <v>48</v>
      </c>
      <c r="B402" s="163"/>
      <c r="C402" s="163"/>
      <c r="D402" s="163"/>
      <c r="E402" s="163"/>
      <c r="F402" s="163"/>
      <c r="G402" s="163"/>
      <c r="H402" s="163"/>
      <c r="I402" s="163"/>
      <c r="J402" s="163"/>
      <c r="K402" s="164"/>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59" t="s">
        <v>47</v>
      </c>
      <c r="B411" s="160"/>
      <c r="C411" s="160"/>
      <c r="D411" s="160"/>
      <c r="E411" s="160"/>
      <c r="F411" s="160"/>
      <c r="G411" s="160"/>
      <c r="H411" s="160"/>
      <c r="I411" s="160"/>
      <c r="J411" s="160"/>
      <c r="K411" s="161"/>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59" t="s">
        <v>46</v>
      </c>
      <c r="B419" s="160"/>
      <c r="C419" s="160"/>
      <c r="D419" s="160"/>
      <c r="E419" s="160"/>
      <c r="F419" s="160"/>
      <c r="G419" s="160"/>
      <c r="H419" s="160"/>
      <c r="I419" s="160"/>
      <c r="J419" s="160"/>
      <c r="K419" s="161"/>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59" t="s">
        <v>45</v>
      </c>
      <c r="B427" s="160"/>
      <c r="C427" s="160"/>
      <c r="D427" s="160"/>
      <c r="E427" s="160"/>
      <c r="F427" s="160"/>
      <c r="G427" s="160"/>
      <c r="H427" s="160"/>
      <c r="I427" s="160"/>
      <c r="J427" s="160"/>
      <c r="K427" s="161"/>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59" t="s">
        <v>44</v>
      </c>
      <c r="B435" s="160"/>
      <c r="C435" s="160"/>
      <c r="D435" s="160"/>
      <c r="E435" s="160"/>
      <c r="F435" s="160"/>
      <c r="G435" s="160"/>
      <c r="H435" s="160"/>
      <c r="I435" s="160"/>
      <c r="J435" s="160"/>
      <c r="K435" s="161"/>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2" t="s">
        <v>31</v>
      </c>
      <c r="B442" s="163"/>
      <c r="C442" s="163"/>
      <c r="D442" s="163"/>
      <c r="E442" s="163"/>
      <c r="F442" s="163"/>
      <c r="G442" s="163"/>
      <c r="H442" s="163"/>
      <c r="I442" s="163"/>
      <c r="J442" s="163"/>
      <c r="K442" s="164"/>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59" t="s">
        <v>47</v>
      </c>
      <c r="D451" s="160"/>
      <c r="E451" s="160"/>
      <c r="F451" s="160"/>
      <c r="G451" s="160"/>
      <c r="H451" s="160"/>
      <c r="I451" s="160"/>
      <c r="J451" s="160"/>
      <c r="K451" s="160"/>
      <c r="L451" s="160"/>
      <c r="M451" s="161"/>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59" t="s">
        <v>46</v>
      </c>
      <c r="D459" s="160"/>
      <c r="E459" s="160"/>
      <c r="F459" s="160"/>
      <c r="G459" s="160"/>
      <c r="H459" s="160"/>
      <c r="I459" s="160"/>
      <c r="J459" s="160"/>
      <c r="K459" s="160"/>
      <c r="L459" s="160"/>
      <c r="M459" s="161"/>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59" t="s">
        <v>45</v>
      </c>
      <c r="D467" s="160"/>
      <c r="E467" s="160"/>
      <c r="F467" s="160"/>
      <c r="G467" s="160"/>
      <c r="H467" s="160"/>
      <c r="I467" s="160"/>
      <c r="J467" s="160"/>
      <c r="K467" s="160"/>
      <c r="L467" s="160"/>
      <c r="M467" s="161"/>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59" t="s">
        <v>44</v>
      </c>
      <c r="D475" s="160"/>
      <c r="E475" s="160"/>
      <c r="F475" s="160"/>
      <c r="G475" s="160"/>
      <c r="H475" s="160"/>
      <c r="I475" s="160"/>
      <c r="J475" s="160"/>
      <c r="K475" s="160"/>
      <c r="L475" s="160"/>
      <c r="M475" s="161"/>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topLeftCell="A3" zoomScaleNormal="100" workbookViewId="0">
      <selection activeCell="F18" sqref="F18"/>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5" t="s">
        <v>150</v>
      </c>
      <c r="C3" s="165"/>
      <c r="D3" s="165"/>
      <c r="E3" s="165"/>
      <c r="F3" s="165"/>
      <c r="G3" s="165"/>
      <c r="H3" s="165"/>
      <c r="I3" s="165"/>
      <c r="J3" s="165"/>
      <c r="K3" s="165"/>
      <c r="L3" s="165"/>
      <c r="M3" s="165"/>
      <c r="N3" s="165"/>
      <c r="O3" s="165"/>
      <c r="P3"/>
      <c r="Q3"/>
      <c r="R3"/>
      <c r="S3"/>
      <c r="T3"/>
      <c r="U3"/>
      <c r="V3"/>
      <c r="W3"/>
      <c r="X3"/>
      <c r="Y3"/>
      <c r="Z3"/>
      <c r="AA3"/>
      <c r="AB3"/>
      <c r="AC3"/>
      <c r="AD3"/>
      <c r="AE3"/>
      <c r="AF3"/>
    </row>
    <row r="4" spans="1:32" x14ac:dyDescent="0.3">
      <c r="A4"/>
      <c r="B4" s="166" t="s">
        <v>151</v>
      </c>
      <c r="C4" s="166"/>
      <c r="D4" s="109" t="s">
        <v>119</v>
      </c>
      <c r="E4" s="109"/>
      <c r="F4" s="109"/>
      <c r="G4" s="109"/>
      <c r="H4" s="109"/>
      <c r="I4" s="109"/>
      <c r="J4" s="109"/>
      <c r="K4" s="109"/>
      <c r="L4" s="90"/>
      <c r="M4" s="91"/>
      <c r="N4" s="91"/>
      <c r="O4" s="91"/>
      <c r="P4"/>
      <c r="Q4"/>
      <c r="R4"/>
      <c r="S4"/>
      <c r="T4"/>
      <c r="U4"/>
      <c r="V4"/>
      <c r="W4"/>
      <c r="X4"/>
      <c r="Y4"/>
      <c r="Z4"/>
      <c r="AA4"/>
      <c r="AB4"/>
      <c r="AC4"/>
      <c r="AD4"/>
      <c r="AE4"/>
      <c r="AF4"/>
    </row>
    <row r="5" spans="1:32" ht="25.95" customHeight="1" x14ac:dyDescent="0.3">
      <c r="A5"/>
      <c r="B5" s="166"/>
      <c r="C5" s="166"/>
      <c r="D5" s="110" t="s">
        <v>152</v>
      </c>
      <c r="E5" s="110"/>
      <c r="F5" s="110" t="s">
        <v>153</v>
      </c>
      <c r="G5" s="110"/>
      <c r="H5" s="110" t="s">
        <v>154</v>
      </c>
      <c r="I5" s="110"/>
      <c r="J5" s="110" t="s">
        <v>155</v>
      </c>
      <c r="K5" s="110"/>
      <c r="L5" s="166" t="s">
        <v>156</v>
      </c>
      <c r="M5" s="166"/>
      <c r="N5" s="166" t="s">
        <v>157</v>
      </c>
      <c r="O5" s="166"/>
      <c r="P5"/>
      <c r="Q5"/>
      <c r="R5"/>
      <c r="S5"/>
      <c r="T5"/>
      <c r="U5"/>
      <c r="V5"/>
      <c r="W5"/>
      <c r="X5"/>
      <c r="Y5"/>
      <c r="Z5"/>
      <c r="AA5"/>
      <c r="AB5"/>
      <c r="AC5"/>
      <c r="AD5"/>
      <c r="AE5"/>
      <c r="AF5"/>
    </row>
    <row r="6" spans="1:32" x14ac:dyDescent="0.3">
      <c r="A6"/>
      <c r="B6" s="167">
        <v>160000</v>
      </c>
      <c r="C6" s="167"/>
      <c r="D6" s="168">
        <v>159122</v>
      </c>
      <c r="E6" s="168"/>
      <c r="F6" s="169">
        <f ca="1">D6+  (RAND()*20 - 10)</f>
        <v>159126.9525800109</v>
      </c>
      <c r="G6" s="169"/>
      <c r="H6" s="169">
        <f t="shared" ref="H6" ca="1" si="0">F6+  (RAND()*20 - 10)</f>
        <v>159135.71249056252</v>
      </c>
      <c r="I6" s="169"/>
      <c r="J6" s="169">
        <f t="shared" ref="J6" ca="1" si="1">H6+  (RAND()*20 - 10)</f>
        <v>159127.11439300005</v>
      </c>
      <c r="K6" s="169"/>
      <c r="L6" s="170">
        <f ca="1">AVERAGE(D6:K6)</f>
        <v>159127.94486589337</v>
      </c>
      <c r="M6" s="170"/>
      <c r="N6" s="170">
        <f ca="1">B6-L6</f>
        <v>872.05513410663116</v>
      </c>
      <c r="O6" s="170"/>
      <c r="P6"/>
      <c r="Q6"/>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16">
    <mergeCell ref="B3:O3"/>
    <mergeCell ref="L5:M5"/>
    <mergeCell ref="N5:O5"/>
    <mergeCell ref="B6:C6"/>
    <mergeCell ref="D6:E6"/>
    <mergeCell ref="F6:G6"/>
    <mergeCell ref="H6:I6"/>
    <mergeCell ref="J6:K6"/>
    <mergeCell ref="B4:C5"/>
    <mergeCell ref="D4:K4"/>
    <mergeCell ref="D5:E5"/>
    <mergeCell ref="F5:G5"/>
    <mergeCell ref="H5:I5"/>
    <mergeCell ref="J5:K5"/>
    <mergeCell ref="L6:M6"/>
    <mergeCell ref="N6:O6"/>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J50" sqref="J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7" t="s">
        <v>120</v>
      </c>
      <c r="D2" s="177"/>
      <c r="E2" s="177"/>
      <c r="F2" s="177"/>
      <c r="G2" s="177"/>
      <c r="H2" s="177"/>
      <c r="I2" s="177"/>
      <c r="J2" s="177"/>
      <c r="K2" s="177"/>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8" t="s">
        <v>13</v>
      </c>
      <c r="C34" s="178"/>
      <c r="D34" s="178"/>
      <c r="E34" s="178"/>
      <c r="F34" s="178"/>
      <c r="G34" s="178"/>
      <c r="H34" s="178"/>
      <c r="I34" s="178"/>
      <c r="J34" s="178"/>
      <c r="K34" s="178"/>
      <c r="L34" s="178"/>
      <c r="M34" s="178"/>
      <c r="N34" s="3"/>
      <c r="O34" s="3"/>
      <c r="P34" s="3"/>
      <c r="Q34" s="3"/>
    </row>
    <row r="35" spans="2:17" x14ac:dyDescent="0.3">
      <c r="B35" s="172" t="s">
        <v>12</v>
      </c>
      <c r="C35" s="172"/>
      <c r="D35" s="172"/>
      <c r="E35" s="172"/>
      <c r="F35" s="172"/>
      <c r="G35" s="173" t="s">
        <v>136</v>
      </c>
      <c r="H35" s="174"/>
      <c r="I35" s="174"/>
      <c r="J35" s="174"/>
      <c r="K35" s="174"/>
      <c r="L35" s="174"/>
      <c r="M35" s="175"/>
      <c r="N35" s="9"/>
      <c r="O35" s="9"/>
      <c r="P35" s="9"/>
      <c r="Q35" s="9"/>
    </row>
    <row r="36" spans="2:17" x14ac:dyDescent="0.3">
      <c r="B36" s="172" t="s">
        <v>7</v>
      </c>
      <c r="C36" s="172"/>
      <c r="D36" s="172"/>
      <c r="E36" s="172"/>
      <c r="F36" s="172"/>
      <c r="G36" s="173" t="s">
        <v>121</v>
      </c>
      <c r="H36" s="174"/>
      <c r="I36" s="174"/>
      <c r="J36" s="174"/>
      <c r="K36" s="174"/>
      <c r="L36" s="174"/>
      <c r="M36" s="175"/>
      <c r="N36" s="9"/>
      <c r="O36" s="9"/>
      <c r="P36" s="9"/>
      <c r="Q36" s="9"/>
    </row>
    <row r="37" spans="2:17" x14ac:dyDescent="0.3">
      <c r="B37" s="172" t="s">
        <v>6</v>
      </c>
      <c r="C37" s="172"/>
      <c r="D37" s="172"/>
      <c r="E37" s="172"/>
      <c r="F37" s="172"/>
      <c r="G37" s="173">
        <v>4070</v>
      </c>
      <c r="H37" s="174"/>
      <c r="I37" s="174"/>
      <c r="J37" s="174"/>
      <c r="K37" s="174"/>
      <c r="L37" s="174"/>
      <c r="M37" s="175"/>
      <c r="N37" s="9"/>
      <c r="O37" s="9"/>
      <c r="P37" s="9"/>
      <c r="Q37" s="9"/>
    </row>
    <row r="38" spans="2:17" x14ac:dyDescent="0.3">
      <c r="B38" s="172" t="s">
        <v>4</v>
      </c>
      <c r="C38" s="172"/>
      <c r="D38" s="172"/>
      <c r="E38" s="172"/>
      <c r="F38" s="172"/>
      <c r="G38" s="173" t="s">
        <v>137</v>
      </c>
      <c r="H38" s="174"/>
      <c r="I38" s="174"/>
      <c r="J38" s="174"/>
      <c r="K38" s="174"/>
      <c r="L38" s="174"/>
      <c r="M38" s="175"/>
      <c r="N38" s="9"/>
      <c r="O38" s="9"/>
      <c r="P38" s="9"/>
      <c r="Q38" s="9"/>
    </row>
    <row r="39" spans="2:17" x14ac:dyDescent="0.3">
      <c r="B39" s="172" t="s">
        <v>11</v>
      </c>
      <c r="C39" s="172"/>
      <c r="D39" s="172"/>
      <c r="E39" s="172"/>
      <c r="F39" s="176"/>
      <c r="G39" s="179">
        <v>44970</v>
      </c>
      <c r="H39" s="179"/>
      <c r="I39" s="179"/>
      <c r="J39" s="179"/>
      <c r="K39" s="179"/>
      <c r="L39" s="179"/>
      <c r="M39" s="179"/>
      <c r="N39" s="10"/>
      <c r="O39" s="10"/>
      <c r="P39" s="10"/>
      <c r="Q39" s="10"/>
    </row>
    <row r="40" spans="2:17" x14ac:dyDescent="0.3">
      <c r="B40" s="172" t="s">
        <v>10</v>
      </c>
      <c r="C40" s="172"/>
      <c r="D40" s="172"/>
      <c r="E40" s="172"/>
      <c r="F40" s="172"/>
      <c r="G40" s="171" t="s">
        <v>138</v>
      </c>
      <c r="H40" s="171"/>
      <c r="I40" s="171"/>
      <c r="J40" s="171"/>
      <c r="K40" s="171"/>
      <c r="L40" s="171"/>
      <c r="M40" s="171"/>
      <c r="N40" s="9"/>
      <c r="O40" s="9"/>
      <c r="P40" s="9"/>
      <c r="Q40" s="9"/>
    </row>
    <row r="41" spans="2:17" x14ac:dyDescent="0.3">
      <c r="B41" s="172" t="s">
        <v>123</v>
      </c>
      <c r="C41" s="172"/>
      <c r="D41" s="172"/>
      <c r="E41" s="172"/>
      <c r="F41" s="172"/>
      <c r="G41" s="173">
        <v>2.7E-2</v>
      </c>
      <c r="H41" s="174"/>
      <c r="I41" s="174"/>
      <c r="J41" s="174"/>
      <c r="K41" s="174"/>
      <c r="L41" s="174"/>
      <c r="M41" s="175"/>
      <c r="N41" s="4"/>
      <c r="O41" s="4"/>
      <c r="P41" s="4"/>
      <c r="Q41" s="4"/>
    </row>
    <row r="42" spans="2:17" x14ac:dyDescent="0.3">
      <c r="B42" s="172" t="s">
        <v>124</v>
      </c>
      <c r="C42" s="172"/>
      <c r="D42" s="172"/>
      <c r="E42" s="172"/>
      <c r="F42" s="176"/>
      <c r="G42" s="173">
        <v>0.2</v>
      </c>
      <c r="H42" s="174"/>
      <c r="I42" s="174"/>
      <c r="J42" s="174"/>
      <c r="K42" s="174"/>
      <c r="L42" s="174"/>
      <c r="M42" s="175"/>
      <c r="N42" s="4"/>
      <c r="O42" s="4"/>
      <c r="P42" s="4"/>
      <c r="Q42" s="4"/>
    </row>
    <row r="43" spans="2:17" x14ac:dyDescent="0.3">
      <c r="B43" s="172" t="s">
        <v>125</v>
      </c>
      <c r="C43" s="172"/>
      <c r="D43" s="172"/>
      <c r="E43" s="172"/>
      <c r="F43" s="176"/>
      <c r="G43" s="173">
        <v>1E-3</v>
      </c>
      <c r="H43" s="174"/>
      <c r="I43" s="174"/>
      <c r="J43" s="174"/>
      <c r="K43" s="174"/>
      <c r="L43" s="174"/>
      <c r="M43" s="175"/>
    </row>
    <row r="44" spans="2:17" x14ac:dyDescent="0.3">
      <c r="B44" s="172" t="s">
        <v>9</v>
      </c>
      <c r="C44" s="172"/>
      <c r="D44" s="172"/>
      <c r="E44" s="172"/>
      <c r="F44" s="176"/>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6"/>
      <c r="D92" s="136"/>
      <c r="E92" s="136"/>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M7" sqref="M7"/>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0" t="s">
        <v>122</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160000</v>
      </c>
      <c r="C4" s="8">
        <f>PATRON!G$41/2</f>
        <v>1.35E-2</v>
      </c>
      <c r="D4" s="8">
        <f>PATRON!G$42/SQRT(3)</f>
        <v>0.11547005383792516</v>
      </c>
      <c r="E4" s="8">
        <v>0</v>
      </c>
      <c r="F4" s="8">
        <f>1/SQRT(12)</f>
        <v>0.28867513459481292</v>
      </c>
      <c r="G4" s="93">
        <f>PATRON!G$43/SQRT(12)</f>
        <v>2.886751345948129E-4</v>
      </c>
      <c r="H4" s="7">
        <f ca="1">STDEVA(MEDIDA!D6:K6)/SQRT(4)</f>
        <v>2.8482705277368772</v>
      </c>
      <c r="I4" s="8">
        <f ca="1">SQRT(SUMSQ(C4:H4))</f>
        <v>2.8652214572654779</v>
      </c>
      <c r="J4" s="15">
        <f ca="1">I4^4/(C4^4/200+D4^4/200+E4^4/200+F4^4/200+G4^4/200+H4^4/3)</f>
        <v>3.0720507434566815</v>
      </c>
      <c r="K4" s="11">
        <f ca="1">TINV(0.0455,J4)</f>
        <v>3.3068299207201113</v>
      </c>
      <c r="L4" s="7">
        <v>200</v>
      </c>
    </row>
    <row r="5" spans="1:12" x14ac:dyDescent="0.3">
      <c r="A5" s="52"/>
      <c r="B5" s="6" t="e">
        <f>MEDIDA!#REF!</f>
        <v>#REF!</v>
      </c>
      <c r="C5" s="8">
        <f>PATRON!G$41/2</f>
        <v>1.35E-2</v>
      </c>
      <c r="D5" s="8">
        <f>PATRON!G$42/SQRT(3)</f>
        <v>0.11547005383792516</v>
      </c>
      <c r="E5" s="8">
        <v>0</v>
      </c>
      <c r="F5" s="8">
        <f t="shared" ref="F5:F8" si="0">1/SQRT(12)</f>
        <v>0.28867513459481292</v>
      </c>
      <c r="G5" s="93">
        <f>PATRON!G$43/SQRT(12)</f>
        <v>2.886751345948129E-4</v>
      </c>
      <c r="H5" s="7" t="e">
        <f>STDEVA(MEDIDA!#REF!)/SQRT(4)</f>
        <v>#REF!</v>
      </c>
      <c r="I5" s="8" t="e">
        <f>SQRT(SUMSQ(C5:H5))</f>
        <v>#REF!</v>
      </c>
      <c r="J5" s="15" t="e">
        <f>I5^4/(C5^4/200+D5^4/200+E5^4/200+F5^4/200+G5^4/200+H5^4/3)</f>
        <v>#REF!</v>
      </c>
      <c r="K5" s="11" t="e">
        <f>TINV(0.0455,J5)</f>
        <v>#REF!</v>
      </c>
      <c r="L5" s="7" t="e">
        <f>I5*K5</f>
        <v>#REF!</v>
      </c>
    </row>
    <row r="6" spans="1:12" x14ac:dyDescent="0.3">
      <c r="A6" s="52"/>
      <c r="B6" s="6" t="e">
        <f>MEDIDA!#REF!</f>
        <v>#REF!</v>
      </c>
      <c r="C6" s="8">
        <f>PATRON!G$41/2</f>
        <v>1.35E-2</v>
      </c>
      <c r="D6" s="8">
        <f>PATRON!G$42/SQRT(3)</f>
        <v>0.11547005383792516</v>
      </c>
      <c r="E6" s="8">
        <v>0</v>
      </c>
      <c r="F6" s="8">
        <f t="shared" si="0"/>
        <v>0.28867513459481292</v>
      </c>
      <c r="G6" s="93">
        <f>PATRON!G$43/SQRT(12)</f>
        <v>2.886751345948129E-4</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3">
        <f>PATRON!G$43/SQRT(12)</f>
        <v>2.886751345948129E-4</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3">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2"/>
  <sheetViews>
    <sheetView tabSelected="1" view="pageLayout" topLeftCell="A80" zoomScaleNormal="100" workbookViewId="0">
      <selection activeCell="T79" sqref="T79"/>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0"/>
      <c r="J1" s="120"/>
      <c r="K1" s="120"/>
      <c r="M1" s="63"/>
      <c r="O1" s="117" t="s">
        <v>79</v>
      </c>
      <c r="P1" s="117"/>
      <c r="Q1" s="117"/>
      <c r="R1" s="118">
        <f>INFORMACIÓN!G3</f>
        <v>0</v>
      </c>
      <c r="S1" s="118"/>
    </row>
    <row r="2" spans="1:30" ht="16.95" customHeight="1" x14ac:dyDescent="0.3">
      <c r="G2" s="122"/>
      <c r="H2" s="122"/>
      <c r="I2" s="122"/>
      <c r="J2" s="121"/>
      <c r="K2" s="121"/>
    </row>
    <row r="3" spans="1:30" ht="16.95" customHeight="1" x14ac:dyDescent="0.3">
      <c r="B3" s="82"/>
      <c r="C3" s="123" t="s">
        <v>70</v>
      </c>
      <c r="D3" s="123"/>
      <c r="E3" s="123"/>
      <c r="F3" s="123"/>
      <c r="G3" s="123"/>
      <c r="H3" s="123"/>
      <c r="I3" s="123"/>
      <c r="J3" s="123"/>
      <c r="K3" s="123"/>
      <c r="L3" s="123"/>
      <c r="M3" s="123"/>
      <c r="N3" s="123"/>
      <c r="O3" s="123"/>
      <c r="P3" s="123"/>
      <c r="Q3" s="123"/>
      <c r="R3" s="123"/>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7" t="s">
        <v>61</v>
      </c>
      <c r="D5" s="117"/>
      <c r="E5" s="117"/>
      <c r="F5" s="117"/>
      <c r="G5" s="117"/>
      <c r="H5" s="51"/>
      <c r="I5" s="119">
        <f>INFORMACIÓN!A3</f>
        <v>0</v>
      </c>
      <c r="J5" s="119"/>
      <c r="K5" s="119"/>
      <c r="L5" s="119"/>
      <c r="M5" s="119"/>
      <c r="N5" s="119"/>
      <c r="O5" s="119"/>
      <c r="P5" s="119"/>
      <c r="Q5" s="119"/>
      <c r="R5" s="119"/>
      <c r="S5"/>
      <c r="T5"/>
      <c r="U5"/>
      <c r="V5"/>
      <c r="W5"/>
      <c r="X5"/>
      <c r="Y5"/>
      <c r="Z5"/>
      <c r="AA5"/>
      <c r="AB5"/>
      <c r="AC5"/>
      <c r="AD5"/>
    </row>
    <row r="6" spans="1:30" s="53" customFormat="1" ht="16.95" customHeight="1" x14ac:dyDescent="0.3">
      <c r="B6" s="77"/>
      <c r="C6" s="117" t="s">
        <v>62</v>
      </c>
      <c r="D6" s="117"/>
      <c r="E6" s="117"/>
      <c r="F6" s="117"/>
      <c r="G6" s="117"/>
      <c r="H6" s="51"/>
      <c r="I6" s="119">
        <f>INFORMACIÓN!B3</f>
        <v>0</v>
      </c>
      <c r="J6" s="119"/>
      <c r="K6" s="119"/>
      <c r="L6" s="119"/>
      <c r="M6" s="119"/>
      <c r="N6" s="119"/>
      <c r="O6" s="119"/>
      <c r="P6" s="119"/>
      <c r="Q6" s="119"/>
      <c r="R6" s="119"/>
      <c r="S6"/>
      <c r="T6"/>
      <c r="U6"/>
      <c r="V6"/>
      <c r="W6"/>
      <c r="X6"/>
      <c r="Y6"/>
      <c r="Z6"/>
      <c r="AA6"/>
      <c r="AB6"/>
      <c r="AC6"/>
      <c r="AD6"/>
    </row>
    <row r="7" spans="1:30" s="53" customFormat="1" ht="16.95" customHeight="1" x14ac:dyDescent="0.3">
      <c r="B7" s="77"/>
      <c r="C7" s="117" t="s">
        <v>63</v>
      </c>
      <c r="D7" s="117"/>
      <c r="E7" s="117"/>
      <c r="F7" s="117"/>
      <c r="G7" s="117"/>
      <c r="H7" s="51"/>
      <c r="I7" s="119">
        <f>INFORMACIÓN!C3</f>
        <v>0</v>
      </c>
      <c r="J7" s="119"/>
      <c r="K7" s="119"/>
      <c r="L7" s="119"/>
      <c r="M7" s="119"/>
      <c r="N7" s="119"/>
      <c r="O7" s="119"/>
      <c r="P7" s="119"/>
      <c r="Q7" s="119"/>
      <c r="R7" s="119"/>
      <c r="S7"/>
      <c r="T7"/>
      <c r="U7"/>
      <c r="V7"/>
      <c r="W7"/>
      <c r="X7"/>
      <c r="Y7"/>
      <c r="Z7"/>
      <c r="AA7"/>
      <c r="AB7"/>
      <c r="AC7"/>
      <c r="AD7"/>
    </row>
    <row r="8" spans="1:30" s="53" customFormat="1" ht="16.95" customHeight="1" x14ac:dyDescent="0.3">
      <c r="B8" s="77"/>
      <c r="C8" s="117" t="s">
        <v>64</v>
      </c>
      <c r="D8" s="117"/>
      <c r="E8" s="117"/>
      <c r="F8" s="117"/>
      <c r="G8" s="117"/>
      <c r="H8" s="51"/>
      <c r="I8" s="124">
        <f>INFORMACIÓN!D3</f>
        <v>0</v>
      </c>
      <c r="J8" s="119"/>
      <c r="K8" s="119"/>
      <c r="L8" s="119"/>
      <c r="M8" s="119"/>
      <c r="N8" s="119"/>
      <c r="O8" s="119"/>
      <c r="P8" s="119"/>
      <c r="Q8" s="119"/>
      <c r="R8" s="119"/>
      <c r="S8"/>
      <c r="T8"/>
      <c r="U8"/>
      <c r="V8"/>
      <c r="W8"/>
      <c r="X8"/>
      <c r="Y8"/>
      <c r="Z8"/>
      <c r="AA8"/>
      <c r="AB8"/>
      <c r="AC8"/>
      <c r="AD8"/>
    </row>
    <row r="9" spans="1:30" s="53" customFormat="1" ht="16.95" customHeight="1" x14ac:dyDescent="0.3">
      <c r="B9" s="77"/>
      <c r="C9" s="117" t="s">
        <v>65</v>
      </c>
      <c r="D9" s="117"/>
      <c r="E9" s="117"/>
      <c r="F9" s="117"/>
      <c r="G9" s="117"/>
      <c r="H9" s="51"/>
      <c r="I9" s="124">
        <f>INFORMACIÓN!F3</f>
        <v>0</v>
      </c>
      <c r="J9" s="119"/>
      <c r="K9" s="119"/>
      <c r="L9" s="119"/>
      <c r="M9" s="119"/>
      <c r="N9" s="119"/>
      <c r="O9" s="119"/>
      <c r="P9" s="119"/>
      <c r="Q9" s="119"/>
      <c r="R9" s="119"/>
      <c r="S9"/>
      <c r="T9"/>
      <c r="U9"/>
      <c r="V9"/>
      <c r="W9"/>
      <c r="X9"/>
      <c r="Y9"/>
      <c r="Z9"/>
      <c r="AA9"/>
      <c r="AB9"/>
      <c r="AC9"/>
      <c r="AD9"/>
    </row>
    <row r="10" spans="1:30" s="53" customFormat="1" ht="16.95" customHeight="1" x14ac:dyDescent="0.3">
      <c r="B10" s="77"/>
      <c r="C10" s="117" t="s">
        <v>67</v>
      </c>
      <c r="D10" s="117"/>
      <c r="E10" s="117"/>
      <c r="F10" s="117"/>
      <c r="G10" s="117"/>
      <c r="H10" s="51"/>
      <c r="I10" s="125">
        <f>INFORMACIÓN!E3</f>
        <v>0</v>
      </c>
      <c r="J10" s="119"/>
      <c r="K10" s="119"/>
      <c r="L10" s="119"/>
      <c r="M10" s="119"/>
      <c r="N10" s="119"/>
      <c r="O10" s="119"/>
      <c r="P10" s="119"/>
      <c r="Q10" s="119"/>
      <c r="R10" s="119"/>
      <c r="S10"/>
      <c r="T10"/>
      <c r="U10"/>
      <c r="V10"/>
      <c r="W10"/>
      <c r="X10"/>
      <c r="Y10"/>
      <c r="Z10"/>
      <c r="AA10"/>
      <c r="AB10"/>
      <c r="AC10"/>
      <c r="AD10"/>
    </row>
    <row r="11" spans="1:30" s="53" customFormat="1" ht="16.95" customHeight="1" x14ac:dyDescent="0.3">
      <c r="B11" s="77"/>
      <c r="C11" s="117" t="s">
        <v>66</v>
      </c>
      <c r="D11" s="117"/>
      <c r="E11" s="117"/>
      <c r="F11" s="117"/>
      <c r="G11" s="117"/>
      <c r="H11" s="51"/>
      <c r="I11" s="119" t="str">
        <f>INFORMACIÓN!B8</f>
        <v>BUEN ESTADO</v>
      </c>
      <c r="J11" s="119"/>
      <c r="K11" s="119"/>
      <c r="L11" s="119"/>
      <c r="M11" s="119"/>
      <c r="N11" s="119"/>
      <c r="O11" s="119"/>
      <c r="P11" s="119"/>
      <c r="Q11" s="119"/>
      <c r="R11" s="119"/>
      <c r="S11"/>
      <c r="T11"/>
      <c r="U11"/>
      <c r="V11"/>
      <c r="W11"/>
      <c r="X11"/>
      <c r="Y11"/>
      <c r="Z11"/>
      <c r="AA11"/>
      <c r="AB11"/>
      <c r="AC11"/>
      <c r="AD11"/>
    </row>
    <row r="12" spans="1:30" s="53" customFormat="1" ht="16.95" customHeight="1" x14ac:dyDescent="0.3">
      <c r="B12" s="77"/>
      <c r="C12" s="117" t="s">
        <v>76</v>
      </c>
      <c r="D12" s="117"/>
      <c r="E12" s="117"/>
      <c r="F12" s="117"/>
      <c r="G12" s="117"/>
      <c r="H12" s="78"/>
      <c r="I12" s="126">
        <f>INFORMACIÓN!H3</f>
        <v>0</v>
      </c>
      <c r="J12" s="126"/>
      <c r="K12" s="126"/>
      <c r="L12" s="126"/>
      <c r="M12" s="126"/>
      <c r="N12" s="126"/>
      <c r="O12" s="126"/>
      <c r="P12" s="126"/>
      <c r="Q12" s="126"/>
      <c r="R12" s="126"/>
      <c r="S12"/>
      <c r="T12"/>
      <c r="U12"/>
      <c r="V12"/>
      <c r="W12"/>
      <c r="X12"/>
      <c r="Y12"/>
      <c r="Z12"/>
      <c r="AA12"/>
      <c r="AB12"/>
      <c r="AC12"/>
      <c r="AD12"/>
    </row>
    <row r="13" spans="1:30" s="53" customFormat="1" ht="16.95" customHeight="1" x14ac:dyDescent="0.3">
      <c r="B13" s="77"/>
      <c r="C13" s="117" t="s">
        <v>75</v>
      </c>
      <c r="D13" s="117"/>
      <c r="E13" s="117"/>
      <c r="F13" s="117"/>
      <c r="G13" s="117"/>
      <c r="H13" s="78"/>
      <c r="I13" s="126">
        <f>INFORMACIÓN!B9</f>
        <v>0</v>
      </c>
      <c r="J13" s="126"/>
      <c r="K13" s="126"/>
      <c r="L13" s="126"/>
      <c r="M13" s="126"/>
      <c r="N13" s="126"/>
      <c r="O13" s="126"/>
      <c r="P13" s="126"/>
      <c r="Q13" s="126"/>
      <c r="R13" s="126"/>
      <c r="S13"/>
      <c r="T13"/>
      <c r="U13"/>
      <c r="V13"/>
      <c r="W13"/>
      <c r="X13"/>
      <c r="Y13"/>
      <c r="Z13"/>
      <c r="AA13"/>
      <c r="AB13"/>
      <c r="AC13"/>
      <c r="AD13"/>
    </row>
    <row r="14" spans="1:30" ht="16.95" customHeight="1" x14ac:dyDescent="0.3"/>
    <row r="15" spans="1:30" ht="16.95" customHeight="1" x14ac:dyDescent="0.3">
      <c r="B15" s="63"/>
      <c r="C15" s="127" t="s">
        <v>69</v>
      </c>
      <c r="D15" s="127"/>
      <c r="E15" s="127"/>
      <c r="F15" s="127"/>
      <c r="G15" s="127"/>
      <c r="H15" s="127"/>
      <c r="I15" s="127"/>
      <c r="J15" s="127"/>
      <c r="K15" s="127"/>
      <c r="L15" s="127"/>
      <c r="M15" s="127"/>
      <c r="N15" s="127"/>
      <c r="O15" s="127"/>
      <c r="P15" s="127"/>
      <c r="Q15" s="127"/>
      <c r="R15" s="127"/>
    </row>
    <row r="16" spans="1:30" ht="16.95" customHeight="1" x14ac:dyDescent="0.3"/>
    <row r="17" spans="1:18" ht="16.95" customHeight="1" x14ac:dyDescent="0.3">
      <c r="B17" s="50"/>
      <c r="C17" s="107" t="s">
        <v>71</v>
      </c>
      <c r="D17" s="107"/>
      <c r="E17" s="107"/>
      <c r="F17" s="107"/>
      <c r="G17" s="107"/>
      <c r="H17" s="49"/>
      <c r="I17" s="128">
        <f>INFORMACIÓN!E7</f>
        <v>0</v>
      </c>
      <c r="J17" s="128"/>
      <c r="K17" s="128"/>
      <c r="L17" s="128"/>
      <c r="M17" s="128"/>
      <c r="N17" s="128"/>
      <c r="O17" s="128"/>
      <c r="P17" s="128"/>
      <c r="Q17" s="128"/>
      <c r="R17" s="128"/>
    </row>
    <row r="18" spans="1:18" ht="16.95" customHeight="1" x14ac:dyDescent="0.3">
      <c r="B18" s="50"/>
      <c r="C18" s="107" t="s">
        <v>72</v>
      </c>
      <c r="D18" s="107"/>
      <c r="E18" s="107"/>
      <c r="F18" s="107"/>
      <c r="G18" s="107"/>
      <c r="H18" s="49"/>
      <c r="I18" s="128">
        <f>INFORMACIÓN!E8</f>
        <v>0</v>
      </c>
      <c r="J18" s="128"/>
      <c r="K18" s="128"/>
      <c r="L18" s="128"/>
      <c r="M18" s="128"/>
      <c r="N18" s="128"/>
      <c r="O18" s="128"/>
      <c r="P18" s="128"/>
      <c r="Q18" s="128"/>
      <c r="R18" s="128"/>
    </row>
    <row r="19" spans="1:18" ht="16.95" customHeight="1" x14ac:dyDescent="0.3">
      <c r="B19" s="50"/>
      <c r="C19" s="107" t="s">
        <v>89</v>
      </c>
      <c r="D19" s="107"/>
      <c r="E19" s="107"/>
      <c r="F19" s="107"/>
      <c r="G19" s="107"/>
      <c r="H19" s="49"/>
      <c r="I19" s="128">
        <f>INFORMACIÓN!E9</f>
        <v>0</v>
      </c>
      <c r="J19" s="128"/>
      <c r="K19" s="128"/>
      <c r="L19" s="128"/>
      <c r="M19" s="128"/>
      <c r="N19" s="128"/>
      <c r="O19" s="128"/>
      <c r="P19" s="128"/>
      <c r="Q19" s="128"/>
      <c r="R19" s="128"/>
    </row>
    <row r="20" spans="1:18" ht="16.95" customHeight="1" x14ac:dyDescent="0.3">
      <c r="B20" s="50"/>
      <c r="C20" s="107" t="s">
        <v>73</v>
      </c>
      <c r="D20" s="107"/>
      <c r="E20" s="107"/>
      <c r="F20" s="107"/>
      <c r="G20" s="107"/>
      <c r="H20" s="49"/>
      <c r="I20" s="128">
        <f>INFORMACIÓN!E10</f>
        <v>0</v>
      </c>
      <c r="J20" s="128"/>
      <c r="K20" s="128"/>
      <c r="L20" s="128"/>
      <c r="M20" s="128"/>
      <c r="N20" s="128"/>
      <c r="O20" s="128"/>
      <c r="P20" s="128"/>
      <c r="Q20" s="128"/>
      <c r="R20" s="128"/>
    </row>
    <row r="21" spans="1:18" ht="16.95" customHeight="1" x14ac:dyDescent="0.3">
      <c r="B21" s="50"/>
      <c r="C21" s="107" t="s">
        <v>74</v>
      </c>
      <c r="D21" s="107"/>
      <c r="E21" s="107"/>
      <c r="F21" s="107"/>
      <c r="G21" s="107"/>
      <c r="H21" s="49"/>
      <c r="I21" s="128">
        <f>INFORMACIÓN!E11</f>
        <v>0</v>
      </c>
      <c r="J21" s="128"/>
      <c r="K21" s="128"/>
      <c r="L21" s="128"/>
      <c r="M21" s="128"/>
      <c r="N21" s="128"/>
      <c r="O21" s="128"/>
      <c r="P21" s="128"/>
      <c r="Q21" s="128"/>
      <c r="R21" s="128"/>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29" t="s">
        <v>160</v>
      </c>
      <c r="D23" s="129"/>
      <c r="E23" s="129"/>
      <c r="F23" s="129"/>
      <c r="G23" s="129"/>
      <c r="H23" s="129"/>
      <c r="I23" s="129"/>
      <c r="J23" s="129"/>
      <c r="K23" s="129"/>
      <c r="L23" s="129"/>
      <c r="M23" s="129"/>
      <c r="N23" s="129"/>
      <c r="O23" s="129"/>
      <c r="P23" s="129"/>
      <c r="Q23" s="129"/>
      <c r="R23" s="129"/>
    </row>
    <row r="24" spans="1:18" ht="16.95" customHeight="1" x14ac:dyDescent="0.3">
      <c r="A24" s="76"/>
      <c r="B24" s="76"/>
      <c r="C24" s="130"/>
      <c r="D24" s="130"/>
      <c r="E24" s="130"/>
      <c r="F24" s="130"/>
      <c r="G24" s="130"/>
      <c r="H24" s="130"/>
      <c r="I24" s="130"/>
      <c r="J24" s="130"/>
      <c r="K24" s="130"/>
      <c r="L24" s="130"/>
      <c r="M24" s="130"/>
      <c r="N24" s="130"/>
      <c r="O24" s="130"/>
      <c r="P24" s="130"/>
      <c r="Q24" s="130"/>
      <c r="R24" s="130"/>
    </row>
    <row r="25" spans="1:18" ht="16.95" customHeight="1" x14ac:dyDescent="0.3">
      <c r="A25" s="76"/>
      <c r="B25" s="76"/>
      <c r="C25" s="130"/>
      <c r="D25" s="130"/>
      <c r="E25" s="130"/>
      <c r="F25" s="130"/>
      <c r="G25" s="130"/>
      <c r="H25" s="130"/>
      <c r="I25" s="130"/>
      <c r="J25" s="130"/>
      <c r="K25" s="130"/>
      <c r="L25" s="130"/>
      <c r="M25" s="130"/>
      <c r="N25" s="130"/>
      <c r="O25" s="130"/>
      <c r="P25" s="130"/>
      <c r="Q25" s="130"/>
      <c r="R25" s="130"/>
    </row>
    <row r="26" spans="1:18" ht="16.95" customHeight="1" x14ac:dyDescent="0.3">
      <c r="A26" s="76"/>
      <c r="B26" s="76"/>
      <c r="C26" s="130"/>
      <c r="D26" s="130"/>
      <c r="E26" s="130"/>
      <c r="F26" s="130"/>
      <c r="G26" s="130"/>
      <c r="H26" s="130"/>
      <c r="I26" s="130"/>
      <c r="J26" s="130"/>
      <c r="K26" s="130"/>
      <c r="L26" s="130"/>
      <c r="M26" s="130"/>
      <c r="N26" s="130"/>
      <c r="O26" s="130"/>
      <c r="P26" s="130"/>
      <c r="Q26" s="130"/>
      <c r="R26" s="130"/>
    </row>
    <row r="27" spans="1:18" ht="16.95" customHeight="1" x14ac:dyDescent="0.3">
      <c r="A27" s="76"/>
      <c r="B27" s="76"/>
      <c r="C27" s="130"/>
      <c r="D27" s="130"/>
      <c r="E27" s="130"/>
      <c r="F27" s="130"/>
      <c r="G27" s="130"/>
      <c r="H27" s="130"/>
      <c r="I27" s="130"/>
      <c r="J27" s="130"/>
      <c r="K27" s="130"/>
      <c r="L27" s="130"/>
      <c r="M27" s="130"/>
      <c r="N27" s="130"/>
      <c r="O27" s="130"/>
      <c r="P27" s="130"/>
      <c r="Q27" s="130"/>
      <c r="R27" s="130"/>
    </row>
    <row r="28" spans="1:18" ht="16.95" customHeight="1" x14ac:dyDescent="0.3">
      <c r="A28" s="76"/>
      <c r="B28" s="76"/>
      <c r="C28" s="131"/>
      <c r="D28" s="131"/>
      <c r="E28" s="131"/>
      <c r="F28" s="131"/>
      <c r="G28" s="131"/>
      <c r="H28" s="131"/>
      <c r="I28" s="131"/>
      <c r="J28" s="131"/>
      <c r="K28" s="131"/>
      <c r="L28" s="131"/>
      <c r="M28" s="131"/>
      <c r="N28" s="131"/>
      <c r="O28" s="131"/>
      <c r="P28" s="131"/>
      <c r="Q28" s="131"/>
      <c r="R28" s="131"/>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07" t="s">
        <v>77</v>
      </c>
      <c r="J31" s="107"/>
      <c r="K31" s="107"/>
      <c r="L31" s="107"/>
      <c r="M31" s="128" t="str">
        <f>INFORMACIÓN!B15</f>
        <v>ING. GABRIEL DURÁN</v>
      </c>
      <c r="N31" s="128"/>
      <c r="O31" s="128"/>
      <c r="P31" s="128"/>
      <c r="Q31" s="128"/>
      <c r="R31" s="128"/>
    </row>
    <row r="32" spans="1:18" ht="16.95" customHeight="1" x14ac:dyDescent="0.3">
      <c r="F32" s="50"/>
      <c r="G32" s="50"/>
      <c r="H32" s="50"/>
      <c r="I32" s="107" t="s">
        <v>78</v>
      </c>
      <c r="J32" s="107"/>
      <c r="K32" s="107"/>
      <c r="L32" s="107"/>
      <c r="M32" s="132">
        <f>INFORMACIÓN!B10</f>
        <v>0</v>
      </c>
      <c r="N32" s="132"/>
      <c r="O32" s="132"/>
      <c r="P32" s="62"/>
      <c r="Q32" s="62"/>
      <c r="R32" s="50"/>
    </row>
    <row r="33" spans="1:19" ht="16.95" customHeight="1" x14ac:dyDescent="0.3">
      <c r="I33" s="107" t="s">
        <v>82</v>
      </c>
      <c r="J33" s="107"/>
      <c r="K33" s="107"/>
      <c r="L33" s="107"/>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07" t="str">
        <f>O1</f>
        <v>CERTIFICADO N°:</v>
      </c>
      <c r="P38" s="107"/>
      <c r="Q38" s="107"/>
      <c r="R38" s="106">
        <f>R1</f>
        <v>0</v>
      </c>
      <c r="S38" s="106"/>
    </row>
    <row r="39" spans="1:19" ht="16.95" customHeight="1" x14ac:dyDescent="0.3"/>
    <row r="40" spans="1:19" ht="16.95" customHeight="1" x14ac:dyDescent="0.3">
      <c r="B40" s="135" t="s">
        <v>83</v>
      </c>
      <c r="C40" s="135"/>
      <c r="D40" s="135"/>
      <c r="E40" s="135"/>
      <c r="F40" s="135"/>
      <c r="G40" s="135"/>
      <c r="H40" s="135"/>
      <c r="I40" s="135"/>
      <c r="J40" s="135"/>
      <c r="K40" s="135"/>
      <c r="L40" s="135"/>
      <c r="M40" s="135"/>
      <c r="N40" s="135"/>
      <c r="O40" s="135"/>
      <c r="P40" s="135"/>
      <c r="Q40" s="135"/>
      <c r="R40" s="135"/>
      <c r="S40" s="135"/>
    </row>
    <row r="41" spans="1:19" ht="16.95" customHeight="1" x14ac:dyDescent="0.3">
      <c r="B41" s="133" t="s">
        <v>161</v>
      </c>
      <c r="C41" s="133"/>
      <c r="D41" s="133"/>
      <c r="E41" s="133"/>
      <c r="F41" s="133"/>
      <c r="G41" s="133"/>
      <c r="H41" s="133"/>
      <c r="I41" s="133"/>
      <c r="J41" s="133"/>
      <c r="K41" s="133"/>
      <c r="L41" s="133"/>
      <c r="M41" s="133"/>
      <c r="N41" s="133"/>
      <c r="O41" s="133"/>
      <c r="P41" s="133"/>
      <c r="Q41" s="133"/>
      <c r="R41" s="133"/>
      <c r="S41" s="133"/>
    </row>
    <row r="42" spans="1:19" ht="16.95" customHeight="1" x14ac:dyDescent="0.3">
      <c r="A42" s="85"/>
      <c r="B42" s="134"/>
      <c r="C42" s="134"/>
      <c r="D42" s="134"/>
      <c r="E42" s="134"/>
      <c r="F42" s="134"/>
      <c r="G42" s="134"/>
      <c r="H42" s="134"/>
      <c r="I42" s="134"/>
      <c r="J42" s="134"/>
      <c r="K42" s="134"/>
      <c r="L42" s="134"/>
      <c r="M42" s="134"/>
      <c r="N42" s="134"/>
      <c r="O42" s="134"/>
      <c r="P42" s="134"/>
      <c r="Q42" s="134"/>
      <c r="R42" s="134"/>
      <c r="S42" s="134"/>
    </row>
    <row r="43" spans="1:19" ht="16.95" customHeight="1" x14ac:dyDescent="0.3">
      <c r="A43" s="85"/>
      <c r="B43" s="134"/>
      <c r="C43" s="134"/>
      <c r="D43" s="134"/>
      <c r="E43" s="134"/>
      <c r="F43" s="134"/>
      <c r="G43" s="134"/>
      <c r="H43" s="134"/>
      <c r="I43" s="134"/>
      <c r="J43" s="134"/>
      <c r="K43" s="134"/>
      <c r="L43" s="134"/>
      <c r="M43" s="134"/>
      <c r="N43" s="134"/>
      <c r="O43" s="134"/>
      <c r="P43" s="134"/>
      <c r="Q43" s="134"/>
      <c r="R43" s="134"/>
      <c r="S43" s="134"/>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7" t="s">
        <v>84</v>
      </c>
      <c r="G45" s="138"/>
      <c r="H45" s="138"/>
      <c r="I45" s="138"/>
      <c r="J45" s="139"/>
      <c r="K45" s="146" t="s">
        <v>85</v>
      </c>
      <c r="L45" s="147"/>
      <c r="M45" s="147"/>
      <c r="N45" s="147"/>
      <c r="O45" s="148"/>
    </row>
    <row r="46" spans="1:19" ht="16.95" customHeight="1" x14ac:dyDescent="0.3">
      <c r="E46" s="74"/>
      <c r="F46" s="141">
        <f>AVERAGE(INFORMACIÓN!B11:B12)</f>
        <v>24.3</v>
      </c>
      <c r="G46" s="142"/>
      <c r="H46" s="70" t="s">
        <v>86</v>
      </c>
      <c r="I46" s="71">
        <f>ABS(INFORMACIÓN!B11-INFORMACIÓN!B12)</f>
        <v>0.39999999999999858</v>
      </c>
      <c r="J46" s="75"/>
      <c r="K46" s="143">
        <f>AVERAGE(INFORMACIÓN!B13:B14)</f>
        <v>61.5</v>
      </c>
      <c r="L46" s="14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40" t="s">
        <v>162</v>
      </c>
      <c r="G48" s="140"/>
      <c r="H48" s="140"/>
      <c r="I48" s="140"/>
      <c r="J48" s="140"/>
      <c r="K48" s="145" t="s">
        <v>163</v>
      </c>
      <c r="L48" s="145"/>
      <c r="M48" s="145"/>
      <c r="N48" s="145"/>
      <c r="O48" s="145"/>
      <c r="P48" s="145"/>
    </row>
    <row r="49" spans="1:19" ht="13.2" customHeight="1" x14ac:dyDescent="0.3"/>
    <row r="50" spans="1:19" ht="16.95" customHeight="1" x14ac:dyDescent="0.3">
      <c r="B50" s="136" t="s">
        <v>87</v>
      </c>
      <c r="C50" s="136"/>
      <c r="D50" s="136"/>
      <c r="E50" s="136"/>
      <c r="F50" s="136"/>
      <c r="G50" s="136"/>
      <c r="H50" s="136"/>
      <c r="I50" s="136"/>
      <c r="J50" s="136"/>
      <c r="K50" s="136"/>
      <c r="L50" s="136"/>
      <c r="M50" s="136"/>
      <c r="N50" s="136"/>
      <c r="O50" s="136"/>
      <c r="P50" s="136"/>
      <c r="Q50" s="136"/>
      <c r="R50" s="136"/>
      <c r="S50" s="136"/>
    </row>
    <row r="51" spans="1:19" ht="16.95" customHeight="1" x14ac:dyDescent="0.3">
      <c r="B51" s="133" t="s">
        <v>164</v>
      </c>
      <c r="C51" s="133"/>
      <c r="D51" s="133"/>
      <c r="E51" s="133"/>
      <c r="F51" s="133"/>
      <c r="G51" s="133"/>
      <c r="H51" s="133"/>
      <c r="I51" s="133"/>
      <c r="J51" s="133"/>
      <c r="K51" s="133"/>
      <c r="L51" s="133"/>
      <c r="M51" s="133"/>
      <c r="N51" s="133"/>
      <c r="O51" s="133"/>
      <c r="P51" s="133"/>
      <c r="Q51" s="133"/>
      <c r="R51" s="133"/>
      <c r="S51" s="133"/>
    </row>
    <row r="52" spans="1:19" ht="16.95" customHeight="1" x14ac:dyDescent="0.3">
      <c r="A52" s="85"/>
      <c r="B52" s="134"/>
      <c r="C52" s="134"/>
      <c r="D52" s="134"/>
      <c r="E52" s="134"/>
      <c r="F52" s="134"/>
      <c r="G52" s="134"/>
      <c r="H52" s="134"/>
      <c r="I52" s="134"/>
      <c r="J52" s="134"/>
      <c r="K52" s="134"/>
      <c r="L52" s="134"/>
      <c r="M52" s="134"/>
      <c r="N52" s="134"/>
      <c r="O52" s="134"/>
      <c r="P52" s="134"/>
      <c r="Q52" s="134"/>
      <c r="R52" s="134"/>
      <c r="S52" s="134"/>
    </row>
    <row r="53" spans="1:19" ht="16.95" customHeight="1" x14ac:dyDescent="0.3">
      <c r="A53" s="85"/>
      <c r="B53" s="134"/>
      <c r="C53" s="134"/>
      <c r="D53" s="134"/>
      <c r="E53" s="134"/>
      <c r="F53" s="134"/>
      <c r="G53" s="134"/>
      <c r="H53" s="134"/>
      <c r="I53" s="134"/>
      <c r="J53" s="134"/>
      <c r="K53" s="134"/>
      <c r="L53" s="134"/>
      <c r="M53" s="134"/>
      <c r="N53" s="134"/>
      <c r="O53" s="134"/>
      <c r="P53" s="134"/>
      <c r="Q53" s="134"/>
      <c r="R53" s="134"/>
      <c r="S53" s="134"/>
    </row>
    <row r="54" spans="1:19" ht="16.95" customHeight="1" x14ac:dyDescent="0.3">
      <c r="A54" s="85"/>
      <c r="B54" s="134"/>
      <c r="C54" s="134"/>
      <c r="D54" s="134"/>
      <c r="E54" s="134"/>
      <c r="F54" s="134"/>
      <c r="G54" s="134"/>
      <c r="H54" s="134"/>
      <c r="I54" s="134"/>
      <c r="J54" s="134"/>
      <c r="K54" s="134"/>
      <c r="L54" s="134"/>
      <c r="M54" s="134"/>
      <c r="N54" s="134"/>
      <c r="O54" s="134"/>
      <c r="P54" s="134"/>
      <c r="Q54" s="134"/>
      <c r="R54" s="134"/>
      <c r="S54" s="134"/>
    </row>
    <row r="55" spans="1:19" ht="16.95" customHeight="1" x14ac:dyDescent="0.3">
      <c r="A55" s="85"/>
      <c r="B55" s="134"/>
      <c r="C55" s="134"/>
      <c r="D55" s="134"/>
      <c r="E55" s="134"/>
      <c r="F55" s="134"/>
      <c r="G55" s="134"/>
      <c r="H55" s="134"/>
      <c r="I55" s="134"/>
      <c r="J55" s="134"/>
      <c r="K55" s="134"/>
      <c r="L55" s="134"/>
      <c r="M55" s="134"/>
      <c r="N55" s="134"/>
      <c r="O55" s="134"/>
      <c r="P55" s="134"/>
      <c r="Q55" s="134"/>
      <c r="R55" s="134"/>
      <c r="S55" s="134"/>
    </row>
    <row r="56" spans="1:19" ht="16.95" customHeight="1" x14ac:dyDescent="0.3">
      <c r="A56" s="85"/>
      <c r="B56" s="134"/>
      <c r="C56" s="134"/>
      <c r="D56" s="134"/>
      <c r="E56" s="134"/>
      <c r="F56" s="134"/>
      <c r="G56" s="134"/>
      <c r="H56" s="134"/>
      <c r="I56" s="134"/>
      <c r="J56" s="134"/>
      <c r="K56" s="134"/>
      <c r="L56" s="134"/>
      <c r="M56" s="134"/>
      <c r="N56" s="134"/>
      <c r="O56" s="134"/>
      <c r="P56" s="134"/>
      <c r="Q56" s="134"/>
      <c r="R56" s="134"/>
      <c r="S56" s="134"/>
    </row>
    <row r="57" spans="1:19" ht="16.95" customHeight="1" x14ac:dyDescent="0.3">
      <c r="A57" s="85"/>
      <c r="B57" s="134"/>
      <c r="C57" s="134"/>
      <c r="D57" s="134"/>
      <c r="E57" s="134"/>
      <c r="F57" s="134"/>
      <c r="G57" s="134"/>
      <c r="H57" s="134"/>
      <c r="I57" s="134"/>
      <c r="J57" s="134"/>
      <c r="K57" s="134"/>
      <c r="L57" s="134"/>
      <c r="M57" s="134"/>
      <c r="N57" s="134"/>
      <c r="O57" s="134"/>
      <c r="P57" s="134"/>
      <c r="Q57" s="134"/>
      <c r="R57" s="134"/>
      <c r="S57" s="134"/>
    </row>
    <row r="58" spans="1:19" ht="16.95" customHeight="1" x14ac:dyDescent="0.3">
      <c r="A58" s="85"/>
      <c r="B58" s="134"/>
      <c r="C58" s="134"/>
      <c r="D58" s="134"/>
      <c r="E58" s="134"/>
      <c r="F58" s="134"/>
      <c r="G58" s="134"/>
      <c r="H58" s="134"/>
      <c r="I58" s="134"/>
      <c r="J58" s="134"/>
      <c r="K58" s="134"/>
      <c r="L58" s="134"/>
      <c r="M58" s="134"/>
      <c r="N58" s="134"/>
      <c r="O58" s="134"/>
      <c r="P58" s="134"/>
      <c r="Q58" s="134"/>
      <c r="R58" s="134"/>
      <c r="S58" s="134"/>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5" t="s">
        <v>88</v>
      </c>
      <c r="C60" s="135"/>
      <c r="D60" s="135"/>
      <c r="E60" s="135"/>
      <c r="F60" s="135"/>
      <c r="G60" s="135"/>
      <c r="H60" s="135"/>
      <c r="I60" s="135"/>
      <c r="J60" s="135"/>
      <c r="K60" s="135"/>
      <c r="L60" s="135"/>
      <c r="M60" s="135"/>
      <c r="N60" s="135"/>
      <c r="O60" s="135"/>
      <c r="P60" s="135"/>
      <c r="Q60" s="135"/>
      <c r="R60" s="135"/>
      <c r="S60" s="135"/>
    </row>
    <row r="61" spans="1:19" ht="16.95" customHeight="1" x14ac:dyDescent="0.3">
      <c r="B61" s="133" t="s">
        <v>165</v>
      </c>
      <c r="C61" s="133"/>
      <c r="D61" s="133"/>
      <c r="E61" s="133"/>
      <c r="F61" s="133"/>
      <c r="G61" s="133"/>
      <c r="H61" s="133"/>
      <c r="I61" s="133"/>
      <c r="J61" s="133"/>
      <c r="K61" s="133"/>
      <c r="L61" s="133"/>
      <c r="M61" s="133"/>
      <c r="N61" s="133"/>
      <c r="O61" s="133"/>
      <c r="P61" s="133"/>
      <c r="Q61" s="133"/>
      <c r="R61" s="133"/>
      <c r="S61" s="133"/>
    </row>
    <row r="62" spans="1:19" ht="16.95" customHeight="1" x14ac:dyDescent="0.3">
      <c r="A62" s="85"/>
      <c r="B62" s="134"/>
      <c r="C62" s="134"/>
      <c r="D62" s="134"/>
      <c r="E62" s="134"/>
      <c r="F62" s="134"/>
      <c r="G62" s="134"/>
      <c r="H62" s="134"/>
      <c r="I62" s="134"/>
      <c r="J62" s="134"/>
      <c r="K62" s="134"/>
      <c r="L62" s="134"/>
      <c r="M62" s="134"/>
      <c r="N62" s="134"/>
      <c r="O62" s="134"/>
      <c r="P62" s="134"/>
      <c r="Q62" s="134"/>
      <c r="R62" s="134"/>
      <c r="S62" s="134"/>
    </row>
    <row r="63" spans="1:19" ht="13.95" customHeight="1" x14ac:dyDescent="0.3"/>
    <row r="64" spans="1:19" ht="15" customHeight="1" x14ac:dyDescent="0.3">
      <c r="B64" s="135" t="s">
        <v>94</v>
      </c>
      <c r="C64" s="135"/>
      <c r="D64" s="135"/>
      <c r="E64" s="135"/>
      <c r="F64" s="135"/>
      <c r="G64" s="135"/>
      <c r="H64" s="135"/>
      <c r="I64" s="135"/>
      <c r="J64" s="135"/>
      <c r="K64" s="135"/>
      <c r="L64" s="135"/>
      <c r="M64" s="135"/>
      <c r="N64" s="135"/>
      <c r="O64" s="135"/>
      <c r="P64" s="135"/>
      <c r="Q64" s="135"/>
      <c r="R64" s="135"/>
      <c r="S64" s="135"/>
    </row>
    <row r="65" spans="1:19" ht="19.2" customHeight="1" x14ac:dyDescent="0.3">
      <c r="B65" s="133" t="s">
        <v>166</v>
      </c>
      <c r="C65" s="133"/>
      <c r="D65" s="133"/>
      <c r="E65" s="133"/>
      <c r="F65" s="133"/>
      <c r="G65" s="133"/>
      <c r="H65" s="133"/>
      <c r="I65" s="133"/>
      <c r="J65" s="133"/>
      <c r="K65" s="133"/>
      <c r="L65" s="133"/>
      <c r="M65" s="133"/>
      <c r="N65" s="133"/>
      <c r="O65" s="133"/>
      <c r="P65" s="133"/>
      <c r="Q65" s="133"/>
      <c r="R65" s="133"/>
      <c r="S65" s="133"/>
    </row>
    <row r="66" spans="1:19" ht="16.95" customHeight="1" x14ac:dyDescent="0.3">
      <c r="A66" s="85"/>
      <c r="B66" s="134"/>
      <c r="C66" s="134"/>
      <c r="D66" s="134"/>
      <c r="E66" s="134"/>
      <c r="F66" s="134"/>
      <c r="G66" s="134"/>
      <c r="H66" s="134"/>
      <c r="I66" s="134"/>
      <c r="J66" s="134"/>
      <c r="K66" s="134"/>
      <c r="L66" s="134"/>
      <c r="M66" s="134"/>
      <c r="N66" s="134"/>
      <c r="O66" s="134"/>
      <c r="P66" s="134"/>
      <c r="Q66" s="134"/>
      <c r="R66" s="134"/>
      <c r="S66" s="134"/>
    </row>
    <row r="67" spans="1:19" ht="16.95" customHeight="1" x14ac:dyDescent="0.3">
      <c r="A67" s="85"/>
      <c r="B67" s="134"/>
      <c r="C67" s="134"/>
      <c r="D67" s="134"/>
      <c r="E67" s="134"/>
      <c r="F67" s="134"/>
      <c r="G67" s="134"/>
      <c r="H67" s="134"/>
      <c r="I67" s="134"/>
      <c r="J67" s="134"/>
      <c r="K67" s="134"/>
      <c r="L67" s="134"/>
      <c r="M67" s="134"/>
      <c r="N67" s="134"/>
      <c r="O67" s="134"/>
      <c r="P67" s="134"/>
      <c r="Q67" s="134"/>
      <c r="R67" s="134"/>
      <c r="S67" s="134"/>
    </row>
    <row r="68" spans="1:19" ht="16.95" customHeight="1" x14ac:dyDescent="0.3">
      <c r="A68" s="85"/>
      <c r="B68" s="134"/>
      <c r="C68" s="134"/>
      <c r="D68" s="134"/>
      <c r="E68" s="134"/>
      <c r="F68" s="134"/>
      <c r="G68" s="134"/>
      <c r="H68" s="134"/>
      <c r="I68" s="134"/>
      <c r="J68" s="134"/>
      <c r="K68" s="134"/>
      <c r="L68" s="134"/>
      <c r="M68" s="134"/>
      <c r="N68" s="134"/>
      <c r="O68" s="134"/>
      <c r="P68" s="134"/>
      <c r="Q68" s="134"/>
      <c r="R68" s="134"/>
      <c r="S68" s="134"/>
    </row>
    <row r="69" spans="1:19" ht="16.95" customHeight="1" x14ac:dyDescent="0.3"/>
    <row r="70" spans="1:19" ht="16.95" customHeight="1" x14ac:dyDescent="0.3">
      <c r="B70" s="151" t="s">
        <v>90</v>
      </c>
      <c r="C70" s="151"/>
      <c r="D70" s="151"/>
      <c r="E70" s="151"/>
      <c r="F70" s="151"/>
      <c r="G70" s="151"/>
      <c r="H70" s="151" t="s">
        <v>91</v>
      </c>
      <c r="I70" s="151"/>
      <c r="J70" s="151"/>
      <c r="K70" s="151"/>
      <c r="L70" s="151"/>
      <c r="M70" s="151" t="s">
        <v>92</v>
      </c>
      <c r="N70" s="151"/>
      <c r="O70" s="151"/>
      <c r="P70" s="151" t="s">
        <v>93</v>
      </c>
      <c r="Q70" s="151"/>
      <c r="R70" s="151"/>
      <c r="S70" s="151"/>
    </row>
    <row r="71" spans="1:19" ht="16.95" customHeight="1" x14ac:dyDescent="0.3">
      <c r="B71" s="149" t="s">
        <v>149</v>
      </c>
      <c r="C71" s="149"/>
      <c r="D71" s="149"/>
      <c r="E71" s="149"/>
      <c r="F71" s="149"/>
      <c r="G71" s="149"/>
      <c r="H71" s="150">
        <v>181228362</v>
      </c>
      <c r="I71" s="150"/>
      <c r="J71" s="150"/>
      <c r="K71" s="150"/>
      <c r="L71" s="150"/>
      <c r="M71" s="152">
        <v>45793</v>
      </c>
      <c r="N71" s="152"/>
      <c r="O71" s="152"/>
      <c r="P71" s="150" t="s">
        <v>159</v>
      </c>
      <c r="Q71" s="150"/>
      <c r="R71" s="150"/>
      <c r="S71" s="15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07" t="str">
        <f>O1</f>
        <v>CERTIFICADO N°:</v>
      </c>
      <c r="P76" s="107"/>
      <c r="Q76" s="107"/>
      <c r="R76" s="106">
        <f>R1</f>
        <v>0</v>
      </c>
      <c r="S76" s="106"/>
    </row>
    <row r="77" spans="1:19" ht="16.95" customHeight="1" x14ac:dyDescent="0.3"/>
    <row r="78" spans="1:19" ht="16.95" customHeight="1" x14ac:dyDescent="0.3">
      <c r="B78" s="108" t="s">
        <v>95</v>
      </c>
      <c r="C78" s="108"/>
      <c r="D78" s="108"/>
      <c r="E78" s="108"/>
      <c r="F78" s="108"/>
      <c r="G78" s="108"/>
      <c r="H78" s="108"/>
      <c r="I78" s="108"/>
      <c r="J78" s="108"/>
      <c r="K78" s="108"/>
      <c r="L78" s="108"/>
      <c r="M78" s="108"/>
      <c r="N78" s="108"/>
      <c r="O78" s="108"/>
      <c r="P78" s="108"/>
      <c r="Q78" s="108"/>
      <c r="R78" s="108"/>
      <c r="S78" s="108"/>
    </row>
    <row r="79" spans="1:19" ht="16.649999999999999" customHeight="1" x14ac:dyDescent="0.3"/>
    <row r="80" spans="1:19" ht="16.649999999999999" customHeight="1" x14ac:dyDescent="0.3">
      <c r="B80" s="50" t="s">
        <v>139</v>
      </c>
      <c r="C80" s="50"/>
      <c r="D80" s="50"/>
      <c r="E80" s="50"/>
      <c r="F80" s="50"/>
      <c r="G80" s="50"/>
      <c r="H80" s="50"/>
      <c r="I80" s="112" t="s">
        <v>141</v>
      </c>
      <c r="J80" s="112"/>
      <c r="K80" s="112"/>
      <c r="L80" s="112"/>
      <c r="M80" s="112"/>
      <c r="N80" s="111" t="s">
        <v>140</v>
      </c>
      <c r="O80" s="111"/>
      <c r="P80" s="105" t="s">
        <v>158</v>
      </c>
      <c r="Q80" s="105"/>
      <c r="R80" s="105"/>
      <c r="S80" s="105"/>
    </row>
    <row r="81" spans="2:19" ht="16.95" customHeight="1" x14ac:dyDescent="0.3"/>
    <row r="82" spans="2:19" ht="16.649999999999999" customHeight="1" x14ac:dyDescent="0.3">
      <c r="B82" s="110" t="s">
        <v>142</v>
      </c>
      <c r="C82" s="110"/>
      <c r="D82" s="109" t="s">
        <v>119</v>
      </c>
      <c r="E82" s="109"/>
      <c r="F82" s="109"/>
      <c r="G82" s="109"/>
      <c r="H82" s="109"/>
      <c r="I82" s="109"/>
      <c r="J82" s="109"/>
      <c r="K82" s="109"/>
      <c r="L82" s="113"/>
      <c r="M82" s="114"/>
      <c r="N82" s="114"/>
      <c r="O82" s="114"/>
      <c r="P82" s="114"/>
      <c r="Q82" s="114"/>
      <c r="R82" s="114"/>
      <c r="S82" s="114"/>
    </row>
    <row r="83" spans="2:19" ht="36" customHeight="1" x14ac:dyDescent="0.3">
      <c r="B83" s="110"/>
      <c r="C83" s="110"/>
      <c r="D83" s="110" t="s">
        <v>143</v>
      </c>
      <c r="E83" s="110"/>
      <c r="F83" s="110" t="s">
        <v>144</v>
      </c>
      <c r="G83" s="110"/>
      <c r="H83" s="110" t="s">
        <v>145</v>
      </c>
      <c r="I83" s="110"/>
      <c r="J83" s="110" t="s">
        <v>146</v>
      </c>
      <c r="K83" s="110"/>
      <c r="L83" s="110" t="s">
        <v>147</v>
      </c>
      <c r="M83" s="110"/>
      <c r="N83" s="110" t="s">
        <v>148</v>
      </c>
      <c r="O83" s="110"/>
      <c r="P83" s="110" t="s">
        <v>168</v>
      </c>
      <c r="Q83" s="110"/>
      <c r="R83" s="110"/>
      <c r="S83" s="87" t="s">
        <v>14</v>
      </c>
    </row>
    <row r="84" spans="2:19" x14ac:dyDescent="0.3">
      <c r="B84" s="115">
        <f>MEDIDA!B6</f>
        <v>160000</v>
      </c>
      <c r="C84" s="115"/>
      <c r="D84" s="116">
        <f>MEDIDA!D6</f>
        <v>159122</v>
      </c>
      <c r="E84" s="116"/>
      <c r="F84" s="116">
        <f ca="1">MEDIDA!F6</f>
        <v>159126.9525800109</v>
      </c>
      <c r="G84" s="116"/>
      <c r="H84" s="116">
        <f ca="1">MEDIDA!H6</f>
        <v>159135.71249056252</v>
      </c>
      <c r="I84" s="116"/>
      <c r="J84" s="116">
        <f ca="1">MEDIDA!J6</f>
        <v>159127.11439300005</v>
      </c>
      <c r="K84" s="116"/>
      <c r="L84" s="116">
        <f ca="1">MEDIDA!L6</f>
        <v>159127.94486589337</v>
      </c>
      <c r="M84" s="116"/>
      <c r="N84" s="116">
        <f ca="1">MEDIDA!N6</f>
        <v>872.05513410663116</v>
      </c>
      <c r="O84" s="116"/>
      <c r="P84" s="116">
        <v>200</v>
      </c>
      <c r="Q84" s="116"/>
      <c r="R84" s="116"/>
      <c r="S84" s="92">
        <v>2</v>
      </c>
    </row>
    <row r="85" spans="2:19" ht="16.2" customHeight="1" x14ac:dyDescent="0.3"/>
    <row r="86" spans="2:19" ht="16.95" customHeight="1" x14ac:dyDescent="0.3"/>
    <row r="87" spans="2:19" ht="16.95" customHeight="1" x14ac:dyDescent="0.3"/>
    <row r="88" spans="2:19" ht="16.95" customHeight="1" x14ac:dyDescent="0.3"/>
    <row r="89" spans="2:19" ht="24" customHeight="1" x14ac:dyDescent="0.3"/>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c r="B98" s="108" t="s">
        <v>96</v>
      </c>
      <c r="C98" s="108"/>
      <c r="D98" s="108"/>
      <c r="E98" s="108"/>
      <c r="F98" s="108"/>
      <c r="G98" s="108"/>
      <c r="H98" s="108"/>
      <c r="I98" s="108"/>
      <c r="J98" s="108"/>
      <c r="K98" s="108"/>
      <c r="L98" s="108"/>
      <c r="M98" s="108"/>
      <c r="N98" s="108"/>
      <c r="O98" s="108"/>
      <c r="P98" s="108"/>
      <c r="Q98" s="108"/>
      <c r="R98" s="108"/>
      <c r="S98" s="108"/>
    </row>
    <row r="99" spans="2:19" ht="16.95" customHeight="1" x14ac:dyDescent="0.3"/>
    <row r="100" spans="2:19" ht="16.95" customHeight="1" x14ac:dyDescent="0.3">
      <c r="B100" s="117" t="s">
        <v>97</v>
      </c>
      <c r="C100" s="117"/>
      <c r="D100" s="117"/>
      <c r="E100" s="117"/>
      <c r="F100" s="117"/>
      <c r="G100" s="117"/>
      <c r="I100" s="76" t="s">
        <v>98</v>
      </c>
      <c r="J100" s="76"/>
      <c r="K100" s="76"/>
      <c r="L100" s="76"/>
      <c r="M100" s="76"/>
      <c r="N100" s="76"/>
      <c r="O100" s="76"/>
      <c r="P100" s="76"/>
      <c r="Q100" s="76"/>
      <c r="R100" s="76"/>
      <c r="S100" s="76"/>
    </row>
    <row r="101" spans="2:19" ht="19.95" customHeight="1" x14ac:dyDescent="0.3">
      <c r="B101" s="118" t="s">
        <v>99</v>
      </c>
      <c r="C101" s="118"/>
      <c r="D101" s="118"/>
      <c r="E101" s="118"/>
      <c r="F101" s="118"/>
      <c r="G101" s="118"/>
      <c r="I101" s="76" t="s">
        <v>98</v>
      </c>
    </row>
    <row r="102" spans="2:19" x14ac:dyDescent="0.3">
      <c r="B102" s="117" t="s">
        <v>100</v>
      </c>
      <c r="C102" s="117"/>
      <c r="D102" s="117"/>
      <c r="E102" s="117"/>
      <c r="F102" s="117"/>
      <c r="G102" s="117"/>
      <c r="I102" s="76" t="s">
        <v>98</v>
      </c>
      <c r="J102" s="76"/>
      <c r="K102" s="76"/>
      <c r="L102" s="76"/>
      <c r="M102" s="76"/>
      <c r="N102" s="76"/>
      <c r="O102" s="76"/>
      <c r="P102" s="76"/>
      <c r="Q102" s="76"/>
      <c r="R102" s="76"/>
      <c r="S102" s="76"/>
    </row>
    <row r="103" spans="2:19" x14ac:dyDescent="0.3">
      <c r="B103" s="153" t="s">
        <v>101</v>
      </c>
      <c r="C103" s="153"/>
      <c r="D103" s="153"/>
      <c r="E103" s="153"/>
      <c r="F103" s="153"/>
      <c r="G103" s="153"/>
      <c r="I103" s="154" t="s">
        <v>98</v>
      </c>
      <c r="J103" s="154"/>
      <c r="K103" s="154"/>
      <c r="L103" s="154"/>
      <c r="M103" s="86"/>
      <c r="N103" s="86"/>
      <c r="O103" s="86"/>
      <c r="P103" s="86"/>
      <c r="Q103" s="86"/>
      <c r="R103" s="86"/>
      <c r="S103" s="86"/>
    </row>
    <row r="104" spans="2:19" ht="16.649999999999999" customHeight="1" x14ac:dyDescent="0.3"/>
    <row r="105" spans="2:19" ht="16.95" customHeight="1" x14ac:dyDescent="0.3"/>
    <row r="106" spans="2:19" ht="16.95" customHeight="1" x14ac:dyDescent="0.3">
      <c r="B106" s="127" t="s">
        <v>167</v>
      </c>
      <c r="C106" s="127"/>
      <c r="D106" s="127"/>
      <c r="E106" s="127"/>
      <c r="F106" s="127"/>
      <c r="G106" s="127"/>
      <c r="H106" s="127"/>
      <c r="I106" s="127"/>
      <c r="J106" s="127"/>
      <c r="K106" s="127"/>
      <c r="L106" s="127"/>
      <c r="M106" s="127"/>
      <c r="N106" s="127"/>
      <c r="O106" s="127"/>
      <c r="P106" s="127"/>
      <c r="Q106" s="127"/>
      <c r="R106" s="127"/>
      <c r="S106" s="127"/>
    </row>
    <row r="107" spans="2:19" ht="16.95" customHeight="1" x14ac:dyDescent="0.3"/>
    <row r="108" spans="2:19" ht="16.95" customHeight="1" x14ac:dyDescent="0.3"/>
    <row r="112" spans="2:19" ht="16.649999999999999" customHeight="1" x14ac:dyDescent="0.3"/>
    <row r="113" ht="16.649999999999999" customHeight="1" x14ac:dyDescent="0.3"/>
    <row r="114" ht="16.649999999999999" customHeight="1" x14ac:dyDescent="0.3"/>
    <row r="115" ht="16.95" customHeight="1" x14ac:dyDescent="0.3"/>
    <row r="116" ht="16.95" customHeight="1" x14ac:dyDescent="0.3"/>
    <row r="117" ht="24" customHeight="1" x14ac:dyDescent="0.3"/>
    <row r="118" ht="16.95" customHeight="1" x14ac:dyDescent="0.3"/>
    <row r="119" ht="16.95" customHeight="1" x14ac:dyDescent="0.3"/>
    <row r="120" ht="16.95" customHeight="1" x14ac:dyDescent="0.3"/>
    <row r="121" ht="16.95" customHeight="1" x14ac:dyDescent="0.3"/>
    <row r="122" ht="16.95" customHeight="1" x14ac:dyDescent="0.3"/>
    <row r="126" ht="24" customHeight="1" x14ac:dyDescent="0.3"/>
    <row r="127" ht="16.95" customHeight="1" x14ac:dyDescent="0.3"/>
    <row r="128" ht="16.95" customHeight="1" x14ac:dyDescent="0.3"/>
    <row r="129" ht="16.95" customHeight="1" x14ac:dyDescent="0.3"/>
    <row r="130" ht="16.95" customHeight="1" x14ac:dyDescent="0.3"/>
    <row r="131" ht="16.95" customHeight="1" x14ac:dyDescent="0.3"/>
    <row r="135" ht="24" customHeight="1" x14ac:dyDescent="0.3"/>
    <row r="147" spans="20:20" ht="16.2" customHeight="1" x14ac:dyDescent="0.3">
      <c r="T147" s="50"/>
    </row>
    <row r="148" spans="20:20" ht="11.4" customHeight="1" x14ac:dyDescent="0.3"/>
    <row r="152" spans="20:20" ht="16.95" customHeight="1" x14ac:dyDescent="0.3"/>
    <row r="153" spans="20:20" ht="24" customHeight="1" x14ac:dyDescent="0.3"/>
    <row r="157" spans="20:20" ht="16.95" customHeight="1" x14ac:dyDescent="0.3"/>
    <row r="161" spans="20:20" ht="24" customHeight="1" x14ac:dyDescent="0.3"/>
    <row r="172" spans="20:20" x14ac:dyDescent="0.3">
      <c r="T172" s="86"/>
    </row>
  </sheetData>
  <mergeCells count="96">
    <mergeCell ref="B106:S106"/>
    <mergeCell ref="P83:R83"/>
    <mergeCell ref="D83:E83"/>
    <mergeCell ref="F83:G83"/>
    <mergeCell ref="H83:I83"/>
    <mergeCell ref="J83:K83"/>
    <mergeCell ref="L83:M83"/>
    <mergeCell ref="N83:O83"/>
    <mergeCell ref="B98:S98"/>
    <mergeCell ref="B100:G100"/>
    <mergeCell ref="B101:G101"/>
    <mergeCell ref="B102:G102"/>
    <mergeCell ref="B103:G103"/>
    <mergeCell ref="I103:L103"/>
    <mergeCell ref="N84:O84"/>
    <mergeCell ref="B71:G71"/>
    <mergeCell ref="B51:S58"/>
    <mergeCell ref="B61:S62"/>
    <mergeCell ref="B65:S68"/>
    <mergeCell ref="P71:S71"/>
    <mergeCell ref="H70:L70"/>
    <mergeCell ref="H71:L71"/>
    <mergeCell ref="M70:O70"/>
    <mergeCell ref="M71:O71"/>
    <mergeCell ref="P70:S70"/>
    <mergeCell ref="B70:G70"/>
    <mergeCell ref="B50:S50"/>
    <mergeCell ref="B60:S60"/>
    <mergeCell ref="B64:S64"/>
    <mergeCell ref="F45:J45"/>
    <mergeCell ref="F48:J48"/>
    <mergeCell ref="F46:G46"/>
    <mergeCell ref="K46:L46"/>
    <mergeCell ref="K48:P48"/>
    <mergeCell ref="K45:O45"/>
    <mergeCell ref="C19:G19"/>
    <mergeCell ref="I33:L33"/>
    <mergeCell ref="R38:S38"/>
    <mergeCell ref="O38:Q38"/>
    <mergeCell ref="B41:S43"/>
    <mergeCell ref="B40:S40"/>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3:R3"/>
    <mergeCell ref="I9:R9"/>
    <mergeCell ref="I10:R10"/>
    <mergeCell ref="I11:R11"/>
    <mergeCell ref="I12:R12"/>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P80:S80"/>
    <mergeCell ref="R76:S76"/>
    <mergeCell ref="P84:R84"/>
    <mergeCell ref="O76:Q76"/>
    <mergeCell ref="B78:S78"/>
    <mergeCell ref="D82:K82"/>
    <mergeCell ref="B82:C83"/>
    <mergeCell ref="N80:O80"/>
    <mergeCell ref="I80:M80"/>
    <mergeCell ref="L82:S82"/>
    <mergeCell ref="B84:C84"/>
    <mergeCell ref="D84:E84"/>
    <mergeCell ref="F84:G84"/>
    <mergeCell ref="H84:I84"/>
    <mergeCell ref="J84:K84"/>
    <mergeCell ref="L84:M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2026-05-05T20:08:37Z</dcterms:modified>
</cp:coreProperties>
</file>