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3D7B9DB-4928-4A4B-B2C6-D65D7E22E367}"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21" l="1"/>
  <c r="C7" i="21"/>
  <c r="C5" i="21"/>
  <c r="D9" i="20"/>
  <c r="Q9" i="20" s="1"/>
  <c r="D8" i="20"/>
  <c r="Q8" i="20" s="1"/>
  <c r="D7" i="20"/>
  <c r="Q7" i="20" s="1"/>
  <c r="F8" i="20"/>
  <c r="F9" i="20"/>
  <c r="F7" i="20"/>
  <c r="I7" i="31"/>
  <c r="R1" i="31"/>
  <c r="F6" i="21" l="1"/>
  <c r="F7" i="21"/>
  <c r="F5" i="21"/>
  <c r="N46" i="31"/>
  <c r="K46" i="31"/>
  <c r="I46" i="31"/>
  <c r="F46" i="31"/>
  <c r="M32" i="31"/>
  <c r="M31" i="31"/>
  <c r="I18" i="31"/>
  <c r="I19" i="31"/>
  <c r="I20" i="31"/>
  <c r="I21" i="31"/>
  <c r="I17" i="31"/>
  <c r="I13" i="31"/>
  <c r="I12" i="31"/>
  <c r="I11" i="31"/>
  <c r="I10" i="31"/>
  <c r="I9" i="31"/>
  <c r="I8" i="31"/>
  <c r="I6" i="31"/>
  <c r="I5" i="31"/>
  <c r="B10" i="23"/>
  <c r="B9" i="23"/>
  <c r="E83" i="31" l="1"/>
  <c r="G83" i="31"/>
  <c r="I83" i="31"/>
  <c r="S7" i="20"/>
  <c r="I5" i="21"/>
  <c r="D5" i="21"/>
  <c r="G5" i="21"/>
  <c r="E84" i="31"/>
  <c r="G84" i="31"/>
  <c r="I84" i="31"/>
  <c r="S8" i="20"/>
  <c r="U8" i="20"/>
  <c r="K84" i="31" s="1"/>
  <c r="D6" i="21"/>
  <c r="G6" i="21"/>
  <c r="I6" i="21"/>
  <c r="J6" i="21" s="1"/>
  <c r="K6" i="21" s="1"/>
  <c r="E85" i="31"/>
  <c r="G85" i="31"/>
  <c r="I85" i="31"/>
  <c r="S9" i="20"/>
  <c r="D7" i="21"/>
  <c r="G7" i="21"/>
  <c r="I7" i="21"/>
  <c r="J7" i="21" s="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4" i="31"/>
  <c r="O74"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6" i="21" l="1"/>
  <c r="P84" i="31"/>
  <c r="L7" i="21"/>
  <c r="P85" i="31"/>
  <c r="A284" i="29"/>
  <c r="C292" i="29" s="1"/>
  <c r="D292" i="29" s="1"/>
  <c r="E292" i="29" s="1"/>
  <c r="M84" i="31"/>
  <c r="J5" i="21"/>
  <c r="K5" i="21" s="1"/>
  <c r="P83" i="31" s="1"/>
  <c r="J287" i="29"/>
  <c r="U9" i="20"/>
  <c r="K85" i="31" s="1"/>
  <c r="U7" i="20"/>
  <c r="K83" i="31" s="1"/>
  <c r="R38" i="31"/>
  <c r="E289" i="29" l="1"/>
  <c r="J286" i="29"/>
  <c r="C283" i="29"/>
  <c r="D283" i="29" s="1"/>
  <c r="E286" i="29"/>
  <c r="F289" i="29" s="1"/>
  <c r="G286" i="29" s="1"/>
  <c r="H286" i="29" s="1"/>
  <c r="A324" i="29"/>
  <c r="M85" i="31"/>
  <c r="L5" i="21"/>
  <c r="E283" i="29" l="1"/>
  <c r="F283" i="29" s="1"/>
  <c r="C286" i="29" s="1"/>
  <c r="D284" i="29"/>
  <c r="C332" i="29"/>
  <c r="D332" i="29" s="1"/>
  <c r="E332" i="29" s="1"/>
  <c r="J327" i="29"/>
  <c r="E329" i="29"/>
  <c r="J326" i="29"/>
  <c r="E326" i="29"/>
  <c r="F329" i="29" s="1"/>
  <c r="C323" i="29"/>
  <c r="D323" i="29" s="1"/>
  <c r="F286" i="29"/>
  <c r="M83"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A308" i="29"/>
  <c r="B284" i="29"/>
  <c r="D255" i="29"/>
  <c r="D257" i="29"/>
  <c r="E262" i="29"/>
  <c r="F265" i="29" s="1"/>
  <c r="J263" i="29"/>
  <c r="J262" i="29"/>
  <c r="C262" i="29"/>
  <c r="E265" i="29"/>
  <c r="C268" i="29"/>
  <c r="D268" i="29" s="1"/>
  <c r="E268" i="29" s="1"/>
  <c r="F254" i="29"/>
  <c r="H342" i="29" l="1"/>
  <c r="F342" i="29"/>
  <c r="G262" i="29"/>
  <c r="E310" i="29"/>
  <c r="F313" i="29" s="1"/>
  <c r="J311" i="29"/>
  <c r="J310" i="29"/>
  <c r="E313" i="29"/>
  <c r="G310" i="29" s="1"/>
  <c r="C310" i="29"/>
  <c r="C316" i="29"/>
  <c r="D316" i="29" s="1"/>
  <c r="E316" i="29" s="1"/>
  <c r="D343" i="29"/>
  <c r="D345" i="29"/>
  <c r="A348" i="29"/>
  <c r="B324" i="29"/>
  <c r="C263" i="29"/>
  <c r="C264" i="29" s="1"/>
  <c r="K262" i="29" s="1"/>
  <c r="D262" i="29"/>
  <c r="H310" i="29" l="1"/>
  <c r="F310" i="29"/>
  <c r="H262" i="29"/>
  <c r="F262" i="29"/>
  <c r="D310" i="29"/>
  <c r="C311" i="29"/>
  <c r="C312" i="29" s="1"/>
  <c r="K310" i="29" s="1"/>
  <c r="A316" i="29" s="1"/>
  <c r="C350" i="29"/>
  <c r="J350" i="29"/>
  <c r="E350" i="29"/>
  <c r="F353" i="29" s="1"/>
  <c r="J351" i="29"/>
  <c r="C356" i="29"/>
  <c r="D356" i="29" s="1"/>
  <c r="E356" i="29" s="1"/>
  <c r="E353" i="29"/>
  <c r="A268" i="29"/>
  <c r="B244" i="29"/>
  <c r="E273" i="29"/>
  <c r="C270" i="29"/>
  <c r="J270" i="29"/>
  <c r="D263" i="29"/>
  <c r="D265" i="29"/>
  <c r="C276" i="29" l="1"/>
  <c r="D276" i="29" s="1"/>
  <c r="E276" i="29" s="1"/>
  <c r="J271" i="29"/>
  <c r="E270" i="29"/>
  <c r="F273" i="29" s="1"/>
  <c r="G270" i="29" s="1"/>
  <c r="G350" i="29"/>
  <c r="D350" i="29"/>
  <c r="C351" i="29"/>
  <c r="C352" i="29" s="1"/>
  <c r="K350" i="29" s="1"/>
  <c r="A356" i="29" s="1"/>
  <c r="C318" i="29"/>
  <c r="C319" i="29" s="1"/>
  <c r="C320" i="29" s="1"/>
  <c r="K318" i="29" s="1"/>
  <c r="E318" i="29"/>
  <c r="J319" i="29"/>
  <c r="J318" i="29"/>
  <c r="E321" i="29"/>
  <c r="D313" i="29"/>
  <c r="D311" i="29"/>
  <c r="D270" i="29"/>
  <c r="C271" i="29"/>
  <c r="C272" i="29" s="1"/>
  <c r="K270" i="29" s="1"/>
  <c r="A276" i="29" s="1"/>
  <c r="F270" i="29" l="1"/>
  <c r="H270" i="29"/>
  <c r="F321" i="29"/>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<sst xmlns="http://schemas.openxmlformats.org/spreadsheetml/2006/main" count="985" uniqueCount="168">
  <si>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</si>
  <si>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</si>
  <si>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</si>
  <si>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</si>
  <si>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</si>
  <si>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</si>
  <si>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</si>
  <si>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</si>
  <si>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</si>
  <si>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</si>
  <si>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</si>
  <si>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</si>
  <si>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</si>
  <si>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</si>
  <si>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</si>
  <si>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</si>
  <si>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</si>
  <si>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</si>
  <si>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</si>
  <si>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</si>
  <si>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</si>
  <si>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</si>
  <si>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</si>
  <si>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</si>
  <si>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</si>
  <si>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</si>
  <si>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</si>
  <si>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</si>
  <si>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</si>
  <si>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</si>
  <si>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</si>
  <si>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</si>
  <si>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</si>
  <si>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</si>
  <si>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</si>
  <si>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</si>
  <si>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</si>
  <si>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</si>
  <si>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</si>
  <si>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</si>
  <si>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</si>
  <si>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</si>
  <si>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</si>
  <si>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</si>
  <si>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</si>
  <si>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</si>
  <si>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</si>
  <si>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</si>
  <si>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</si>
  <si>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</si>
  <si>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</si>
  <si>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</si>
  <si>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</si>
  <si>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</si>
  <si>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</si>
  <si>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</si>
  <si>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</si>
  <si>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</si>
  <si>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</si>
  <si>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</si>
  <si>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</si>
  <si>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</si>
  <si>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</si>
  <si>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</si>
  <si>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</si>
  <si>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</si>
  <si>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</si>
  <si>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</si>
  <si>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</si>
  <si>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</si>
  <si>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</si>
  <si>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</si>
  <si>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</si>
  <si>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</si>
  <si>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</si>
  <si>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</si>
  <si>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</si>
  <si>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</si>
  <si>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</si>
  <si>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</si>
  <si>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</si>
  <si>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</si>
  <si>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</si>
  <si>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</si>
  <si>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</si>
  <si>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</si>
  <si>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</si>
  <si>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</si>
  <si>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</si>
  <si>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</si>
  <si>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</si>
  <si>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</si>
  <si>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</si>
  <si>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</si>
  <si>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</si>
  <si>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</si>
  <si>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</si>
  <si>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</si>
  <si>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</si>
  <si>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</si>
  <si>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</si>
  <si>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</si>
  <si>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</si>
  <si>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</si>
  <si>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</si>
  <si>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</si>
  <si>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</si>
  <si>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</si>
  <si>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</si>
  <si>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</si>
  <si>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</si>
  <si>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</si>
  <si>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</si>
  <si>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</si>
  <si>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</si>
  <si>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</si>
  <si>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</si>
  <si>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</si>
  <si>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</si>
  <si>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</si>
  <si>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</si>
  <si>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</si>
  <si>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</si>
  <si>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</si>
  <si>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</si>
  <si>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</si>
  <si>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</si>
  <si>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</si>
  <si>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</si>
  <si>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</si>
  <si>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</si>
  <si>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</si>
  <si>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</si>
  <si>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</si>
  <si>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</si>
  <si>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</si>
  <si>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</si>
  <si>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</si>
  <si>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</si>
  <si>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</si>
  <si>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</si>
  <si>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</si>
  <si>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</si>
  <si>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</si>
  <si>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</si>
  <si>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</si>
  <si>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</si>
  <si>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</si>
  <si>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</si>
  <si>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</si>
  <si>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</si>
  <si>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</si>
  <si>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</si>
  <si>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</si>
  <si>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</si>
  <si>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</si>
  <si>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</si>
  <si>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50 a 200</t>
  </si>
  <si>
    <t>Datalogger de Temperatura 4 Sondas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</si>
  <si>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</si>
  <si>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</si>
  <si>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</si>
  <si>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</si>
  <si>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</si>
  <si>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</si>
  <si>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calentador de paciente BTM-P-031.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</si>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</sst>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25" fillId="0" borderId="19"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25" fillId="0" borderId="19"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xf>
    <xf numFmtId="0" fontId="6" fillId="0" borderId="26" xfId="0" applyFont="1" applyBorder="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1" fillId="15" borderId="5" xfId="0" applyFont="1" applyFill="1" applyBorder="1" applyAlignment="1">
      <alignment horizontal="center"/>
    </xf>
    <xf numFmtId="0" fontId="11" fillId="14" borderId="5" xfId="0" applyFont="1" applyFill="1" applyBorder="1" applyAlignment="1">
      <alignment horizontal="center"/>
    </xf>
    <xf numFmtId="0" fontId="6" fillId="0" borderId="5" xfId="0" applyFont="1" applyBorder="1" applyAlignment="1">
      <alignment horizontal="center"/>
    </xf>
    <xf numFmtId="164" fontId="11" fillId="0" borderId="5" xfId="0" applyNumberFormat="1"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55336832895889"/>
          <c:y val="8.3333333333333329E-2"/>
          <c:w val="0.83755774278215223"/>
          <c:h val="0.63497494631352902"/>
        </c:manualLayout>
      </c:layout>
      <c:lineChart>
        <c:grouping val="standard"/>
        <c:varyColors val="0"/>
        <c:ser>
          <c:idx val="1"/>
          <c:order val="1"/>
          <c:spPr>
            <a:ln w="19050" cap="rnd">
              <a:solidFill>
                <a:schemeClr val="accent2"/>
              </a:solidFill>
              <a:round/>
            </a:ln>
            <a:effectLst/>
          </c:spPr>
          <c:marker>
            <c:symbol val="none"/>
          </c:marker>
          <c:errBars>
            <c:errDir val="y"/>
            <c:errBarType val="both"/>
            <c:errValType val="cust"/>
            <c:noEndCap val="0"/>
            <c:plus>
              <c:numRef>
                <c:f>INCERTIDUMBRE!$L$5:$L$7</c:f>
                <c:numCache>
                  <c:formatCode>General</c:formatCode>
                  <c:ptCount val="3"/>
                  <c:pt idx="0">
                    <c:v>0.64182111109492723</c:v>
                  </c:pt>
                  <c:pt idx="1">
                    <c:v>0.64182111109492723</c:v>
                  </c:pt>
                  <c:pt idx="2">
                    <c:v>0.64182111109492723</c:v>
                  </c:pt>
                </c:numCache>
              </c:numRef>
            </c:plus>
            <c:minus>
              <c:numRef>
                <c:f>INCERTIDUMBRE!$L$5:$L$7</c:f>
                <c:numCache>
                  <c:formatCode>General</c:formatCode>
                  <c:ptCount val="3"/>
                  <c:pt idx="0">
                    <c:v>0.64182111109492723</c:v>
                  </c:pt>
                  <c:pt idx="1">
                    <c:v>0.64182111109492723</c:v>
                  </c:pt>
                  <c:pt idx="2">
                    <c:v>0.64182111109492723</c:v>
                  </c:pt>
                </c:numCache>
              </c:numRef>
            </c:minus>
            <c:spPr>
              <a:noFill/>
              <a:ln w="9525" cap="flat" cmpd="sng" algn="ctr">
                <a:solidFill>
                  <a:schemeClr val="tx1">
                    <a:lumMod val="65000"/>
                    <a:lumOff val="35000"/>
                  </a:schemeClr>
                </a:solidFill>
                <a:round/>
              </a:ln>
              <a:effectLst/>
            </c:spPr>
          </c:errBars>
          <c:cat>
            <c:numRef>
              <c:f>MEDIDA!$O$7:$O$9</c:f>
              <c:numCache>
                <c:formatCode>General</c:formatCode>
                <c:ptCount val="3"/>
                <c:pt idx="0">
                  <c:v>50</c:v>
                </c:pt>
                <c:pt idx="1">
                  <c:v>100</c:v>
                </c:pt>
                <c:pt idx="2">
                  <c:v>200</c:v>
                </c:pt>
              </c:numCache>
            </c:numRef>
          </c:cat>
          <c:val>
            <c:numRef>
              <c:f>MEDIDA!$U$7:$U$9</c:f>
              <c:numCache>
                <c:formatCode>0.0</c:formatCode>
                <c:ptCount val="3"/>
                <c:pt idx="0">
                  <c:v>0.32999999999999829</c:v>
                </c:pt>
                <c:pt idx="1">
                  <c:v>-0.29000000000000625</c:v>
                </c:pt>
                <c:pt idx="2">
                  <c:v>2.0000000000010232E-2</c:v>
                </c:pt>
              </c:numCache>
            </c:numRef>
          </c: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smooth val="0"/>
        <c:axId val="1744029183"/>
        <c:axId val="1507378015"/>
        <c:extLst>
          <c:ext xmlns:c15="http://schemas.microsoft.com/office/drawing/2012/chart" uri="{02D57815-91ED-43cb-92C2-25804820EDAC}">
            <c15:filteredLineSeries>
              <c15:ser>
                <c:idx val="0"/>
                <c:order val="0"/>
                <c:spPr>
                  <a:ln w="19050"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c:ext uri="{02D57815-91ED-43cb-92C2-25804820EDAC}">
                        <c15:formulaRef>
                          <c15:sqref>MEDIDA!$O$7:$O$9</c15:sqref>
                        </c15:formulaRef>
                      </c:ext>
                    </c:extLst>
                    <c:numCache>
                      <c:formatCode>General</c:formatCode>
                      <c:ptCount val="3"/>
                      <c:pt idx="0">
                        <c:v>50</c:v>
                      </c:pt>
                      <c:pt idx="1">
                        <c:v>100</c:v>
                      </c:pt>
                      <c:pt idx="2">
                        <c:v>200</c:v>
                      </c:pt>
                    </c:numCache>
                  </c:numRef>
                </c:cat>
                <c:val>
                  <c:numRef>
                    <c:extLst>
                      <c:ext uri="{02D57815-91ED-43cb-92C2-25804820EDAC}">
                        <c15:formulaRef>
                          <c15:sqref>MEDIDA!$P$7:$P$9</c15:sqref>
                        </c15:formulaRef>
                      </c:ext>
                    </c:extLst>
                    <c:numCache>
                      <c:formatCode>General</c:formatCode>
                      <c:ptCount val="3"/>
                    </c:numCache>
                  </c:numRef>
                </c:val>
                <c:smooth val="0"/>
                <c:extLst>
                  <c:ext xmlns:c16="http://schemas.microsoft.com/office/drawing/2014/chart" uri="{C3380CC4-5D6E-409C-BE32-E72D297353CC}">
                    <c16:uniqueId val="{00000000-D468-4EDB-9BDC-C999B7CAEA2B}"/>
                  </c:ext>
                </c:extLst>
              </c15:ser>
            </c15:filteredLineSeries>
            <c15:filteredLineSeries>
              <c15:ser>
                <c:idx val="2"/>
                <c:order val="2"/>
                <c:spPr>
                  <a:ln w="19050"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xmlns:c15="http://schemas.microsoft.com/office/drawing/2012/chart">
                      <c:ext xmlns:c15="http://schemas.microsoft.com/office/drawing/2012/chart" uri="{02D57815-91ED-43cb-92C2-25804820EDAC}">
                        <c15:formulaRef>
                          <c15:sqref>MEDIDA!$O$7:$O$9</c15:sqref>
                        </c15:formulaRef>
                      </c:ext>
                    </c:extLst>
                    <c:numCache>
                      <c:formatCode>General</c:formatCode>
                      <c:ptCount val="3"/>
                      <c:pt idx="0">
                        <c:v>50</c:v>
                      </c:pt>
                      <c:pt idx="1">
                        <c:v>100</c:v>
                      </c:pt>
                      <c:pt idx="2">
                        <c:v>200</c:v>
                      </c:pt>
                    </c:numCache>
                  </c:numRef>
                </c:cat>
                <c:val>
                  <c:numRef>
                    <c:extLst xmlns:c15="http://schemas.microsoft.com/office/drawing/2012/chart">
                      <c:ext xmlns:c15="http://schemas.microsoft.com/office/drawing/2012/chart" uri="{02D57815-91ED-43cb-92C2-25804820EDAC}">
                        <c15:formulaRef>
                          <c15:sqref>MEDIDA!$V$7:$V$9</c15:sqref>
                        </c15:formulaRef>
                      </c:ext>
                    </c:extLst>
                    <c:numCache>
                      <c:formatCode>0.0</c:formatCode>
                      <c:ptCount val="3"/>
                    </c:numCache>
                  </c:numRef>
                </c:val>
                <c:smooth val="0"/>
                <c:extLst xmlns:c15="http://schemas.microsoft.com/office/drawing/2012/chart">
                  <c:ext xmlns:c16="http://schemas.microsoft.com/office/drawing/2014/chart" uri="{C3380CC4-5D6E-409C-BE32-E72D297353CC}">
                    <c16:uniqueId val="{00000002-D468-4EDB-9BDC-C999B7CAEA2B}"/>
                  </c:ext>
                </c:extLst>
              </c15:ser>
            </c15:filteredLineSeries>
          </c:ext>
        </c:extLst>
      </c:lineChart>
      <c:cat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auto val="1"/>
        <c:lblAlgn val="ctr"/>
        <c:lblOffset val="100"/>
        <c:noMultiLvlLbl val="1"/>
      </c:cat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b="0" i="0" u="none" strike="noStrike" kern="1200" baseline="0">
                    <a:solidFill>
                      <a:sysClr val="windowText" lastClr="000000">
                        <a:lumMod val="65000"/>
                        <a:lumOff val="35000"/>
                      </a:sysClr>
                    </a:solidFill>
                  </a:rPr>
                  <a:t>Error ± Incertidumbre (°C)</a:t>
                </a:r>
              </a:p>
            </c:rich>
          </c:tx>
          <c:layout>
            <c:manualLayout>
              <c:xMode val="edge"/>
              <c:yMode val="edge"/>
              <c:x val="1.9372294372294371E-2"/>
              <c:y val="8.3333333333333329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3</xdr:col>
      <xdr:colOff>15240</xdr:colOff>
      <xdr:row>87</xdr:row>
      <xdr:rowOff>152400</xdr:rowOff>
    </xdr:from>
    <xdr:to>
      <xdr:col>17</xdr:col>
      <xdr:colOff>15240</xdr:colOff>
      <xdr:row>96</xdr:row>
      <xdr:rowOff>91440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4" t="s">
        <v>104</v>
      </c>
      <c r="B1" s="175"/>
      <c r="C1" s="175"/>
      <c r="D1" s="175"/>
      <c r="E1" s="175"/>
      <c r="F1" s="175"/>
      <c r="G1" s="175"/>
      <c r="H1" s="176"/>
      <c r="I1"/>
      <c r="J1"/>
      <c r="K1"/>
      <c r="L1"/>
      <c r="M1"/>
      <c r="N1"/>
      <c r="O1" t="s">
        <v>116</v>
      </c>
      <c r="P1"/>
      <c r="Q1"/>
      <c r="R1"/>
      <c r="S1"/>
      <c r="T1"/>
      <c r="U1"/>
      <c r="V1"/>
      <c r="W1"/>
      <c r="X1"/>
      <c r="Y1"/>
      <c r="Z1"/>
      <c r="AA1"/>
      <c r="AB1"/>
      <c r="AC1"/>
      <c r="AD1"/>
      <c r="AE1"/>
    </row>
    <row r="2" spans="1:31" ht="14.4" x14ac:dyDescent="0.3">
      <c r="A2" s="110" t="s">
        <v>143</v>
      </c>
      <c r="B2" s="110" t="s">
        <v>144</v>
      </c>
      <c r="C2" s="110" t="s">
        <v>145</v>
      </c>
      <c r="D2" s="110" t="s">
        <v>146</v>
      </c>
      <c r="E2" s="110" t="s">
        <v>147</v>
      </c>
      <c r="F2" s="110" t="s">
        <v>148</v>
      </c>
      <c r="G2" s="110" t="s">
        <v>149</v>
      </c>
      <c r="H2" s="110" t="s">
        <v>150</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7" t="s">
        <v>105</v>
      </c>
      <c r="B6" s="177"/>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t="s">
        <v>151</v>
      </c>
      <c r="H7"/>
      <c r="I7"/>
      <c r="J7"/>
      <c r="K7"/>
      <c r="L7"/>
      <c r="M7"/>
      <c r="N7"/>
      <c r="O7"/>
      <c r="P7"/>
      <c r="Q7"/>
      <c r="R7"/>
      <c r="S7"/>
      <c r="T7"/>
      <c r="U7"/>
      <c r="V7"/>
      <c r="W7"/>
      <c r="X7"/>
      <c r="Y7"/>
      <c r="Z7"/>
      <c r="AA7"/>
      <c r="AB7"/>
      <c r="AC7"/>
      <c r="AD7"/>
      <c r="AE7"/>
    </row>
    <row r="8" spans="1:31" ht="12.75" customHeight="1" x14ac:dyDescent="0.3">
      <c r="A8" s="20" t="s">
        <v>152</v>
      </c>
      <c r="B8" s="88" t="s">
        <v>69</v>
      </c>
      <c r="C8"/>
      <c r="D8" s="20" t="s">
        <v>8</v>
      </c>
      <c r="E8" s="88" t="s">
        <v>153</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t="s">
        <v>154</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t="s">
        <v>155</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1" t="s">
        <v>58</v>
      </c>
      <c r="B1" s="182"/>
      <c r="C1" s="182"/>
      <c r="D1" s="182"/>
      <c r="E1" s="182"/>
      <c r="F1" s="182"/>
      <c r="G1" s="182"/>
      <c r="H1" s="182"/>
      <c r="I1" s="182"/>
      <c r="J1" s="182"/>
      <c r="K1" s="183"/>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8" t="s">
        <v>48</v>
      </c>
      <c r="B10" s="179"/>
      <c r="C10" s="179"/>
      <c r="D10" s="179"/>
      <c r="E10" s="179"/>
      <c r="F10" s="179"/>
      <c r="G10" s="179"/>
      <c r="H10" s="179"/>
      <c r="I10" s="179"/>
      <c r="J10" s="179"/>
      <c r="K10" s="180"/>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8" t="s">
        <v>47</v>
      </c>
      <c r="B18" s="179"/>
      <c r="C18" s="179"/>
      <c r="D18" s="179"/>
      <c r="E18" s="179"/>
      <c r="F18" s="179"/>
      <c r="G18" s="179"/>
      <c r="H18" s="179"/>
      <c r="I18" s="179"/>
      <c r="J18" s="179"/>
      <c r="K18" s="180"/>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8" t="s">
        <v>46</v>
      </c>
      <c r="B26" s="179"/>
      <c r="C26" s="179"/>
      <c r="D26" s="179"/>
      <c r="E26" s="179"/>
      <c r="F26" s="179"/>
      <c r="G26" s="179"/>
      <c r="H26" s="179"/>
      <c r="I26" s="179"/>
      <c r="J26" s="179"/>
      <c r="K26" s="180"/>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8" t="s">
        <v>45</v>
      </c>
      <c r="B34" s="179"/>
      <c r="C34" s="179"/>
      <c r="D34" s="179"/>
      <c r="E34" s="179"/>
      <c r="F34" s="179"/>
      <c r="G34" s="179"/>
      <c r="H34" s="179"/>
      <c r="I34" s="179"/>
      <c r="J34" s="179"/>
      <c r="K34" s="180"/>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81" t="s">
        <v>57</v>
      </c>
      <c r="B41" s="182"/>
      <c r="C41" s="182"/>
      <c r="D41" s="182"/>
      <c r="E41" s="182"/>
      <c r="F41" s="182"/>
      <c r="G41" s="182"/>
      <c r="H41" s="182"/>
      <c r="I41" s="182"/>
      <c r="J41" s="182"/>
      <c r="K41" s="183"/>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8" t="s">
        <v>48</v>
      </c>
      <c r="B50" s="179"/>
      <c r="C50" s="179"/>
      <c r="D50" s="179"/>
      <c r="E50" s="179"/>
      <c r="F50" s="179"/>
      <c r="G50" s="179"/>
      <c r="H50" s="179"/>
      <c r="I50" s="179"/>
      <c r="J50" s="179"/>
      <c r="K50" s="180"/>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8" t="s">
        <v>47</v>
      </c>
      <c r="B58" s="179"/>
      <c r="C58" s="179"/>
      <c r="D58" s="179"/>
      <c r="E58" s="179"/>
      <c r="F58" s="179"/>
      <c r="G58" s="179"/>
      <c r="H58" s="179"/>
      <c r="I58" s="179"/>
      <c r="J58" s="179"/>
      <c r="K58" s="180"/>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8" t="s">
        <v>46</v>
      </c>
      <c r="B66" s="179"/>
      <c r="C66" s="179"/>
      <c r="D66" s="179"/>
      <c r="E66" s="179"/>
      <c r="F66" s="179"/>
      <c r="G66" s="179"/>
      <c r="H66" s="179"/>
      <c r="I66" s="179"/>
      <c r="J66" s="179"/>
      <c r="K66" s="180"/>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8" t="s">
        <v>45</v>
      </c>
      <c r="B74" s="179"/>
      <c r="C74" s="179"/>
      <c r="D74" s="179"/>
      <c r="E74" s="179"/>
      <c r="F74" s="179"/>
      <c r="G74" s="179"/>
      <c r="H74" s="179"/>
      <c r="I74" s="179"/>
      <c r="J74" s="179"/>
      <c r="K74" s="180"/>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81" t="s">
        <v>56</v>
      </c>
      <c r="B81" s="182"/>
      <c r="C81" s="182"/>
      <c r="D81" s="182"/>
      <c r="E81" s="182"/>
      <c r="F81" s="182"/>
      <c r="G81" s="182"/>
      <c r="H81" s="182"/>
      <c r="I81" s="182"/>
      <c r="J81" s="182"/>
      <c r="K81" s="183"/>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8" t="s">
        <v>48</v>
      </c>
      <c r="B90" s="179"/>
      <c r="C90" s="179"/>
      <c r="D90" s="179"/>
      <c r="E90" s="179"/>
      <c r="F90" s="179"/>
      <c r="G90" s="179"/>
      <c r="H90" s="179"/>
      <c r="I90" s="179"/>
      <c r="J90" s="179"/>
      <c r="K90" s="180"/>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8" t="s">
        <v>47</v>
      </c>
      <c r="B98" s="179"/>
      <c r="C98" s="179"/>
      <c r="D98" s="179"/>
      <c r="E98" s="179"/>
      <c r="F98" s="179"/>
      <c r="G98" s="179"/>
      <c r="H98" s="179"/>
      <c r="I98" s="179"/>
      <c r="J98" s="179"/>
      <c r="K98" s="180"/>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8" t="s">
        <v>46</v>
      </c>
      <c r="B106" s="179"/>
      <c r="C106" s="179"/>
      <c r="D106" s="179"/>
      <c r="E106" s="179"/>
      <c r="F106" s="179"/>
      <c r="G106" s="179"/>
      <c r="H106" s="179"/>
      <c r="I106" s="179"/>
      <c r="J106" s="179"/>
      <c r="K106" s="180"/>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8" t="s">
        <v>45</v>
      </c>
      <c r="B114" s="179"/>
      <c r="C114" s="179"/>
      <c r="D114" s="179"/>
      <c r="E114" s="179"/>
      <c r="F114" s="179"/>
      <c r="G114" s="179"/>
      <c r="H114" s="179"/>
      <c r="I114" s="179"/>
      <c r="J114" s="179"/>
      <c r="K114" s="180"/>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1" t="s">
        <v>55</v>
      </c>
      <c r="B122" s="182"/>
      <c r="C122" s="182"/>
      <c r="D122" s="182"/>
      <c r="E122" s="182"/>
      <c r="F122" s="182"/>
      <c r="G122" s="182"/>
      <c r="H122" s="182"/>
      <c r="I122" s="182"/>
      <c r="J122" s="182"/>
      <c r="K122" s="183"/>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8" t="s">
        <v>48</v>
      </c>
      <c r="B131" s="179"/>
      <c r="C131" s="179"/>
      <c r="D131" s="179"/>
      <c r="E131" s="179"/>
      <c r="F131" s="179"/>
      <c r="G131" s="179"/>
      <c r="H131" s="179"/>
      <c r="I131" s="179"/>
      <c r="J131" s="179"/>
      <c r="K131" s="180"/>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8" t="s">
        <v>47</v>
      </c>
      <c r="B139" s="179"/>
      <c r="C139" s="179"/>
      <c r="D139" s="179"/>
      <c r="E139" s="179"/>
      <c r="F139" s="179"/>
      <c r="G139" s="179"/>
      <c r="H139" s="179"/>
      <c r="I139" s="179"/>
      <c r="J139" s="179"/>
      <c r="K139" s="180"/>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8" t="s">
        <v>46</v>
      </c>
      <c r="B147" s="179"/>
      <c r="C147" s="179"/>
      <c r="D147" s="179"/>
      <c r="E147" s="179"/>
      <c r="F147" s="179"/>
      <c r="G147" s="179"/>
      <c r="H147" s="179"/>
      <c r="I147" s="179"/>
      <c r="J147" s="179"/>
      <c r="K147" s="180"/>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8" t="s">
        <v>45</v>
      </c>
      <c r="B155" s="179"/>
      <c r="C155" s="179"/>
      <c r="D155" s="179"/>
      <c r="E155" s="179"/>
      <c r="F155" s="179"/>
      <c r="G155" s="179"/>
      <c r="H155" s="179"/>
      <c r="I155" s="179"/>
      <c r="J155" s="179"/>
      <c r="K155" s="180"/>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1" t="s">
        <v>54</v>
      </c>
      <c r="B162" s="182"/>
      <c r="C162" s="182"/>
      <c r="D162" s="182"/>
      <c r="E162" s="182"/>
      <c r="F162" s="182"/>
      <c r="G162" s="182"/>
      <c r="H162" s="182"/>
      <c r="I162" s="182"/>
      <c r="J162" s="182"/>
      <c r="K162" s="183"/>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8" t="s">
        <v>48</v>
      </c>
      <c r="B171" s="179"/>
      <c r="C171" s="179"/>
      <c r="D171" s="179"/>
      <c r="E171" s="179"/>
      <c r="F171" s="179"/>
      <c r="G171" s="179"/>
      <c r="H171" s="179"/>
      <c r="I171" s="179"/>
      <c r="J171" s="179"/>
      <c r="K171" s="180"/>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8" t="s">
        <v>47</v>
      </c>
      <c r="B179" s="179"/>
      <c r="C179" s="179"/>
      <c r="D179" s="179"/>
      <c r="E179" s="179"/>
      <c r="F179" s="179"/>
      <c r="G179" s="179"/>
      <c r="H179" s="179"/>
      <c r="I179" s="179"/>
      <c r="J179" s="179"/>
      <c r="K179" s="180"/>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8" t="s">
        <v>46</v>
      </c>
      <c r="B187" s="179"/>
      <c r="C187" s="179"/>
      <c r="D187" s="179"/>
      <c r="E187" s="179"/>
      <c r="F187" s="179"/>
      <c r="G187" s="179"/>
      <c r="H187" s="179"/>
      <c r="I187" s="179"/>
      <c r="J187" s="179"/>
      <c r="K187" s="180"/>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8" t="s">
        <v>45</v>
      </c>
      <c r="B195" s="179"/>
      <c r="C195" s="179"/>
      <c r="D195" s="179"/>
      <c r="E195" s="179"/>
      <c r="F195" s="179"/>
      <c r="G195" s="179"/>
      <c r="H195" s="179"/>
      <c r="I195" s="179"/>
      <c r="J195" s="179"/>
      <c r="K195" s="180"/>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1" t="s">
        <v>54</v>
      </c>
      <c r="B202" s="182"/>
      <c r="C202" s="182"/>
      <c r="D202" s="182"/>
      <c r="E202" s="182"/>
      <c r="F202" s="182"/>
      <c r="G202" s="182"/>
      <c r="H202" s="182"/>
      <c r="I202" s="182"/>
      <c r="J202" s="182"/>
      <c r="K202" s="183"/>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8" t="s">
        <v>48</v>
      </c>
      <c r="B211" s="179"/>
      <c r="C211" s="179"/>
      <c r="D211" s="179"/>
      <c r="E211" s="179"/>
      <c r="F211" s="179"/>
      <c r="G211" s="179"/>
      <c r="H211" s="179"/>
      <c r="I211" s="179"/>
      <c r="J211" s="179"/>
      <c r="K211" s="180"/>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8" t="s">
        <v>47</v>
      </c>
      <c r="B219" s="179"/>
      <c r="C219" s="179"/>
      <c r="D219" s="179"/>
      <c r="E219" s="179"/>
      <c r="F219" s="179"/>
      <c r="G219" s="179"/>
      <c r="H219" s="179"/>
      <c r="I219" s="179"/>
      <c r="J219" s="179"/>
      <c r="K219" s="180"/>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8" t="s">
        <v>46</v>
      </c>
      <c r="B227" s="179"/>
      <c r="C227" s="179"/>
      <c r="D227" s="179"/>
      <c r="E227" s="179"/>
      <c r="F227" s="179"/>
      <c r="G227" s="179"/>
      <c r="H227" s="179"/>
      <c r="I227" s="179"/>
      <c r="J227" s="179"/>
      <c r="K227" s="180"/>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8" t="s">
        <v>45</v>
      </c>
      <c r="B235" s="179"/>
      <c r="C235" s="179"/>
      <c r="D235" s="179"/>
      <c r="E235" s="179"/>
      <c r="F235" s="179"/>
      <c r="G235" s="179"/>
      <c r="H235" s="179"/>
      <c r="I235" s="179"/>
      <c r="J235" s="179"/>
      <c r="K235" s="180"/>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1" t="s">
        <v>53</v>
      </c>
      <c r="B242" s="182"/>
      <c r="C242" s="182"/>
      <c r="D242" s="182"/>
      <c r="E242" s="182"/>
      <c r="F242" s="182"/>
      <c r="G242" s="182"/>
      <c r="H242" s="182"/>
      <c r="I242" s="182"/>
      <c r="J242" s="182"/>
      <c r="K242" s="183"/>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8" t="s">
        <v>48</v>
      </c>
      <c r="B251" s="179"/>
      <c r="C251" s="179"/>
      <c r="D251" s="179"/>
      <c r="E251" s="179"/>
      <c r="F251" s="179"/>
      <c r="G251" s="179"/>
      <c r="H251" s="179"/>
      <c r="I251" s="179"/>
      <c r="J251" s="179"/>
      <c r="K251" s="180"/>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8" t="s">
        <v>47</v>
      </c>
      <c r="B259" s="179"/>
      <c r="C259" s="179"/>
      <c r="D259" s="179"/>
      <c r="E259" s="179"/>
      <c r="F259" s="179"/>
      <c r="G259" s="179"/>
      <c r="H259" s="179"/>
      <c r="I259" s="179"/>
      <c r="J259" s="179"/>
      <c r="K259" s="180"/>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8" t="s">
        <v>46</v>
      </c>
      <c r="B267" s="179"/>
      <c r="C267" s="179"/>
      <c r="D267" s="179"/>
      <c r="E267" s="179"/>
      <c r="F267" s="179"/>
      <c r="G267" s="179"/>
      <c r="H267" s="179"/>
      <c r="I267" s="179"/>
      <c r="J267" s="179"/>
      <c r="K267" s="180"/>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8" t="s">
        <v>45</v>
      </c>
      <c r="B275" s="179"/>
      <c r="C275" s="179"/>
      <c r="D275" s="179"/>
      <c r="E275" s="179"/>
      <c r="F275" s="179"/>
      <c r="G275" s="179"/>
      <c r="H275" s="179"/>
      <c r="I275" s="179"/>
      <c r="J275" s="179"/>
      <c r="K275" s="180"/>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1" t="s">
        <v>52</v>
      </c>
      <c r="B282" s="182"/>
      <c r="C282" s="182"/>
      <c r="D282" s="182"/>
      <c r="E282" s="182"/>
      <c r="F282" s="182"/>
      <c r="G282" s="182"/>
      <c r="H282" s="182"/>
      <c r="I282" s="182"/>
      <c r="J282" s="182"/>
      <c r="K282" s="183"/>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8" t="s">
        <v>48</v>
      </c>
      <c r="B291" s="179"/>
      <c r="C291" s="179"/>
      <c r="D291" s="179"/>
      <c r="E291" s="179"/>
      <c r="F291" s="179"/>
      <c r="G291" s="179"/>
      <c r="H291" s="179"/>
      <c r="I291" s="179"/>
      <c r="J291" s="179"/>
      <c r="K291" s="180"/>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8" t="s">
        <v>47</v>
      </c>
      <c r="B299" s="179"/>
      <c r="C299" s="179"/>
      <c r="D299" s="179"/>
      <c r="E299" s="179"/>
      <c r="F299" s="179"/>
      <c r="G299" s="179"/>
      <c r="H299" s="179"/>
      <c r="I299" s="179"/>
      <c r="J299" s="179"/>
      <c r="K299" s="180"/>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8" t="s">
        <v>46</v>
      </c>
      <c r="B307" s="179"/>
      <c r="C307" s="179"/>
      <c r="D307" s="179"/>
      <c r="E307" s="179"/>
      <c r="F307" s="179"/>
      <c r="G307" s="179"/>
      <c r="H307" s="179"/>
      <c r="I307" s="179"/>
      <c r="J307" s="179"/>
      <c r="K307" s="180"/>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8" t="s">
        <v>45</v>
      </c>
      <c r="B315" s="179"/>
      <c r="C315" s="179"/>
      <c r="D315" s="179"/>
      <c r="E315" s="179"/>
      <c r="F315" s="179"/>
      <c r="G315" s="179"/>
      <c r="H315" s="179"/>
      <c r="I315" s="179"/>
      <c r="J315" s="179"/>
      <c r="K315" s="180"/>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1" t="s">
        <v>51</v>
      </c>
      <c r="B322" s="182"/>
      <c r="C322" s="182"/>
      <c r="D322" s="182"/>
      <c r="E322" s="182"/>
      <c r="F322" s="182"/>
      <c r="G322" s="182"/>
      <c r="H322" s="182"/>
      <c r="I322" s="182"/>
      <c r="J322" s="182"/>
      <c r="K322" s="183"/>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INCERTIDUMBRE!L7</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8" t="s">
        <v>48</v>
      </c>
      <c r="B331" s="179"/>
      <c r="C331" s="179"/>
      <c r="D331" s="179"/>
      <c r="E331" s="179"/>
      <c r="F331" s="179"/>
      <c r="G331" s="179"/>
      <c r="H331" s="179"/>
      <c r="I331" s="179"/>
      <c r="J331" s="179"/>
      <c r="K331" s="180"/>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8" t="s">
        <v>47</v>
      </c>
      <c r="B339" s="179"/>
      <c r="C339" s="179"/>
      <c r="D339" s="179"/>
      <c r="E339" s="179"/>
      <c r="F339" s="179"/>
      <c r="G339" s="179"/>
      <c r="H339" s="179"/>
      <c r="I339" s="179"/>
      <c r="J339" s="179"/>
      <c r="K339" s="180"/>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8" t="s">
        <v>46</v>
      </c>
      <c r="B347" s="179"/>
      <c r="C347" s="179"/>
      <c r="D347" s="179"/>
      <c r="E347" s="179"/>
      <c r="F347" s="179"/>
      <c r="G347" s="179"/>
      <c r="H347" s="179"/>
      <c r="I347" s="179"/>
      <c r="J347" s="179"/>
      <c r="K347" s="180"/>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8" t="s">
        <v>45</v>
      </c>
      <c r="B355" s="179"/>
      <c r="C355" s="179"/>
      <c r="D355" s="179"/>
      <c r="E355" s="179"/>
      <c r="F355" s="179"/>
      <c r="G355" s="179"/>
      <c r="H355" s="179"/>
      <c r="I355" s="179"/>
      <c r="J355" s="179"/>
      <c r="K355" s="180"/>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1" t="s">
        <v>50</v>
      </c>
      <c r="B362" s="182"/>
      <c r="C362" s="182"/>
      <c r="D362" s="182"/>
      <c r="E362" s="182"/>
      <c r="F362" s="182"/>
      <c r="G362" s="182"/>
      <c r="H362" s="182"/>
      <c r="I362" s="182"/>
      <c r="J362" s="182"/>
      <c r="K362" s="183"/>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8" t="s">
        <v>48</v>
      </c>
      <c r="B371" s="179"/>
      <c r="C371" s="179"/>
      <c r="D371" s="179"/>
      <c r="E371" s="179"/>
      <c r="F371" s="179"/>
      <c r="G371" s="179"/>
      <c r="H371" s="179"/>
      <c r="I371" s="179"/>
      <c r="J371" s="179"/>
      <c r="K371" s="180"/>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8" t="s">
        <v>47</v>
      </c>
      <c r="B379" s="179"/>
      <c r="C379" s="179"/>
      <c r="D379" s="179"/>
      <c r="E379" s="179"/>
      <c r="F379" s="179"/>
      <c r="G379" s="179"/>
      <c r="H379" s="179"/>
      <c r="I379" s="179"/>
      <c r="J379" s="179"/>
      <c r="K379" s="180"/>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8" t="s">
        <v>46</v>
      </c>
      <c r="B387" s="179"/>
      <c r="C387" s="179"/>
      <c r="D387" s="179"/>
      <c r="E387" s="179"/>
      <c r="F387" s="179"/>
      <c r="G387" s="179"/>
      <c r="H387" s="179"/>
      <c r="I387" s="179"/>
      <c r="J387" s="179"/>
      <c r="K387" s="180"/>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8" t="s">
        <v>45</v>
      </c>
      <c r="B395" s="179"/>
      <c r="C395" s="179"/>
      <c r="D395" s="179"/>
      <c r="E395" s="179"/>
      <c r="F395" s="179"/>
      <c r="G395" s="179"/>
      <c r="H395" s="179"/>
      <c r="I395" s="179"/>
      <c r="J395" s="179"/>
      <c r="K395" s="180"/>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1" t="s">
        <v>49</v>
      </c>
      <c r="B402" s="182"/>
      <c r="C402" s="182"/>
      <c r="D402" s="182"/>
      <c r="E402" s="182"/>
      <c r="F402" s="182"/>
      <c r="G402" s="182"/>
      <c r="H402" s="182"/>
      <c r="I402" s="182"/>
      <c r="J402" s="182"/>
      <c r="K402" s="183"/>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8" t="s">
        <v>48</v>
      </c>
      <c r="B411" s="179"/>
      <c r="C411" s="179"/>
      <c r="D411" s="179"/>
      <c r="E411" s="179"/>
      <c r="F411" s="179"/>
      <c r="G411" s="179"/>
      <c r="H411" s="179"/>
      <c r="I411" s="179"/>
      <c r="J411" s="179"/>
      <c r="K411" s="180"/>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8" t="s">
        <v>47</v>
      </c>
      <c r="B419" s="179"/>
      <c r="C419" s="179"/>
      <c r="D419" s="179"/>
      <c r="E419" s="179"/>
      <c r="F419" s="179"/>
      <c r="G419" s="179"/>
      <c r="H419" s="179"/>
      <c r="I419" s="179"/>
      <c r="J419" s="179"/>
      <c r="K419" s="180"/>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8" t="s">
        <v>46</v>
      </c>
      <c r="B427" s="179"/>
      <c r="C427" s="179"/>
      <c r="D427" s="179"/>
      <c r="E427" s="179"/>
      <c r="F427" s="179"/>
      <c r="G427" s="179"/>
      <c r="H427" s="179"/>
      <c r="I427" s="179"/>
      <c r="J427" s="179"/>
      <c r="K427" s="180"/>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8" t="s">
        <v>45</v>
      </c>
      <c r="B435" s="179"/>
      <c r="C435" s="179"/>
      <c r="D435" s="179"/>
      <c r="E435" s="179"/>
      <c r="F435" s="179"/>
      <c r="G435" s="179"/>
      <c r="H435" s="179"/>
      <c r="I435" s="179"/>
      <c r="J435" s="179"/>
      <c r="K435" s="180"/>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1" t="s">
        <v>32</v>
      </c>
      <c r="B442" s="182"/>
      <c r="C442" s="182"/>
      <c r="D442" s="182"/>
      <c r="E442" s="182"/>
      <c r="F442" s="182"/>
      <c r="G442" s="182"/>
      <c r="H442" s="182"/>
      <c r="I442" s="182"/>
      <c r="J442" s="182"/>
      <c r="K442" s="183"/>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8" t="s">
        <v>48</v>
      </c>
      <c r="D451" s="179"/>
      <c r="E451" s="179"/>
      <c r="F451" s="179"/>
      <c r="G451" s="179"/>
      <c r="H451" s="179"/>
      <c r="I451" s="179"/>
      <c r="J451" s="179"/>
      <c r="K451" s="179"/>
      <c r="L451" s="179"/>
      <c r="M451" s="180"/>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8" t="s">
        <v>47</v>
      </c>
      <c r="D459" s="179"/>
      <c r="E459" s="179"/>
      <c r="F459" s="179"/>
      <c r="G459" s="179"/>
      <c r="H459" s="179"/>
      <c r="I459" s="179"/>
      <c r="J459" s="179"/>
      <c r="K459" s="179"/>
      <c r="L459" s="179"/>
      <c r="M459" s="180"/>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8" t="s">
        <v>46</v>
      </c>
      <c r="D467" s="179"/>
      <c r="E467" s="179"/>
      <c r="F467" s="179"/>
      <c r="G467" s="179"/>
      <c r="H467" s="179"/>
      <c r="I467" s="179"/>
      <c r="J467" s="179"/>
      <c r="K467" s="179"/>
      <c r="L467" s="179"/>
      <c r="M467" s="180"/>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8" t="s">
        <v>45</v>
      </c>
      <c r="D475" s="179"/>
      <c r="E475" s="179"/>
      <c r="F475" s="179"/>
      <c r="G475" s="179"/>
      <c r="H475" s="179"/>
      <c r="I475" s="179"/>
      <c r="J475" s="179"/>
      <c r="K475" s="179"/>
      <c r="L475" s="179"/>
      <c r="M475" s="180"/>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9" t="s">
        <v>140</v>
      </c>
      <c r="Y2" s="189"/>
      <c r="Z2" s="189"/>
      <c r="AA2" s="189"/>
      <c r="AB2" s="189"/>
      <c r="AC2" s="189"/>
      <c r="AD2" s="189"/>
      <c r="AE2" s="189"/>
      <c r="AF2" s="189"/>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90" t="s">
        <v>13</v>
      </c>
      <c r="C34" s="190"/>
      <c r="D34" s="190"/>
      <c r="E34" s="190"/>
      <c r="F34" s="190"/>
      <c r="G34" s="190"/>
      <c r="H34" s="190"/>
      <c r="I34" s="190"/>
      <c r="J34" s="190"/>
      <c r="K34" s="190"/>
      <c r="L34" s="190"/>
      <c r="M34" s="190"/>
      <c r="N34" s="4"/>
      <c r="O34" s="4"/>
      <c r="P34" s="4"/>
      <c r="Q34" s="4"/>
    </row>
    <row r="35" spans="2:17" x14ac:dyDescent="0.3">
      <c r="B35" s="187" t="s">
        <v>12</v>
      </c>
      <c r="C35" s="187"/>
      <c r="D35" s="187"/>
      <c r="E35" s="187"/>
      <c r="F35" s="187"/>
      <c r="G35" s="184" t="s">
        <v>120</v>
      </c>
      <c r="H35" s="185"/>
      <c r="I35" s="185"/>
      <c r="J35" s="185"/>
      <c r="K35" s="185"/>
      <c r="L35" s="185"/>
      <c r="M35" s="186"/>
      <c r="N35" s="9"/>
      <c r="O35" s="9"/>
      <c r="P35" s="9"/>
      <c r="Q35" s="9"/>
    </row>
    <row r="36" spans="2:17" x14ac:dyDescent="0.3">
      <c r="B36" s="187" t="s">
        <v>7</v>
      </c>
      <c r="C36" s="187"/>
      <c r="D36" s="187"/>
      <c r="E36" s="187"/>
      <c r="F36" s="187"/>
      <c r="G36" s="184" t="s">
        <v>121</v>
      </c>
      <c r="H36" s="185"/>
      <c r="I36" s="185"/>
      <c r="J36" s="185"/>
      <c r="K36" s="185"/>
      <c r="L36" s="185"/>
      <c r="M36" s="186"/>
      <c r="N36" s="9"/>
      <c r="O36" s="9"/>
      <c r="P36" s="9"/>
      <c r="Q36" s="9"/>
    </row>
    <row r="37" spans="2:17" x14ac:dyDescent="0.3">
      <c r="B37" s="187" t="s">
        <v>6</v>
      </c>
      <c r="C37" s="187"/>
      <c r="D37" s="187"/>
      <c r="E37" s="187"/>
      <c r="F37" s="187"/>
      <c r="G37" s="184" t="s">
        <v>122</v>
      </c>
      <c r="H37" s="185"/>
      <c r="I37" s="185"/>
      <c r="J37" s="185"/>
      <c r="K37" s="185"/>
      <c r="L37" s="185"/>
      <c r="M37" s="186"/>
      <c r="N37" s="9"/>
      <c r="O37" s="9"/>
      <c r="P37" s="9"/>
      <c r="Q37" s="9"/>
    </row>
    <row r="38" spans="2:17" x14ac:dyDescent="0.3">
      <c r="B38" s="187" t="s">
        <v>4</v>
      </c>
      <c r="C38" s="187"/>
      <c r="D38" s="187"/>
      <c r="E38" s="187"/>
      <c r="F38" s="187"/>
      <c r="G38" s="184" t="s">
        <v>123</v>
      </c>
      <c r="H38" s="185"/>
      <c r="I38" s="185"/>
      <c r="J38" s="185"/>
      <c r="K38" s="185"/>
      <c r="L38" s="185"/>
      <c r="M38" s="186"/>
      <c r="N38" s="9"/>
      <c r="O38" s="9"/>
      <c r="P38" s="9"/>
      <c r="Q38" s="9"/>
    </row>
    <row r="39" spans="2:17" x14ac:dyDescent="0.3">
      <c r="B39" s="2" t="s">
        <v>11</v>
      </c>
      <c r="C39" s="2"/>
      <c r="D39" s="2"/>
      <c r="E39" s="2"/>
      <c r="F39" s="2"/>
      <c r="G39" s="191">
        <v>44986</v>
      </c>
      <c r="H39" s="191"/>
      <c r="I39" s="191"/>
      <c r="J39" s="191"/>
      <c r="K39" s="191"/>
      <c r="L39" s="191"/>
      <c r="M39" s="191"/>
      <c r="N39" s="10"/>
      <c r="O39" s="10"/>
      <c r="P39" s="10"/>
      <c r="Q39" s="10"/>
    </row>
    <row r="40" spans="2:17" x14ac:dyDescent="0.3">
      <c r="B40" s="187" t="s">
        <v>10</v>
      </c>
      <c r="C40" s="187"/>
      <c r="D40" s="187"/>
      <c r="E40" s="187"/>
      <c r="F40" s="187"/>
      <c r="G40" s="188">
        <v>242208</v>
      </c>
      <c r="H40" s="188"/>
      <c r="I40" s="188"/>
      <c r="J40" s="188"/>
      <c r="K40" s="188"/>
      <c r="L40" s="188"/>
      <c r="M40" s="188"/>
      <c r="N40" s="9"/>
      <c r="O40" s="9"/>
      <c r="P40" s="9"/>
      <c r="Q40" s="9"/>
    </row>
    <row r="41" spans="2:17" x14ac:dyDescent="0.3">
      <c r="B41" s="187" t="s">
        <v>124</v>
      </c>
      <c r="C41" s="187"/>
      <c r="D41" s="187"/>
      <c r="E41" s="187"/>
      <c r="F41" s="187"/>
      <c r="G41" s="184">
        <v>0.3</v>
      </c>
      <c r="H41" s="185"/>
      <c r="I41" s="185"/>
      <c r="J41" s="185"/>
      <c r="K41" s="185"/>
      <c r="L41" s="185"/>
      <c r="M41" s="186"/>
      <c r="N41" s="5"/>
      <c r="O41" s="5"/>
      <c r="P41" s="5"/>
      <c r="Q41" s="5"/>
    </row>
    <row r="42" spans="2:17" x14ac:dyDescent="0.3">
      <c r="B42" s="187" t="s">
        <v>125</v>
      </c>
      <c r="C42" s="187"/>
      <c r="D42" s="187"/>
      <c r="E42" s="187"/>
      <c r="F42" s="187"/>
      <c r="G42" s="184">
        <v>2</v>
      </c>
      <c r="H42" s="185"/>
      <c r="I42" s="185"/>
      <c r="J42" s="185"/>
      <c r="K42" s="185"/>
      <c r="L42" s="185"/>
      <c r="M42" s="186"/>
      <c r="N42" s="5"/>
      <c r="O42" s="5"/>
      <c r="P42" s="5"/>
      <c r="Q42" s="5"/>
    </row>
    <row r="43" spans="2:17" x14ac:dyDescent="0.3">
      <c r="B43" s="2" t="s">
        <v>126</v>
      </c>
      <c r="C43" s="2"/>
      <c r="D43" s="2"/>
      <c r="E43" s="2"/>
      <c r="F43" s="2"/>
      <c r="G43" s="184">
        <v>0.2</v>
      </c>
      <c r="H43" s="185"/>
      <c r="I43" s="185"/>
      <c r="J43" s="185"/>
      <c r="K43" s="185"/>
      <c r="L43" s="185"/>
      <c r="M43" s="186"/>
      <c r="N43" s="5"/>
      <c r="O43" s="5"/>
      <c r="P43" s="5"/>
      <c r="Q43" s="5"/>
    </row>
    <row r="44" spans="2:17" x14ac:dyDescent="0.3">
      <c r="B44" s="2" t="s">
        <v>127</v>
      </c>
      <c r="C44" s="2"/>
      <c r="D44" s="2"/>
      <c r="E44" s="2"/>
      <c r="F44" s="2"/>
      <c r="G44" s="184">
        <v>1</v>
      </c>
      <c r="H44" s="185"/>
      <c r="I44" s="185"/>
      <c r="J44" s="185"/>
      <c r="K44" s="185"/>
      <c r="L44" s="185"/>
      <c r="M44" s="186"/>
    </row>
    <row r="45" spans="2:17" x14ac:dyDescent="0.3">
      <c r="B45" s="2" t="s">
        <v>128</v>
      </c>
      <c r="C45" s="2"/>
      <c r="D45" s="2"/>
      <c r="E45" s="2"/>
      <c r="F45" s="2"/>
      <c r="G45" s="184">
        <v>0.1</v>
      </c>
      <c r="H45" s="185"/>
      <c r="I45" s="185"/>
      <c r="J45" s="185"/>
      <c r="K45" s="185"/>
      <c r="L45" s="185"/>
      <c r="M45" s="186"/>
    </row>
    <row r="46" spans="2:17" x14ac:dyDescent="0.3">
      <c r="B46" s="2" t="s">
        <v>129</v>
      </c>
      <c r="C46" s="2"/>
      <c r="D46" s="2"/>
      <c r="E46" s="2"/>
      <c r="F46" s="2"/>
      <c r="G46" s="184">
        <v>0.1</v>
      </c>
      <c r="H46" s="185"/>
      <c r="I46" s="185"/>
      <c r="J46" s="185"/>
      <c r="K46" s="185"/>
      <c r="L46" s="185"/>
      <c r="M46" s="186"/>
    </row>
    <row r="47" spans="2:17" x14ac:dyDescent="0.3">
      <c r="B47" s="187" t="s">
        <v>9</v>
      </c>
      <c r="C47" s="187"/>
      <c r="D47" s="187"/>
      <c r="E47" s="187"/>
      <c r="F47" s="187"/>
      <c r="G47" s="184">
        <v>2</v>
      </c>
      <c r="H47" s="185"/>
      <c r="I47" s="185"/>
      <c r="J47" s="185"/>
      <c r="K47" s="185"/>
      <c r="L47" s="185"/>
      <c r="M47" s="186"/>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57"/>
      <c r="D88" s="157"/>
      <c r="E88" s="157"/>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F7" sqref="F7:G7"/>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4" t="s">
        <v>139</v>
      </c>
      <c r="C5" s="194"/>
      <c r="D5" s="194"/>
      <c r="E5" s="194"/>
      <c r="F5" s="194"/>
      <c r="G5" s="194"/>
      <c r="H5"/>
      <c r="I5"/>
      <c r="J5"/>
      <c r="K5"/>
      <c r="L5"/>
      <c r="M5"/>
      <c r="N5"/>
      <c r="O5" s="198" t="s">
        <v>139</v>
      </c>
      <c r="P5" s="198"/>
      <c r="Q5" s="198"/>
      <c r="R5" s="198"/>
      <c r="S5" s="198"/>
      <c r="T5" s="198"/>
      <c r="U5" s="198"/>
      <c r="V5" s="198"/>
    </row>
    <row r="6" spans="1:22" ht="25.95" customHeight="1" x14ac:dyDescent="0.3">
      <c r="A6"/>
      <c r="B6" s="171" t="s">
        <v>135</v>
      </c>
      <c r="C6" s="171"/>
      <c r="D6" s="171" t="s">
        <v>134</v>
      </c>
      <c r="E6" s="171"/>
      <c r="F6" s="171" t="s">
        <v>137</v>
      </c>
      <c r="G6" s="171"/>
      <c r="H6"/>
      <c r="I6"/>
      <c r="J6"/>
      <c r="K6"/>
      <c r="L6"/>
      <c r="M6"/>
      <c r="N6"/>
      <c r="O6" s="199" t="s">
        <v>135</v>
      </c>
      <c r="P6" s="199"/>
      <c r="Q6" s="199" t="s">
        <v>134</v>
      </c>
      <c r="R6" s="199"/>
      <c r="S6" s="199" t="s">
        <v>137</v>
      </c>
      <c r="T6" s="199"/>
      <c r="U6" s="199" t="s">
        <v>133</v>
      </c>
      <c r="V6" s="199"/>
    </row>
    <row r="7" spans="1:22" x14ac:dyDescent="0.3">
      <c r="A7"/>
      <c r="B7" s="192">
        <v>50</v>
      </c>
      <c r="C7" s="192"/>
      <c r="D7" s="195">
        <f ca="1">ROUND(49.6 + (50.3 - 49.7) * RAND(), 2)</f>
        <v>49.67</v>
      </c>
      <c r="E7" s="195"/>
      <c r="F7" s="193">
        <f>B7</f>
        <v>50</v>
      </c>
      <c r="G7" s="193"/>
      <c r="H7"/>
      <c r="I7"/>
      <c r="J7"/>
      <c r="K7"/>
      <c r="L7"/>
      <c r="M7"/>
      <c r="N7"/>
      <c r="O7" s="196">
        <f>B7</f>
        <v>50</v>
      </c>
      <c r="P7" s="196"/>
      <c r="Q7" s="197">
        <f ca="1">D7</f>
        <v>49.67</v>
      </c>
      <c r="R7" s="197"/>
      <c r="S7" s="196">
        <f>F7</f>
        <v>50</v>
      </c>
      <c r="T7" s="196"/>
      <c r="U7" s="197">
        <f ca="1">S7-Q7</f>
        <v>0.32999999999999829</v>
      </c>
      <c r="V7" s="197"/>
    </row>
    <row r="8" spans="1:22" customFormat="1" x14ac:dyDescent="0.3">
      <c r="B8" s="192">
        <v>100</v>
      </c>
      <c r="C8" s="192"/>
      <c r="D8" s="164">
        <f ca="1">ROUND(99.7 + (100.3 - 99.7) * RAND(), 2)</f>
        <v>100.29</v>
      </c>
      <c r="E8" s="165"/>
      <c r="F8" s="193">
        <f t="shared" ref="F8:F9" si="0">B8</f>
        <v>100</v>
      </c>
      <c r="G8" s="193"/>
      <c r="O8" s="196">
        <f t="shared" ref="O8:O9" si="1">B8</f>
        <v>100</v>
      </c>
      <c r="P8" s="196"/>
      <c r="Q8" s="197">
        <f t="shared" ref="Q8:Q9" ca="1" si="2">D8</f>
        <v>100.29</v>
      </c>
      <c r="R8" s="197"/>
      <c r="S8" s="196">
        <f t="shared" ref="S8:S9" si="3">F8</f>
        <v>100</v>
      </c>
      <c r="T8" s="196"/>
      <c r="U8" s="197">
        <f t="shared" ref="U8:U9" ca="1" si="4">S8-Q8</f>
        <v>-0.29000000000000625</v>
      </c>
      <c r="V8" s="197"/>
    </row>
    <row r="9" spans="1:22" customFormat="1" x14ac:dyDescent="0.3">
      <c r="B9" s="192">
        <v>200</v>
      </c>
      <c r="C9" s="192"/>
      <c r="D9" s="164">
        <f ca="1">ROUND(199.7 + (200.3 - 199.7) * RAND(), 2)</f>
        <v>199.98</v>
      </c>
      <c r="E9" s="165"/>
      <c r="F9" s="193">
        <f t="shared" si="0"/>
        <v>200</v>
      </c>
      <c r="G9" s="193"/>
      <c r="O9" s="196">
        <f t="shared" si="1"/>
        <v>200</v>
      </c>
      <c r="P9" s="196"/>
      <c r="Q9" s="197">
        <f t="shared" ca="1" si="2"/>
        <v>199.98</v>
      </c>
      <c r="R9" s="197"/>
      <c r="S9" s="196">
        <f t="shared" si="3"/>
        <v>200</v>
      </c>
      <c r="T9" s="196"/>
      <c r="U9" s="197">
        <f t="shared" ca="1" si="4"/>
        <v>2.0000000000010232E-2</v>
      </c>
      <c r="V9" s="197"/>
    </row>
    <row r="10" spans="1:22" customFormat="1" x14ac:dyDescent="0.3"/>
    <row r="11" spans="1:22" customFormat="1" x14ac:dyDescent="0.3">
      <c r="I11" s="98"/>
      <c r="J11" s="98"/>
      <c r="K11" s="98"/>
      <c r="L11" s="98"/>
      <c r="M11" s="98"/>
    </row>
    <row r="12" spans="1:22" customFormat="1" x14ac:dyDescent="0.3">
      <c r="B12" s="99"/>
      <c r="C12" s="99"/>
      <c r="D12" s="99"/>
      <c r="E12" s="99"/>
      <c r="F12" s="99"/>
      <c r="G12" s="99"/>
      <c r="I12" s="98"/>
      <c r="J12" s="98"/>
      <c r="K12" s="98"/>
      <c r="L12" s="98"/>
      <c r="M12" s="98"/>
      <c r="O12" s="100"/>
      <c r="P12" s="100"/>
      <c r="Q12" s="100"/>
      <c r="R12" s="100"/>
      <c r="S12" s="100"/>
      <c r="T12" s="100"/>
      <c r="U12" s="101"/>
      <c r="V12" s="101"/>
    </row>
    <row r="13" spans="1:22" customFormat="1" x14ac:dyDescent="0.3"/>
    <row r="14" spans="1:22" customFormat="1" x14ac:dyDescent="0.3"/>
    <row r="15" spans="1:22" customFormat="1" ht="28.2" customHeigh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30">
    <mergeCell ref="O9:P9"/>
    <mergeCell ref="Q9:R9"/>
    <mergeCell ref="S9:T9"/>
    <mergeCell ref="U9:V9"/>
    <mergeCell ref="O8:P8"/>
    <mergeCell ref="Q8:R8"/>
    <mergeCell ref="S8:T8"/>
    <mergeCell ref="U8:V8"/>
    <mergeCell ref="O7:P7"/>
    <mergeCell ref="Q7:R7"/>
    <mergeCell ref="S7:T7"/>
    <mergeCell ref="U7:V7"/>
    <mergeCell ref="O5:V5"/>
    <mergeCell ref="O6:P6"/>
    <mergeCell ref="Q6:R6"/>
    <mergeCell ref="S6:T6"/>
    <mergeCell ref="U6:V6"/>
    <mergeCell ref="B9:C9"/>
    <mergeCell ref="D9:E9"/>
    <mergeCell ref="F9:G9"/>
    <mergeCell ref="B5:G5"/>
    <mergeCell ref="B6:C6"/>
    <mergeCell ref="D6:E6"/>
    <mergeCell ref="F6:G6"/>
    <mergeCell ref="B8:C8"/>
    <mergeCell ref="D8:E8"/>
    <mergeCell ref="F8:G8"/>
    <mergeCell ref="B7:C7"/>
    <mergeCell ref="D7:E7"/>
    <mergeCell ref="F7:G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C5" sqref="C5:C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200" t="s">
        <v>141</v>
      </c>
      <c r="C3" s="201"/>
      <c r="D3" s="201"/>
      <c r="E3" s="201"/>
      <c r="F3" s="201"/>
      <c r="G3" s="201"/>
      <c r="H3" s="201"/>
      <c r="I3" s="201"/>
      <c r="J3" s="201"/>
      <c r="K3" s="201"/>
      <c r="L3" s="202"/>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50</v>
      </c>
      <c r="C5" s="8">
        <f>0.59/2</f>
        <v>0.29499999999999998</v>
      </c>
      <c r="D5" s="8">
        <f>PATRON!$G$43/SQRT(3)</f>
        <v>0.11547005383792516</v>
      </c>
      <c r="E5" s="8">
        <v>0</v>
      </c>
      <c r="F5" s="93">
        <f>0.1/SQRT(12)</f>
        <v>2.8867513459481291E-2</v>
      </c>
      <c r="G5" s="93">
        <f>PATRON!$G$45/SQRT(12)</f>
        <v>2.8867513459481291E-2</v>
      </c>
      <c r="H5" s="93">
        <v>0</v>
      </c>
      <c r="I5" s="8">
        <f>SQRT(SUMSQ(C5:H5))</f>
        <v>0.31941352507368875</v>
      </c>
      <c r="J5" s="15">
        <f>I5^4/(C5^4/200+D5^4/200+E5^4/200+F5^4/200+G5^4/200+H5^4/3)</f>
        <v>268.53472835691571</v>
      </c>
      <c r="K5" s="11">
        <f>TINV(0.0455,J5)</f>
        <v>2.0093736198141858</v>
      </c>
      <c r="L5" s="8">
        <f>I5*K5</f>
        <v>0.64182111109492723</v>
      </c>
    </row>
    <row r="6" spans="2:12" x14ac:dyDescent="0.3">
      <c r="B6" s="7">
        <f>MEDIDA!B8</f>
        <v>100</v>
      </c>
      <c r="C6" s="8">
        <f t="shared" ref="C6:C7" si="0">0.59/2</f>
        <v>0.29499999999999998</v>
      </c>
      <c r="D6" s="8">
        <f>PATRON!$G$43/SQRT(3)</f>
        <v>0.11547005383792516</v>
      </c>
      <c r="E6" s="8">
        <v>0</v>
      </c>
      <c r="F6" s="93">
        <f t="shared" ref="F6:F7" si="1">0.1/SQRT(12)</f>
        <v>2.8867513459481291E-2</v>
      </c>
      <c r="G6" s="93">
        <f>PATRON!$G$45/SQRT(12)</f>
        <v>2.8867513459481291E-2</v>
      </c>
      <c r="H6" s="93">
        <v>0</v>
      </c>
      <c r="I6" s="8">
        <f t="shared" ref="I6:I7" si="2">SQRT(SUMSQ(C6:H6))</f>
        <v>0.31941352507368875</v>
      </c>
      <c r="J6" s="15">
        <f t="shared" ref="J6:J7" si="3">I6^4/(C6^4/200+D6^4/200+E6^4/200+F6^4/200+G6^4/200+H6^4/3)</f>
        <v>268.53472835691571</v>
      </c>
      <c r="K6" s="11">
        <f t="shared" ref="K6:K7" si="4">TINV(0.0455,J6)</f>
        <v>2.0093736198141858</v>
      </c>
      <c r="L6" s="8">
        <f t="shared" ref="L6:L7" si="5">I6*K6</f>
        <v>0.64182111109492723</v>
      </c>
    </row>
    <row r="7" spans="2:12" x14ac:dyDescent="0.3">
      <c r="B7" s="7">
        <f>MEDIDA!B9</f>
        <v>200</v>
      </c>
      <c r="C7" s="8">
        <f t="shared" si="0"/>
        <v>0.29499999999999998</v>
      </c>
      <c r="D7" s="8">
        <f>PATRON!$G$43/SQRT(3)</f>
        <v>0.11547005383792516</v>
      </c>
      <c r="E7" s="8">
        <v>0</v>
      </c>
      <c r="F7" s="93">
        <f t="shared" si="1"/>
        <v>2.8867513459481291E-2</v>
      </c>
      <c r="G7" s="93">
        <f>PATRON!$G$45/SQRT(12)</f>
        <v>2.8867513459481291E-2</v>
      </c>
      <c r="H7" s="93">
        <v>0</v>
      </c>
      <c r="I7" s="8">
        <f t="shared" si="2"/>
        <v>0.31941352507368875</v>
      </c>
      <c r="J7" s="15">
        <f t="shared" si="3"/>
        <v>268.53472835691571</v>
      </c>
      <c r="K7" s="11">
        <f t="shared" si="4"/>
        <v>2.0093736198141858</v>
      </c>
      <c r="L7" s="8">
        <f t="shared" si="5"/>
        <v>0.64182111109492723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A135"/>
  <sheetViews>
    <sheetView tabSelected="1" view="pageLayout" topLeftCell="A60" zoomScaleNormal="100" workbookViewId="0">
      <selection activeCell="T82" sqref="T8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9"/>
      <c r="J1" s="149"/>
      <c r="K1" s="149"/>
      <c r="M1" s="62"/>
      <c r="O1" s="147" t="s">
        <v>80</v>
      </c>
      <c r="P1" s="147"/>
      <c r="Q1" s="147"/>
      <c r="R1" s="148">
        <f>INFORMACIÓN!G3</f>
        <v>0</v>
      </c>
      <c r="S1" s="148"/>
    </row>
    <row r="2" spans="1:27" ht="16.95" customHeight="1" x14ac:dyDescent="0.3">
      <c r="G2" s="151"/>
      <c r="H2" s="151"/>
      <c r="I2" s="151"/>
      <c r="J2" s="150"/>
      <c r="K2" s="150"/>
    </row>
    <row r="3" spans="1:27" ht="16.95" customHeight="1" x14ac:dyDescent="0.3">
      <c r="B3" s="81"/>
      <c r="C3" s="143" t="s">
        <v>71</v>
      </c>
      <c r="D3" s="143"/>
      <c r="E3" s="143"/>
      <c r="F3" s="143"/>
      <c r="G3" s="143"/>
      <c r="H3" s="143"/>
      <c r="I3" s="143"/>
      <c r="J3" s="143"/>
      <c r="K3" s="143"/>
      <c r="L3" s="143"/>
      <c r="M3" s="143"/>
      <c r="N3" s="143"/>
      <c r="O3" s="143"/>
      <c r="P3" s="143"/>
      <c r="Q3" s="143"/>
      <c r="R3" s="143"/>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47" t="s">
        <v>62</v>
      </c>
      <c r="D5" s="147"/>
      <c r="E5" s="147"/>
      <c r="F5" s="147"/>
      <c r="G5" s="147"/>
      <c r="H5" s="51"/>
      <c r="I5" s="145">
        <f>INFORMACIÓN!A3</f>
        <v>0</v>
      </c>
      <c r="J5" s="145"/>
      <c r="K5" s="145"/>
      <c r="L5" s="145"/>
      <c r="M5" s="145"/>
      <c r="N5" s="145"/>
      <c r="O5" s="145"/>
      <c r="P5" s="145"/>
      <c r="Q5" s="145"/>
      <c r="R5" s="145"/>
      <c r="S5"/>
      <c r="T5"/>
      <c r="U5"/>
      <c r="V5"/>
      <c r="W5"/>
      <c r="X5"/>
      <c r="Y5"/>
      <c r="Z5"/>
      <c r="AA5"/>
    </row>
    <row r="6" spans="1:27" s="52" customFormat="1" ht="16.95" customHeight="1" x14ac:dyDescent="0.3">
      <c r="B6" s="76"/>
      <c r="C6" s="147" t="s">
        <v>63</v>
      </c>
      <c r="D6" s="147"/>
      <c r="E6" s="147"/>
      <c r="F6" s="147"/>
      <c r="G6" s="147"/>
      <c r="H6" s="51"/>
      <c r="I6" s="145">
        <f>INFORMACIÓN!B3</f>
        <v>0</v>
      </c>
      <c r="J6" s="145"/>
      <c r="K6" s="145"/>
      <c r="L6" s="145"/>
      <c r="M6" s="145"/>
      <c r="N6" s="145"/>
      <c r="O6" s="145"/>
      <c r="P6" s="145"/>
      <c r="Q6" s="145"/>
      <c r="R6" s="145"/>
      <c r="S6"/>
      <c r="T6"/>
      <c r="U6"/>
      <c r="V6"/>
      <c r="W6"/>
      <c r="X6"/>
      <c r="Y6"/>
      <c r="Z6"/>
      <c r="AA6"/>
    </row>
    <row r="7" spans="1:27" s="52" customFormat="1" ht="16.95" customHeight="1" x14ac:dyDescent="0.3">
      <c r="B7" s="76"/>
      <c r="C7" s="147" t="s">
        <v>64</v>
      </c>
      <c r="D7" s="147"/>
      <c r="E7" s="147"/>
      <c r="F7" s="147"/>
      <c r="G7" s="147"/>
      <c r="H7" s="51"/>
      <c r="I7" s="145">
        <f>INFORMACIÓN!C3</f>
        <v>0</v>
      </c>
      <c r="J7" s="145"/>
      <c r="K7" s="145"/>
      <c r="L7" s="145"/>
      <c r="M7" s="145"/>
      <c r="N7" s="145"/>
      <c r="O7" s="145"/>
      <c r="P7" s="145"/>
      <c r="Q7" s="145"/>
      <c r="R7" s="145"/>
      <c r="S7"/>
      <c r="T7"/>
      <c r="U7"/>
      <c r="V7"/>
      <c r="W7"/>
      <c r="X7"/>
      <c r="Y7"/>
      <c r="Z7"/>
      <c r="AA7"/>
    </row>
    <row r="8" spans="1:27" s="52" customFormat="1" ht="16.95" customHeight="1" x14ac:dyDescent="0.3">
      <c r="B8" s="76"/>
      <c r="C8" s="147" t="s">
        <v>65</v>
      </c>
      <c r="D8" s="147"/>
      <c r="E8" s="147"/>
      <c r="F8" s="147"/>
      <c r="G8" s="147"/>
      <c r="H8" s="51"/>
      <c r="I8" s="144">
        <f>INFORMACIÓN!D3</f>
        <v>0</v>
      </c>
      <c r="J8" s="145"/>
      <c r="K8" s="145"/>
      <c r="L8" s="145"/>
      <c r="M8" s="145"/>
      <c r="N8" s="145"/>
      <c r="O8" s="145"/>
      <c r="P8" s="145"/>
      <c r="Q8" s="145"/>
      <c r="R8" s="145"/>
      <c r="S8"/>
      <c r="T8"/>
      <c r="U8"/>
      <c r="V8"/>
      <c r="W8"/>
      <c r="X8"/>
      <c r="Y8"/>
      <c r="Z8"/>
      <c r="AA8"/>
    </row>
    <row r="9" spans="1:27" s="52" customFormat="1" ht="16.95" customHeight="1" x14ac:dyDescent="0.3">
      <c r="B9" s="76"/>
      <c r="C9" s="147" t="s">
        <v>66</v>
      </c>
      <c r="D9" s="147"/>
      <c r="E9" s="147"/>
      <c r="F9" s="147"/>
      <c r="G9" s="147"/>
      <c r="H9" s="51"/>
      <c r="I9" s="144">
        <f>INFORMACIÓN!F3</f>
        <v>0</v>
      </c>
      <c r="J9" s="145"/>
      <c r="K9" s="145"/>
      <c r="L9" s="145"/>
      <c r="M9" s="145"/>
      <c r="N9" s="145"/>
      <c r="O9" s="145"/>
      <c r="P9" s="145"/>
      <c r="Q9" s="145"/>
      <c r="R9" s="145"/>
      <c r="S9"/>
      <c r="T9"/>
      <c r="U9"/>
      <c r="V9"/>
      <c r="W9"/>
      <c r="X9"/>
      <c r="Y9"/>
      <c r="Z9"/>
      <c r="AA9"/>
    </row>
    <row r="10" spans="1:27" s="52" customFormat="1" ht="16.95" customHeight="1" x14ac:dyDescent="0.3">
      <c r="B10" s="76"/>
      <c r="C10" s="147" t="s">
        <v>68</v>
      </c>
      <c r="D10" s="147"/>
      <c r="E10" s="147"/>
      <c r="F10" s="147"/>
      <c r="G10" s="147"/>
      <c r="H10" s="51"/>
      <c r="I10" s="146">
        <f>INFORMACIÓN!E3</f>
        <v>0</v>
      </c>
      <c r="J10" s="145"/>
      <c r="K10" s="145"/>
      <c r="L10" s="145"/>
      <c r="M10" s="145"/>
      <c r="N10" s="145"/>
      <c r="O10" s="145"/>
      <c r="P10" s="145"/>
      <c r="Q10" s="145"/>
      <c r="R10" s="145"/>
      <c r="S10"/>
      <c r="T10"/>
      <c r="U10"/>
      <c r="V10"/>
      <c r="W10"/>
      <c r="X10"/>
      <c r="Y10"/>
      <c r="Z10"/>
      <c r="AA10"/>
    </row>
    <row r="11" spans="1:27" s="52" customFormat="1" ht="16.95" customHeight="1" x14ac:dyDescent="0.3">
      <c r="B11" s="76"/>
      <c r="C11" s="147" t="s">
        <v>67</v>
      </c>
      <c r="D11" s="147"/>
      <c r="E11" s="147"/>
      <c r="F11" s="147"/>
      <c r="G11" s="147"/>
      <c r="H11" s="51"/>
      <c r="I11" s="145" t="str">
        <f>INFORMACIÓN!B8</f>
        <v>BUEN ESTADO</v>
      </c>
      <c r="J11" s="145"/>
      <c r="K11" s="145"/>
      <c r="L11" s="145"/>
      <c r="M11" s="145"/>
      <c r="N11" s="145"/>
      <c r="O11" s="145"/>
      <c r="P11" s="145"/>
      <c r="Q11" s="145"/>
      <c r="R11" s="145"/>
      <c r="S11"/>
      <c r="T11"/>
      <c r="U11"/>
      <c r="V11"/>
      <c r="W11"/>
      <c r="X11"/>
      <c r="Y11"/>
      <c r="Z11"/>
      <c r="AA11"/>
    </row>
    <row r="12" spans="1:27" s="52" customFormat="1" ht="16.95" customHeight="1" x14ac:dyDescent="0.3">
      <c r="B12" s="76"/>
      <c r="C12" s="147" t="s">
        <v>77</v>
      </c>
      <c r="D12" s="147"/>
      <c r="E12" s="147"/>
      <c r="F12" s="147"/>
      <c r="G12" s="147"/>
      <c r="H12" s="77"/>
      <c r="I12" s="152">
        <f>INFORMACIÓN!H3</f>
        <v>0</v>
      </c>
      <c r="J12" s="152"/>
      <c r="K12" s="152"/>
      <c r="L12" s="152"/>
      <c r="M12" s="152"/>
      <c r="N12" s="152"/>
      <c r="O12" s="152"/>
      <c r="P12" s="152"/>
      <c r="Q12" s="152"/>
      <c r="R12" s="152"/>
      <c r="S12"/>
      <c r="T12"/>
      <c r="U12"/>
      <c r="V12"/>
      <c r="W12"/>
      <c r="X12"/>
      <c r="Y12"/>
      <c r="Z12"/>
      <c r="AA12"/>
    </row>
    <row r="13" spans="1:27" s="52" customFormat="1" ht="16.95" customHeight="1" x14ac:dyDescent="0.3">
      <c r="B13" s="76"/>
      <c r="C13" s="147" t="s">
        <v>76</v>
      </c>
      <c r="D13" s="147"/>
      <c r="E13" s="147"/>
      <c r="F13" s="147"/>
      <c r="G13" s="147"/>
      <c r="H13" s="77"/>
      <c r="I13" s="152">
        <f>INFORMACIÓN!B9</f>
        <v>0</v>
      </c>
      <c r="J13" s="152"/>
      <c r="K13" s="152"/>
      <c r="L13" s="152"/>
      <c r="M13" s="152"/>
      <c r="N13" s="152"/>
      <c r="O13" s="152"/>
      <c r="P13" s="152"/>
      <c r="Q13" s="152"/>
      <c r="R13" s="152"/>
      <c r="S13"/>
      <c r="T13"/>
      <c r="U13"/>
      <c r="V13"/>
      <c r="W13"/>
      <c r="X13"/>
      <c r="Y13"/>
      <c r="Z13"/>
      <c r="AA13"/>
    </row>
    <row r="14" spans="1:27" ht="16.95" customHeight="1" x14ac:dyDescent="0.3"/>
    <row r="15" spans="1:27" ht="16.95" customHeight="1" x14ac:dyDescent="0.3">
      <c r="B15" s="62"/>
      <c r="C15" s="155" t="s">
        <v>70</v>
      </c>
      <c r="D15" s="155"/>
      <c r="E15" s="155"/>
      <c r="F15" s="155"/>
      <c r="G15" s="155"/>
      <c r="H15" s="155"/>
      <c r="I15" s="155"/>
      <c r="J15" s="155"/>
      <c r="K15" s="155"/>
      <c r="L15" s="155"/>
      <c r="M15" s="155"/>
      <c r="N15" s="155"/>
      <c r="O15" s="155"/>
      <c r="P15" s="155"/>
      <c r="Q15" s="155"/>
      <c r="R15" s="155"/>
    </row>
    <row r="16" spans="1:27" ht="16.95" customHeight="1" x14ac:dyDescent="0.3"/>
    <row r="17" spans="1:18" ht="16.95" customHeight="1" x14ac:dyDescent="0.3">
      <c r="B17" s="50"/>
      <c r="C17" s="125" t="s">
        <v>72</v>
      </c>
      <c r="D17" s="125"/>
      <c r="E17" s="125"/>
      <c r="F17" s="125"/>
      <c r="G17" s="125"/>
      <c r="H17" s="49"/>
      <c r="I17" s="153" t="str">
        <f>INFORMACIÓN!E7</f>
        <v xml:space="preserve">HOSPITAL DE ALTA COMPLEJIDAD DEL MAGDALENA CENTRO </v>
      </c>
      <c r="J17" s="153"/>
      <c r="K17" s="153"/>
      <c r="L17" s="153"/>
      <c r="M17" s="153"/>
      <c r="N17" s="153"/>
      <c r="O17" s="153"/>
      <c r="P17" s="153"/>
      <c r="Q17" s="153"/>
      <c r="R17" s="153"/>
    </row>
    <row r="18" spans="1:18" ht="16.95" customHeight="1" x14ac:dyDescent="0.3">
      <c r="B18" s="50"/>
      <c r="C18" s="125" t="s">
        <v>73</v>
      </c>
      <c r="D18" s="125"/>
      <c r="E18" s="125"/>
      <c r="F18" s="125"/>
      <c r="G18" s="125"/>
      <c r="H18" s="49"/>
      <c r="I18" s="153" t="str">
        <f>INFORMACIÓN!E8</f>
        <v>901.532.463-8</v>
      </c>
      <c r="J18" s="153"/>
      <c r="K18" s="153"/>
      <c r="L18" s="153"/>
      <c r="M18" s="153"/>
      <c r="N18" s="153"/>
      <c r="O18" s="153"/>
      <c r="P18" s="153"/>
      <c r="Q18" s="153"/>
      <c r="R18" s="153"/>
    </row>
    <row r="19" spans="1:18" ht="16.95" customHeight="1" x14ac:dyDescent="0.3">
      <c r="B19" s="50"/>
      <c r="C19" s="125" t="s">
        <v>90</v>
      </c>
      <c r="D19" s="125"/>
      <c r="E19" s="125"/>
      <c r="F19" s="125"/>
      <c r="G19" s="125"/>
      <c r="H19" s="49"/>
      <c r="I19" s="153">
        <f>INFORMACIÓN!E9</f>
        <v>3007835072</v>
      </c>
      <c r="J19" s="153"/>
      <c r="K19" s="153"/>
      <c r="L19" s="153"/>
      <c r="M19" s="153"/>
      <c r="N19" s="153"/>
      <c r="O19" s="153"/>
      <c r="P19" s="153"/>
      <c r="Q19" s="153"/>
      <c r="R19" s="153"/>
    </row>
    <row r="20" spans="1:18" ht="16.95" customHeight="1" x14ac:dyDescent="0.3">
      <c r="B20" s="50"/>
      <c r="C20" s="125" t="s">
        <v>74</v>
      </c>
      <c r="D20" s="125"/>
      <c r="E20" s="125"/>
      <c r="F20" s="125"/>
      <c r="G20" s="125"/>
      <c r="H20" s="49"/>
      <c r="I20" s="153" t="str">
        <f>INFORMACIÓN!E10</f>
        <v>CARRERA 15 ENTRE CALLE 18 y 19</v>
      </c>
      <c r="J20" s="153"/>
      <c r="K20" s="153"/>
      <c r="L20" s="153"/>
      <c r="M20" s="153"/>
      <c r="N20" s="153"/>
      <c r="O20" s="153"/>
      <c r="P20" s="153"/>
      <c r="Q20" s="153"/>
      <c r="R20" s="153"/>
    </row>
    <row r="21" spans="1:18" ht="16.95" customHeight="1" x14ac:dyDescent="0.3">
      <c r="B21" s="50"/>
      <c r="C21" s="125" t="s">
        <v>75</v>
      </c>
      <c r="D21" s="125"/>
      <c r="E21" s="125"/>
      <c r="F21" s="125"/>
      <c r="G21" s="125"/>
      <c r="H21" s="49"/>
      <c r="I21" s="153" t="str">
        <f>INFORMACIÓN!E11</f>
        <v>LA DORADA - CALDAS</v>
      </c>
      <c r="J21" s="153"/>
      <c r="K21" s="153"/>
      <c r="L21" s="153"/>
      <c r="M21" s="153"/>
      <c r="N21" s="153"/>
      <c r="O21" s="153"/>
      <c r="P21" s="153"/>
      <c r="Q21" s="153"/>
      <c r="R21" s="153"/>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58" t="s">
        <v>160</v>
      </c>
      <c r="D23" s="158"/>
      <c r="E23" s="158"/>
      <c r="F23" s="158"/>
      <c r="G23" s="158"/>
      <c r="H23" s="158"/>
      <c r="I23" s="158"/>
      <c r="J23" s="158"/>
      <c r="K23" s="158"/>
      <c r="L23" s="158"/>
      <c r="M23" s="158"/>
      <c r="N23" s="158"/>
      <c r="O23" s="158"/>
      <c r="P23" s="158"/>
      <c r="Q23" s="158"/>
      <c r="R23" s="158"/>
    </row>
    <row r="24" spans="1:18" ht="16.95" customHeight="1" x14ac:dyDescent="0.3">
      <c r="A24" s="75"/>
      <c r="B24" s="75"/>
      <c r="C24" s="159"/>
      <c r="D24" s="159"/>
      <c r="E24" s="159"/>
      <c r="F24" s="159"/>
      <c r="G24" s="159"/>
      <c r="H24" s="159"/>
      <c r="I24" s="159"/>
      <c r="J24" s="159"/>
      <c r="K24" s="159"/>
      <c r="L24" s="159"/>
      <c r="M24" s="159"/>
      <c r="N24" s="159"/>
      <c r="O24" s="159"/>
      <c r="P24" s="159"/>
      <c r="Q24" s="159"/>
      <c r="R24" s="159"/>
    </row>
    <row r="25" spans="1:18" ht="16.95" customHeight="1" x14ac:dyDescent="0.3">
      <c r="A25" s="75"/>
      <c r="B25" s="75"/>
      <c r="C25" s="159"/>
      <c r="D25" s="159"/>
      <c r="E25" s="159"/>
      <c r="F25" s="159"/>
      <c r="G25" s="159"/>
      <c r="H25" s="159"/>
      <c r="I25" s="159"/>
      <c r="J25" s="159"/>
      <c r="K25" s="159"/>
      <c r="L25" s="159"/>
      <c r="M25" s="159"/>
      <c r="N25" s="159"/>
      <c r="O25" s="159"/>
      <c r="P25" s="159"/>
      <c r="Q25" s="159"/>
      <c r="R25" s="159"/>
    </row>
    <row r="26" spans="1:18" ht="16.95" customHeight="1" x14ac:dyDescent="0.3">
      <c r="A26" s="75"/>
      <c r="B26" s="75"/>
      <c r="C26" s="159"/>
      <c r="D26" s="159"/>
      <c r="E26" s="159"/>
      <c r="F26" s="159"/>
      <c r="G26" s="159"/>
      <c r="H26" s="159"/>
      <c r="I26" s="159"/>
      <c r="J26" s="159"/>
      <c r="K26" s="159"/>
      <c r="L26" s="159"/>
      <c r="M26" s="159"/>
      <c r="N26" s="159"/>
      <c r="O26" s="159"/>
      <c r="P26" s="159"/>
      <c r="Q26" s="159"/>
      <c r="R26" s="159"/>
    </row>
    <row r="27" spans="1:18" ht="16.95" customHeight="1" x14ac:dyDescent="0.3">
      <c r="A27" s="75"/>
      <c r="B27" s="75"/>
      <c r="C27" s="159"/>
      <c r="D27" s="159"/>
      <c r="E27" s="159"/>
      <c r="F27" s="159"/>
      <c r="G27" s="159"/>
      <c r="H27" s="159"/>
      <c r="I27" s="159"/>
      <c r="J27" s="159"/>
      <c r="K27" s="159"/>
      <c r="L27" s="159"/>
      <c r="M27" s="159"/>
      <c r="N27" s="159"/>
      <c r="O27" s="159"/>
      <c r="P27" s="159"/>
      <c r="Q27" s="159"/>
      <c r="R27" s="159"/>
    </row>
    <row r="28" spans="1:18" ht="16.95" customHeight="1" x14ac:dyDescent="0.3">
      <c r="A28" s="75"/>
      <c r="B28" s="75"/>
      <c r="C28" s="160"/>
      <c r="D28" s="160"/>
      <c r="E28" s="160"/>
      <c r="F28" s="160"/>
      <c r="G28" s="160"/>
      <c r="H28" s="160"/>
      <c r="I28" s="160"/>
      <c r="J28" s="160"/>
      <c r="K28" s="160"/>
      <c r="L28" s="160"/>
      <c r="M28" s="160"/>
      <c r="N28" s="160"/>
      <c r="O28" s="160"/>
      <c r="P28" s="160"/>
      <c r="Q28" s="160"/>
      <c r="R28" s="160"/>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25" t="s">
        <v>78</v>
      </c>
      <c r="J31" s="125"/>
      <c r="K31" s="125"/>
      <c r="L31" s="125"/>
      <c r="M31" s="153" t="str">
        <f>INFORMACIÓN!B15</f>
        <v>ING. GABRIEL DURÁN</v>
      </c>
      <c r="N31" s="153"/>
      <c r="O31" s="153"/>
      <c r="P31" s="153"/>
      <c r="Q31" s="153"/>
      <c r="R31" s="153"/>
    </row>
    <row r="32" spans="1:18" ht="16.95" customHeight="1" x14ac:dyDescent="0.3">
      <c r="F32" s="50"/>
      <c r="G32" s="50"/>
      <c r="H32" s="50"/>
      <c r="I32" s="125" t="s">
        <v>79</v>
      </c>
      <c r="J32" s="125"/>
      <c r="K32" s="125"/>
      <c r="L32" s="125"/>
      <c r="M32" s="156">
        <f>INFORMACIÓN!B10</f>
        <v>0</v>
      </c>
      <c r="N32" s="156"/>
      <c r="O32" s="156"/>
      <c r="P32" s="61"/>
      <c r="Q32" s="61"/>
      <c r="R32" s="50"/>
    </row>
    <row r="33" spans="1:19" ht="16.95" customHeight="1" x14ac:dyDescent="0.3">
      <c r="I33" s="125" t="s">
        <v>83</v>
      </c>
      <c r="J33" s="125"/>
      <c r="K33" s="125"/>
      <c r="L33" s="125"/>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25" t="str">
        <f>O1</f>
        <v>CERTIFICADO N°:</v>
      </c>
      <c r="P38" s="125"/>
      <c r="Q38" s="125"/>
      <c r="R38" s="124">
        <f>R1</f>
        <v>0</v>
      </c>
      <c r="S38" s="124"/>
    </row>
    <row r="39" spans="1:19" ht="16.95" customHeight="1" x14ac:dyDescent="0.3"/>
    <row r="40" spans="1:19" ht="16.95" customHeight="1" x14ac:dyDescent="0.3">
      <c r="B40" s="130" t="s">
        <v>84</v>
      </c>
      <c r="C40" s="130"/>
      <c r="D40" s="130"/>
      <c r="E40" s="130"/>
      <c r="F40" s="130"/>
      <c r="G40" s="130"/>
      <c r="H40" s="130"/>
      <c r="I40" s="130"/>
      <c r="J40" s="130"/>
      <c r="K40" s="130"/>
      <c r="L40" s="130"/>
      <c r="M40" s="130"/>
      <c r="N40" s="130"/>
      <c r="O40" s="130"/>
      <c r="P40" s="130"/>
      <c r="Q40" s="130"/>
      <c r="R40" s="130"/>
      <c r="S40" s="130"/>
    </row>
    <row r="41" spans="1:19" ht="16.95" customHeight="1" x14ac:dyDescent="0.3">
      <c r="B41" s="118" t="s">
        <v>161</v>
      </c>
      <c r="C41" s="118"/>
      <c r="D41" s="118"/>
      <c r="E41" s="118"/>
      <c r="F41" s="118"/>
      <c r="G41" s="118"/>
      <c r="H41" s="118"/>
      <c r="I41" s="118"/>
      <c r="J41" s="118"/>
      <c r="K41" s="118"/>
      <c r="L41" s="118"/>
      <c r="M41" s="118"/>
      <c r="N41" s="118"/>
      <c r="O41" s="118"/>
      <c r="P41" s="118"/>
      <c r="Q41" s="118"/>
      <c r="R41" s="118"/>
      <c r="S41" s="118"/>
    </row>
    <row r="42" spans="1:19" ht="16.95" customHeight="1" x14ac:dyDescent="0.3">
      <c r="A42" s="84"/>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4"/>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31" t="s">
        <v>85</v>
      </c>
      <c r="G45" s="132"/>
      <c r="H45" s="132"/>
      <c r="I45" s="132"/>
      <c r="J45" s="133"/>
      <c r="K45" s="140" t="s">
        <v>86</v>
      </c>
      <c r="L45" s="141"/>
      <c r="M45" s="141"/>
      <c r="N45" s="141"/>
      <c r="O45" s="142"/>
    </row>
    <row r="46" spans="1:19" ht="16.95" customHeight="1" x14ac:dyDescent="0.3">
      <c r="E46" s="73"/>
      <c r="F46" s="135">
        <f>AVERAGE(INFORMACIÓN!B11:B12)</f>
        <v>24.3</v>
      </c>
      <c r="G46" s="136"/>
      <c r="H46" s="69" t="s">
        <v>87</v>
      </c>
      <c r="I46" s="70">
        <f>ABS(INFORMACIÓN!B11-INFORMACIÓN!B12)</f>
        <v>0.39999999999999858</v>
      </c>
      <c r="J46" s="74"/>
      <c r="K46" s="137">
        <f>AVERAGE(INFORMACIÓN!B13:B14)</f>
        <v>61.5</v>
      </c>
      <c r="L46" s="138"/>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34" t="s">
        <v>162</v>
      </c>
      <c r="G48" s="134"/>
      <c r="H48" s="134"/>
      <c r="I48" s="134"/>
      <c r="J48" s="134"/>
      <c r="K48" s="139" t="s">
        <v>163</v>
      </c>
      <c r="L48" s="139"/>
      <c r="M48" s="139"/>
      <c r="N48" s="139"/>
      <c r="O48" s="139"/>
      <c r="P48" s="139"/>
    </row>
    <row r="49" spans="1:19" ht="13.2" customHeight="1" x14ac:dyDescent="0.3"/>
    <row r="50" spans="1:19" ht="16.95" customHeight="1" x14ac:dyDescent="0.3">
      <c r="B50" s="157" t="s">
        <v>88</v>
      </c>
      <c r="C50" s="157"/>
      <c r="D50" s="157"/>
      <c r="E50" s="157"/>
      <c r="F50" s="157"/>
      <c r="G50" s="157"/>
      <c r="H50" s="157"/>
      <c r="I50" s="157"/>
      <c r="J50" s="157"/>
      <c r="K50" s="157"/>
      <c r="L50" s="157"/>
      <c r="M50" s="157"/>
      <c r="N50" s="157"/>
      <c r="O50" s="157"/>
      <c r="P50" s="157"/>
      <c r="Q50" s="157"/>
      <c r="R50" s="157"/>
      <c r="S50" s="157"/>
    </row>
    <row r="51" spans="1:19" ht="16.95" customHeight="1" x14ac:dyDescent="0.3">
      <c r="B51" s="118" t="s">
        <v>164</v>
      </c>
      <c r="C51" s="118"/>
      <c r="D51" s="118"/>
      <c r="E51" s="118"/>
      <c r="F51" s="118"/>
      <c r="G51" s="118"/>
      <c r="H51" s="118"/>
      <c r="I51" s="118"/>
      <c r="J51" s="118"/>
      <c r="K51" s="118"/>
      <c r="L51" s="118"/>
      <c r="M51" s="118"/>
      <c r="N51" s="118"/>
      <c r="O51" s="118"/>
      <c r="P51" s="118"/>
      <c r="Q51" s="118"/>
      <c r="R51" s="118"/>
      <c r="S51" s="118"/>
    </row>
    <row r="52" spans="1:19" ht="16.95" customHeight="1" x14ac:dyDescent="0.3">
      <c r="A52" s="84"/>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4"/>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4"/>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4"/>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4"/>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4"/>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4"/>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30" t="s">
        <v>89</v>
      </c>
      <c r="C60" s="130"/>
      <c r="D60" s="130"/>
      <c r="E60" s="130"/>
      <c r="F60" s="130"/>
      <c r="G60" s="130"/>
      <c r="H60" s="130"/>
      <c r="I60" s="130"/>
      <c r="J60" s="130"/>
      <c r="K60" s="130"/>
      <c r="L60" s="130"/>
      <c r="M60" s="130"/>
      <c r="N60" s="130"/>
      <c r="O60" s="130"/>
      <c r="P60" s="130"/>
      <c r="Q60" s="130"/>
      <c r="R60" s="130"/>
      <c r="S60" s="130"/>
    </row>
    <row r="61" spans="1:19" ht="16.95" customHeight="1" x14ac:dyDescent="0.3">
      <c r="B61" s="118" t="s">
        <v>165</v>
      </c>
      <c r="C61" s="118"/>
      <c r="D61" s="118"/>
      <c r="E61" s="118"/>
      <c r="F61" s="118"/>
      <c r="G61" s="118"/>
      <c r="H61" s="118"/>
      <c r="I61" s="118"/>
      <c r="J61" s="118"/>
      <c r="K61" s="118"/>
      <c r="L61" s="118"/>
      <c r="M61" s="118"/>
      <c r="N61" s="118"/>
      <c r="O61" s="118"/>
      <c r="P61" s="118"/>
      <c r="Q61" s="118"/>
      <c r="R61" s="118"/>
      <c r="S61" s="118"/>
    </row>
    <row r="62" spans="1:19" ht="16.95" customHeight="1" x14ac:dyDescent="0.3">
      <c r="A62" s="84"/>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30" t="s">
        <v>95</v>
      </c>
      <c r="C64" s="130"/>
      <c r="D64" s="130"/>
      <c r="E64" s="130"/>
      <c r="F64" s="130"/>
      <c r="G64" s="130"/>
      <c r="H64" s="130"/>
      <c r="I64" s="130"/>
      <c r="J64" s="130"/>
      <c r="K64" s="130"/>
      <c r="L64" s="130"/>
      <c r="M64" s="130"/>
      <c r="N64" s="130"/>
      <c r="O64" s="130"/>
      <c r="P64" s="130"/>
      <c r="Q64" s="130"/>
      <c r="R64" s="130"/>
      <c r="S64" s="130"/>
    </row>
    <row r="65" spans="1:19" ht="19.2" customHeight="1" x14ac:dyDescent="0.3">
      <c r="B65" s="118" t="s">
        <v>166</v>
      </c>
      <c r="C65" s="118"/>
      <c r="D65" s="118"/>
      <c r="E65" s="118"/>
      <c r="F65" s="118"/>
      <c r="G65" s="118"/>
      <c r="H65" s="118"/>
      <c r="I65" s="118"/>
      <c r="J65" s="118"/>
      <c r="K65" s="118"/>
      <c r="L65" s="118"/>
      <c r="M65" s="118"/>
      <c r="N65" s="118"/>
      <c r="O65" s="118"/>
      <c r="P65" s="118"/>
      <c r="Q65" s="118"/>
      <c r="R65" s="118"/>
      <c r="S65" s="118"/>
    </row>
    <row r="66" spans="1:19" ht="16.95" customHeight="1" x14ac:dyDescent="0.3">
      <c r="A66" s="84"/>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4"/>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4"/>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20" t="s">
        <v>91</v>
      </c>
      <c r="C70" s="120"/>
      <c r="D70" s="120"/>
      <c r="E70" s="120"/>
      <c r="F70" s="120"/>
      <c r="G70" s="120"/>
      <c r="H70" s="120" t="s">
        <v>92</v>
      </c>
      <c r="I70" s="120"/>
      <c r="J70" s="120"/>
      <c r="K70" s="120"/>
      <c r="L70" s="120"/>
      <c r="M70" s="120" t="s">
        <v>93</v>
      </c>
      <c r="N70" s="120"/>
      <c r="O70" s="120"/>
      <c r="P70" s="120" t="s">
        <v>94</v>
      </c>
      <c r="Q70" s="120"/>
      <c r="R70" s="120"/>
      <c r="S70" s="120"/>
    </row>
    <row r="71" spans="1:19" ht="43.2" customHeight="1" x14ac:dyDescent="0.3">
      <c r="B71" s="121" t="s">
        <v>158</v>
      </c>
      <c r="C71" s="122"/>
      <c r="D71" s="122"/>
      <c r="E71" s="122"/>
      <c r="F71" s="122"/>
      <c r="G71" s="123"/>
      <c r="H71" s="127">
        <v>230310997</v>
      </c>
      <c r="I71" s="127"/>
      <c r="J71" s="127"/>
      <c r="K71" s="127"/>
      <c r="L71" s="128"/>
      <c r="M71" s="129">
        <v>46055</v>
      </c>
      <c r="N71" s="129"/>
      <c r="O71" s="129"/>
      <c r="P71" s="126" t="s">
        <v>159</v>
      </c>
      <c r="Q71" s="126"/>
      <c r="R71" s="126"/>
      <c r="S71" s="126"/>
    </row>
    <row r="72" spans="1:19" ht="16.95" customHeight="1" x14ac:dyDescent="0.3"/>
    <row r="73" spans="1:19" ht="16.95" customHeight="1" x14ac:dyDescent="0.3"/>
    <row r="74" spans="1:19" ht="16.95" customHeight="1" x14ac:dyDescent="0.3">
      <c r="O74" s="125" t="str">
        <f>O1</f>
        <v>CERTIFICADO N°:</v>
      </c>
      <c r="P74" s="125"/>
      <c r="Q74" s="125"/>
      <c r="R74" s="124">
        <f>R1</f>
        <v>0</v>
      </c>
      <c r="S74" s="124"/>
    </row>
    <row r="75" spans="1:19" ht="16.95" customHeight="1" x14ac:dyDescent="0.3"/>
    <row r="76" spans="1:19" ht="16.95" customHeight="1" x14ac:dyDescent="0.3">
      <c r="B76" s="154" t="s">
        <v>96</v>
      </c>
      <c r="C76" s="154"/>
      <c r="D76" s="154"/>
      <c r="E76" s="154"/>
      <c r="F76" s="154"/>
      <c r="G76" s="154"/>
      <c r="H76" s="154"/>
      <c r="I76" s="154"/>
      <c r="J76" s="154"/>
      <c r="K76" s="154"/>
      <c r="L76" s="154"/>
      <c r="M76" s="154"/>
      <c r="N76" s="154"/>
      <c r="O76" s="154"/>
      <c r="P76" s="154"/>
      <c r="Q76" s="154"/>
      <c r="R76" s="154"/>
      <c r="S76" s="154"/>
    </row>
    <row r="77" spans="1:19" ht="16.649999999999999" customHeight="1" x14ac:dyDescent="0.3"/>
    <row r="78" spans="1:19" ht="16.2" customHeight="1" x14ac:dyDescent="0.3"/>
    <row r="79" spans="1:19" ht="16.95" customHeight="1" x14ac:dyDescent="0.3">
      <c r="B79" s="124" t="s">
        <v>142</v>
      </c>
      <c r="C79" s="124"/>
      <c r="D79" s="124"/>
      <c r="E79" s="124"/>
      <c r="F79" s="124"/>
      <c r="G79" s="124"/>
      <c r="H79" s="124"/>
      <c r="I79" s="172" t="s">
        <v>130</v>
      </c>
      <c r="J79" s="172"/>
      <c r="K79" s="172"/>
      <c r="L79" s="172"/>
      <c r="M79" s="172"/>
      <c r="N79" s="173" t="s">
        <v>157</v>
      </c>
      <c r="O79" s="173"/>
      <c r="P79" s="168" t="s">
        <v>131</v>
      </c>
      <c r="Q79" s="168"/>
      <c r="R79" s="168"/>
      <c r="S79" s="87">
        <v>1</v>
      </c>
    </row>
    <row r="80" spans="1:19" ht="16.95" customHeight="1" x14ac:dyDescent="0.3">
      <c r="B80" s="104"/>
      <c r="C80" s="104"/>
      <c r="D80" s="104"/>
      <c r="E80" s="104"/>
      <c r="F80" s="104"/>
      <c r="G80" s="104"/>
      <c r="H80" s="104"/>
      <c r="I80" s="102"/>
      <c r="J80" s="102"/>
      <c r="K80" s="102"/>
      <c r="L80" s="102"/>
      <c r="M80" s="102"/>
      <c r="N80" s="87"/>
      <c r="O80" s="87"/>
      <c r="P80" s="103"/>
      <c r="Q80" s="103"/>
      <c r="R80" s="103"/>
      <c r="S80" s="87"/>
    </row>
    <row r="81" spans="5:16" ht="16.2" customHeight="1" x14ac:dyDescent="0.3"/>
    <row r="82" spans="5:16" ht="38.4" customHeight="1" x14ac:dyDescent="0.3">
      <c r="E82" s="169" t="s">
        <v>135</v>
      </c>
      <c r="F82" s="170"/>
      <c r="G82" s="171" t="s">
        <v>134</v>
      </c>
      <c r="H82" s="171"/>
      <c r="I82" s="171" t="s">
        <v>138</v>
      </c>
      <c r="J82" s="171"/>
      <c r="K82" s="171" t="s">
        <v>133</v>
      </c>
      <c r="L82" s="171"/>
      <c r="M82" s="171" t="s">
        <v>132</v>
      </c>
      <c r="N82" s="171"/>
      <c r="O82" s="171"/>
      <c r="P82" s="86" t="s">
        <v>14</v>
      </c>
    </row>
    <row r="83" spans="5:16" ht="15.45" customHeight="1" x14ac:dyDescent="0.3">
      <c r="E83" s="162">
        <f>MEDIDA!B7</f>
        <v>50</v>
      </c>
      <c r="F83" s="163"/>
      <c r="G83" s="164">
        <f ca="1">MEDIDA!Q7</f>
        <v>49.67</v>
      </c>
      <c r="H83" s="165"/>
      <c r="I83" s="164">
        <f>MEDIDA!F7</f>
        <v>50</v>
      </c>
      <c r="J83" s="165"/>
      <c r="K83" s="164">
        <f ca="1">MEDIDA!U7</f>
        <v>0.32999999999999829</v>
      </c>
      <c r="L83" s="165"/>
      <c r="M83" s="166">
        <f>INCERTIDUMBRE!L5</f>
        <v>0.64182111109492723</v>
      </c>
      <c r="N83" s="167"/>
      <c r="O83" s="163"/>
      <c r="P83" s="90">
        <f>INCERTIDUMBRE!K5</f>
        <v>2.0093736198141858</v>
      </c>
    </row>
    <row r="84" spans="5:16" ht="15.45" customHeight="1" x14ac:dyDescent="0.3">
      <c r="E84" s="162">
        <f>MEDIDA!B8</f>
        <v>100</v>
      </c>
      <c r="F84" s="163"/>
      <c r="G84" s="164">
        <f ca="1">MEDIDA!Q8</f>
        <v>100.29</v>
      </c>
      <c r="H84" s="165"/>
      <c r="I84" s="164">
        <f>MEDIDA!F8</f>
        <v>100</v>
      </c>
      <c r="J84" s="165"/>
      <c r="K84" s="164">
        <f ca="1">MEDIDA!U8</f>
        <v>-0.29000000000000625</v>
      </c>
      <c r="L84" s="165"/>
      <c r="M84" s="166">
        <f>INCERTIDUMBRE!L6</f>
        <v>0.64182111109492723</v>
      </c>
      <c r="N84" s="167"/>
      <c r="O84" s="163"/>
      <c r="P84" s="90">
        <f>INCERTIDUMBRE!K6</f>
        <v>2.0093736198141858</v>
      </c>
    </row>
    <row r="85" spans="5:16" ht="15.45" customHeight="1" x14ac:dyDescent="0.3">
      <c r="E85" s="162">
        <f>MEDIDA!B9</f>
        <v>200</v>
      </c>
      <c r="F85" s="163"/>
      <c r="G85" s="164">
        <f ca="1">MEDIDA!Q9</f>
        <v>199.98</v>
      </c>
      <c r="H85" s="165"/>
      <c r="I85" s="164">
        <f>MEDIDA!F9</f>
        <v>200</v>
      </c>
      <c r="J85" s="165"/>
      <c r="K85" s="164">
        <f ca="1">MEDIDA!U9</f>
        <v>2.0000000000010232E-2</v>
      </c>
      <c r="L85" s="165"/>
      <c r="M85" s="166">
        <f>INCERTIDUMBRE!L7</f>
        <v>0.64182111109492723</v>
      </c>
      <c r="N85" s="167"/>
      <c r="O85" s="163"/>
      <c r="P85" s="90">
        <f>INCERTIDUMBRE!K7</f>
        <v>2.0093736198141858</v>
      </c>
    </row>
    <row r="86" spans="5:16" x14ac:dyDescent="0.3">
      <c r="E86" s="99"/>
      <c r="F86" s="99"/>
      <c r="G86" s="105"/>
      <c r="H86" s="105"/>
      <c r="I86" s="105"/>
      <c r="J86" s="105"/>
      <c r="K86" s="105"/>
      <c r="L86" s="105"/>
      <c r="M86" s="106"/>
      <c r="N86" s="99"/>
      <c r="O86" s="99"/>
      <c r="P86" s="105"/>
    </row>
    <row r="87" spans="5:16" x14ac:dyDescent="0.3">
      <c r="E87" s="99"/>
      <c r="F87" s="99"/>
      <c r="G87" s="105"/>
      <c r="H87" s="105"/>
      <c r="I87" s="105"/>
      <c r="J87" s="105"/>
      <c r="K87" s="105"/>
      <c r="L87" s="105"/>
      <c r="M87" s="106"/>
      <c r="N87" s="99"/>
      <c r="O87" s="99"/>
      <c r="P87" s="105"/>
    </row>
    <row r="88" spans="5:16" x14ac:dyDescent="0.3">
      <c r="E88" s="99"/>
      <c r="F88" s="99"/>
      <c r="G88" s="105"/>
      <c r="H88" s="105"/>
      <c r="I88" s="105"/>
      <c r="J88" s="105"/>
      <c r="K88" s="105"/>
      <c r="L88" s="105"/>
      <c r="M88" s="106"/>
      <c r="N88" s="99"/>
      <c r="O88" s="99"/>
      <c r="P88" s="105"/>
    </row>
    <row r="89" spans="5:16" x14ac:dyDescent="0.3">
      <c r="E89" s="99"/>
      <c r="F89" s="99"/>
      <c r="G89" s="105"/>
      <c r="H89" s="105"/>
      <c r="I89" s="105"/>
      <c r="J89" s="105"/>
      <c r="K89" s="105"/>
      <c r="L89" s="105"/>
      <c r="M89" s="106"/>
      <c r="N89" s="99"/>
      <c r="O89" s="99"/>
      <c r="P89" s="105"/>
    </row>
    <row r="90" spans="5:16" x14ac:dyDescent="0.3">
      <c r="E90" s="99"/>
      <c r="F90" s="99"/>
      <c r="G90" s="105"/>
      <c r="H90" s="105"/>
      <c r="I90" s="105"/>
      <c r="J90" s="105"/>
      <c r="K90" s="105"/>
      <c r="L90" s="105"/>
      <c r="M90" s="106"/>
      <c r="N90" s="99"/>
      <c r="O90" s="99"/>
      <c r="P90" s="105"/>
    </row>
    <row r="91" spans="5:16" x14ac:dyDescent="0.3">
      <c r="E91" s="99"/>
      <c r="F91" s="99"/>
      <c r="G91" s="105"/>
      <c r="H91" s="105"/>
      <c r="I91" s="105"/>
      <c r="J91" s="105"/>
      <c r="K91" s="105"/>
      <c r="L91" s="105"/>
      <c r="M91" s="106"/>
      <c r="N91" s="99"/>
      <c r="O91" s="99"/>
      <c r="P91" s="105"/>
    </row>
    <row r="92" spans="5:16" x14ac:dyDescent="0.3">
      <c r="E92" s="99"/>
      <c r="F92" s="99"/>
      <c r="G92" s="105"/>
      <c r="H92" s="105"/>
      <c r="I92" s="105"/>
      <c r="J92" s="105"/>
      <c r="K92" s="105"/>
      <c r="L92" s="105"/>
      <c r="M92" s="106"/>
      <c r="N92" s="99"/>
      <c r="O92" s="99"/>
      <c r="P92" s="105"/>
    </row>
    <row r="93" spans="5:16" x14ac:dyDescent="0.3">
      <c r="E93" s="99"/>
      <c r="F93" s="99"/>
      <c r="G93" s="105"/>
      <c r="H93" s="105"/>
      <c r="I93" s="105"/>
      <c r="J93" s="105"/>
      <c r="K93" s="105"/>
      <c r="L93" s="105"/>
      <c r="M93" s="106"/>
      <c r="N93" s="99"/>
      <c r="O93" s="99"/>
      <c r="P93" s="105"/>
    </row>
    <row r="94" spans="5:16" x14ac:dyDescent="0.3">
      <c r="E94" s="99"/>
      <c r="F94" s="99"/>
      <c r="G94" s="105"/>
      <c r="H94" s="105"/>
      <c r="I94" s="105"/>
      <c r="J94" s="105"/>
      <c r="K94" s="105"/>
      <c r="L94" s="105"/>
      <c r="M94" s="106"/>
      <c r="N94" s="99"/>
      <c r="O94" s="99"/>
      <c r="P94" s="105"/>
    </row>
    <row r="95" spans="5:16" ht="16.2" customHeight="1" x14ac:dyDescent="0.3"/>
    <row r="96" spans="5:16" ht="16.2" customHeight="1" x14ac:dyDescent="0.3"/>
    <row r="97" spans="2:19" ht="16.2" customHeight="1" x14ac:dyDescent="0.3"/>
    <row r="100" spans="2:19" ht="16.95" customHeight="1" x14ac:dyDescent="0.3">
      <c r="B100" s="154" t="s">
        <v>97</v>
      </c>
      <c r="C100" s="154"/>
      <c r="D100" s="154"/>
      <c r="E100" s="154"/>
      <c r="F100" s="154"/>
      <c r="G100" s="154"/>
      <c r="H100" s="154"/>
      <c r="I100" s="154"/>
      <c r="J100" s="154"/>
      <c r="K100" s="154"/>
      <c r="L100" s="154"/>
      <c r="M100" s="154"/>
      <c r="N100" s="154"/>
      <c r="O100" s="154"/>
      <c r="P100" s="154"/>
      <c r="Q100" s="154"/>
      <c r="R100" s="154"/>
      <c r="S100" s="154"/>
    </row>
    <row r="101" spans="2:19" ht="16.95" customHeight="1" x14ac:dyDescent="0.3"/>
    <row r="102" spans="2:19" ht="16.95" customHeight="1" x14ac:dyDescent="0.3">
      <c r="B102" s="147" t="s">
        <v>98</v>
      </c>
      <c r="C102" s="147"/>
      <c r="D102" s="147"/>
      <c r="E102" s="147"/>
      <c r="F102" s="147"/>
      <c r="G102" s="147"/>
      <c r="I102" s="75" t="s">
        <v>99</v>
      </c>
      <c r="J102" s="75"/>
      <c r="K102" s="75"/>
      <c r="L102" s="75"/>
      <c r="M102" s="75"/>
      <c r="N102" s="75"/>
      <c r="O102" s="75"/>
      <c r="P102" s="75"/>
      <c r="Q102" s="75"/>
      <c r="R102" s="75"/>
      <c r="S102" s="75"/>
    </row>
    <row r="103" spans="2:19" ht="16.95" customHeight="1" x14ac:dyDescent="0.3">
      <c r="B103" s="148" t="s">
        <v>100</v>
      </c>
      <c r="C103" s="148"/>
      <c r="D103" s="148"/>
      <c r="E103" s="148"/>
      <c r="F103" s="148"/>
      <c r="G103" s="148"/>
      <c r="I103" s="75" t="s">
        <v>99</v>
      </c>
    </row>
    <row r="104" spans="2:19" ht="16.95" customHeight="1" x14ac:dyDescent="0.3">
      <c r="B104" s="147" t="s">
        <v>101</v>
      </c>
      <c r="C104" s="147"/>
      <c r="D104" s="147"/>
      <c r="E104" s="147"/>
      <c r="F104" s="147"/>
      <c r="G104" s="147"/>
      <c r="I104" s="75" t="s">
        <v>99</v>
      </c>
      <c r="J104" s="75"/>
      <c r="K104" s="75"/>
      <c r="L104" s="75"/>
      <c r="M104" s="75"/>
      <c r="N104" s="75"/>
      <c r="O104" s="75"/>
      <c r="P104" s="75"/>
      <c r="Q104" s="75"/>
      <c r="R104" s="75"/>
      <c r="S104" s="75"/>
    </row>
    <row r="105" spans="2:19" x14ac:dyDescent="0.3">
      <c r="B105" s="161" t="s">
        <v>102</v>
      </c>
      <c r="C105" s="161"/>
      <c r="D105" s="161"/>
      <c r="E105" s="161"/>
      <c r="F105" s="161"/>
      <c r="G105" s="161"/>
      <c r="I105" s="85" t="s">
        <v>136</v>
      </c>
      <c r="J105" s="85"/>
      <c r="K105" s="85"/>
      <c r="L105" s="85"/>
      <c r="M105" s="85"/>
      <c r="N105" s="85"/>
      <c r="O105" s="85"/>
      <c r="P105" s="85"/>
      <c r="Q105" s="85"/>
      <c r="R105" s="85"/>
      <c r="S105" s="85"/>
    </row>
    <row r="109" spans="2:19" ht="24" customHeight="1" x14ac:dyDescent="0.3">
      <c r="B109" s="155" t="s">
        <v>167</v>
      </c>
      <c r="C109" s="155"/>
      <c r="D109" s="155"/>
      <c r="E109" s="155"/>
      <c r="F109" s="155"/>
      <c r="G109" s="155"/>
      <c r="H109" s="155"/>
      <c r="I109" s="155"/>
      <c r="J109" s="155"/>
      <c r="K109" s="155"/>
      <c r="L109" s="155"/>
      <c r="M109" s="155"/>
      <c r="N109" s="155"/>
      <c r="O109" s="155"/>
      <c r="P109" s="155"/>
      <c r="Q109" s="155"/>
      <c r="R109" s="155"/>
      <c r="S109" s="155"/>
    </row>
    <row r="121" ht="16.2" customHeight="1" x14ac:dyDescent="0.3"/>
    <row r="126" ht="16.95" customHeight="1" x14ac:dyDescent="0.3"/>
    <row r="127" ht="24" customHeight="1" x14ac:dyDescent="0.3"/>
    <row r="131" ht="16.95" customHeight="1" x14ac:dyDescent="0.3"/>
    <row r="135" ht="24" customHeight="1" x14ac:dyDescent="0.3"/>
  </sheetData>
  <mergeCells count="98">
    <mergeCell ref="P79:R79"/>
    <mergeCell ref="E82:F82"/>
    <mergeCell ref="G82:H82"/>
    <mergeCell ref="I82:J82"/>
    <mergeCell ref="K82:L82"/>
    <mergeCell ref="M82:O82"/>
    <mergeCell ref="B79:H79"/>
    <mergeCell ref="I79:M79"/>
    <mergeCell ref="N79:O79"/>
    <mergeCell ref="E83:F83"/>
    <mergeCell ref="G83:H83"/>
    <mergeCell ref="I83:J83"/>
    <mergeCell ref="K83:L83"/>
    <mergeCell ref="M83:O83"/>
    <mergeCell ref="E84:F84"/>
    <mergeCell ref="G84:H84"/>
    <mergeCell ref="I84:J84"/>
    <mergeCell ref="K84:L84"/>
    <mergeCell ref="M84:O84"/>
    <mergeCell ref="E85:F85"/>
    <mergeCell ref="G85:H85"/>
    <mergeCell ref="I85:J85"/>
    <mergeCell ref="K85:L85"/>
    <mergeCell ref="M85:O85"/>
    <mergeCell ref="B105:G105"/>
    <mergeCell ref="B109:S109"/>
    <mergeCell ref="B102:G102"/>
    <mergeCell ref="B103:G103"/>
    <mergeCell ref="B104:G104"/>
    <mergeCell ref="B100:S100"/>
    <mergeCell ref="C15:R15"/>
    <mergeCell ref="C17:G17"/>
    <mergeCell ref="C18:G18"/>
    <mergeCell ref="I13:R13"/>
    <mergeCell ref="R74:S74"/>
    <mergeCell ref="O74:Q74"/>
    <mergeCell ref="B76:S76"/>
    <mergeCell ref="B41:S43"/>
    <mergeCell ref="B40:S40"/>
    <mergeCell ref="M32:O32"/>
    <mergeCell ref="I32:L32"/>
    <mergeCell ref="I33:L33"/>
    <mergeCell ref="B50:S50"/>
    <mergeCell ref="C23:R28"/>
    <mergeCell ref="M31:R31"/>
    <mergeCell ref="I11:R11"/>
    <mergeCell ref="I12:R12"/>
    <mergeCell ref="C19:G19"/>
    <mergeCell ref="C20:G20"/>
    <mergeCell ref="C21:G21"/>
    <mergeCell ref="I17:R17"/>
    <mergeCell ref="I18:R18"/>
    <mergeCell ref="I19:R19"/>
    <mergeCell ref="I20:R20"/>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B51:S58"/>
    <mergeCell ref="B61:S62"/>
    <mergeCell ref="B70:G70"/>
    <mergeCell ref="B71:G71"/>
    <mergeCell ref="R38:S38"/>
    <mergeCell ref="O38:Q38"/>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2026-05-05T01:41:04Z</dcterms:modified>
</cp:coreProperties>
</file>