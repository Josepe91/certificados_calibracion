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704" firstSheet="0" activeTab="5" autoFilterDateGrouping="1"/>
  </bookViews>
  <sheets>
    <sheet name="INFORMACIÓN" sheetId="1" state="visible" r:id="rId1"/>
    <sheet name="Redondeo" sheetId="2" state="hidden" r:id="rId2"/>
    <sheet name="MEDIDA" sheetId="3" state="visible" r:id="rId3"/>
    <sheet name="PATRON" sheetId="4" state="visible" r:id="rId4"/>
    <sheet name="INCERTIDUMBRE" sheetId="5" state="visible" r:id="rId5"/>
    <sheet name="CERTIFICADO " sheetId="6" state="visible" r:id="rId6"/>
  </sheets>
  <externalReferences>
    <externalReference r:id="rId7"/>
  </externalReferences>
  <definedNames>
    <definedName name="Instrumento">'[1]R-LAB-127 DENSIDAD AIRE'!#REF!</definedName>
    <definedName name="Instrumento.">'[1]R-LAB-127 DENSIDAD AIRE'!#REF!</definedName>
    <definedName name="N">#REF!</definedName>
    <definedName name="Instrumento" localSheetId="5">'[1]R-LAB-127 DENSIDAD AIRE'!#REF!</definedName>
    <definedName name="Instrumento." localSheetId="5">'[1]R-LAB-127 DENSIDAD AIRE'!#REF!</definedName>
    <definedName name="N" localSheetId="5">#REF!</definedName>
  </definedNames>
  <calcPr calcId="191029" fullCalcOnLoad="1"/>
</workbook>
</file>

<file path=xl/styles.xml><?xml version="1.0" encoding="utf-8"?>
<styleSheet xmlns="http://schemas.openxmlformats.org/spreadsheetml/2006/main">
  <numFmts count="5">
    <numFmt numFmtId="164" formatCode="0.0"/>
    <numFmt numFmtId="165" formatCode="yyyy\-mm\-dd;@"/>
    <numFmt numFmtId="166" formatCode="0.0000"/>
    <numFmt numFmtId="167" formatCode="0.000000"/>
    <numFmt numFmtId="168" formatCode="0.000"/>
  </numFmts>
  <fonts count="29">
    <font>
      <name val="Calibri"/>
      <family val="2"/>
      <color theme="1"/>
      <sz val="11"/>
      <scheme val="minor"/>
    </font>
    <font>
      <name val="Arial Narrow"/>
      <family val="2"/>
      <color theme="1"/>
      <sz val="11"/>
    </font>
    <font>
      <name val="Arial Narrow"/>
      <family val="2"/>
      <b val="1"/>
      <color theme="1"/>
      <sz val="11"/>
    </font>
    <font>
      <name val="Cambria"/>
      <family val="1"/>
      <color theme="1"/>
      <sz val="10"/>
      <scheme val="major"/>
    </font>
    <font>
      <name val="Arial"/>
      <family val="2"/>
      <sz val="10"/>
    </font>
    <font>
      <name val="Cambria"/>
      <family val="1"/>
      <b val="1"/>
      <sz val="10"/>
      <scheme val="major"/>
    </font>
    <font>
      <name val="Calibri"/>
      <family val="2"/>
      <b val="1"/>
      <color theme="1"/>
      <sz val="11"/>
      <scheme val="minor"/>
    </font>
    <font>
      <name val="Calibri"/>
      <family val="2"/>
      <color theme="1"/>
      <sz val="12"/>
      <scheme val="minor"/>
    </font>
    <font>
      <name val="Comic Sans MS"/>
      <family val="4"/>
      <b val="1"/>
      <sz val="10"/>
    </font>
    <font>
      <name val="Calibri"/>
      <family val="2"/>
      <color indexed="8"/>
      <sz val="11"/>
    </font>
    <font>
      <name val="Calibri"/>
      <family val="2"/>
      <color theme="1"/>
      <sz val="10"/>
      <scheme val="minor"/>
    </font>
    <font>
      <name val="Calibri"/>
      <family val="2"/>
      <color theme="1"/>
      <sz val="9"/>
      <scheme val="minor"/>
    </font>
    <font>
      <name val="Cambria"/>
      <family val="1"/>
      <b val="1"/>
      <color theme="0"/>
      <sz val="9"/>
      <scheme val="major"/>
    </font>
    <font>
      <name val="Calibri"/>
      <family val="2"/>
      <b val="1"/>
      <sz val="11"/>
      <scheme val="minor"/>
    </font>
    <font>
      <name val="Calibri"/>
      <family val="2"/>
      <color theme="1"/>
      <sz val="14"/>
      <scheme val="minor"/>
    </font>
    <font>
      <name val="Calibri"/>
      <family val="2"/>
      <b val="1"/>
      <color theme="1"/>
      <sz val="9"/>
      <scheme val="minor"/>
    </font>
    <font>
      <name val="Calibri"/>
      <family val="2"/>
      <b val="1"/>
      <color theme="1"/>
      <sz val="10"/>
      <scheme val="minor"/>
    </font>
    <font>
      <name val="Calibri"/>
      <family val="2"/>
      <b val="1"/>
      <color rgb="FF6EA92D"/>
      <sz val="11"/>
      <scheme val="minor"/>
    </font>
    <font>
      <name val="Calibri"/>
      <family val="2"/>
      <b val="1"/>
      <color theme="1"/>
      <sz val="14"/>
      <scheme val="minor"/>
    </font>
    <font>
      <name val="Calibri"/>
      <family val="2"/>
      <b val="1"/>
      <sz val="10"/>
      <scheme val="minor"/>
    </font>
    <font>
      <name val="Jumble"/>
      <color theme="1"/>
      <sz val="11"/>
    </font>
    <font>
      <name val="Jumble"/>
      <b val="1"/>
      <color theme="4" tint="-0.499984740745262"/>
      <sz val="11"/>
    </font>
    <font>
      <name val="Arial Nova"/>
      <family val="2"/>
      <b val="1"/>
      <sz val="12"/>
    </font>
    <font>
      <name val="Calibri"/>
      <family val="2"/>
      <color theme="1"/>
      <sz val="10"/>
    </font>
    <font>
      <name val="Calibri"/>
      <family val="2"/>
      <sz val="8"/>
      <scheme val="minor"/>
    </font>
    <font>
      <name val="Calibri"/>
      <family val="2"/>
      <color theme="1"/>
      <sz val="8"/>
      <scheme val="minor"/>
    </font>
    <font>
      <name val="Calibri"/>
      <family val="2"/>
      <b val="1"/>
      <color theme="1"/>
      <sz val="9"/>
    </font>
    <font>
      <name val="Arial Narrow"/>
      <family val="2"/>
      <color theme="1"/>
      <sz val="10"/>
    </font>
    <font>
      <name val="Calibri"/>
      <family val="2"/>
      <color theme="1"/>
      <sz val="11"/>
    </font>
  </fonts>
  <fills count="15">
    <fill>
      <patternFill/>
    </fill>
    <fill>
      <patternFill patternType="gray125"/>
    </fill>
    <fill>
      <patternFill patternType="solid">
        <fgColor theme="0"/>
        <bgColor indexed="64"/>
      </patternFill>
    </fill>
    <fill>
      <patternFill patternType="solid">
        <fgColor theme="0" tint="-0.1499984740745262"/>
        <bgColor indexed="65"/>
      </patternFill>
    </fill>
    <fill>
      <patternFill patternType="solid">
        <fgColor theme="4" tint="0.7999816888943144"/>
        <bgColor indexed="64"/>
      </patternFill>
    </fill>
    <fill>
      <patternFill patternType="solid">
        <fgColor rgb="FFFFFF00"/>
        <bgColor indexed="64"/>
      </patternFill>
    </fill>
    <fill>
      <patternFill patternType="solid">
        <fgColor theme="4" tint="0.5999938962981048"/>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0"/>
        <bgColor rgb="FF11E987"/>
      </patternFill>
    </fill>
    <fill>
      <patternFill patternType="solid">
        <fgColor theme="0" tint="-0.1499984740745262"/>
        <bgColor indexed="64"/>
      </patternFill>
    </fill>
  </fills>
  <borders count="4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auto="1"/>
      </left>
      <right/>
      <top/>
      <bottom/>
      <diagonal/>
    </border>
    <border>
      <left style="thin">
        <color auto="1"/>
      </left>
      <right/>
      <top/>
      <bottom style="thin">
        <color auto="1"/>
      </bottom>
      <diagonal/>
    </border>
    <border>
      <left/>
      <right/>
      <top style="thin">
        <color auto="1"/>
      </top>
      <bottom style="thin">
        <color auto="1"/>
      </bottom>
      <diagonal/>
    </border>
    <border>
      <left style="thin">
        <color indexed="64"/>
      </left>
      <right style="thin">
        <color auto="1"/>
      </right>
      <top/>
      <bottom style="thin">
        <color indexed="64"/>
      </bottom>
      <diagonal/>
    </border>
    <border>
      <left/>
      <right/>
      <top/>
      <bottom style="thin">
        <color indexed="64"/>
      </bottom>
      <diagonal/>
    </border>
    <border>
      <left/>
      <right style="thin">
        <color auto="1"/>
      </right>
      <top/>
      <bottom style="thin">
        <color indexed="64"/>
      </bottom>
      <diagonal/>
    </border>
    <border>
      <left/>
      <right/>
      <top style="thin">
        <color rgb="FF6EA92D"/>
      </top>
      <bottom style="thin">
        <color rgb="FF92D050"/>
      </bottom>
      <diagonal/>
    </border>
    <border>
      <left/>
      <right style="thin">
        <color rgb="FF92D050"/>
      </right>
      <top style="thin">
        <color rgb="FF92D050"/>
      </top>
      <bottom/>
      <diagonal/>
    </border>
  </borders>
  <cellStyleXfs count="6">
    <xf numFmtId="0" fontId="0" fillId="0" borderId="0"/>
    <xf numFmtId="0" fontId="4" fillId="0" borderId="0"/>
    <xf numFmtId="0" fontId="7" fillId="0" borderId="0"/>
    <xf numFmtId="0" fontId="8" fillId="3" borderId="0" applyAlignment="1">
      <alignment vertical="center"/>
    </xf>
    <xf numFmtId="0" fontId="7" fillId="0" borderId="0"/>
    <xf numFmtId="0" fontId="9" fillId="0" borderId="0"/>
  </cellStyleXfs>
  <cellXfs count="208">
    <xf numFmtId="0" fontId="0" fillId="0" borderId="0" pivotButton="0" quotePrefix="0" xfId="0"/>
    <xf numFmtId="0" fontId="1" fillId="0" borderId="0" applyAlignment="1" pivotButton="0" quotePrefix="0" xfId="0">
      <alignment vertical="center"/>
    </xf>
    <xf numFmtId="2" fontId="0" fillId="0" borderId="0" pivotButton="0" quotePrefix="0" xfId="0"/>
    <xf numFmtId="0" fontId="2" fillId="4" borderId="0" applyAlignment="1" pivotButton="0" quotePrefix="0" xfId="0">
      <alignment horizontal="center" vertical="center"/>
    </xf>
    <xf numFmtId="0" fontId="1" fillId="0" borderId="0" applyAlignment="1" pivotButton="0" quotePrefix="0" xfId="0">
      <alignment horizontal="center" vertical="center"/>
    </xf>
    <xf numFmtId="2" fontId="0" fillId="0" borderId="0" applyAlignment="1" pivotButton="0" quotePrefix="0" xfId="0">
      <alignment horizontal="center"/>
    </xf>
    <xf numFmtId="1" fontId="3" fillId="0" borderId="5" applyAlignment="1" pivotButton="0" quotePrefix="0" xfId="0">
      <alignment horizontal="center" vertical="center"/>
    </xf>
    <xf numFmtId="164" fontId="3" fillId="0" borderId="5" applyAlignment="1" pivotButton="0" quotePrefix="0" xfId="0">
      <alignment horizontal="center" vertical="center"/>
    </xf>
    <xf numFmtId="2" fontId="3" fillId="0" borderId="5" applyAlignment="1" pivotButton="0" quotePrefix="0" xfId="0">
      <alignment horizontal="center" vertical="center"/>
    </xf>
    <xf numFmtId="0" fontId="1" fillId="0" borderId="0" applyAlignment="1" pivotButton="0" quotePrefix="0" xfId="0">
      <alignment horizontal="left" vertical="center"/>
    </xf>
    <xf numFmtId="165" fontId="1" fillId="0" borderId="0" applyAlignment="1" pivotButton="0" quotePrefix="0" xfId="0">
      <alignment horizontal="center" vertical="center"/>
    </xf>
    <xf numFmtId="164" fontId="0" fillId="0" borderId="5" applyAlignment="1" pivotButton="0" quotePrefix="0" xfId="0">
      <alignment horizontal="center"/>
    </xf>
    <xf numFmtId="164" fontId="0" fillId="0" borderId="0" pivotButton="0" quotePrefix="0" xfId="0"/>
    <xf numFmtId="0" fontId="1" fillId="0" borderId="0" applyAlignment="1" pivotButton="0" quotePrefix="0" xfId="0">
      <alignment horizontal="center" vertical="center" wrapText="1"/>
    </xf>
    <xf numFmtId="166" fontId="0" fillId="0" borderId="0" pivotButton="0" quotePrefix="0" xfId="0"/>
    <xf numFmtId="1" fontId="0" fillId="0" borderId="5" applyAlignment="1" pivotButton="0" quotePrefix="0" xfId="0">
      <alignment horizontal="center"/>
    </xf>
    <xf numFmtId="0" fontId="0" fillId="0" borderId="0" applyProtection="1" pivotButton="0" quotePrefix="0" xfId="0">
      <protection locked="0" hidden="0"/>
    </xf>
    <xf numFmtId="0" fontId="0" fillId="0" borderId="0" applyAlignment="1" pivotButton="0" quotePrefix="0" xfId="0">
      <alignment horizontal="center"/>
    </xf>
    <xf numFmtId="0" fontId="6" fillId="0" borderId="0" pivotButton="0" quotePrefix="0" xfId="0"/>
    <xf numFmtId="0" fontId="12" fillId="7" borderId="5" applyAlignment="1" pivotButton="0" quotePrefix="0" xfId="0">
      <alignment horizontal="center" vertical="center" wrapText="1"/>
    </xf>
    <xf numFmtId="0" fontId="6" fillId="0" borderId="5" pivotButton="0" quotePrefix="0" xfId="0"/>
    <xf numFmtId="0" fontId="6" fillId="0" borderId="5" applyAlignment="1" pivotButton="0" quotePrefix="0" xfId="0">
      <alignment horizontal="center"/>
    </xf>
    <xf numFmtId="1" fontId="0" fillId="2" borderId="0" applyAlignment="1" pivotButton="0" quotePrefix="0" xfId="0">
      <alignment horizontal="center"/>
    </xf>
    <xf numFmtId="0" fontId="0" fillId="2" borderId="0" applyAlignment="1" pivotButton="0" quotePrefix="0" xfId="0">
      <alignment horizontal="center"/>
    </xf>
    <xf numFmtId="2" fontId="0" fillId="2" borderId="0" applyAlignment="1" pivotButton="0" quotePrefix="0" xfId="0">
      <alignment horizontal="center"/>
    </xf>
    <xf numFmtId="164" fontId="0" fillId="2" borderId="0" applyAlignment="1" pivotButton="0" quotePrefix="0" xfId="0">
      <alignment horizontal="center"/>
    </xf>
    <xf numFmtId="2" fontId="1" fillId="0" borderId="0" applyAlignment="1" pivotButton="0" quotePrefix="0" xfId="0">
      <alignment horizontal="center" vertical="center"/>
    </xf>
    <xf numFmtId="0" fontId="0" fillId="0" borderId="8" pivotButton="0" quotePrefix="0" xfId="0"/>
    <xf numFmtId="0" fontId="0" fillId="8" borderId="0" pivotButton="0" quotePrefix="0" xfId="0"/>
    <xf numFmtId="167" fontId="14" fillId="5" borderId="9" pivotButton="0" quotePrefix="0" xfId="0"/>
    <xf numFmtId="167" fontId="0" fillId="0" borderId="0" pivotButton="0" quotePrefix="0" xfId="0"/>
    <xf numFmtId="0" fontId="0" fillId="0" borderId="10" pivotButton="0" quotePrefix="0" xfId="0"/>
    <xf numFmtId="0" fontId="0" fillId="0" borderId="14" pivotButton="0" quotePrefix="0" xfId="0"/>
    <xf numFmtId="0" fontId="0" fillId="0" borderId="15" pivotButton="0" quotePrefix="0" xfId="0"/>
    <xf numFmtId="1" fontId="0" fillId="0" borderId="8" pivotButton="0" quotePrefix="0" xfId="0"/>
    <xf numFmtId="164" fontId="14" fillId="0" borderId="8" pivotButton="0" quotePrefix="0" xfId="0"/>
    <xf numFmtId="1" fontId="0" fillId="0" borderId="0" pivotButton="0" quotePrefix="0" xfId="0"/>
    <xf numFmtId="0" fontId="0" fillId="0" borderId="8" applyAlignment="1" pivotButton="0" quotePrefix="0" xfId="0">
      <alignment wrapText="1"/>
    </xf>
    <xf numFmtId="0" fontId="0" fillId="0" borderId="0" applyAlignment="1" pivotButton="0" quotePrefix="0" xfId="0">
      <alignment wrapText="1"/>
    </xf>
    <xf numFmtId="2" fontId="0" fillId="0" borderId="10" pivotButton="0" quotePrefix="0" xfId="0"/>
    <xf numFmtId="2" fontId="0" fillId="0" borderId="8" pivotButton="0" quotePrefix="0" xfId="0"/>
    <xf numFmtId="2" fontId="14" fillId="0" borderId="8" pivotButton="0" quotePrefix="0" xfId="0"/>
    <xf numFmtId="166" fontId="0" fillId="0" borderId="10" pivotButton="0" quotePrefix="0" xfId="0"/>
    <xf numFmtId="168" fontId="14" fillId="0" borderId="8" pivotButton="0" quotePrefix="0" xfId="0"/>
    <xf numFmtId="168" fontId="0" fillId="0" borderId="0" pivotButton="0" quotePrefix="0" xfId="0"/>
    <xf numFmtId="166" fontId="14" fillId="0" borderId="8" pivotButton="0" quotePrefix="0" xfId="0"/>
    <xf numFmtId="0" fontId="0" fillId="0" borderId="16" pivotButton="0" quotePrefix="0" xfId="0"/>
    <xf numFmtId="0" fontId="0" fillId="0" borderId="17" pivotButton="0" quotePrefix="0" xfId="0"/>
    <xf numFmtId="0" fontId="0" fillId="8" borderId="0" applyAlignment="1" pivotButton="0" quotePrefix="0" xfId="0">
      <alignment horizontal="right"/>
    </xf>
    <xf numFmtId="0" fontId="10" fillId="0" borderId="0" pivotButton="0" quotePrefix="0" xfId="0"/>
    <xf numFmtId="0" fontId="16" fillId="0" borderId="0" pivotButton="0" quotePrefix="0" xfId="0"/>
    <xf numFmtId="0" fontId="10" fillId="0" borderId="0" applyAlignment="1" pivotButton="0" quotePrefix="0" xfId="0">
      <alignment vertical="center"/>
    </xf>
    <xf numFmtId="0" fontId="0" fillId="0" borderId="0" applyAlignment="1" pivotButton="0" quotePrefix="0" xfId="0">
      <alignment textRotation="255"/>
    </xf>
    <xf numFmtId="0" fontId="0" fillId="0" borderId="0" applyAlignment="1" pivotButton="0" quotePrefix="0" xfId="0">
      <alignment horizontal="right" vertical="center"/>
    </xf>
    <xf numFmtId="0" fontId="20" fillId="0" borderId="0" pivotButton="0" quotePrefix="0" xfId="0"/>
    <xf numFmtId="0" fontId="21" fillId="0" borderId="0" pivotButton="0" quotePrefix="0" xfId="0"/>
    <xf numFmtId="0" fontId="21" fillId="0" borderId="0" applyAlignment="1" pivotButton="0" quotePrefix="0" xfId="0">
      <alignment horizontal="right" vertical="center"/>
    </xf>
    <xf numFmtId="0" fontId="22" fillId="0" borderId="0" applyAlignment="1" pivotButton="0" quotePrefix="0" xfId="0">
      <alignment horizontal="center"/>
    </xf>
    <xf numFmtId="165" fontId="10" fillId="0" borderId="0" applyAlignment="1" pivotButton="0" quotePrefix="0" xfId="0">
      <alignment horizontal="left"/>
    </xf>
    <xf numFmtId="0" fontId="15" fillId="0" borderId="0" pivotButton="0" quotePrefix="0" xfId="0"/>
    <xf numFmtId="165" fontId="0" fillId="0" borderId="0" applyAlignment="1" pivotButton="0" quotePrefix="0" xfId="0">
      <alignment horizontal="left"/>
    </xf>
    <xf numFmtId="0" fontId="10" fillId="0" borderId="0" applyAlignment="1" pivotButton="0" quotePrefix="0" xfId="0">
      <alignment horizontal="left"/>
    </xf>
    <xf numFmtId="165" fontId="10" fillId="0" borderId="0" pivotButton="0" quotePrefix="0" xfId="0"/>
    <xf numFmtId="0" fontId="6" fillId="0" borderId="0" applyAlignment="1" pivotButton="0" quotePrefix="0" xfId="0">
      <alignment vertical="center"/>
    </xf>
    <xf numFmtId="1" fontId="10" fillId="0" borderId="0" applyAlignment="1" pivotButton="0" quotePrefix="0" xfId="0">
      <alignment horizontal="left"/>
    </xf>
    <xf numFmtId="164" fontId="10" fillId="0" borderId="0" applyAlignment="1" pivotButton="0" quotePrefix="0" xfId="0">
      <alignment horizontal="right" vertical="center"/>
    </xf>
    <xf numFmtId="164" fontId="23" fillId="0" borderId="0" applyAlignment="1" pivotButton="0" quotePrefix="0" xfId="0">
      <alignment horizontal="center" vertical="center"/>
    </xf>
    <xf numFmtId="164" fontId="10" fillId="0" borderId="0" applyAlignment="1" pivotButton="0" quotePrefix="0" xfId="0">
      <alignment horizontal="left" vertical="center"/>
    </xf>
    <xf numFmtId="164" fontId="10" fillId="0" borderId="0" applyAlignment="1" pivotButton="0" quotePrefix="0" xfId="0">
      <alignment vertical="center"/>
    </xf>
    <xf numFmtId="1" fontId="10" fillId="0" borderId="0" pivotButton="0" quotePrefix="0" xfId="0"/>
    <xf numFmtId="164" fontId="23" fillId="0" borderId="18" applyAlignment="1" pivotButton="0" quotePrefix="0" xfId="0">
      <alignment horizontal="center" vertical="center"/>
    </xf>
    <xf numFmtId="164" fontId="10" fillId="0" borderId="18" applyAlignment="1" pivotButton="0" quotePrefix="0" xfId="0">
      <alignment horizontal="left" vertical="center"/>
    </xf>
    <xf numFmtId="1" fontId="10" fillId="0" borderId="18" applyAlignment="1" pivotButton="0" quotePrefix="0" xfId="0">
      <alignment horizontal="left"/>
    </xf>
    <xf numFmtId="0" fontId="0" fillId="0" borderId="22" pivotButton="0" quotePrefix="0" xfId="0"/>
    <xf numFmtId="0" fontId="0" fillId="0" borderId="21" pivotButton="0" quotePrefix="0" xfId="0"/>
    <xf numFmtId="164" fontId="10" fillId="0" borderId="22" applyAlignment="1" pivotButton="0" quotePrefix="0" xfId="0">
      <alignment vertical="center"/>
    </xf>
    <xf numFmtId="0" fontId="11" fillId="0" borderId="0" applyAlignment="1" pivotButton="0" quotePrefix="0" xfId="0">
      <alignment vertical="center"/>
    </xf>
    <xf numFmtId="0" fontId="16" fillId="0" borderId="0" applyAlignment="1" pivotButton="0" quotePrefix="0" xfId="0">
      <alignment vertical="center"/>
    </xf>
    <xf numFmtId="165" fontId="10" fillId="0" borderId="0" applyAlignment="1" pivotButton="0" quotePrefix="0" xfId="0">
      <alignment vertical="center"/>
    </xf>
    <xf numFmtId="0" fontId="18" fillId="0" borderId="0" applyAlignment="1" pivotButton="0" quotePrefix="0" xfId="0">
      <alignment horizontal="center" vertical="center"/>
    </xf>
    <xf numFmtId="0" fontId="19" fillId="0" borderId="0" applyAlignment="1" pivotButton="0" quotePrefix="0" xfId="0">
      <alignment vertical="center"/>
    </xf>
    <xf numFmtId="0" fontId="11" fillId="0" borderId="0" applyAlignment="1" pivotButton="0" quotePrefix="0" xfId="0">
      <alignment vertical="center" wrapText="1"/>
    </xf>
    <xf numFmtId="0" fontId="13" fillId="0" borderId="0" applyAlignment="1" pivotButton="0" quotePrefix="0" xfId="0">
      <alignment vertical="center"/>
    </xf>
    <xf numFmtId="0" fontId="11" fillId="0" borderId="0" applyAlignment="1" pivotButton="0" quotePrefix="0" xfId="0">
      <alignment horizontal="justify" vertical="center" wrapText="1"/>
    </xf>
    <xf numFmtId="0" fontId="0" fillId="0" borderId="7" pivotButton="0" quotePrefix="0" xfId="0"/>
    <xf numFmtId="0" fontId="10" fillId="0" borderId="0" applyAlignment="1" pivotButton="0" quotePrefix="0" xfId="0">
      <alignment vertical="center" wrapText="1"/>
    </xf>
    <xf numFmtId="0" fontId="11" fillId="0" borderId="0" pivotButton="0" quotePrefix="0" xfId="0"/>
    <xf numFmtId="0" fontId="15" fillId="0" borderId="5" applyAlignment="1" pivotButton="0" quotePrefix="0" xfId="0">
      <alignment horizontal="center" vertical="center"/>
    </xf>
    <xf numFmtId="0" fontId="11" fillId="0" borderId="0" applyAlignment="1" pivotButton="0" quotePrefix="0" xfId="0">
      <alignment horizontal="left"/>
    </xf>
    <xf numFmtId="0" fontId="0" fillId="0" borderId="5" applyAlignment="1" pivotButton="0" quotePrefix="0" xfId="0">
      <alignment horizontal="left" vertical="center"/>
    </xf>
    <xf numFmtId="165" fontId="0" fillId="0" borderId="5" applyAlignment="1" pivotButton="0" quotePrefix="0" xfId="0">
      <alignment horizontal="left" vertical="center"/>
    </xf>
    <xf numFmtId="0" fontId="25" fillId="0" borderId="4" applyAlignment="1" pivotButton="0" quotePrefix="0" xfId="0">
      <alignment vertical="center"/>
    </xf>
    <xf numFmtId="0" fontId="25" fillId="0" borderId="7" applyAlignment="1" pivotButton="0" quotePrefix="0" xfId="0">
      <alignment vertical="center"/>
    </xf>
    <xf numFmtId="164" fontId="11" fillId="0" borderId="5" applyAlignment="1" pivotButton="0" quotePrefix="0" xfId="0">
      <alignment horizontal="center" vertical="center"/>
    </xf>
    <xf numFmtId="168" fontId="3" fillId="0" borderId="5" applyAlignment="1" pivotButton="0" quotePrefix="0" xfId="0">
      <alignment horizontal="center" vertical="center"/>
    </xf>
    <xf numFmtId="0" fontId="6" fillId="11" borderId="5" applyAlignment="1" pivotButton="0" quotePrefix="0" xfId="0">
      <alignment horizontal="center"/>
    </xf>
    <xf numFmtId="0" fontId="0" fillId="12" borderId="0" pivotButton="0" quotePrefix="0" xfId="0"/>
    <xf numFmtId="0" fontId="0" fillId="2" borderId="0" pivotButton="0" quotePrefix="0" xfId="0"/>
    <xf numFmtId="0" fontId="6" fillId="0" borderId="5" applyAlignment="1" pivotButton="0" quotePrefix="0" xfId="0">
      <alignment horizontal="center" vertical="center"/>
    </xf>
    <xf numFmtId="0" fontId="0" fillId="0" borderId="5" applyAlignment="1" pivotButton="0" quotePrefix="0" xfId="0">
      <alignment vertical="center"/>
    </xf>
    <xf numFmtId="0" fontId="28" fillId="13" borderId="30" applyAlignment="1" pivotButton="0" quotePrefix="0" xfId="0">
      <alignment horizontal="center" vertical="center" wrapText="1"/>
    </xf>
    <xf numFmtId="0" fontId="28" fillId="2" borderId="30" applyAlignment="1" pivotButton="0" quotePrefix="0" xfId="0">
      <alignment horizontal="center" vertical="center" wrapText="1"/>
    </xf>
    <xf numFmtId="49" fontId="28" fillId="2" borderId="30" applyAlignment="1" pivotButton="0" quotePrefix="0" xfId="0">
      <alignment horizontal="center" vertical="center" wrapText="1"/>
    </xf>
    <xf numFmtId="49" fontId="0" fillId="2" borderId="5" applyAlignment="1" pivotButton="0" quotePrefix="0" xfId="0">
      <alignment horizontal="center" vertical="center"/>
    </xf>
    <xf numFmtId="0" fontId="0" fillId="2" borderId="5" applyAlignment="1" pivotButton="0" quotePrefix="0" xfId="0">
      <alignment horizontal="center" vertical="center"/>
    </xf>
    <xf numFmtId="165" fontId="0" fillId="2" borderId="5" applyAlignment="1" pivotButton="0" quotePrefix="0" xfId="0">
      <alignment horizontal="center" vertical="center"/>
    </xf>
    <xf numFmtId="0" fontId="0" fillId="0" borderId="28" applyAlignment="1" pivotButton="0" quotePrefix="0" xfId="0">
      <alignment vertical="center"/>
    </xf>
    <xf numFmtId="0" fontId="6" fillId="0" borderId="26" applyAlignment="1" pivotButton="0" quotePrefix="0" xfId="0">
      <alignment horizontal="center"/>
    </xf>
    <xf numFmtId="0" fontId="16" fillId="0" borderId="0" applyAlignment="1" pivotButton="0" quotePrefix="0" xfId="0">
      <alignment horizontal="right" vertical="center"/>
    </xf>
    <xf numFmtId="0" fontId="16" fillId="0" borderId="0" applyAlignment="1" pivotButton="0" quotePrefix="0" xfId="0">
      <alignment horizontal="left" vertical="center"/>
    </xf>
    <xf numFmtId="0" fontId="6" fillId="0" borderId="0" applyAlignment="1" pivotButton="0" quotePrefix="0" xfId="0">
      <alignment horizontal="right"/>
    </xf>
    <xf numFmtId="0" fontId="11" fillId="0" borderId="0" pivotButton="0" quotePrefix="0" xfId="0"/>
    <xf numFmtId="0" fontId="6" fillId="0" borderId="26" applyAlignment="1" pivotButton="0" quotePrefix="0" xfId="0">
      <alignment horizontal="center" vertical="center"/>
    </xf>
    <xf numFmtId="0" fontId="15" fillId="0" borderId="5" applyAlignment="1" pivotButton="0" quotePrefix="0" xfId="0">
      <alignment horizontal="center" vertical="center" wrapText="1"/>
    </xf>
    <xf numFmtId="168" fontId="11" fillId="0" borderId="5" applyAlignment="1" pivotButton="0" quotePrefix="0" xfId="0">
      <alignment horizontal="center" vertical="center"/>
    </xf>
    <xf numFmtId="0" fontId="11" fillId="0" borderId="5" applyAlignment="1" pivotButton="0" quotePrefix="0" xfId="0">
      <alignment horizontal="center" vertical="center"/>
    </xf>
    <xf numFmtId="0" fontId="15" fillId="0" borderId="5" applyAlignment="1" pivotButton="0" quotePrefix="0" xfId="0">
      <alignment horizontal="center" wrapText="1"/>
    </xf>
    <xf numFmtId="0" fontId="16" fillId="0" borderId="19" applyAlignment="1" pivotButton="0" quotePrefix="0" xfId="0">
      <alignment horizontal="center" vertical="center"/>
    </xf>
    <xf numFmtId="0" fontId="11" fillId="0" borderId="19" applyAlignment="1" pivotButton="0" quotePrefix="0" xfId="0">
      <alignment horizontal="center"/>
    </xf>
    <xf numFmtId="0" fontId="10" fillId="0" borderId="20" applyAlignment="1" pivotButton="0" quotePrefix="0" xfId="0">
      <alignment horizontal="justify" vertical="center" wrapText="1"/>
    </xf>
    <xf numFmtId="0" fontId="10" fillId="0" borderId="0" applyAlignment="1" pivotButton="0" quotePrefix="0" xfId="0">
      <alignment horizontal="justify" vertical="center" wrapText="1"/>
    </xf>
    <xf numFmtId="0" fontId="15" fillId="0" borderId="19" applyAlignment="1" pivotButton="0" quotePrefix="0" xfId="0">
      <alignment horizontal="center" vertical="center"/>
    </xf>
    <xf numFmtId="0" fontId="11" fillId="0" borderId="19" applyAlignment="1" pivotButton="0" quotePrefix="0" xfId="0">
      <alignment horizontal="center" vertical="center"/>
    </xf>
    <xf numFmtId="165" fontId="15" fillId="0" borderId="19" applyAlignment="1" pivotButton="0" quotePrefix="0" xfId="0">
      <alignment horizontal="center" vertical="center"/>
    </xf>
    <xf numFmtId="0" fontId="16" fillId="0" borderId="0" applyAlignment="1" pivotButton="0" quotePrefix="0" xfId="0">
      <alignment horizontal="right"/>
    </xf>
    <xf numFmtId="0" fontId="6" fillId="0" borderId="0" applyAlignment="1" pivotButton="0" quotePrefix="0" xfId="0">
      <alignment horizontal="center"/>
    </xf>
    <xf numFmtId="0" fontId="6" fillId="0" borderId="0" applyAlignment="1" pivotButton="0" quotePrefix="0" xfId="0">
      <alignment horizontal="center" vertical="center"/>
    </xf>
    <xf numFmtId="0" fontId="16" fillId="0" borderId="24" applyAlignment="1" pivotButton="0" quotePrefix="0" xfId="0">
      <alignment vertical="center"/>
    </xf>
    <xf numFmtId="0" fontId="16" fillId="0" borderId="25" applyAlignment="1" pivotButton="0" quotePrefix="0" xfId="0">
      <alignment vertical="center"/>
    </xf>
    <xf numFmtId="0" fontId="16" fillId="0" borderId="23" applyAlignment="1" pivotButton="0" quotePrefix="0" xfId="0">
      <alignment vertical="center"/>
    </xf>
    <xf numFmtId="0" fontId="10" fillId="0" borderId="0" applyAlignment="1" pivotButton="0" quotePrefix="0" xfId="0">
      <alignment horizontal="center" vertical="center"/>
    </xf>
    <xf numFmtId="164" fontId="10" fillId="0" borderId="24" applyAlignment="1" pivotButton="0" quotePrefix="0" xfId="0">
      <alignment horizontal="right" vertical="center"/>
    </xf>
    <xf numFmtId="164" fontId="10" fillId="0" borderId="25" applyAlignment="1" pivotButton="0" quotePrefix="0" xfId="0">
      <alignment horizontal="right" vertical="center"/>
    </xf>
    <xf numFmtId="1" fontId="10" fillId="0" borderId="24" applyAlignment="1" pivotButton="0" quotePrefix="0" xfId="0">
      <alignment horizontal="right"/>
    </xf>
    <xf numFmtId="1" fontId="10" fillId="0" borderId="25" applyAlignment="1" pivotButton="0" quotePrefix="0" xfId="0">
      <alignment horizontal="right"/>
    </xf>
    <xf numFmtId="164" fontId="10" fillId="0" borderId="0" applyAlignment="1" pivotButton="0" quotePrefix="0" xfId="0">
      <alignment horizontal="left" vertical="center"/>
    </xf>
    <xf numFmtId="0" fontId="16" fillId="0" borderId="24" applyAlignment="1" pivotButton="0" quotePrefix="0" xfId="0">
      <alignment horizontal="center" vertical="center"/>
    </xf>
    <xf numFmtId="0" fontId="16" fillId="0" borderId="25" applyAlignment="1" pivotButton="0" quotePrefix="0" xfId="0">
      <alignment horizontal="center" vertical="center"/>
    </xf>
    <xf numFmtId="0" fontId="16" fillId="0" borderId="23" applyAlignment="1" pivotButton="0" quotePrefix="0" xfId="0">
      <alignment horizontal="center" vertical="center"/>
    </xf>
    <xf numFmtId="0" fontId="16" fillId="0" borderId="0" applyAlignment="1" pivotButton="0" quotePrefix="0" xfId="0">
      <alignment horizontal="left"/>
    </xf>
    <xf numFmtId="0" fontId="10" fillId="0" borderId="0" applyAlignment="1" pivotButton="0" quotePrefix="0" xfId="0">
      <alignment horizontal="left"/>
    </xf>
    <xf numFmtId="0" fontId="11" fillId="0" borderId="27" applyAlignment="1" pivotButton="0" quotePrefix="0" xfId="0">
      <alignment horizontal="justify" vertical="center" wrapText="1"/>
    </xf>
    <xf numFmtId="0" fontId="11" fillId="0" borderId="0" applyAlignment="1" pivotButton="0" quotePrefix="0" xfId="0">
      <alignment horizontal="justify" vertical="center" wrapText="1"/>
    </xf>
    <xf numFmtId="0" fontId="11" fillId="0" borderId="18" applyAlignment="1" pivotButton="0" quotePrefix="0" xfId="0">
      <alignment horizontal="justify" vertical="center" wrapText="1"/>
    </xf>
    <xf numFmtId="165" fontId="10" fillId="0" borderId="0" applyAlignment="1" pivotButton="0" quotePrefix="0" xfId="0">
      <alignment horizontal="left"/>
    </xf>
    <xf numFmtId="0" fontId="10" fillId="0" borderId="0" applyAlignment="1" pivotButton="0" quotePrefix="0" xfId="0">
      <alignment horizontal="left" vertical="center"/>
    </xf>
    <xf numFmtId="0" fontId="22" fillId="0" borderId="0" applyAlignment="1" pivotButton="0" quotePrefix="0" xfId="0">
      <alignment horizontal="left" vertical="center"/>
    </xf>
    <xf numFmtId="0" fontId="17" fillId="0" borderId="0" applyAlignment="1" pivotButton="0" quotePrefix="0" xfId="0">
      <alignment horizontal="left"/>
    </xf>
    <xf numFmtId="0" fontId="17" fillId="0" borderId="0" applyAlignment="1" pivotButton="0" quotePrefix="0" xfId="0">
      <alignment horizontal="right"/>
    </xf>
    <xf numFmtId="0" fontId="13" fillId="0" borderId="18" applyAlignment="1" pivotButton="0" quotePrefix="0" xfId="0">
      <alignment horizontal="center" vertical="center"/>
    </xf>
    <xf numFmtId="49" fontId="10" fillId="0" borderId="0" applyAlignment="1" pivotButton="0" quotePrefix="0" xfId="0">
      <alignment horizontal="left" vertical="center"/>
    </xf>
    <xf numFmtId="165" fontId="10" fillId="0" borderId="0" applyAlignment="1" pivotButton="0" quotePrefix="0" xfId="0">
      <alignment horizontal="left" vertical="center"/>
    </xf>
    <xf numFmtId="0" fontId="15" fillId="0" borderId="5" applyAlignment="1" pivotButton="0" quotePrefix="0" xfId="0">
      <alignment horizontal="center" vertical="center"/>
    </xf>
    <xf numFmtId="0" fontId="11" fillId="0" borderId="0" applyAlignment="1" pivotButton="0" quotePrefix="0" xfId="0">
      <alignment horizontal="left"/>
    </xf>
    <xf numFmtId="0" fontId="15" fillId="0" borderId="0" applyAlignment="1" pivotButton="0" quotePrefix="0" xfId="0">
      <alignment horizontal="right"/>
    </xf>
    <xf numFmtId="0" fontId="25" fillId="0" borderId="4" applyAlignment="1" pivotButton="0" quotePrefix="0" xfId="0">
      <alignment horizontal="center" vertical="center"/>
    </xf>
    <xf numFmtId="0" fontId="25" fillId="0" borderId="7" applyAlignment="1" pivotButton="0" quotePrefix="0" xfId="0">
      <alignment horizontal="center" vertical="center"/>
    </xf>
    <xf numFmtId="0" fontId="6" fillId="11" borderId="1" applyAlignment="1" pivotButton="0" quotePrefix="0" xfId="0">
      <alignment horizontal="center"/>
    </xf>
    <xf numFmtId="0" fontId="6" fillId="11" borderId="2" applyAlignment="1" pivotButton="0" quotePrefix="0" xfId="0">
      <alignment horizontal="center"/>
    </xf>
    <xf numFmtId="0" fontId="6" fillId="11" borderId="3" applyAlignment="1" pivotButton="0" quotePrefix="0" xfId="0">
      <alignment horizontal="center"/>
    </xf>
    <xf numFmtId="0" fontId="6" fillId="11" borderId="5" applyAlignment="1" pivotButton="0" quotePrefix="0" xfId="0">
      <alignment horizontal="center"/>
    </xf>
    <xf numFmtId="0" fontId="0" fillId="10" borderId="10" applyAlignment="1" pivotButton="0" quotePrefix="0" xfId="0">
      <alignment horizontal="center"/>
    </xf>
    <xf numFmtId="0" fontId="0" fillId="10" borderId="0" applyAlignment="1" pivotButton="0" quotePrefix="0" xfId="0">
      <alignment horizontal="center"/>
    </xf>
    <xf numFmtId="0" fontId="0" fillId="10" borderId="8" applyAlignment="1" pivotButton="0" quotePrefix="0" xfId="0">
      <alignment horizontal="center"/>
    </xf>
    <xf numFmtId="0" fontId="0" fillId="9" borderId="13" applyAlignment="1" pivotButton="0" quotePrefix="0" xfId="0">
      <alignment horizontal="center"/>
    </xf>
    <xf numFmtId="0" fontId="0" fillId="9" borderId="12" applyAlignment="1" pivotButton="0" quotePrefix="0" xfId="0">
      <alignment horizontal="center"/>
    </xf>
    <xf numFmtId="0" fontId="0" fillId="9" borderId="11" applyAlignment="1" pivotButton="0" quotePrefix="0" xfId="0">
      <alignment horizontal="center"/>
    </xf>
    <xf numFmtId="0" fontId="6" fillId="4" borderId="0" applyAlignment="1" pivotButton="0" quotePrefix="0" xfId="0">
      <alignment horizontal="center"/>
    </xf>
    <xf numFmtId="0" fontId="27" fillId="14" borderId="5" applyAlignment="1" pivotButton="0" quotePrefix="0" xfId="0">
      <alignment horizontal="center"/>
    </xf>
    <xf numFmtId="168" fontId="27" fillId="0" borderId="5" applyAlignment="1" pivotButton="0" quotePrefix="0" xfId="0">
      <alignment horizontal="center"/>
    </xf>
    <xf numFmtId="2" fontId="27" fillId="14" borderId="5" applyAlignment="1" pivotButton="0" quotePrefix="0" xfId="0">
      <alignment horizontal="center"/>
    </xf>
    <xf numFmtId="0" fontId="6" fillId="6" borderId="7" applyAlignment="1" pivotButton="0" quotePrefix="0" xfId="0">
      <alignment horizontal="center"/>
    </xf>
    <xf numFmtId="0" fontId="2" fillId="0" borderId="0" applyAlignment="1" pivotButton="0" quotePrefix="0" xfId="0">
      <alignment vertical="center"/>
    </xf>
    <xf numFmtId="0" fontId="2" fillId="0" borderId="29"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2" fillId="4" borderId="0" applyAlignment="1" pivotButton="0" quotePrefix="0" xfId="0">
      <alignment horizontal="center" vertical="center"/>
    </xf>
    <xf numFmtId="165" fontId="1" fillId="0" borderId="5" applyAlignment="1" pivotButton="0" quotePrefix="0" xfId="0">
      <alignment horizontal="center" vertical="center"/>
    </xf>
    <xf numFmtId="0" fontId="1" fillId="0" borderId="5" applyAlignment="1" pivotButton="0" quotePrefix="0" xfId="0">
      <alignment horizontal="center" vertical="center"/>
    </xf>
    <xf numFmtId="0" fontId="5" fillId="6" borderId="4" applyAlignment="1" pivotButton="0" quotePrefix="0" xfId="0">
      <alignment horizontal="center" vertical="center"/>
    </xf>
    <xf numFmtId="0" fontId="5" fillId="6" borderId="7" applyAlignment="1" pivotButton="0" quotePrefix="0" xfId="0">
      <alignment horizontal="center" vertical="center"/>
    </xf>
    <xf numFmtId="0" fontId="5" fillId="6" borderId="6" applyAlignment="1" pivotButton="0" quotePrefix="0" xfId="0">
      <alignment horizontal="center" vertical="center"/>
    </xf>
    <xf numFmtId="0" fontId="6" fillId="11" borderId="31" applyAlignment="1" pivotButton="0" quotePrefix="0" xfId="0">
      <alignment horizontal="center"/>
    </xf>
    <xf numFmtId="0" fontId="0" fillId="0" borderId="2" pivotButton="0" quotePrefix="0" xfId="0"/>
    <xf numFmtId="0" fontId="0" fillId="0" borderId="3" pivotButton="0" quotePrefix="0" xfId="0"/>
    <xf numFmtId="0" fontId="0" fillId="0" borderId="36" pivotButton="0" quotePrefix="0" xfId="0"/>
    <xf numFmtId="0" fontId="0" fillId="9" borderId="37" applyAlignment="1" pivotButton="0" quotePrefix="0" xfId="0">
      <alignment horizontal="center"/>
    </xf>
    <xf numFmtId="0" fontId="0" fillId="0" borderId="12" pivotButton="0" quotePrefix="0" xfId="0"/>
    <xf numFmtId="0" fontId="0" fillId="0" borderId="11" pivotButton="0" quotePrefix="0" xfId="0"/>
    <xf numFmtId="0" fontId="0" fillId="10" borderId="17" applyAlignment="1" pivotButton="0" quotePrefix="0" xfId="0">
      <alignment horizontal="center"/>
    </xf>
    <xf numFmtId="0" fontId="0" fillId="0" borderId="35" pivotButton="0" quotePrefix="0" xfId="0"/>
    <xf numFmtId="0" fontId="0" fillId="0" borderId="42" pivotButton="0" quotePrefix="0" xfId="0"/>
    <xf numFmtId="0" fontId="0" fillId="0" borderId="41" pivotButton="0" quotePrefix="0" xfId="0"/>
    <xf numFmtId="0" fontId="0" fillId="0" borderId="6" pivotButton="0" quotePrefix="0" xfId="0"/>
    <xf numFmtId="0" fontId="1" fillId="0" borderId="31" applyAlignment="1" pivotButton="0" quotePrefix="0" xfId="0">
      <alignment horizontal="center" vertical="center"/>
    </xf>
    <xf numFmtId="0" fontId="0" fillId="0" borderId="29" pivotButton="0" quotePrefix="0" xfId="0"/>
    <xf numFmtId="0" fontId="5" fillId="6" borderId="43" applyAlignment="1" pivotButton="0" quotePrefix="0" xfId="0">
      <alignment horizontal="center" vertical="center"/>
    </xf>
    <xf numFmtId="0" fontId="0" fillId="0" borderId="44" pivotButton="0" quotePrefix="0" xfId="0"/>
    <xf numFmtId="0" fontId="0" fillId="0" borderId="45" pivotButton="0" quotePrefix="0" xfId="0"/>
    <xf numFmtId="0" fontId="0" fillId="0" borderId="18" pivotButton="0" quotePrefix="0" xfId="0"/>
    <xf numFmtId="0" fontId="0" fillId="0" borderId="26" pivotButton="0" quotePrefix="0" xfId="0"/>
    <xf numFmtId="0" fontId="11" fillId="0" borderId="46" applyAlignment="1" pivotButton="0" quotePrefix="0" xfId="0">
      <alignment horizontal="justify" vertical="center" wrapText="1"/>
    </xf>
    <xf numFmtId="0" fontId="0" fillId="0" borderId="27" pivotButton="0" quotePrefix="0" xfId="0"/>
    <xf numFmtId="0" fontId="0" fillId="0" borderId="20" pivotButton="0" quotePrefix="0" xfId="0"/>
    <xf numFmtId="0" fontId="16" fillId="0" borderId="19" applyAlignment="1" pivotButton="0" quotePrefix="0" xfId="0">
      <alignment vertical="center"/>
    </xf>
    <xf numFmtId="0" fontId="0" fillId="0" borderId="25" pivotButton="0" quotePrefix="0" xfId="0"/>
    <xf numFmtId="0" fontId="0" fillId="0" borderId="23" pivotButton="0" quotePrefix="0" xfId="0"/>
  </cellXfs>
  <cellStyles count="6">
    <cellStyle name="Normal" xfId="0" builtinId="0"/>
    <cellStyle name="Normal 2" xfId="1"/>
    <cellStyle name="Normal 3" xfId="2"/>
    <cellStyle name="Estilo 1" xfId="3"/>
    <cellStyle name="Normal 2 2" xfId="4"/>
    <cellStyle name="Normal 3 2" xf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plotArea>
      <layout/>
      <scatterChart>
        <scatterStyle val="lineMarker"/>
        <varyColors val="0"/>
        <ser>
          <idx val="0"/>
          <order val="0"/>
          <spPr>
            <a:ln w="25400" cap="rnd">
              <a:noFill/>
              <a:prstDash val="solid"/>
              <a:round/>
            </a:ln>
          </spPr>
          <marker>
            <symbol val="circle"/>
            <size val="5"/>
            <spPr>
              <a:solidFill>
                <a:schemeClr val="accent1"/>
              </a:solidFill>
              <a:ln w="9525">
                <a:solidFill>
                  <a:schemeClr val="accent1"/>
                </a:solidFill>
                <a:prstDash val="solid"/>
              </a:ln>
            </spPr>
          </marker>
          <trendline>
            <spPr>
              <a:ln w="19050" cap="rnd">
                <a:solidFill>
                  <a:schemeClr val="accent1"/>
                </a:solidFill>
                <a:prstDash val="sysDot"/>
              </a:ln>
            </spPr>
            <trendlineType val="poly"/>
            <order val="4"/>
            <dispRSqr val="1"/>
            <dispEq val="1"/>
            <trendlineLbl>
              <layout>
                <manualLayout>
                  <wMode val="factor"/>
                  <hMode val="factor"/>
                  <x val="0.1810593267487449"/>
                  <y val="-0.3469008389847223"/>
                </manualLayout>
              </layout>
              <numFmt formatCode="#,##0.000000000000000000000" sourceLinked="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trendlineLbl>
          </trendline>
          <xVal>
            <numRef>
              <f>PATRON!$D$4:$D$14</f>
              <numCache>
                <formatCode>0.00</formatCode>
                <ptCount val="11"/>
                <pt idx="0">
                  <formatCode>General</formatCode>
                  <v>106.2</v>
                </pt>
                <pt idx="1">
                  <v>1042</v>
                </pt>
              </numCache>
            </numRef>
          </xVal>
          <yVal>
            <numRef>
              <f>PATRON!$E$4:$E$14</f>
              <numCache>
                <formatCode>0.00</formatCode>
                <ptCount val="11"/>
                <pt idx="0">
                  <v>-6.600000000000009</v>
                </pt>
                <pt idx="1">
                  <v>-42</v>
                </pt>
              </numCache>
            </numRef>
          </yVal>
          <smooth val="0"/>
        </ser>
        <dLbls>
          <showLegendKey val="0"/>
          <showVal val="0"/>
          <showCatName val="0"/>
          <showSerName val="0"/>
          <showPercent val="0"/>
          <showBubbleSize val="0"/>
        </dLbls>
        <axId val="293311104"/>
        <axId val="293311496"/>
      </scatterChart>
      <valAx>
        <axId val="293311104"/>
        <scaling>
          <orientation val="minMax"/>
        </scaling>
        <delete val="0"/>
        <axPos val="b"/>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low"/>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crossAx val="293311496"/>
        <crosses val="autoZero"/>
        <crossBetween val="midCat"/>
      </valAx>
      <valAx>
        <axId val="293311496"/>
        <scaling>
          <orientation val="minMax"/>
        </scaling>
        <delete val="0"/>
        <axPos val="l"/>
        <majorGridlines>
          <spPr>
            <a:l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crossAx val="293311104"/>
        <crosses val="autoZero"/>
        <crossBetween val="midCat"/>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col>
      <colOff>0</colOff>
      <row>16</row>
      <rowOff>0</rowOff>
    </from>
    <to>
      <col>9</col>
      <colOff>0</colOff>
      <row>30</row>
      <rowOff>76200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https://d.docs.live.net/Users/Ana/Downloads/PLANTILLA%20CALIBRACI&#211;N%20DE%20EQUIPO%20DE%20PESAJE%20NO%20AUTOM&#193;TICO%20-%20copia%20(1).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2">
    <outlinePr summaryBelow="1" summaryRight="1"/>
    <pageSetUpPr/>
  </sheetPr>
  <dimension ref="A1:AE46"/>
  <sheetViews>
    <sheetView showGridLines="0" showWhiteSpace="0" zoomScaleNormal="100" workbookViewId="0">
      <selection activeCell="B21" sqref="B21"/>
    </sheetView>
  </sheetViews>
  <sheetFormatPr baseColWidth="10" defaultColWidth="3.6640625" defaultRowHeight="12.75" customHeight="1"/>
  <cols>
    <col width="25.88671875" bestFit="1" customWidth="1" style="1" min="1" max="1"/>
    <col width="34.88671875" customWidth="1" style="1" min="2" max="2"/>
    <col width="11.5546875" customWidth="1" style="1" min="3" max="3"/>
    <col width="21.44140625" bestFit="1" customWidth="1" style="1" min="4" max="4"/>
    <col width="29.21875" customWidth="1" style="1" min="5" max="5"/>
    <col width="11.6640625" customWidth="1" style="1" min="6" max="6"/>
    <col width="24.77734375" bestFit="1" customWidth="1" style="1" min="7" max="7"/>
    <col width="28.44140625" customWidth="1" style="1" min="8" max="8"/>
    <col width="3.6640625" customWidth="1" style="1" min="9" max="9"/>
    <col width="4" bestFit="1" customWidth="1" style="1" min="10" max="10"/>
    <col width="3.6640625" customWidth="1" style="1" min="11" max="11"/>
    <col width="4" bestFit="1" customWidth="1" style="1" min="12" max="12"/>
    <col width="6.6640625" bestFit="1" customWidth="1" style="1" min="13" max="13"/>
    <col width="5.5546875" customWidth="1" style="1" min="14" max="14"/>
    <col width="15.6640625" customWidth="1" style="1" min="15" max="15"/>
    <col width="5.6640625" bestFit="1" customWidth="1" style="1" min="16" max="16"/>
    <col width="4" bestFit="1" customWidth="1" style="1" min="17" max="17"/>
    <col width="3.6640625" customWidth="1" style="1" min="18" max="20"/>
    <col width="5" customWidth="1" style="1" min="21" max="21"/>
    <col width="8.88671875" customWidth="1" style="1" min="22" max="22"/>
    <col width="4" bestFit="1" customWidth="1" style="1" min="23" max="23"/>
    <col width="4" customWidth="1" style="1" min="24" max="24"/>
    <col width="4" bestFit="1" customWidth="1" style="1" min="25" max="25"/>
    <col width="4.33203125" customWidth="1" style="1" min="26" max="28"/>
    <col width="3.6640625" customWidth="1" style="1" min="29" max="29"/>
    <col width="5.5546875" customWidth="1" style="1" min="30" max="30"/>
    <col width="8.6640625" customWidth="1" style="1" min="31" max="31"/>
    <col width="3.6640625" customWidth="1" style="1" min="32" max="16384"/>
  </cols>
  <sheetData>
    <row r="1" ht="12.75" customHeight="1">
      <c r="A1" s="183" t="inlineStr">
        <is>
          <t>Datos del item</t>
        </is>
      </c>
      <c r="B1" s="184" t="n"/>
      <c r="C1" s="184" t="n"/>
      <c r="D1" s="184" t="n"/>
      <c r="E1" s="184" t="n"/>
      <c r="F1" s="184" t="n"/>
      <c r="G1" s="184" t="n"/>
      <c r="H1" s="185" t="n"/>
      <c r="J1" s="96" t="inlineStr">
        <is>
          <t>En sitio ( instalaciones del cliente)</t>
        </is>
      </c>
      <c r="K1" s="97" t="n"/>
      <c r="L1" s="97" t="n"/>
      <c r="M1" s="97" t="n"/>
      <c r="N1" s="97" t="n"/>
      <c r="O1" s="97" t="n"/>
      <c r="P1" s="97" t="n"/>
    </row>
    <row r="2" ht="14.4" customHeight="1">
      <c r="A2" s="98" t="inlineStr">
        <is>
          <t>Intrumento</t>
        </is>
      </c>
      <c r="B2" s="98" t="inlineStr">
        <is>
          <t>Marca</t>
        </is>
      </c>
      <c r="C2" s="98" t="inlineStr">
        <is>
          <t>Modelo</t>
        </is>
      </c>
      <c r="D2" s="98" t="inlineStr">
        <is>
          <t>Serie</t>
        </is>
      </c>
      <c r="E2" s="98" t="inlineStr">
        <is>
          <t>Ubicación</t>
        </is>
      </c>
      <c r="F2" s="98" t="inlineStr">
        <is>
          <t>Inventario</t>
        </is>
      </c>
      <c r="G2" s="98" t="inlineStr">
        <is>
          <t>Número de Certificado</t>
        </is>
      </c>
      <c r="H2" s="98" t="inlineStr">
        <is>
          <t>Fecha de Recepción</t>
        </is>
      </c>
      <c r="J2" s="96" t="inlineStr">
        <is>
          <t>Laboratorio BTMC</t>
        </is>
      </c>
    </row>
    <row r="3" ht="12.75" customHeight="1">
      <c r="A3" s="100" t="n"/>
      <c r="B3" s="100" t="n"/>
      <c r="C3" s="101" t="n"/>
      <c r="D3" s="102" t="n"/>
      <c r="E3" s="101" t="n"/>
      <c r="F3" s="103" t="n"/>
      <c r="G3" s="104" t="n"/>
      <c r="H3" s="105" t="n"/>
      <c r="J3" t="inlineStr">
        <is>
          <t>BUEN ESTADO</t>
        </is>
      </c>
    </row>
    <row r="4" ht="12.75" customHeight="1">
      <c r="J4" t="inlineStr">
        <is>
          <t>REGULAR ESTADO</t>
        </is>
      </c>
    </row>
    <row r="5" ht="12.75" customHeight="1">
      <c r="J5" t="inlineStr">
        <is>
          <t>MAL ESTADO</t>
        </is>
      </c>
    </row>
    <row r="6" ht="12.75" customHeight="1">
      <c r="A6" s="160" t="inlineStr">
        <is>
          <t>Datos de calibración</t>
        </is>
      </c>
      <c r="B6" s="186" t="n"/>
      <c r="D6" s="160" t="inlineStr">
        <is>
          <t>Datos del cliente</t>
        </is>
      </c>
      <c r="E6" s="160" t="n"/>
    </row>
    <row r="7" ht="12.75" customHeight="1">
      <c r="A7" s="20" t="inlineStr">
        <is>
          <t>Lugar de calibración:</t>
        </is>
      </c>
      <c r="B7" s="89" t="inlineStr">
        <is>
          <t>En sitio ( instalaciones del cliente)</t>
        </is>
      </c>
      <c r="D7" s="20" t="inlineStr">
        <is>
          <t>Solicitante:</t>
        </is>
      </c>
      <c r="E7" s="106" t="n"/>
    </row>
    <row r="8" ht="12.75" customHeight="1">
      <c r="A8" s="20" t="inlineStr">
        <is>
          <t>Estado Físico:</t>
        </is>
      </c>
      <c r="B8" s="89" t="inlineStr">
        <is>
          <t>BUEN ESTADO</t>
        </is>
      </c>
      <c r="D8" s="20" t="inlineStr">
        <is>
          <t>Nit:</t>
        </is>
      </c>
      <c r="E8" s="89" t="n"/>
    </row>
    <row r="9" ht="12.75" customHeight="1">
      <c r="A9" s="20" t="inlineStr">
        <is>
          <t>Fecha de calibración:</t>
        </is>
      </c>
      <c r="B9" s="90">
        <f>H3</f>
        <v/>
      </c>
      <c r="D9" s="20" t="inlineStr">
        <is>
          <t>Telefono:</t>
        </is>
      </c>
      <c r="E9" s="89" t="n"/>
    </row>
    <row r="10" ht="12.75" customHeight="1">
      <c r="A10" s="20" t="inlineStr">
        <is>
          <t>Fecha de emisión:</t>
        </is>
      </c>
      <c r="B10" s="90">
        <f>H3</f>
        <v/>
      </c>
      <c r="D10" s="20" t="inlineStr">
        <is>
          <t>Dirección:</t>
        </is>
      </c>
      <c r="E10" s="99" t="n"/>
    </row>
    <row r="11" ht="12.75" customHeight="1">
      <c r="A11" s="20" t="inlineStr">
        <is>
          <t>Temperatura mínima:</t>
        </is>
      </c>
      <c r="B11" s="89" t="n">
        <v>24.1</v>
      </c>
      <c r="D11" s="20" t="inlineStr">
        <is>
          <t>Ciudad:</t>
        </is>
      </c>
      <c r="E11" s="99" t="n"/>
    </row>
    <row r="12" ht="12.75" customHeight="1">
      <c r="A12" s="20" t="inlineStr">
        <is>
          <t>Temperatura máxima:</t>
        </is>
      </c>
      <c r="B12" s="89" t="n">
        <v>24.5</v>
      </c>
    </row>
    <row r="13" ht="12.75" customHeight="1">
      <c r="A13" s="20" t="inlineStr">
        <is>
          <t>Humedad Mínima:</t>
        </is>
      </c>
      <c r="B13" s="89" t="n">
        <v>60</v>
      </c>
    </row>
    <row r="14" ht="16.5" customHeight="1">
      <c r="A14" s="20" t="inlineStr">
        <is>
          <t>Humedad Máxima:</t>
        </is>
      </c>
      <c r="B14" s="89" t="n">
        <v>63</v>
      </c>
    </row>
    <row r="15" ht="12.75" customHeight="1">
      <c r="A15" s="20" t="inlineStr">
        <is>
          <t>Calibración realiza por:</t>
        </is>
      </c>
      <c r="B15" s="89" t="inlineStr">
        <is>
          <t>ING. GABRIEL DURÁN</t>
        </is>
      </c>
    </row>
    <row r="16" ht="12.75" customHeight="1"/>
    <row r="17" ht="12.75" customHeight="1"/>
    <row r="18" ht="12.75" customHeight="1"/>
    <row r="19" ht="12.75" customHeight="1"/>
    <row r="20" ht="12.75" customHeight="1"/>
    <row r="21" ht="12.75" customHeight="1"/>
    <row r="22" ht="14.4" customHeight="1"/>
    <row r="23" ht="12.75" customHeight="1"/>
    <row r="24" ht="12.75" customHeight="1"/>
    <row r="38" ht="13.8" customHeight="1">
      <c r="D38" s="13" t="n"/>
      <c r="E38" s="13" t="n"/>
    </row>
    <row r="39" ht="12.75" customHeight="1">
      <c r="D39" s="13" t="n"/>
      <c r="E39" s="13" t="n"/>
    </row>
    <row r="40" ht="12.75" customHeight="1">
      <c r="D40" s="13" t="n"/>
      <c r="E40" s="13" t="n"/>
    </row>
    <row r="41" ht="12.75" customHeight="1">
      <c r="D41" s="13" t="n"/>
      <c r="E41" s="13" t="n"/>
      <c r="F41" s="13" t="n"/>
      <c r="I41" s="13" t="n"/>
      <c r="J41" s="13" t="n"/>
      <c r="K41" s="13" t="n"/>
      <c r="L41" s="13" t="n"/>
    </row>
    <row r="42" ht="12.75" customHeight="1">
      <c r="D42" s="13" t="n"/>
      <c r="E42" s="13" t="n"/>
      <c r="F42" s="13" t="n"/>
      <c r="G42" s="13" t="n"/>
      <c r="H42" s="13" t="n"/>
      <c r="I42" s="13" t="n"/>
      <c r="J42" s="13" t="n"/>
      <c r="K42" s="13" t="n"/>
      <c r="L42" s="13" t="n"/>
      <c r="M42" s="13" t="n"/>
      <c r="N42" s="13" t="n"/>
      <c r="O42" s="13" t="n"/>
    </row>
    <row r="43" ht="12.75" customHeight="1">
      <c r="F43" s="13" t="n"/>
      <c r="G43" s="13" t="n"/>
      <c r="H43" s="13" t="n"/>
      <c r="I43" s="13" t="n"/>
      <c r="J43" s="13" t="n"/>
      <c r="K43" s="13" t="n"/>
      <c r="L43" s="13" t="n"/>
      <c r="M43" s="13" t="n"/>
      <c r="N43" s="13" t="n"/>
      <c r="O43" s="13" t="n"/>
    </row>
    <row r="44" ht="12.75" customHeight="1">
      <c r="F44" s="13" t="n"/>
      <c r="G44" s="13" t="n"/>
      <c r="H44" s="13" t="n"/>
      <c r="I44" s="13" t="n"/>
      <c r="J44" s="13" t="n"/>
      <c r="K44" s="13" t="n"/>
      <c r="L44" s="13" t="n"/>
      <c r="M44" s="13" t="n"/>
      <c r="N44" s="13" t="n"/>
      <c r="O44" s="13" t="n"/>
    </row>
    <row r="45" ht="45" customHeight="1">
      <c r="F45" s="13" t="n"/>
      <c r="G45" s="13" t="n"/>
      <c r="H45" s="13" t="n"/>
      <c r="I45" s="13" t="n"/>
      <c r="J45" s="13" t="n"/>
      <c r="K45" s="13" t="n"/>
      <c r="L45" s="13" t="n"/>
      <c r="M45" s="13" t="n"/>
      <c r="N45" s="13" t="n"/>
      <c r="O45" s="13" t="n"/>
    </row>
    <row r="46" ht="12.75" customHeight="1">
      <c r="G46" s="13" t="n"/>
      <c r="H46" s="13" t="n"/>
      <c r="M46" s="13" t="n"/>
      <c r="N46" s="13" t="n"/>
      <c r="O46" s="13" t="n"/>
    </row>
  </sheetData>
  <mergeCells count="2">
    <mergeCell ref="A6:B6"/>
    <mergeCell ref="A1:H1"/>
  </mergeCells>
  <dataValidations count="2">
    <dataValidation sqref="B8" showDropDown="0" showInputMessage="1" showErrorMessage="1" allowBlank="1" type="list">
      <formula1>$J$3:$J$5</formula1>
    </dataValidation>
    <dataValidation sqref="B7" showDropDown="0" showInputMessage="1" showErrorMessage="1" allowBlank="1" type="list">
      <formula1>$J$1:$J$2</formula1>
    </dataValidation>
  </dataValidations>
  <pageMargins left="0.3149606299212598" right="0.3149606299212598" top="1.510416666666667" bottom="0.7480314960629921" header="0.3149606299212598" footer="0.3149606299212598"/>
  <pageSetup orientation="portrait" paperSize="9"/>
  <headerFooter>
    <oddHeader>&amp;L&amp;G</oddHeader>
    <oddFooter>&amp;R&amp;P de &amp;N</oddFooter>
    <evenHeader/>
    <evenFooter/>
    <firstHeader/>
    <firstFooter/>
  </headerFooter>
</worksheet>
</file>

<file path=xl/worksheets/sheet2.xml><?xml version="1.0" encoding="utf-8"?>
<worksheet xmlns="http://schemas.openxmlformats.org/spreadsheetml/2006/main">
  <sheetPr codeName="Hoja1">
    <outlinePr summaryBelow="1" summaryRight="1"/>
    <pageSetUpPr/>
  </sheetPr>
  <dimension ref="A1:M481"/>
  <sheetViews>
    <sheetView workbookViewId="0">
      <selection activeCell="C444" sqref="C444"/>
    </sheetView>
  </sheetViews>
  <sheetFormatPr baseColWidth="10" defaultRowHeight="14.4"/>
  <cols>
    <col width="12" bestFit="1" customWidth="1" min="1" max="1"/>
    <col width="12" bestFit="1" customWidth="1" min="3" max="3"/>
  </cols>
  <sheetData>
    <row r="1" ht="15" customHeight="1" thickBot="1">
      <c r="A1" s="187" t="inlineStr">
        <is>
          <t>DATO 1</t>
        </is>
      </c>
      <c r="B1" s="188" t="n"/>
      <c r="C1" s="188" t="n"/>
      <c r="D1" s="188" t="n"/>
      <c r="E1" s="188" t="n"/>
      <c r="F1" s="188" t="n"/>
      <c r="G1" s="188" t="n"/>
      <c r="H1" s="188" t="n"/>
      <c r="I1" s="188" t="n"/>
      <c r="J1" s="188" t="n"/>
      <c r="K1" s="189" t="n"/>
    </row>
    <row r="2" ht="15" customHeight="1" thickBot="1">
      <c r="A2" s="31" t="inlineStr">
        <is>
          <t>Dato</t>
        </is>
      </c>
      <c r="B2" s="18" t="inlineStr">
        <is>
          <t>Dato redondeado</t>
        </is>
      </c>
      <c r="C2">
        <f>FIXED(A3,6)</f>
        <v/>
      </c>
      <c r="D2">
        <f>RIGHT(C2,1)</f>
        <v/>
      </c>
      <c r="E2">
        <f>D2/1000000</f>
        <v/>
      </c>
      <c r="F2" s="30">
        <f>A3-E2</f>
        <v/>
      </c>
      <c r="H2">
        <f>IF(C7=5,IF(AND(D3=0,D8=FALSE),J5,J6),J6)</f>
        <v/>
      </c>
      <c r="K2" s="27" t="n"/>
    </row>
    <row r="3" ht="18.6" customHeight="1" thickBot="1">
      <c r="A3" s="29">
        <f>INCERTIDUMBRE!L5</f>
        <v/>
      </c>
      <c r="B3" s="28">
        <f>IF(A3&gt;=10,K37,IF(A3&gt;=1,K29,IF(A3&gt;=0.1,K21,IF(A3&gt;=0.01,K13,IF(A3&gt;=0.001,K5)))))</f>
        <v/>
      </c>
      <c r="C3" t="inlineStr">
        <is>
          <t>6 decimal</t>
        </is>
      </c>
      <c r="D3">
        <f>D2+0</f>
        <v/>
      </c>
      <c r="K3" s="27" t="n"/>
    </row>
    <row r="4" hidden="1" ht="28.8" customHeight="1">
      <c r="A4" s="47" t="n"/>
      <c r="B4" s="47" t="n"/>
      <c r="C4" t="inlineStr">
        <is>
          <t>Extrae el ultimo digito</t>
        </is>
      </c>
      <c r="D4" t="inlineStr">
        <is>
          <t>extrael primer digito</t>
        </is>
      </c>
      <c r="E4" t="inlineStr">
        <is>
          <t>parte entera</t>
        </is>
      </c>
      <c r="F4" t="inlineStr">
        <is>
          <t>Parte decimal</t>
        </is>
      </c>
      <c r="G4" s="38" t="inlineStr">
        <is>
          <t>cantidad de decimales</t>
        </is>
      </c>
      <c r="H4" s="38" t="inlineStr">
        <is>
          <t>decimales en enteros</t>
        </is>
      </c>
      <c r="I4" s="38" t="inlineStr">
        <is>
          <t>restar ultimo numero</t>
        </is>
      </c>
      <c r="J4" s="38" t="inlineStr">
        <is>
          <t>Elimar ultimo digito</t>
        </is>
      </c>
      <c r="K4" s="37" t="inlineStr">
        <is>
          <t>Dato Final</t>
        </is>
      </c>
    </row>
    <row r="5" hidden="1" ht="18.6" customHeight="1" thickBot="1">
      <c r="A5" s="46" t="n"/>
      <c r="C5">
        <f>RIGHT(F2,2)</f>
        <v/>
      </c>
      <c r="D5">
        <f>LEFT(C5,1)</f>
        <v/>
      </c>
      <c r="E5" s="30">
        <f>TRUNC(A3)</f>
        <v/>
      </c>
      <c r="F5" s="14">
        <f>FIXED(A3-E5,G5)</f>
        <v/>
      </c>
      <c r="G5">
        <f>ABS(E8-F8)</f>
        <v/>
      </c>
      <c r="H5">
        <f>RIGHT(A3,G5)</f>
        <v/>
      </c>
      <c r="I5" t="n">
        <v>5e-05</v>
      </c>
      <c r="J5" s="14">
        <f>(A3-I5)</f>
        <v/>
      </c>
      <c r="K5" s="45">
        <f>IF(C7=5,IF(AND(D3=0,D8=FALSE),J5,J6),J6)</f>
        <v/>
      </c>
    </row>
    <row r="6" hidden="1">
      <c r="A6" s="31" t="n"/>
      <c r="C6">
        <f>RIGHT(C5,1)</f>
        <v/>
      </c>
      <c r="D6">
        <f>D5+0</f>
        <v/>
      </c>
      <c r="J6">
        <f>FIXED(A3,4)</f>
        <v/>
      </c>
      <c r="K6" s="27" t="n"/>
    </row>
    <row r="7" hidden="1">
      <c r="A7" s="31" t="n"/>
      <c r="C7">
        <f>C6+0</f>
        <v/>
      </c>
      <c r="D7" t="inlineStr">
        <is>
          <t>es impar?</t>
        </is>
      </c>
      <c r="E7" t="inlineStr">
        <is>
          <t>Largo dato original</t>
        </is>
      </c>
      <c r="F7" t="inlineStr">
        <is>
          <t>largo parte enetero y decimal</t>
        </is>
      </c>
      <c r="K7" s="27" t="n"/>
    </row>
    <row r="8" hidden="1">
      <c r="A8" s="31" t="n"/>
      <c r="D8">
        <f>ISODD(D5)</f>
        <v/>
      </c>
      <c r="E8">
        <f>LEN(A3)</f>
        <v/>
      </c>
      <c r="F8">
        <f>LEN(E5)+1</f>
        <v/>
      </c>
      <c r="K8" s="27" t="n"/>
    </row>
    <row r="9" hidden="1">
      <c r="A9" s="31" t="n"/>
      <c r="K9" s="27" t="n"/>
    </row>
    <row r="10" hidden="1">
      <c r="A10" s="190" t="inlineStr">
        <is>
          <t>4 Decimales</t>
        </is>
      </c>
      <c r="K10" s="27" t="n"/>
    </row>
    <row r="11" hidden="1">
      <c r="A11" s="42">
        <f>K5</f>
        <v/>
      </c>
      <c r="C11">
        <f>FIXED(A3,5)</f>
        <v/>
      </c>
      <c r="D11">
        <f>RIGHT(C11,1)</f>
        <v/>
      </c>
      <c r="E11">
        <f>D11+0</f>
        <v/>
      </c>
      <c r="K11" s="27" t="n"/>
    </row>
    <row r="12" hidden="1" ht="28.8" customHeight="1">
      <c r="A12" s="31" t="n"/>
      <c r="C12" t="inlineStr">
        <is>
          <t>Extrae el ultimo digito</t>
        </is>
      </c>
      <c r="D12" t="inlineStr">
        <is>
          <t>extrael primer digito</t>
        </is>
      </c>
      <c r="E12" t="inlineStr">
        <is>
          <t>parte entera</t>
        </is>
      </c>
      <c r="F12" t="inlineStr">
        <is>
          <t>Parte decimal</t>
        </is>
      </c>
      <c r="G12" s="38" t="inlineStr">
        <is>
          <t>cantidad de decimales</t>
        </is>
      </c>
      <c r="H12" s="38" t="inlineStr">
        <is>
          <t>decimales en enteros</t>
        </is>
      </c>
      <c r="I12" s="38" t="inlineStr">
        <is>
          <t>restar ultimo numero</t>
        </is>
      </c>
      <c r="J12" s="38" t="inlineStr">
        <is>
          <t>Elimar ultimo digito</t>
        </is>
      </c>
      <c r="K12" s="37" t="inlineStr">
        <is>
          <t>Dato Final</t>
        </is>
      </c>
    </row>
    <row r="13" hidden="1" ht="18" customHeight="1">
      <c r="A13" s="31" t="n"/>
      <c r="C13">
        <f>RIGHT(A11,2)</f>
        <v/>
      </c>
      <c r="D13">
        <f>LEFT(C13,1)</f>
        <v/>
      </c>
      <c r="E13" s="36">
        <f>TRUNC(A11)</f>
        <v/>
      </c>
      <c r="F13" s="14">
        <f>FIXED(A11-E13,G13)</f>
        <v/>
      </c>
      <c r="G13">
        <f>ABS(E16-F16)</f>
        <v/>
      </c>
      <c r="H13">
        <f>RIGHT(A11,G13)</f>
        <v/>
      </c>
      <c r="I13" t="n">
        <v>0.0005</v>
      </c>
      <c r="J13" s="44">
        <f>(A11-I13)</f>
        <v/>
      </c>
      <c r="K13" s="43">
        <f>IF(C15=5,IF(AND(E11=0,D16=FALSE),J13,J14),J14)</f>
        <v/>
      </c>
    </row>
    <row r="14" hidden="1">
      <c r="A14" s="31" t="n"/>
      <c r="C14">
        <f>RIGHT(C13,1)</f>
        <v/>
      </c>
      <c r="D14">
        <f>D13+0</f>
        <v/>
      </c>
      <c r="J14">
        <f>FIXED(A11,3)</f>
        <v/>
      </c>
      <c r="K14" s="27" t="n"/>
    </row>
    <row r="15" hidden="1">
      <c r="A15" s="31" t="n"/>
      <c r="C15">
        <f>C14+0</f>
        <v/>
      </c>
      <c r="D15" t="inlineStr">
        <is>
          <t>es impar?</t>
        </is>
      </c>
      <c r="E15" t="inlineStr">
        <is>
          <t>Largo dato original</t>
        </is>
      </c>
      <c r="F15" t="inlineStr">
        <is>
          <t>largo parte enetero y decimal</t>
        </is>
      </c>
      <c r="K15" s="27" t="n"/>
    </row>
    <row r="16" hidden="1">
      <c r="A16" s="31" t="n"/>
      <c r="D16">
        <f>ISODD(D13)</f>
        <v/>
      </c>
      <c r="E16">
        <f>LEN(A11)</f>
        <v/>
      </c>
      <c r="F16">
        <f>LEN(E13)+1</f>
        <v/>
      </c>
      <c r="K16" s="27" t="n"/>
    </row>
    <row r="17" hidden="1">
      <c r="A17" s="31" t="n"/>
      <c r="K17" s="27" t="n"/>
    </row>
    <row r="18" hidden="1">
      <c r="A18" s="190" t="inlineStr">
        <is>
          <t>3 Decimales</t>
        </is>
      </c>
      <c r="K18" s="27" t="n"/>
    </row>
    <row r="19" hidden="1">
      <c r="A19" s="42">
        <f>K13</f>
        <v/>
      </c>
      <c r="C19">
        <f>FIXED(A11,4)</f>
        <v/>
      </c>
      <c r="D19">
        <f>RIGHT(C19,1)</f>
        <v/>
      </c>
      <c r="E19">
        <f>D19+0</f>
        <v/>
      </c>
      <c r="K19" s="27" t="n"/>
    </row>
    <row r="20" hidden="1" ht="28.8" customHeight="1">
      <c r="A20" s="31" t="n"/>
      <c r="C20" t="inlineStr">
        <is>
          <t>Extrae el ultimo digito</t>
        </is>
      </c>
      <c r="D20" t="inlineStr">
        <is>
          <t>extrael primer digito</t>
        </is>
      </c>
      <c r="E20" t="inlineStr">
        <is>
          <t>parte entera</t>
        </is>
      </c>
      <c r="F20" t="inlineStr">
        <is>
          <t>Parte decimal</t>
        </is>
      </c>
      <c r="G20" s="38" t="inlineStr">
        <is>
          <t>cantidad de decimales</t>
        </is>
      </c>
      <c r="H20" s="38" t="inlineStr">
        <is>
          <t>decimales en enteros</t>
        </is>
      </c>
      <c r="I20" s="38" t="inlineStr">
        <is>
          <t>restar ultimo numero</t>
        </is>
      </c>
      <c r="J20" s="38" t="inlineStr">
        <is>
          <t>Elimar ultimo digito</t>
        </is>
      </c>
      <c r="K20" s="37" t="inlineStr">
        <is>
          <t>Dato Final</t>
        </is>
      </c>
    </row>
    <row r="21" hidden="1" ht="18" customHeight="1">
      <c r="A21" s="31" t="n"/>
      <c r="C21">
        <f>RIGHT(A19,2)</f>
        <v/>
      </c>
      <c r="D21">
        <f>LEFT(C21,1)</f>
        <v/>
      </c>
      <c r="E21" s="36">
        <f>TRUNC(A19)</f>
        <v/>
      </c>
      <c r="F21" s="14">
        <f>FIXED(A19-E21,G21)</f>
        <v/>
      </c>
      <c r="G21">
        <f>ABS(E24-F24)</f>
        <v/>
      </c>
      <c r="H21">
        <f>RIGHT(A19,G21)</f>
        <v/>
      </c>
      <c r="I21" t="n">
        <v>0.005</v>
      </c>
      <c r="J21" s="2">
        <f>(A19-I21)</f>
        <v/>
      </c>
      <c r="K21" s="41">
        <f>IF(C23=5,IF(AND(E19=0,D24=FALSE),J21,J22),J22)</f>
        <v/>
      </c>
    </row>
    <row r="22" hidden="1" ht="18" customHeight="1">
      <c r="A22" s="31" t="n"/>
      <c r="C22">
        <f>RIGHT(C21,1)</f>
        <v/>
      </c>
      <c r="D22">
        <f>D21+0</f>
        <v/>
      </c>
      <c r="J22">
        <f>FIXED(A19,2)</f>
        <v/>
      </c>
      <c r="K22" s="41" t="n"/>
    </row>
    <row r="23" hidden="1">
      <c r="A23" s="31" t="n"/>
      <c r="C23">
        <f>C22+0</f>
        <v/>
      </c>
      <c r="D23" t="inlineStr">
        <is>
          <t>es impar?</t>
        </is>
      </c>
      <c r="E23" t="inlineStr">
        <is>
          <t>Largo dato original</t>
        </is>
      </c>
      <c r="F23" t="inlineStr">
        <is>
          <t>largo parte enetero y decimal</t>
        </is>
      </c>
      <c r="K23" s="27" t="n"/>
    </row>
    <row r="24" hidden="1">
      <c r="A24" s="31" t="n"/>
      <c r="D24">
        <f>ISODD(D21)</f>
        <v/>
      </c>
      <c r="E24">
        <f>LEN(A19)</f>
        <v/>
      </c>
      <c r="F24">
        <f>LEN(E21)+1</f>
        <v/>
      </c>
      <c r="K24" s="27" t="n"/>
    </row>
    <row r="25" hidden="1">
      <c r="A25" s="31" t="n"/>
      <c r="K25" s="27" t="n"/>
    </row>
    <row r="26" hidden="1">
      <c r="A26" s="190" t="inlineStr">
        <is>
          <t>2 Decimales</t>
        </is>
      </c>
      <c r="K26" s="27" t="n"/>
    </row>
    <row r="27" hidden="1">
      <c r="A27" s="39">
        <f>K21</f>
        <v/>
      </c>
      <c r="C27">
        <f>FIXED(A19,3)</f>
        <v/>
      </c>
      <c r="D27">
        <f>RIGHT(C27,1)</f>
        <v/>
      </c>
      <c r="E27">
        <f>D27+0</f>
        <v/>
      </c>
      <c r="K27" s="27" t="n"/>
    </row>
    <row r="28" hidden="1" ht="28.8" customHeight="1">
      <c r="A28" s="31" t="n"/>
      <c r="C28" t="inlineStr">
        <is>
          <t>Extrae el ultimo digito</t>
        </is>
      </c>
      <c r="D28" t="inlineStr">
        <is>
          <t>extrael primer digito</t>
        </is>
      </c>
      <c r="E28" t="inlineStr">
        <is>
          <t>parte entera</t>
        </is>
      </c>
      <c r="F28" t="inlineStr">
        <is>
          <t>Parte decimal</t>
        </is>
      </c>
      <c r="G28" s="38" t="inlineStr">
        <is>
          <t>cantidad de decimales</t>
        </is>
      </c>
      <c r="H28" s="38" t="inlineStr">
        <is>
          <t>decimales en enteros</t>
        </is>
      </c>
      <c r="I28" s="38" t="inlineStr">
        <is>
          <t>restar ultimo numero</t>
        </is>
      </c>
      <c r="J28" s="38" t="inlineStr">
        <is>
          <t>Elimar ultimo digito</t>
        </is>
      </c>
      <c r="K28" s="37" t="inlineStr">
        <is>
          <t>Dato Final</t>
        </is>
      </c>
    </row>
    <row r="29" hidden="1" ht="18" customHeight="1">
      <c r="A29" s="31" t="n"/>
      <c r="C29">
        <f>RIGHT(A27,2)</f>
        <v/>
      </c>
      <c r="D29">
        <f>LEFT(C29,1)</f>
        <v/>
      </c>
      <c r="E29" s="36">
        <f>TRUNC(A27)</f>
        <v/>
      </c>
      <c r="F29" s="14">
        <f>FIXED(A27-E29,G29)</f>
        <v/>
      </c>
      <c r="G29">
        <f>ABS(E32-F32)</f>
        <v/>
      </c>
      <c r="H29">
        <f>RIGHT(A27,G29)</f>
        <v/>
      </c>
      <c r="I29" t="n">
        <v>0.05</v>
      </c>
      <c r="J29" s="2">
        <f>(A27-I29)</f>
        <v/>
      </c>
      <c r="K29" s="41">
        <f>IF(C31=5,IF(AND(E27=0,D32=FALSE),J29,J30),J30)</f>
        <v/>
      </c>
    </row>
    <row r="30" hidden="1">
      <c r="A30" s="31" t="n"/>
      <c r="C30">
        <f>RIGHT(C29,1)</f>
        <v/>
      </c>
      <c r="D30">
        <f>D29+0</f>
        <v/>
      </c>
      <c r="J30">
        <f>FIXED(A27,1)</f>
        <v/>
      </c>
      <c r="K30" s="40" t="n"/>
    </row>
    <row r="31" hidden="1">
      <c r="A31" s="31" t="n"/>
      <c r="C31">
        <f>C30+0</f>
        <v/>
      </c>
      <c r="D31" t="inlineStr">
        <is>
          <t>es impar?</t>
        </is>
      </c>
      <c r="E31" t="inlineStr">
        <is>
          <t>Largo dato original</t>
        </is>
      </c>
      <c r="F31" t="inlineStr">
        <is>
          <t>largo parte enetero y decimal</t>
        </is>
      </c>
      <c r="K31" s="27" t="n"/>
    </row>
    <row r="32" hidden="1">
      <c r="A32" s="31" t="n"/>
      <c r="D32">
        <f>ISODD(D29)</f>
        <v/>
      </c>
      <c r="E32">
        <f>LEN(A27)</f>
        <v/>
      </c>
      <c r="F32">
        <f>LEN(E29)+1</f>
        <v/>
      </c>
      <c r="K32" s="27" t="n"/>
    </row>
    <row r="33" hidden="1">
      <c r="A33" s="31" t="n"/>
      <c r="K33" s="27" t="n"/>
    </row>
    <row r="34" hidden="1">
      <c r="A34" s="190" t="inlineStr">
        <is>
          <t>1 Decimales</t>
        </is>
      </c>
      <c r="K34" s="27" t="n"/>
    </row>
    <row r="35" hidden="1">
      <c r="A35" s="39">
        <f>K29</f>
        <v/>
      </c>
      <c r="C35">
        <f>FIXED(A27,2)</f>
        <v/>
      </c>
      <c r="D35">
        <f>RIGHT(C35,1)</f>
        <v/>
      </c>
      <c r="E35">
        <f>D35+0</f>
        <v/>
      </c>
      <c r="K35" s="27" t="n"/>
    </row>
    <row r="36" hidden="1" ht="28.8" customHeight="1">
      <c r="A36" s="31" t="n"/>
      <c r="C36" t="inlineStr">
        <is>
          <t>Extrae el ultimo digito</t>
        </is>
      </c>
      <c r="D36" t="inlineStr">
        <is>
          <t>extrael primer digito</t>
        </is>
      </c>
      <c r="E36" t="inlineStr">
        <is>
          <t>parte entera</t>
        </is>
      </c>
      <c r="F36" t="inlineStr">
        <is>
          <t>Parte decimal</t>
        </is>
      </c>
      <c r="G36" s="38" t="inlineStr">
        <is>
          <t>cantidad de decimales</t>
        </is>
      </c>
      <c r="H36" s="38" t="inlineStr">
        <is>
          <t>decimales en enteros</t>
        </is>
      </c>
      <c r="I36" s="38" t="inlineStr">
        <is>
          <t>restar ultimo numero</t>
        </is>
      </c>
      <c r="J36" s="38" t="inlineStr">
        <is>
          <t>Elimar ultimo digito</t>
        </is>
      </c>
      <c r="K36" s="37" t="inlineStr">
        <is>
          <t>Dato Final</t>
        </is>
      </c>
    </row>
    <row r="37" hidden="1" ht="18" customHeight="1">
      <c r="A37" s="31" t="n"/>
      <c r="C37">
        <f>RIGHT(A35,2)</f>
        <v/>
      </c>
      <c r="D37">
        <f>RIGHT(E37,1)</f>
        <v/>
      </c>
      <c r="E37" s="36">
        <f>TRUNC(A35)</f>
        <v/>
      </c>
      <c r="F37" s="14">
        <f>FIXED(A35-E37,G37)</f>
        <v/>
      </c>
      <c r="G37">
        <f>ABS(E40-F40)</f>
        <v/>
      </c>
      <c r="H37">
        <f>RIGHT(A35,G37)</f>
        <v/>
      </c>
      <c r="I37" t="n">
        <v>0.5</v>
      </c>
      <c r="J37" s="12">
        <f>(A35-I37)</f>
        <v/>
      </c>
      <c r="K37" s="35">
        <f>IF(C39=5,IF(AND(E35=0,D40=FALSE),J37,J38),J38)</f>
        <v/>
      </c>
    </row>
    <row r="38" hidden="1">
      <c r="A38" s="31" t="n"/>
      <c r="C38">
        <f>RIGHT(C37,1)</f>
        <v/>
      </c>
      <c r="D38">
        <f>D37+0</f>
        <v/>
      </c>
      <c r="J38">
        <f>FIXED(A35,0)</f>
        <v/>
      </c>
      <c r="K38" s="34" t="n"/>
    </row>
    <row r="39" hidden="1">
      <c r="A39" s="31" t="n"/>
      <c r="C39">
        <f>C38+0</f>
        <v/>
      </c>
      <c r="D39" t="inlineStr">
        <is>
          <t>es impar?</t>
        </is>
      </c>
      <c r="E39" t="inlineStr">
        <is>
          <t>Largo dato original</t>
        </is>
      </c>
      <c r="F39" t="inlineStr">
        <is>
          <t>largo parte enetero y decimal</t>
        </is>
      </c>
      <c r="K39" s="27" t="n"/>
    </row>
    <row r="40" hidden="1" ht="15" customHeight="1" thickBot="1">
      <c r="A40" s="33" t="n"/>
      <c r="B40" s="33" t="n"/>
      <c r="C40" s="33" t="n"/>
      <c r="D40" s="33">
        <f>ISODD(D37)</f>
        <v/>
      </c>
      <c r="E40" s="33">
        <f>LEN(A35)</f>
        <v/>
      </c>
      <c r="F40" s="33">
        <f>LEN(E37)+1</f>
        <v/>
      </c>
      <c r="G40" s="33" t="n"/>
      <c r="H40" s="33" t="n"/>
      <c r="I40" s="33" t="n"/>
      <c r="J40" s="33" t="n"/>
      <c r="K40" s="32" t="n"/>
    </row>
    <row r="41" ht="15" customHeight="1" thickBot="1">
      <c r="A41" s="187" t="inlineStr">
        <is>
          <t>DATO 2</t>
        </is>
      </c>
      <c r="B41" s="188" t="n"/>
      <c r="C41" s="188" t="n"/>
      <c r="D41" s="188" t="n"/>
      <c r="E41" s="188" t="n"/>
      <c r="F41" s="188" t="n"/>
      <c r="G41" s="188" t="n"/>
      <c r="H41" s="188" t="n"/>
      <c r="I41" s="188" t="n"/>
      <c r="J41" s="188" t="n"/>
      <c r="K41" s="189" t="n"/>
    </row>
    <row r="42" ht="15" customHeight="1" thickBot="1">
      <c r="A42" s="31" t="inlineStr">
        <is>
          <t>Dato</t>
        </is>
      </c>
      <c r="B42" s="18" t="inlineStr">
        <is>
          <t>Dato redondeado</t>
        </is>
      </c>
      <c r="C42">
        <f>FIXED(A43,6)</f>
        <v/>
      </c>
      <c r="D42">
        <f>RIGHT(C42,1)</f>
        <v/>
      </c>
      <c r="E42">
        <f>D42/1000000</f>
        <v/>
      </c>
      <c r="F42" s="30">
        <f>A43-E42</f>
        <v/>
      </c>
      <c r="H42">
        <f>IF(C47=5,IF(AND(D43=0,D48=FALSE),J45,J46),J46)</f>
        <v/>
      </c>
      <c r="K42" s="27" t="n"/>
    </row>
    <row r="43" ht="18.6" customHeight="1" thickBot="1">
      <c r="A43" s="29">
        <f>INCERTIDUMBRE!#REF!</f>
        <v/>
      </c>
      <c r="B43" s="28">
        <f>IF(A43&gt;=10,K77,IF(A43&gt;=1,K69,IF(A43&gt;=0.1,K61,IF(A43&gt;=0.01,K53,IF(A43&gt;=0.001,K45)))))</f>
        <v/>
      </c>
      <c r="C43" t="inlineStr">
        <is>
          <t>6 decimal</t>
        </is>
      </c>
      <c r="D43">
        <f>D42+0</f>
        <v/>
      </c>
      <c r="K43" s="27" t="n"/>
    </row>
    <row r="44" hidden="1" ht="28.8" customHeight="1">
      <c r="A44" s="47" t="n"/>
      <c r="B44" s="47" t="n"/>
      <c r="C44" t="inlineStr">
        <is>
          <t>Extrae el ultimo digito</t>
        </is>
      </c>
      <c r="D44" t="inlineStr">
        <is>
          <t>extrael primer digito</t>
        </is>
      </c>
      <c r="E44" t="inlineStr">
        <is>
          <t>parte entera</t>
        </is>
      </c>
      <c r="F44" t="inlineStr">
        <is>
          <t>Parte decimal</t>
        </is>
      </c>
      <c r="G44" s="38" t="inlineStr">
        <is>
          <t>cantidad de decimales</t>
        </is>
      </c>
      <c r="H44" s="38" t="inlineStr">
        <is>
          <t>decimales en enteros</t>
        </is>
      </c>
      <c r="I44" s="38" t="inlineStr">
        <is>
          <t>restar ultimo numero</t>
        </is>
      </c>
      <c r="J44" s="38" t="inlineStr">
        <is>
          <t>Elimar ultimo digito</t>
        </is>
      </c>
      <c r="K44" s="37" t="inlineStr">
        <is>
          <t>Dato Final</t>
        </is>
      </c>
    </row>
    <row r="45" hidden="1" ht="18.6" customHeight="1" thickBot="1">
      <c r="A45" s="46" t="n"/>
      <c r="C45">
        <f>RIGHT(F42,2)</f>
        <v/>
      </c>
      <c r="D45">
        <f>LEFT(C45,1)</f>
        <v/>
      </c>
      <c r="E45" s="30">
        <f>TRUNC(A43)</f>
        <v/>
      </c>
      <c r="F45" s="14">
        <f>FIXED(A43-E45,G45)</f>
        <v/>
      </c>
      <c r="G45">
        <f>ABS(E48-F48)</f>
        <v/>
      </c>
      <c r="H45">
        <f>RIGHT(A43,G45)</f>
        <v/>
      </c>
      <c r="I45" t="n">
        <v>5e-05</v>
      </c>
      <c r="J45" s="14">
        <f>(A43-I45)</f>
        <v/>
      </c>
      <c r="K45" s="45">
        <f>IF(C47=5,IF(AND(D43=0,D48=FALSE),J45,J46),J46)</f>
        <v/>
      </c>
    </row>
    <row r="46" hidden="1">
      <c r="A46" s="31" t="n"/>
      <c r="C46">
        <f>RIGHT(C45,1)</f>
        <v/>
      </c>
      <c r="D46">
        <f>D45+0</f>
        <v/>
      </c>
      <c r="J46">
        <f>FIXED(A43,4)</f>
        <v/>
      </c>
      <c r="K46" s="27" t="n"/>
    </row>
    <row r="47" hidden="1">
      <c r="A47" s="31" t="n"/>
      <c r="C47">
        <f>C46+0</f>
        <v/>
      </c>
      <c r="D47" t="inlineStr">
        <is>
          <t>es impar?</t>
        </is>
      </c>
      <c r="E47" t="inlineStr">
        <is>
          <t>Largo dato original</t>
        </is>
      </c>
      <c r="F47" t="inlineStr">
        <is>
          <t>largo parte enetero y decimal</t>
        </is>
      </c>
      <c r="K47" s="27" t="n"/>
    </row>
    <row r="48" hidden="1">
      <c r="A48" s="31" t="n"/>
      <c r="D48">
        <f>ISODD(D45)</f>
        <v/>
      </c>
      <c r="E48">
        <f>LEN(A43)</f>
        <v/>
      </c>
      <c r="F48">
        <f>LEN(E45)+1</f>
        <v/>
      </c>
      <c r="K48" s="27" t="n"/>
    </row>
    <row r="49" hidden="1">
      <c r="A49" s="31" t="n"/>
      <c r="K49" s="27" t="n"/>
    </row>
    <row r="50" hidden="1">
      <c r="A50" s="190" t="inlineStr">
        <is>
          <t>4 Decimales</t>
        </is>
      </c>
      <c r="K50" s="27" t="n"/>
    </row>
    <row r="51" hidden="1">
      <c r="A51" s="42">
        <f>K45</f>
        <v/>
      </c>
      <c r="C51">
        <f>FIXED(A43,5)</f>
        <v/>
      </c>
      <c r="D51">
        <f>RIGHT(C51,1)</f>
        <v/>
      </c>
      <c r="E51">
        <f>D51+0</f>
        <v/>
      </c>
      <c r="K51" s="27" t="n"/>
    </row>
    <row r="52" hidden="1" ht="28.8" customHeight="1">
      <c r="A52" s="31" t="n"/>
      <c r="C52" t="inlineStr">
        <is>
          <t>Extrae el ultimo digito</t>
        </is>
      </c>
      <c r="D52" t="inlineStr">
        <is>
          <t>extrael primer digito</t>
        </is>
      </c>
      <c r="E52" t="inlineStr">
        <is>
          <t>parte entera</t>
        </is>
      </c>
      <c r="F52" t="inlineStr">
        <is>
          <t>Parte decimal</t>
        </is>
      </c>
      <c r="G52" s="38" t="inlineStr">
        <is>
          <t>cantidad de decimales</t>
        </is>
      </c>
      <c r="H52" s="38" t="inlineStr">
        <is>
          <t>decimales en enteros</t>
        </is>
      </c>
      <c r="I52" s="38" t="inlineStr">
        <is>
          <t>restar ultimo numero</t>
        </is>
      </c>
      <c r="J52" s="38" t="inlineStr">
        <is>
          <t>Elimar ultimo digito</t>
        </is>
      </c>
      <c r="K52" s="37" t="inlineStr">
        <is>
          <t>Dato Final</t>
        </is>
      </c>
    </row>
    <row r="53" hidden="1" ht="18" customHeight="1">
      <c r="A53" s="31" t="n"/>
      <c r="C53">
        <f>RIGHT(A51,2)</f>
        <v/>
      </c>
      <c r="D53">
        <f>LEFT(C53,1)</f>
        <v/>
      </c>
      <c r="E53" s="36">
        <f>TRUNC(A51)</f>
        <v/>
      </c>
      <c r="F53" s="14">
        <f>FIXED(A51-E53,G53)</f>
        <v/>
      </c>
      <c r="G53">
        <f>ABS(E56-F56)</f>
        <v/>
      </c>
      <c r="H53">
        <f>RIGHT(A51,G53)</f>
        <v/>
      </c>
      <c r="I53" t="n">
        <v>0.0005</v>
      </c>
      <c r="J53" s="44">
        <f>(A51-I53)</f>
        <v/>
      </c>
      <c r="K53" s="43">
        <f>IF(C55=5,IF(AND(E51=0,D56=FALSE),J53,J54),J54)</f>
        <v/>
      </c>
    </row>
    <row r="54" hidden="1">
      <c r="A54" s="31" t="n"/>
      <c r="C54">
        <f>RIGHT(C53,1)</f>
        <v/>
      </c>
      <c r="D54">
        <f>D53+0</f>
        <v/>
      </c>
      <c r="J54">
        <f>FIXED(A51,3)</f>
        <v/>
      </c>
      <c r="K54" s="27" t="n"/>
    </row>
    <row r="55" hidden="1">
      <c r="A55" s="31" t="n"/>
      <c r="C55">
        <f>C54+0</f>
        <v/>
      </c>
      <c r="D55" t="inlineStr">
        <is>
          <t>es impar?</t>
        </is>
      </c>
      <c r="E55" t="inlineStr">
        <is>
          <t>Largo dato original</t>
        </is>
      </c>
      <c r="F55" t="inlineStr">
        <is>
          <t>largo parte enetero y decimal</t>
        </is>
      </c>
      <c r="K55" s="27" t="n"/>
    </row>
    <row r="56" hidden="1">
      <c r="A56" s="31" t="n"/>
      <c r="D56">
        <f>ISODD(D53)</f>
        <v/>
      </c>
      <c r="E56">
        <f>LEN(A51)</f>
        <v/>
      </c>
      <c r="F56">
        <f>LEN(E53)+1</f>
        <v/>
      </c>
      <c r="K56" s="27" t="n"/>
    </row>
    <row r="57" hidden="1">
      <c r="A57" s="31" t="n"/>
      <c r="K57" s="27" t="n"/>
    </row>
    <row r="58" hidden="1">
      <c r="A58" s="190" t="inlineStr">
        <is>
          <t>3 Decimales</t>
        </is>
      </c>
      <c r="K58" s="27" t="n"/>
    </row>
    <row r="59" hidden="1">
      <c r="A59" s="42">
        <f>K53</f>
        <v/>
      </c>
      <c r="C59">
        <f>FIXED(A51,4)</f>
        <v/>
      </c>
      <c r="D59">
        <f>RIGHT(C59,1)</f>
        <v/>
      </c>
      <c r="E59">
        <f>D59+0</f>
        <v/>
      </c>
      <c r="K59" s="27" t="n"/>
    </row>
    <row r="60" hidden="1" ht="28.8" customHeight="1">
      <c r="A60" s="31" t="n"/>
      <c r="C60" t="inlineStr">
        <is>
          <t>Extrae el ultimo digito</t>
        </is>
      </c>
      <c r="D60" t="inlineStr">
        <is>
          <t>extrael primer digito</t>
        </is>
      </c>
      <c r="E60" t="inlineStr">
        <is>
          <t>parte entera</t>
        </is>
      </c>
      <c r="F60" t="inlineStr">
        <is>
          <t>Parte decimal</t>
        </is>
      </c>
      <c r="G60" s="38" t="inlineStr">
        <is>
          <t>cantidad de decimales</t>
        </is>
      </c>
      <c r="H60" s="38" t="inlineStr">
        <is>
          <t>decimales en enteros</t>
        </is>
      </c>
      <c r="I60" s="38" t="inlineStr">
        <is>
          <t>restar ultimo numero</t>
        </is>
      </c>
      <c r="J60" s="38" t="inlineStr">
        <is>
          <t>Elimar ultimo digito</t>
        </is>
      </c>
      <c r="K60" s="37" t="inlineStr">
        <is>
          <t>Dato Final</t>
        </is>
      </c>
    </row>
    <row r="61" hidden="1" ht="18" customHeight="1">
      <c r="A61" s="31" t="n"/>
      <c r="C61">
        <f>RIGHT(A59,2)</f>
        <v/>
      </c>
      <c r="D61">
        <f>LEFT(C61,1)</f>
        <v/>
      </c>
      <c r="E61" s="36">
        <f>TRUNC(A59)</f>
        <v/>
      </c>
      <c r="F61" s="14">
        <f>FIXED(A59-E61,G61)</f>
        <v/>
      </c>
      <c r="G61">
        <f>ABS(E64-F64)</f>
        <v/>
      </c>
      <c r="H61">
        <f>RIGHT(A59,G61)</f>
        <v/>
      </c>
      <c r="I61" t="n">
        <v>0.005</v>
      </c>
      <c r="J61" s="2">
        <f>(A59-I61)</f>
        <v/>
      </c>
      <c r="K61" s="41">
        <f>IF(C63=5,IF(AND(E59=0,D64=FALSE),J61,J62),J62)</f>
        <v/>
      </c>
    </row>
    <row r="62" hidden="1" ht="18" customHeight="1">
      <c r="A62" s="31" t="n"/>
      <c r="C62">
        <f>RIGHT(C61,1)</f>
        <v/>
      </c>
      <c r="D62">
        <f>D61+0</f>
        <v/>
      </c>
      <c r="J62">
        <f>FIXED(A59,2)</f>
        <v/>
      </c>
      <c r="K62" s="41" t="n"/>
    </row>
    <row r="63" hidden="1">
      <c r="A63" s="31" t="n"/>
      <c r="C63">
        <f>C62+0</f>
        <v/>
      </c>
      <c r="D63" t="inlineStr">
        <is>
          <t>es impar?</t>
        </is>
      </c>
      <c r="E63" t="inlineStr">
        <is>
          <t>Largo dato original</t>
        </is>
      </c>
      <c r="F63" t="inlineStr">
        <is>
          <t>largo parte enetero y decimal</t>
        </is>
      </c>
      <c r="K63" s="27" t="n"/>
    </row>
    <row r="64" hidden="1">
      <c r="A64" s="31" t="n"/>
      <c r="D64">
        <f>ISODD(D61)</f>
        <v/>
      </c>
      <c r="E64">
        <f>LEN(A59)</f>
        <v/>
      </c>
      <c r="F64">
        <f>LEN(E61)+1</f>
        <v/>
      </c>
      <c r="K64" s="27" t="n"/>
    </row>
    <row r="65" hidden="1">
      <c r="A65" s="31" t="n"/>
      <c r="K65" s="27" t="n"/>
    </row>
    <row r="66" hidden="1">
      <c r="A66" s="190" t="inlineStr">
        <is>
          <t>2 Decimales</t>
        </is>
      </c>
      <c r="K66" s="27" t="n"/>
    </row>
    <row r="67" hidden="1">
      <c r="A67" s="39">
        <f>K61</f>
        <v/>
      </c>
      <c r="C67">
        <f>FIXED(A59,3)</f>
        <v/>
      </c>
      <c r="D67">
        <f>RIGHT(C67,1)</f>
        <v/>
      </c>
      <c r="E67">
        <f>D67+0</f>
        <v/>
      </c>
      <c r="K67" s="27" t="n"/>
    </row>
    <row r="68" hidden="1" ht="28.8" customHeight="1">
      <c r="A68" s="31" t="n"/>
      <c r="C68" t="inlineStr">
        <is>
          <t>Extrae el ultimo digito</t>
        </is>
      </c>
      <c r="D68" t="inlineStr">
        <is>
          <t>extrael primer digito</t>
        </is>
      </c>
      <c r="E68" t="inlineStr">
        <is>
          <t>parte entera</t>
        </is>
      </c>
      <c r="F68" t="inlineStr">
        <is>
          <t>Parte decimal</t>
        </is>
      </c>
      <c r="G68" s="38" t="inlineStr">
        <is>
          <t>cantidad de decimales</t>
        </is>
      </c>
      <c r="H68" s="38" t="inlineStr">
        <is>
          <t>decimales en enteros</t>
        </is>
      </c>
      <c r="I68" s="38" t="inlineStr">
        <is>
          <t>restar ultimo numero</t>
        </is>
      </c>
      <c r="J68" s="38" t="inlineStr">
        <is>
          <t>Elimar ultimo digito</t>
        </is>
      </c>
      <c r="K68" s="37" t="inlineStr">
        <is>
          <t>Dato Final</t>
        </is>
      </c>
    </row>
    <row r="69" hidden="1" ht="18" customHeight="1">
      <c r="A69" s="31" t="n"/>
      <c r="C69">
        <f>RIGHT(A67,2)</f>
        <v/>
      </c>
      <c r="D69">
        <f>LEFT(C69,1)</f>
        <v/>
      </c>
      <c r="E69" s="36">
        <f>TRUNC(A67)</f>
        <v/>
      </c>
      <c r="F69" s="14">
        <f>FIXED(A67-E69,G69)</f>
        <v/>
      </c>
      <c r="G69">
        <f>ABS(E72-F72)</f>
        <v/>
      </c>
      <c r="H69">
        <f>RIGHT(A67,G69)</f>
        <v/>
      </c>
      <c r="I69" t="n">
        <v>0.05</v>
      </c>
      <c r="J69" s="2">
        <f>(A67-I69)</f>
        <v/>
      </c>
      <c r="K69" s="41">
        <f>IF(C71=5,IF(AND(E67=0,D72=FALSE),J69,J70),J70)</f>
        <v/>
      </c>
    </row>
    <row r="70" hidden="1">
      <c r="A70" s="31" t="n"/>
      <c r="C70">
        <f>RIGHT(C69,1)</f>
        <v/>
      </c>
      <c r="D70">
        <f>D69+0</f>
        <v/>
      </c>
      <c r="J70">
        <f>FIXED(A67,1)</f>
        <v/>
      </c>
      <c r="K70" s="40" t="n"/>
    </row>
    <row r="71" hidden="1">
      <c r="A71" s="31" t="n"/>
      <c r="C71">
        <f>C70+0</f>
        <v/>
      </c>
      <c r="D71" t="inlineStr">
        <is>
          <t>es impar?</t>
        </is>
      </c>
      <c r="E71" t="inlineStr">
        <is>
          <t>Largo dato original</t>
        </is>
      </c>
      <c r="F71" t="inlineStr">
        <is>
          <t>largo parte enetero y decimal</t>
        </is>
      </c>
      <c r="K71" s="27" t="n"/>
    </row>
    <row r="72" hidden="1">
      <c r="A72" s="31" t="n"/>
      <c r="D72">
        <f>ISODD(D69)</f>
        <v/>
      </c>
      <c r="E72">
        <f>LEN(A67)</f>
        <v/>
      </c>
      <c r="F72">
        <f>LEN(E69)+1</f>
        <v/>
      </c>
      <c r="K72" s="27" t="n"/>
    </row>
    <row r="73" hidden="1">
      <c r="A73" s="31" t="n"/>
      <c r="K73" s="27" t="n"/>
    </row>
    <row r="74" hidden="1">
      <c r="A74" s="190" t="inlineStr">
        <is>
          <t>1 Decimales</t>
        </is>
      </c>
      <c r="K74" s="27" t="n"/>
    </row>
    <row r="75" hidden="1">
      <c r="A75" s="39">
        <f>K69</f>
        <v/>
      </c>
      <c r="C75">
        <f>FIXED(A67,2)</f>
        <v/>
      </c>
      <c r="D75">
        <f>RIGHT(C75,1)</f>
        <v/>
      </c>
      <c r="E75">
        <f>D75+0</f>
        <v/>
      </c>
      <c r="K75" s="27" t="n"/>
    </row>
    <row r="76" hidden="1" ht="28.8" customHeight="1">
      <c r="A76" s="31" t="n"/>
      <c r="C76" t="inlineStr">
        <is>
          <t>Extrae el ultimo digito</t>
        </is>
      </c>
      <c r="D76" t="inlineStr">
        <is>
          <t>extrael primer digito</t>
        </is>
      </c>
      <c r="E76" t="inlineStr">
        <is>
          <t>parte entera</t>
        </is>
      </c>
      <c r="F76" t="inlineStr">
        <is>
          <t>Parte decimal</t>
        </is>
      </c>
      <c r="G76" s="38" t="inlineStr">
        <is>
          <t>cantidad de decimales</t>
        </is>
      </c>
      <c r="H76" s="38" t="inlineStr">
        <is>
          <t>decimales en enteros</t>
        </is>
      </c>
      <c r="I76" s="38" t="inlineStr">
        <is>
          <t>restar ultimo numero</t>
        </is>
      </c>
      <c r="J76" s="38" t="inlineStr">
        <is>
          <t>Elimar ultimo digito</t>
        </is>
      </c>
      <c r="K76" s="37" t="inlineStr">
        <is>
          <t>Dato Final</t>
        </is>
      </c>
    </row>
    <row r="77" hidden="1" ht="18" customHeight="1">
      <c r="A77" s="31" t="n"/>
      <c r="C77">
        <f>RIGHT(A75,2)</f>
        <v/>
      </c>
      <c r="D77">
        <f>RIGHT(E77,1)</f>
        <v/>
      </c>
      <c r="E77" s="36">
        <f>TRUNC(A75)</f>
        <v/>
      </c>
      <c r="F77" s="14">
        <f>FIXED(A75-E77,G77)</f>
        <v/>
      </c>
      <c r="G77">
        <f>ABS(E80-F80)</f>
        <v/>
      </c>
      <c r="H77">
        <f>RIGHT(A75,G77)</f>
        <v/>
      </c>
      <c r="I77" t="n">
        <v>0.5</v>
      </c>
      <c r="J77" s="12">
        <f>(A75-I77)</f>
        <v/>
      </c>
      <c r="K77" s="35">
        <f>IF(C79=5,IF(AND(E75=0,D80=FALSE),J77,J78),J78)</f>
        <v/>
      </c>
    </row>
    <row r="78" hidden="1">
      <c r="A78" s="31" t="n"/>
      <c r="C78">
        <f>RIGHT(C77,1)</f>
        <v/>
      </c>
      <c r="D78">
        <f>D77+0</f>
        <v/>
      </c>
      <c r="J78">
        <f>FIXED(A75,0)</f>
        <v/>
      </c>
      <c r="K78" s="34" t="n"/>
    </row>
    <row r="79" hidden="1">
      <c r="A79" s="31" t="n"/>
      <c r="C79">
        <f>C78+0</f>
        <v/>
      </c>
      <c r="D79" t="inlineStr">
        <is>
          <t>es impar?</t>
        </is>
      </c>
      <c r="E79" t="inlineStr">
        <is>
          <t>Largo dato original</t>
        </is>
      </c>
      <c r="F79" t="inlineStr">
        <is>
          <t>largo parte enetero y decimal</t>
        </is>
      </c>
      <c r="K79" s="27" t="n"/>
    </row>
    <row r="80" hidden="1" ht="15" customHeight="1" thickBot="1">
      <c r="A80" s="33" t="n"/>
      <c r="B80" s="33" t="n"/>
      <c r="C80" s="33" t="n"/>
      <c r="D80" s="33">
        <f>ISODD(D77)</f>
        <v/>
      </c>
      <c r="E80" s="33">
        <f>LEN(A75)</f>
        <v/>
      </c>
      <c r="F80" s="33">
        <f>LEN(E77)+1</f>
        <v/>
      </c>
      <c r="G80" s="33" t="n"/>
      <c r="H80" s="33" t="n"/>
      <c r="I80" s="33" t="n"/>
      <c r="J80" s="33" t="n"/>
      <c r="K80" s="32" t="n"/>
    </row>
    <row r="81" ht="15" customHeight="1" thickBot="1">
      <c r="A81" s="187" t="inlineStr">
        <is>
          <t>DATO 3</t>
        </is>
      </c>
      <c r="B81" s="188" t="n"/>
      <c r="C81" s="188" t="n"/>
      <c r="D81" s="188" t="n"/>
      <c r="E81" s="188" t="n"/>
      <c r="F81" s="188" t="n"/>
      <c r="G81" s="188" t="n"/>
      <c r="H81" s="188" t="n"/>
      <c r="I81" s="188" t="n"/>
      <c r="J81" s="188" t="n"/>
      <c r="K81" s="189" t="n"/>
    </row>
    <row r="82" ht="15" customHeight="1" thickBot="1">
      <c r="A82" s="31" t="inlineStr">
        <is>
          <t>Dato</t>
        </is>
      </c>
      <c r="B82" s="18" t="inlineStr">
        <is>
          <t>Dato redondeado</t>
        </is>
      </c>
      <c r="C82">
        <f>FIXED(A83,6)</f>
        <v/>
      </c>
      <c r="D82">
        <f>RIGHT(C82,1)</f>
        <v/>
      </c>
      <c r="E82">
        <f>D82/1000000</f>
        <v/>
      </c>
      <c r="F82" s="30">
        <f>A83-E82</f>
        <v/>
      </c>
      <c r="H82">
        <f>IF(C87=5,IF(AND(D83=0,D88=FALSE),J85,J86),J86)</f>
        <v/>
      </c>
      <c r="K82" s="27" t="n"/>
    </row>
    <row r="83" ht="18.6" customHeight="1" thickBot="1">
      <c r="A83" s="29">
        <f>INCERTIDUMBRE!L6</f>
        <v/>
      </c>
      <c r="B83" s="28">
        <f>IF(A83&gt;=10,K117,IF(A83&gt;=1,K109,IF(A83&gt;=0.1,K101,IF(A83&gt;=0.01,K93,IF(A83&gt;=0.001,K85)))))</f>
        <v/>
      </c>
      <c r="C83" t="inlineStr">
        <is>
          <t>6 decimal</t>
        </is>
      </c>
      <c r="D83">
        <f>D82+0</f>
        <v/>
      </c>
      <c r="K83" s="27" t="n"/>
    </row>
    <row r="84" hidden="1" ht="28.8" customHeight="1">
      <c r="A84" s="47" t="n"/>
      <c r="B84" s="47" t="n"/>
      <c r="C84" t="inlineStr">
        <is>
          <t>Extrae el ultimo digito</t>
        </is>
      </c>
      <c r="D84" t="inlineStr">
        <is>
          <t>extrael primer digito</t>
        </is>
      </c>
      <c r="E84" t="inlineStr">
        <is>
          <t>parte entera</t>
        </is>
      </c>
      <c r="F84" t="inlineStr">
        <is>
          <t>Parte decimal</t>
        </is>
      </c>
      <c r="G84" s="38" t="inlineStr">
        <is>
          <t>cantidad de decimales</t>
        </is>
      </c>
      <c r="H84" s="38" t="inlineStr">
        <is>
          <t>decimales en enteros</t>
        </is>
      </c>
      <c r="I84" s="38" t="inlineStr">
        <is>
          <t>restar ultimo numero</t>
        </is>
      </c>
      <c r="J84" s="38" t="inlineStr">
        <is>
          <t>Elimar ultimo digito</t>
        </is>
      </c>
      <c r="K84" s="37" t="inlineStr">
        <is>
          <t>Dato Final</t>
        </is>
      </c>
    </row>
    <row r="85" hidden="1" ht="18.6" customHeight="1" thickBot="1">
      <c r="A85" s="46" t="n"/>
      <c r="C85">
        <f>RIGHT(F82,2)</f>
        <v/>
      </c>
      <c r="D85">
        <f>LEFT(C85,1)</f>
        <v/>
      </c>
      <c r="E85" s="30">
        <f>TRUNC(A83)</f>
        <v/>
      </c>
      <c r="F85" s="14">
        <f>FIXED(A83-E85,G85)</f>
        <v/>
      </c>
      <c r="G85">
        <f>ABS(E88-F88)</f>
        <v/>
      </c>
      <c r="H85">
        <f>RIGHT(A83,G85)</f>
        <v/>
      </c>
      <c r="I85" t="n">
        <v>5e-05</v>
      </c>
      <c r="J85" s="14">
        <f>(A83-I85)</f>
        <v/>
      </c>
      <c r="K85" s="45">
        <f>IF(C87=5,IF(AND(D83=0,D88=FALSE),J85,J86),J86)</f>
        <v/>
      </c>
    </row>
    <row r="86" hidden="1">
      <c r="A86" s="31" t="n"/>
      <c r="C86">
        <f>RIGHT(C85,1)</f>
        <v/>
      </c>
      <c r="D86">
        <f>D85+0</f>
        <v/>
      </c>
      <c r="J86">
        <f>FIXED(A83,4)</f>
        <v/>
      </c>
      <c r="K86" s="27" t="n"/>
    </row>
    <row r="87" hidden="1">
      <c r="A87" s="31" t="n"/>
      <c r="C87">
        <f>C86+0</f>
        <v/>
      </c>
      <c r="D87" t="inlineStr">
        <is>
          <t>es impar?</t>
        </is>
      </c>
      <c r="E87" t="inlineStr">
        <is>
          <t>Largo dato original</t>
        </is>
      </c>
      <c r="F87" t="inlineStr">
        <is>
          <t>largo parte enetero y decimal</t>
        </is>
      </c>
      <c r="K87" s="27" t="n"/>
    </row>
    <row r="88" hidden="1">
      <c r="A88" s="31" t="n"/>
      <c r="D88">
        <f>ISODD(D85)</f>
        <v/>
      </c>
      <c r="E88">
        <f>LEN(A83)</f>
        <v/>
      </c>
      <c r="F88">
        <f>LEN(E85)+1</f>
        <v/>
      </c>
      <c r="K88" s="27" t="n"/>
    </row>
    <row r="89" hidden="1">
      <c r="A89" s="31" t="n"/>
      <c r="K89" s="27" t="n"/>
    </row>
    <row r="90" hidden="1">
      <c r="A90" s="190" t="inlineStr">
        <is>
          <t>4 Decimales</t>
        </is>
      </c>
      <c r="K90" s="27" t="n"/>
    </row>
    <row r="91" hidden="1">
      <c r="A91" s="42">
        <f>K85</f>
        <v/>
      </c>
      <c r="C91">
        <f>FIXED(A83,5)</f>
        <v/>
      </c>
      <c r="D91">
        <f>RIGHT(C91,1)</f>
        <v/>
      </c>
      <c r="E91">
        <f>D91+0</f>
        <v/>
      </c>
      <c r="K91" s="27" t="n"/>
    </row>
    <row r="92" hidden="1" ht="28.8" customHeight="1">
      <c r="A92" s="31" t="n"/>
      <c r="C92" t="inlineStr">
        <is>
          <t>Extrae el ultimo digito</t>
        </is>
      </c>
      <c r="D92" t="inlineStr">
        <is>
          <t>extrael primer digito</t>
        </is>
      </c>
      <c r="E92" t="inlineStr">
        <is>
          <t>parte entera</t>
        </is>
      </c>
      <c r="F92" t="inlineStr">
        <is>
          <t>Parte decimal</t>
        </is>
      </c>
      <c r="G92" s="38" t="inlineStr">
        <is>
          <t>cantidad de decimales</t>
        </is>
      </c>
      <c r="H92" s="38" t="inlineStr">
        <is>
          <t>decimales en enteros</t>
        </is>
      </c>
      <c r="I92" s="38" t="inlineStr">
        <is>
          <t>restar ultimo numero</t>
        </is>
      </c>
      <c r="J92" s="38" t="inlineStr">
        <is>
          <t>Elimar ultimo digito</t>
        </is>
      </c>
      <c r="K92" s="37" t="inlineStr">
        <is>
          <t>Dato Final</t>
        </is>
      </c>
    </row>
    <row r="93" hidden="1" ht="18" customHeight="1">
      <c r="A93" s="31" t="n"/>
      <c r="C93">
        <f>RIGHT(A91,2)</f>
        <v/>
      </c>
      <c r="D93">
        <f>LEFT(C93,1)</f>
        <v/>
      </c>
      <c r="E93" s="36">
        <f>TRUNC(A91)</f>
        <v/>
      </c>
      <c r="F93" s="14">
        <f>FIXED(A91-E93,G93)</f>
        <v/>
      </c>
      <c r="G93">
        <f>ABS(E96-F96)</f>
        <v/>
      </c>
      <c r="H93">
        <f>RIGHT(A91,G93)</f>
        <v/>
      </c>
      <c r="I93" t="n">
        <v>0.0005</v>
      </c>
      <c r="J93" s="44">
        <f>(A91-I93)</f>
        <v/>
      </c>
      <c r="K93" s="43">
        <f>IF(C95=5,IF(AND(E91=0,D96=FALSE),J93,J94),J94)</f>
        <v/>
      </c>
    </row>
    <row r="94" hidden="1">
      <c r="A94" s="31" t="n"/>
      <c r="C94">
        <f>RIGHT(C93,1)</f>
        <v/>
      </c>
      <c r="D94">
        <f>D93+0</f>
        <v/>
      </c>
      <c r="J94">
        <f>FIXED(A91,3)</f>
        <v/>
      </c>
      <c r="K94" s="27" t="n"/>
    </row>
    <row r="95" hidden="1">
      <c r="A95" s="31" t="n"/>
      <c r="C95">
        <f>C94+0</f>
        <v/>
      </c>
      <c r="D95" t="inlineStr">
        <is>
          <t>es impar?</t>
        </is>
      </c>
      <c r="E95" t="inlineStr">
        <is>
          <t>Largo dato original</t>
        </is>
      </c>
      <c r="F95" t="inlineStr">
        <is>
          <t>largo parte enetero y decimal</t>
        </is>
      </c>
      <c r="K95" s="27" t="n"/>
    </row>
    <row r="96" hidden="1">
      <c r="A96" s="31" t="n"/>
      <c r="D96">
        <f>ISODD(D93)</f>
        <v/>
      </c>
      <c r="E96">
        <f>LEN(A91)</f>
        <v/>
      </c>
      <c r="F96">
        <f>LEN(E93)+1</f>
        <v/>
      </c>
      <c r="K96" s="27" t="n"/>
    </row>
    <row r="97" hidden="1">
      <c r="A97" s="31" t="n"/>
      <c r="K97" s="27" t="n"/>
    </row>
    <row r="98" hidden="1">
      <c r="A98" s="190" t="inlineStr">
        <is>
          <t>3 Decimales</t>
        </is>
      </c>
      <c r="K98" s="27" t="n"/>
    </row>
    <row r="99" hidden="1">
      <c r="A99" s="42">
        <f>K93</f>
        <v/>
      </c>
      <c r="C99">
        <f>FIXED(A91,4)</f>
        <v/>
      </c>
      <c r="D99">
        <f>RIGHT(C99,1)</f>
        <v/>
      </c>
      <c r="E99">
        <f>D99+0</f>
        <v/>
      </c>
      <c r="K99" s="27" t="n"/>
    </row>
    <row r="100" hidden="1" ht="28.8" customHeight="1">
      <c r="A100" s="31" t="n"/>
      <c r="C100" t="inlineStr">
        <is>
          <t>Extrae el ultimo digito</t>
        </is>
      </c>
      <c r="D100" t="inlineStr">
        <is>
          <t>extrael primer digito</t>
        </is>
      </c>
      <c r="E100" t="inlineStr">
        <is>
          <t>parte entera</t>
        </is>
      </c>
      <c r="F100" t="inlineStr">
        <is>
          <t>Parte decimal</t>
        </is>
      </c>
      <c r="G100" s="38" t="inlineStr">
        <is>
          <t>cantidad de decimales</t>
        </is>
      </c>
      <c r="H100" s="38" t="inlineStr">
        <is>
          <t>decimales en enteros</t>
        </is>
      </c>
      <c r="I100" s="38" t="inlineStr">
        <is>
          <t>restar ultimo numero</t>
        </is>
      </c>
      <c r="J100" s="38" t="inlineStr">
        <is>
          <t>Elimar ultimo digito</t>
        </is>
      </c>
      <c r="K100" s="37" t="inlineStr">
        <is>
          <t>Dato Final</t>
        </is>
      </c>
    </row>
    <row r="101" hidden="1" ht="18" customHeight="1">
      <c r="A101" s="31" t="n"/>
      <c r="C101">
        <f>RIGHT(A99,2)</f>
        <v/>
      </c>
      <c r="D101">
        <f>LEFT(C101,1)</f>
        <v/>
      </c>
      <c r="E101" s="36">
        <f>TRUNC(A99)</f>
        <v/>
      </c>
      <c r="F101" s="14">
        <f>FIXED(A99-E101,G101)</f>
        <v/>
      </c>
      <c r="G101">
        <f>ABS(E104-F104)</f>
        <v/>
      </c>
      <c r="H101">
        <f>RIGHT(A99,G101)</f>
        <v/>
      </c>
      <c r="I101" t="n">
        <v>0.005</v>
      </c>
      <c r="J101" s="2">
        <f>(A99-I101)</f>
        <v/>
      </c>
      <c r="K101" s="41">
        <f>IF(C103=5,IF(AND(E99=0,D104=FALSE),J101,J102),J102)</f>
        <v/>
      </c>
    </row>
    <row r="102" hidden="1" ht="18" customHeight="1">
      <c r="A102" s="31" t="n"/>
      <c r="C102">
        <f>RIGHT(C101,1)</f>
        <v/>
      </c>
      <c r="D102">
        <f>D101+0</f>
        <v/>
      </c>
      <c r="J102">
        <f>FIXED(A99,2)</f>
        <v/>
      </c>
      <c r="K102" s="41" t="n"/>
    </row>
    <row r="103" hidden="1">
      <c r="A103" s="31" t="n"/>
      <c r="C103">
        <f>C102+0</f>
        <v/>
      </c>
      <c r="D103" t="inlineStr">
        <is>
          <t>es impar?</t>
        </is>
      </c>
      <c r="E103" t="inlineStr">
        <is>
          <t>Largo dato original</t>
        </is>
      </c>
      <c r="F103" t="inlineStr">
        <is>
          <t>largo parte enetero y decimal</t>
        </is>
      </c>
      <c r="K103" s="27" t="n"/>
    </row>
    <row r="104" hidden="1">
      <c r="A104" s="31" t="n"/>
      <c r="D104">
        <f>ISODD(D101)</f>
        <v/>
      </c>
      <c r="E104">
        <f>LEN(A99)</f>
        <v/>
      </c>
      <c r="F104">
        <f>LEN(E101)+1</f>
        <v/>
      </c>
      <c r="K104" s="27" t="n"/>
    </row>
    <row r="105" hidden="1">
      <c r="A105" s="31" t="n"/>
      <c r="K105" s="27" t="n"/>
    </row>
    <row r="106" hidden="1">
      <c r="A106" s="190" t="inlineStr">
        <is>
          <t>2 Decimales</t>
        </is>
      </c>
      <c r="K106" s="27" t="n"/>
    </row>
    <row r="107" hidden="1">
      <c r="A107" s="39">
        <f>K101</f>
        <v/>
      </c>
      <c r="C107">
        <f>FIXED(A99,3)</f>
        <v/>
      </c>
      <c r="D107">
        <f>RIGHT(C107,1)</f>
        <v/>
      </c>
      <c r="E107">
        <f>D107+0</f>
        <v/>
      </c>
      <c r="K107" s="27" t="n"/>
    </row>
    <row r="108" hidden="1" ht="28.8" customHeight="1">
      <c r="A108" s="31" t="n"/>
      <c r="C108" t="inlineStr">
        <is>
          <t>Extrae el ultimo digito</t>
        </is>
      </c>
      <c r="D108" t="inlineStr">
        <is>
          <t>extrael primer digito</t>
        </is>
      </c>
      <c r="E108" t="inlineStr">
        <is>
          <t>parte entera</t>
        </is>
      </c>
      <c r="F108" t="inlineStr">
        <is>
          <t>Parte decimal</t>
        </is>
      </c>
      <c r="G108" s="38" t="inlineStr">
        <is>
          <t>cantidad de decimales</t>
        </is>
      </c>
      <c r="H108" s="38" t="inlineStr">
        <is>
          <t>decimales en enteros</t>
        </is>
      </c>
      <c r="I108" s="38" t="inlineStr">
        <is>
          <t>restar ultimo numero</t>
        </is>
      </c>
      <c r="J108" s="38" t="inlineStr">
        <is>
          <t>Elimar ultimo digito</t>
        </is>
      </c>
      <c r="K108" s="37" t="inlineStr">
        <is>
          <t>Dato Final</t>
        </is>
      </c>
    </row>
    <row r="109" hidden="1" ht="18" customHeight="1">
      <c r="A109" s="31" t="n"/>
      <c r="C109">
        <f>RIGHT(A107,2)</f>
        <v/>
      </c>
      <c r="D109">
        <f>LEFT(C109,1)</f>
        <v/>
      </c>
      <c r="E109" s="36">
        <f>TRUNC(A107)</f>
        <v/>
      </c>
      <c r="F109" s="14">
        <f>FIXED(A107-E109,G109)</f>
        <v/>
      </c>
      <c r="G109">
        <f>ABS(E112-F112)</f>
        <v/>
      </c>
      <c r="H109">
        <f>RIGHT(A107,G109)</f>
        <v/>
      </c>
      <c r="I109" t="n">
        <v>0.05</v>
      </c>
      <c r="J109" s="2">
        <f>(A107-I109)</f>
        <v/>
      </c>
      <c r="K109" s="41">
        <f>IF(C111=5,IF(AND(E107=0,D112=FALSE),J109,J110),J110)</f>
        <v/>
      </c>
    </row>
    <row r="110" hidden="1">
      <c r="A110" s="31" t="n"/>
      <c r="C110">
        <f>RIGHT(C109,1)</f>
        <v/>
      </c>
      <c r="D110">
        <f>D109+0</f>
        <v/>
      </c>
      <c r="J110">
        <f>FIXED(A107,1)</f>
        <v/>
      </c>
      <c r="K110" s="40" t="n"/>
    </row>
    <row r="111" hidden="1">
      <c r="A111" s="31" t="n"/>
      <c r="C111">
        <f>C110+0</f>
        <v/>
      </c>
      <c r="D111" t="inlineStr">
        <is>
          <t>es impar?</t>
        </is>
      </c>
      <c r="E111" t="inlineStr">
        <is>
          <t>Largo dato original</t>
        </is>
      </c>
      <c r="F111" t="inlineStr">
        <is>
          <t>largo parte enetero y decimal</t>
        </is>
      </c>
      <c r="K111" s="27" t="n"/>
    </row>
    <row r="112" hidden="1">
      <c r="A112" s="31" t="n"/>
      <c r="D112">
        <f>ISODD(D109)</f>
        <v/>
      </c>
      <c r="E112">
        <f>LEN(A107)</f>
        <v/>
      </c>
      <c r="F112">
        <f>LEN(E109)+1</f>
        <v/>
      </c>
      <c r="K112" s="27" t="n"/>
    </row>
    <row r="113" hidden="1">
      <c r="A113" s="31" t="n"/>
      <c r="K113" s="27" t="n"/>
    </row>
    <row r="114" hidden="1">
      <c r="A114" s="190" t="inlineStr">
        <is>
          <t>1 Decimales</t>
        </is>
      </c>
      <c r="K114" s="27" t="n"/>
    </row>
    <row r="115" hidden="1">
      <c r="A115" s="39">
        <f>K109</f>
        <v/>
      </c>
      <c r="C115">
        <f>FIXED(A107,2)</f>
        <v/>
      </c>
      <c r="D115">
        <f>RIGHT(C115,1)</f>
        <v/>
      </c>
      <c r="E115">
        <f>D115+0</f>
        <v/>
      </c>
      <c r="K115" s="27" t="n"/>
    </row>
    <row r="116" hidden="1" ht="28.8" customHeight="1">
      <c r="A116" s="31" t="n"/>
      <c r="C116" t="inlineStr">
        <is>
          <t>Extrae el ultimo digito</t>
        </is>
      </c>
      <c r="D116" t="inlineStr">
        <is>
          <t>extrael primer digito</t>
        </is>
      </c>
      <c r="E116" t="inlineStr">
        <is>
          <t>parte entera</t>
        </is>
      </c>
      <c r="F116" t="inlineStr">
        <is>
          <t>Parte decimal</t>
        </is>
      </c>
      <c r="G116" s="38" t="inlineStr">
        <is>
          <t>cantidad de decimales</t>
        </is>
      </c>
      <c r="H116" s="38" t="inlineStr">
        <is>
          <t>decimales en enteros</t>
        </is>
      </c>
      <c r="I116" s="38" t="inlineStr">
        <is>
          <t>restar ultimo numero</t>
        </is>
      </c>
      <c r="J116" s="38" t="inlineStr">
        <is>
          <t>Elimar ultimo digito</t>
        </is>
      </c>
      <c r="K116" s="37" t="inlineStr">
        <is>
          <t>Dato Final</t>
        </is>
      </c>
    </row>
    <row r="117" hidden="1" ht="18" customHeight="1">
      <c r="A117" s="31" t="n"/>
      <c r="C117">
        <f>RIGHT(A115,2)</f>
        <v/>
      </c>
      <c r="D117">
        <f>RIGHT(E117,1)</f>
        <v/>
      </c>
      <c r="E117" s="36">
        <f>TRUNC(A115)</f>
        <v/>
      </c>
      <c r="F117" s="14">
        <f>FIXED(A115-E117,G117)</f>
        <v/>
      </c>
      <c r="G117">
        <f>ABS(E120-F120)</f>
        <v/>
      </c>
      <c r="H117">
        <f>RIGHT(A115,G117)</f>
        <v/>
      </c>
      <c r="I117" t="n">
        <v>0.5</v>
      </c>
      <c r="J117" s="12">
        <f>(A115-I117)</f>
        <v/>
      </c>
      <c r="K117" s="35">
        <f>IF(C119=5,IF(AND(E115=0,D120=FALSE),J117,J118),J118)</f>
        <v/>
      </c>
    </row>
    <row r="118" hidden="1">
      <c r="A118" s="31" t="n"/>
      <c r="C118">
        <f>RIGHT(C117,1)</f>
        <v/>
      </c>
      <c r="D118">
        <f>D117+0</f>
        <v/>
      </c>
      <c r="J118">
        <f>FIXED(A115,0)</f>
        <v/>
      </c>
      <c r="K118" s="34" t="n"/>
    </row>
    <row r="119" hidden="1">
      <c r="A119" s="31" t="n"/>
      <c r="C119">
        <f>C118+0</f>
        <v/>
      </c>
      <c r="D119" t="inlineStr">
        <is>
          <t>es impar?</t>
        </is>
      </c>
      <c r="E119" t="inlineStr">
        <is>
          <t>Largo dato original</t>
        </is>
      </c>
      <c r="F119" t="inlineStr">
        <is>
          <t>largo parte enetero y decimal</t>
        </is>
      </c>
      <c r="K119" s="27" t="n"/>
    </row>
    <row r="120" hidden="1" ht="15" customHeight="1" thickBot="1">
      <c r="A120" s="33" t="n"/>
      <c r="B120" s="33" t="n"/>
      <c r="C120" s="33" t="n"/>
      <c r="D120" s="33">
        <f>ISODD(D117)</f>
        <v/>
      </c>
      <c r="E120" s="33">
        <f>LEN(A115)</f>
        <v/>
      </c>
      <c r="F120" s="33">
        <f>LEN(E117)+1</f>
        <v/>
      </c>
      <c r="G120" s="33" t="n"/>
      <c r="H120" s="33" t="n"/>
      <c r="I120" s="33" t="n"/>
      <c r="J120" s="33" t="n"/>
      <c r="K120" s="32" t="n"/>
    </row>
    <row r="121" hidden="1" ht="15" customHeight="1" thickBot="1"/>
    <row r="122" ht="15" customHeight="1" thickBot="1">
      <c r="A122" s="187" t="inlineStr">
        <is>
          <t>DATO 4</t>
        </is>
      </c>
      <c r="B122" s="188" t="n"/>
      <c r="C122" s="188" t="n"/>
      <c r="D122" s="188" t="n"/>
      <c r="E122" s="188" t="n"/>
      <c r="F122" s="188" t="n"/>
      <c r="G122" s="188" t="n"/>
      <c r="H122" s="188" t="n"/>
      <c r="I122" s="188" t="n"/>
      <c r="J122" s="188" t="n"/>
      <c r="K122" s="189" t="n"/>
    </row>
    <row r="123" ht="15" customHeight="1" thickBot="1">
      <c r="A123" s="31" t="inlineStr">
        <is>
          <t>Dato</t>
        </is>
      </c>
      <c r="B123" s="18" t="inlineStr">
        <is>
          <t>Dato redondeado</t>
        </is>
      </c>
      <c r="C123">
        <f>FIXED(A124,6)</f>
        <v/>
      </c>
      <c r="D123">
        <f>RIGHT(C123,1)</f>
        <v/>
      </c>
      <c r="E123">
        <f>D123/1000000</f>
        <v/>
      </c>
      <c r="F123" s="30">
        <f>A124-E123</f>
        <v/>
      </c>
      <c r="H123">
        <f>IF(C128=5,IF(AND(D124=0,D129=FALSE),J126,J127),J127)</f>
        <v/>
      </c>
      <c r="K123" s="27" t="n"/>
    </row>
    <row r="124" ht="18.6" customHeight="1" thickBot="1">
      <c r="A124" s="29">
        <f>INCERTIDUMBRE!L7</f>
        <v/>
      </c>
      <c r="B124" s="28">
        <f>IF(A124&gt;=10,K158,IF(A124&gt;=1,K150,IF(A124&gt;=0.1,K142,IF(A124&gt;=0.01,K134,IF(A124&gt;=0.001,K126)))))</f>
        <v/>
      </c>
      <c r="C124" t="inlineStr">
        <is>
          <t>6 decimal</t>
        </is>
      </c>
      <c r="D124">
        <f>D123+0</f>
        <v/>
      </c>
      <c r="K124" s="27" t="n"/>
    </row>
    <row r="125" hidden="1" ht="28.8" customHeight="1">
      <c r="A125" s="47" t="n"/>
      <c r="B125" s="47" t="n"/>
      <c r="C125" t="inlineStr">
        <is>
          <t>Extrae el ultimo digito</t>
        </is>
      </c>
      <c r="D125" t="inlineStr">
        <is>
          <t>extrael primer digito</t>
        </is>
      </c>
      <c r="E125" t="inlineStr">
        <is>
          <t>parte entera</t>
        </is>
      </c>
      <c r="F125" t="inlineStr">
        <is>
          <t>Parte decimal</t>
        </is>
      </c>
      <c r="G125" s="38" t="inlineStr">
        <is>
          <t>cantidad de decimales</t>
        </is>
      </c>
      <c r="H125" s="38" t="inlineStr">
        <is>
          <t>decimales en enteros</t>
        </is>
      </c>
      <c r="I125" s="38" t="inlineStr">
        <is>
          <t>restar ultimo numero</t>
        </is>
      </c>
      <c r="J125" s="38" t="inlineStr">
        <is>
          <t>Elimar ultimo digito</t>
        </is>
      </c>
      <c r="K125" s="37" t="inlineStr">
        <is>
          <t>Dato Final</t>
        </is>
      </c>
    </row>
    <row r="126" hidden="1" ht="18.6" customHeight="1" thickBot="1">
      <c r="A126" s="46" t="n"/>
      <c r="C126">
        <f>RIGHT(F123,2)</f>
        <v/>
      </c>
      <c r="D126">
        <f>LEFT(C126,1)</f>
        <v/>
      </c>
      <c r="E126" s="30">
        <f>TRUNC(A124)</f>
        <v/>
      </c>
      <c r="F126" s="14">
        <f>FIXED(A124-E126,G126)</f>
        <v/>
      </c>
      <c r="G126">
        <f>ABS(E129-F129)</f>
        <v/>
      </c>
      <c r="H126">
        <f>RIGHT(A124,G126)</f>
        <v/>
      </c>
      <c r="I126" t="n">
        <v>5e-05</v>
      </c>
      <c r="J126" s="14">
        <f>(A124-I126)</f>
        <v/>
      </c>
      <c r="K126" s="45">
        <f>IF(C128=5,IF(AND(D124=0,D129=FALSE),J126,J127),J127)</f>
        <v/>
      </c>
    </row>
    <row r="127" hidden="1">
      <c r="A127" s="31" t="n"/>
      <c r="C127">
        <f>RIGHT(C126,1)</f>
        <v/>
      </c>
      <c r="D127">
        <f>D126+0</f>
        <v/>
      </c>
      <c r="J127">
        <f>FIXED(A124,4)</f>
        <v/>
      </c>
      <c r="K127" s="27" t="n"/>
    </row>
    <row r="128" hidden="1">
      <c r="A128" s="31" t="n"/>
      <c r="C128">
        <f>C127+0</f>
        <v/>
      </c>
      <c r="D128" t="inlineStr">
        <is>
          <t>es impar?</t>
        </is>
      </c>
      <c r="E128" t="inlineStr">
        <is>
          <t>Largo dato original</t>
        </is>
      </c>
      <c r="F128" t="inlineStr">
        <is>
          <t>largo parte enetero y decimal</t>
        </is>
      </c>
      <c r="K128" s="27" t="n"/>
    </row>
    <row r="129" hidden="1">
      <c r="A129" s="31" t="n"/>
      <c r="D129">
        <f>ISODD(D126)</f>
        <v/>
      </c>
      <c r="E129">
        <f>LEN(A124)</f>
        <v/>
      </c>
      <c r="F129">
        <f>LEN(E126)+1</f>
        <v/>
      </c>
      <c r="K129" s="27" t="n"/>
    </row>
    <row r="130" hidden="1">
      <c r="A130" s="31" t="n"/>
      <c r="K130" s="27" t="n"/>
    </row>
    <row r="131" hidden="1">
      <c r="A131" s="190" t="inlineStr">
        <is>
          <t>4 Decimales</t>
        </is>
      </c>
      <c r="K131" s="27" t="n"/>
    </row>
    <row r="132" hidden="1">
      <c r="A132" s="42">
        <f>K126</f>
        <v/>
      </c>
      <c r="C132">
        <f>FIXED(A124,5)</f>
        <v/>
      </c>
      <c r="D132">
        <f>RIGHT(C132,1)</f>
        <v/>
      </c>
      <c r="E132">
        <f>D132+0</f>
        <v/>
      </c>
      <c r="K132" s="27" t="n"/>
    </row>
    <row r="133" hidden="1" ht="28.8" customHeight="1">
      <c r="A133" s="31" t="n"/>
      <c r="C133" t="inlineStr">
        <is>
          <t>Extrae el ultimo digito</t>
        </is>
      </c>
      <c r="D133" t="inlineStr">
        <is>
          <t>extrael primer digito</t>
        </is>
      </c>
      <c r="E133" t="inlineStr">
        <is>
          <t>parte entera</t>
        </is>
      </c>
      <c r="F133" t="inlineStr">
        <is>
          <t>Parte decimal</t>
        </is>
      </c>
      <c r="G133" s="38" t="inlineStr">
        <is>
          <t>cantidad de decimales</t>
        </is>
      </c>
      <c r="H133" s="38" t="inlineStr">
        <is>
          <t>decimales en enteros</t>
        </is>
      </c>
      <c r="I133" s="38" t="inlineStr">
        <is>
          <t>restar ultimo numero</t>
        </is>
      </c>
      <c r="J133" s="38" t="inlineStr">
        <is>
          <t>Elimar ultimo digito</t>
        </is>
      </c>
      <c r="K133" s="37" t="inlineStr">
        <is>
          <t>Dato Final</t>
        </is>
      </c>
    </row>
    <row r="134" hidden="1" ht="18" customHeight="1">
      <c r="A134" s="31" t="n"/>
      <c r="C134">
        <f>RIGHT(A132,2)</f>
        <v/>
      </c>
      <c r="D134">
        <f>LEFT(C134,1)</f>
        <v/>
      </c>
      <c r="E134" s="36">
        <f>TRUNC(A132)</f>
        <v/>
      </c>
      <c r="F134" s="14">
        <f>FIXED(A132-E134,G134)</f>
        <v/>
      </c>
      <c r="G134">
        <f>ABS(E137-F137)</f>
        <v/>
      </c>
      <c r="H134">
        <f>RIGHT(A132,G134)</f>
        <v/>
      </c>
      <c r="I134" t="n">
        <v>0.0005</v>
      </c>
      <c r="J134" s="44">
        <f>(A132-I134)</f>
        <v/>
      </c>
      <c r="K134" s="43">
        <f>IF(C136=5,IF(AND(E132=0,D137=FALSE),J134,J135),J135)</f>
        <v/>
      </c>
    </row>
    <row r="135" hidden="1">
      <c r="A135" s="31" t="n"/>
      <c r="C135">
        <f>RIGHT(C134,1)</f>
        <v/>
      </c>
      <c r="D135">
        <f>D134+0</f>
        <v/>
      </c>
      <c r="J135">
        <f>FIXED(A132,3)</f>
        <v/>
      </c>
      <c r="K135" s="27" t="n"/>
    </row>
    <row r="136" hidden="1">
      <c r="A136" s="31" t="n"/>
      <c r="C136">
        <f>C135+0</f>
        <v/>
      </c>
      <c r="D136" t="inlineStr">
        <is>
          <t>es impar?</t>
        </is>
      </c>
      <c r="E136" t="inlineStr">
        <is>
          <t>Largo dato original</t>
        </is>
      </c>
      <c r="F136" t="inlineStr">
        <is>
          <t>largo parte enetero y decimal</t>
        </is>
      </c>
      <c r="K136" s="27" t="n"/>
    </row>
    <row r="137" hidden="1">
      <c r="A137" s="31" t="n"/>
      <c r="D137">
        <f>ISODD(D134)</f>
        <v/>
      </c>
      <c r="E137">
        <f>LEN(A132)</f>
        <v/>
      </c>
      <c r="F137">
        <f>LEN(E134)+1</f>
        <v/>
      </c>
      <c r="K137" s="27" t="n"/>
    </row>
    <row r="138" hidden="1">
      <c r="A138" s="31" t="n"/>
      <c r="K138" s="27" t="n"/>
    </row>
    <row r="139" hidden="1">
      <c r="A139" s="190" t="inlineStr">
        <is>
          <t>3 Decimales</t>
        </is>
      </c>
      <c r="K139" s="27" t="n"/>
    </row>
    <row r="140" hidden="1">
      <c r="A140" s="42">
        <f>K134</f>
        <v/>
      </c>
      <c r="C140">
        <f>FIXED(A132,4)</f>
        <v/>
      </c>
      <c r="D140">
        <f>RIGHT(C140,1)</f>
        <v/>
      </c>
      <c r="E140">
        <f>D140+0</f>
        <v/>
      </c>
      <c r="K140" s="27" t="n"/>
    </row>
    <row r="141" hidden="1" ht="28.8" customHeight="1">
      <c r="A141" s="31" t="n"/>
      <c r="C141" t="inlineStr">
        <is>
          <t>Extrae el ultimo digito</t>
        </is>
      </c>
      <c r="D141" t="inlineStr">
        <is>
          <t>extrael primer digito</t>
        </is>
      </c>
      <c r="E141" t="inlineStr">
        <is>
          <t>parte entera</t>
        </is>
      </c>
      <c r="F141" t="inlineStr">
        <is>
          <t>Parte decimal</t>
        </is>
      </c>
      <c r="G141" s="38" t="inlineStr">
        <is>
          <t>cantidad de decimales</t>
        </is>
      </c>
      <c r="H141" s="38" t="inlineStr">
        <is>
          <t>decimales en enteros</t>
        </is>
      </c>
      <c r="I141" s="38" t="inlineStr">
        <is>
          <t>restar ultimo numero</t>
        </is>
      </c>
      <c r="J141" s="38" t="inlineStr">
        <is>
          <t>Elimar ultimo digito</t>
        </is>
      </c>
      <c r="K141" s="37" t="inlineStr">
        <is>
          <t>Dato Final</t>
        </is>
      </c>
    </row>
    <row r="142" hidden="1" ht="18" customHeight="1">
      <c r="A142" s="31" t="n"/>
      <c r="C142">
        <f>RIGHT(A140,2)</f>
        <v/>
      </c>
      <c r="D142">
        <f>LEFT(C142,1)</f>
        <v/>
      </c>
      <c r="E142" s="36">
        <f>TRUNC(A140)</f>
        <v/>
      </c>
      <c r="F142" s="14">
        <f>FIXED(A140-E142,G142)</f>
        <v/>
      </c>
      <c r="G142">
        <f>ABS(E145-F145)</f>
        <v/>
      </c>
      <c r="H142">
        <f>RIGHT(A140,G142)</f>
        <v/>
      </c>
      <c r="I142" t="n">
        <v>0.005</v>
      </c>
      <c r="J142" s="2">
        <f>(A140-I142)</f>
        <v/>
      </c>
      <c r="K142" s="41">
        <f>IF(C144=5,IF(AND(E140=0,D145=FALSE),J142,J143),J143)</f>
        <v/>
      </c>
    </row>
    <row r="143" hidden="1" ht="18" customHeight="1">
      <c r="A143" s="31" t="n"/>
      <c r="C143">
        <f>RIGHT(C142,1)</f>
        <v/>
      </c>
      <c r="D143">
        <f>D142+0</f>
        <v/>
      </c>
      <c r="J143">
        <f>FIXED(A140,2)</f>
        <v/>
      </c>
      <c r="K143" s="41" t="n"/>
    </row>
    <row r="144" hidden="1">
      <c r="A144" s="31" t="n"/>
      <c r="C144">
        <f>C143+0</f>
        <v/>
      </c>
      <c r="D144" t="inlineStr">
        <is>
          <t>es impar?</t>
        </is>
      </c>
      <c r="E144" t="inlineStr">
        <is>
          <t>Largo dato original</t>
        </is>
      </c>
      <c r="F144" t="inlineStr">
        <is>
          <t>largo parte enetero y decimal</t>
        </is>
      </c>
      <c r="K144" s="27" t="n"/>
    </row>
    <row r="145" hidden="1">
      <c r="A145" s="31" t="n"/>
      <c r="D145">
        <f>ISODD(D142)</f>
        <v/>
      </c>
      <c r="E145">
        <f>LEN(A140)</f>
        <v/>
      </c>
      <c r="F145">
        <f>LEN(E142)+1</f>
        <v/>
      </c>
      <c r="K145" s="27" t="n"/>
    </row>
    <row r="146" hidden="1">
      <c r="A146" s="31" t="n"/>
      <c r="K146" s="27" t="n"/>
    </row>
    <row r="147" hidden="1">
      <c r="A147" s="190" t="inlineStr">
        <is>
          <t>2 Decimales</t>
        </is>
      </c>
      <c r="K147" s="27" t="n"/>
    </row>
    <row r="148" hidden="1">
      <c r="A148" s="39">
        <f>K142</f>
        <v/>
      </c>
      <c r="C148">
        <f>FIXED(A140,3)</f>
        <v/>
      </c>
      <c r="D148">
        <f>RIGHT(C148,1)</f>
        <v/>
      </c>
      <c r="E148">
        <f>D148+0</f>
        <v/>
      </c>
      <c r="K148" s="27" t="n"/>
    </row>
    <row r="149" hidden="1" ht="28.8" customHeight="1">
      <c r="A149" s="31" t="n"/>
      <c r="C149" t="inlineStr">
        <is>
          <t>Extrae el ultimo digito</t>
        </is>
      </c>
      <c r="D149" t="inlineStr">
        <is>
          <t>extrael primer digito</t>
        </is>
      </c>
      <c r="E149" t="inlineStr">
        <is>
          <t>parte entera</t>
        </is>
      </c>
      <c r="F149" t="inlineStr">
        <is>
          <t>Parte decimal</t>
        </is>
      </c>
      <c r="G149" s="38" t="inlineStr">
        <is>
          <t>cantidad de decimales</t>
        </is>
      </c>
      <c r="H149" s="38" t="inlineStr">
        <is>
          <t>decimales en enteros</t>
        </is>
      </c>
      <c r="I149" s="38" t="inlineStr">
        <is>
          <t>restar ultimo numero</t>
        </is>
      </c>
      <c r="J149" s="38" t="inlineStr">
        <is>
          <t>Elimar ultimo digito</t>
        </is>
      </c>
      <c r="K149" s="37" t="inlineStr">
        <is>
          <t>Dato Final</t>
        </is>
      </c>
    </row>
    <row r="150" hidden="1" ht="18" customHeight="1">
      <c r="A150" s="31" t="n"/>
      <c r="C150">
        <f>RIGHT(A148,2)</f>
        <v/>
      </c>
      <c r="D150">
        <f>LEFT(C150,1)</f>
        <v/>
      </c>
      <c r="E150" s="36">
        <f>TRUNC(A148)</f>
        <v/>
      </c>
      <c r="F150" s="14">
        <f>FIXED(A148-E150,G150)</f>
        <v/>
      </c>
      <c r="G150">
        <f>ABS(E153-F153)</f>
        <v/>
      </c>
      <c r="H150">
        <f>RIGHT(A148,G150)</f>
        <v/>
      </c>
      <c r="I150" t="n">
        <v>0.05</v>
      </c>
      <c r="J150" s="2">
        <f>(A148-I150)</f>
        <v/>
      </c>
      <c r="K150" s="41">
        <f>IF(C152=5,IF(AND(E148=0,D153=FALSE),J150,J151),J151)</f>
        <v/>
      </c>
    </row>
    <row r="151" hidden="1">
      <c r="A151" s="31" t="n"/>
      <c r="C151">
        <f>RIGHT(C150,1)</f>
        <v/>
      </c>
      <c r="D151">
        <f>D150+0</f>
        <v/>
      </c>
      <c r="J151">
        <f>FIXED(A148,1)</f>
        <v/>
      </c>
      <c r="K151" s="40" t="n"/>
    </row>
    <row r="152" hidden="1">
      <c r="A152" s="31" t="n"/>
      <c r="C152">
        <f>C151+0</f>
        <v/>
      </c>
      <c r="D152" t="inlineStr">
        <is>
          <t>es impar?</t>
        </is>
      </c>
      <c r="E152" t="inlineStr">
        <is>
          <t>Largo dato original</t>
        </is>
      </c>
      <c r="F152" t="inlineStr">
        <is>
          <t>largo parte enetero y decimal</t>
        </is>
      </c>
      <c r="K152" s="27" t="n"/>
    </row>
    <row r="153" hidden="1">
      <c r="A153" s="31" t="n"/>
      <c r="D153">
        <f>ISODD(D150)</f>
        <v/>
      </c>
      <c r="E153">
        <f>LEN(A148)</f>
        <v/>
      </c>
      <c r="F153">
        <f>LEN(E150)+1</f>
        <v/>
      </c>
      <c r="K153" s="27" t="n"/>
    </row>
    <row r="154" hidden="1">
      <c r="A154" s="31" t="n"/>
      <c r="K154" s="27" t="n"/>
    </row>
    <row r="155" hidden="1">
      <c r="A155" s="190" t="inlineStr">
        <is>
          <t>1 Decimales</t>
        </is>
      </c>
      <c r="K155" s="27" t="n"/>
    </row>
    <row r="156" hidden="1">
      <c r="A156" s="39">
        <f>K150</f>
        <v/>
      </c>
      <c r="C156">
        <f>FIXED(A148,2)</f>
        <v/>
      </c>
      <c r="D156">
        <f>RIGHT(C156,1)</f>
        <v/>
      </c>
      <c r="E156">
        <f>D156+0</f>
        <v/>
      </c>
      <c r="K156" s="27" t="n"/>
    </row>
    <row r="157" hidden="1" ht="28.8" customHeight="1">
      <c r="A157" s="31" t="n"/>
      <c r="C157" t="inlineStr">
        <is>
          <t>Extrae el ultimo digito</t>
        </is>
      </c>
      <c r="D157" t="inlineStr">
        <is>
          <t>extrael primer digito</t>
        </is>
      </c>
      <c r="E157" t="inlineStr">
        <is>
          <t>parte entera</t>
        </is>
      </c>
      <c r="F157" t="inlineStr">
        <is>
          <t>Parte decimal</t>
        </is>
      </c>
      <c r="G157" s="38" t="inlineStr">
        <is>
          <t>cantidad de decimales</t>
        </is>
      </c>
      <c r="H157" s="38" t="inlineStr">
        <is>
          <t>decimales en enteros</t>
        </is>
      </c>
      <c r="I157" s="38" t="inlineStr">
        <is>
          <t>restar ultimo numero</t>
        </is>
      </c>
      <c r="J157" s="38" t="inlineStr">
        <is>
          <t>Elimar ultimo digito</t>
        </is>
      </c>
      <c r="K157" s="37" t="inlineStr">
        <is>
          <t>Dato Final</t>
        </is>
      </c>
    </row>
    <row r="158" hidden="1" ht="18" customHeight="1">
      <c r="A158" s="31" t="n"/>
      <c r="C158">
        <f>RIGHT(A156,2)</f>
        <v/>
      </c>
      <c r="D158">
        <f>RIGHT(E158,1)</f>
        <v/>
      </c>
      <c r="E158" s="36">
        <f>TRUNC(A156)</f>
        <v/>
      </c>
      <c r="F158" s="14">
        <f>FIXED(A156-E158,G158)</f>
        <v/>
      </c>
      <c r="G158">
        <f>ABS(E161-F161)</f>
        <v/>
      </c>
      <c r="H158">
        <f>RIGHT(A156,G158)</f>
        <v/>
      </c>
      <c r="I158" t="n">
        <v>0.5</v>
      </c>
      <c r="J158" s="12">
        <f>(A156-I158)</f>
        <v/>
      </c>
      <c r="K158" s="35">
        <f>IF(C160=5,IF(AND(E156=0,D161=FALSE),J158,J159),J159)</f>
        <v/>
      </c>
    </row>
    <row r="159" hidden="1">
      <c r="A159" s="31" t="n"/>
      <c r="C159">
        <f>RIGHT(C158,1)</f>
        <v/>
      </c>
      <c r="D159">
        <f>D158+0</f>
        <v/>
      </c>
      <c r="J159">
        <f>FIXED(A156,0)</f>
        <v/>
      </c>
      <c r="K159" s="34" t="n"/>
    </row>
    <row r="160" hidden="1">
      <c r="A160" s="31" t="n"/>
      <c r="C160">
        <f>C159+0</f>
        <v/>
      </c>
      <c r="D160" t="inlineStr">
        <is>
          <t>es impar?</t>
        </is>
      </c>
      <c r="E160" t="inlineStr">
        <is>
          <t>Largo dato original</t>
        </is>
      </c>
      <c r="F160" t="inlineStr">
        <is>
          <t>largo parte enetero y decimal</t>
        </is>
      </c>
      <c r="K160" s="27" t="n"/>
    </row>
    <row r="161" hidden="1" ht="15" customHeight="1" thickBot="1">
      <c r="A161" s="33" t="n"/>
      <c r="B161" s="33" t="n"/>
      <c r="C161" s="33" t="n"/>
      <c r="D161" s="33">
        <f>ISODD(D158)</f>
        <v/>
      </c>
      <c r="E161" s="33">
        <f>LEN(A156)</f>
        <v/>
      </c>
      <c r="F161" s="33">
        <f>LEN(E158)+1</f>
        <v/>
      </c>
      <c r="G161" s="33" t="n"/>
      <c r="H161" s="33" t="n"/>
      <c r="I161" s="33" t="n"/>
      <c r="J161" s="33" t="n"/>
      <c r="K161" s="32" t="n"/>
    </row>
    <row r="162" ht="15" customHeight="1" thickBot="1">
      <c r="A162" s="187" t="inlineStr">
        <is>
          <t>DATO 5</t>
        </is>
      </c>
      <c r="B162" s="188" t="n"/>
      <c r="C162" s="188" t="n"/>
      <c r="D162" s="188" t="n"/>
      <c r="E162" s="188" t="n"/>
      <c r="F162" s="188" t="n"/>
      <c r="G162" s="188" t="n"/>
      <c r="H162" s="188" t="n"/>
      <c r="I162" s="188" t="n"/>
      <c r="J162" s="188" t="n"/>
      <c r="K162" s="189" t="n"/>
    </row>
    <row r="163" ht="15" customHeight="1" thickBot="1">
      <c r="A163" s="31" t="inlineStr">
        <is>
          <t>Dato</t>
        </is>
      </c>
      <c r="C163">
        <f>FIXED(A164,6)</f>
        <v/>
      </c>
      <c r="D163">
        <f>RIGHT(C163,1)</f>
        <v/>
      </c>
      <c r="E163">
        <f>D163/1000000</f>
        <v/>
      </c>
      <c r="F163" s="30">
        <f>A164-E163</f>
        <v/>
      </c>
      <c r="H163">
        <f>IF(C168=5,IF(AND(D164=0,D169=FALSE),J166,J167),J167)</f>
        <v/>
      </c>
      <c r="K163" s="27" t="n"/>
    </row>
    <row r="164" ht="18" customHeight="1">
      <c r="A164" s="29">
        <f>INCERTIDUMBRE!L9</f>
        <v/>
      </c>
      <c r="B164" s="18" t="inlineStr">
        <is>
          <t>Dato redondeado</t>
        </is>
      </c>
      <c r="C164" t="inlineStr">
        <is>
          <t>6 decimal</t>
        </is>
      </c>
      <c r="D164">
        <f>D163+0</f>
        <v/>
      </c>
      <c r="K164" s="27" t="n"/>
    </row>
    <row r="165" ht="29.4" customHeight="1" thickBot="1">
      <c r="A165" s="47" t="n"/>
      <c r="B165" s="48">
        <f>IF(A164&gt;=10,K198,IF(A164&gt;=1,K190,IF(A164&gt;=0.1,K182,IF(A164&gt;=0.01,K174,IF(A164&gt;=0.001,K166)))))</f>
        <v/>
      </c>
      <c r="C165" t="inlineStr">
        <is>
          <t>Extrae el ultimo digito</t>
        </is>
      </c>
      <c r="D165" t="inlineStr">
        <is>
          <t>extrael primer digito</t>
        </is>
      </c>
      <c r="E165" t="inlineStr">
        <is>
          <t>parte entera</t>
        </is>
      </c>
      <c r="F165" t="inlineStr">
        <is>
          <t>Parte decimal</t>
        </is>
      </c>
      <c r="G165" s="38" t="inlineStr">
        <is>
          <t>cantidad de decimales</t>
        </is>
      </c>
      <c r="H165" s="38" t="inlineStr">
        <is>
          <t>decimales en enteros</t>
        </is>
      </c>
      <c r="I165" s="38" t="inlineStr">
        <is>
          <t>restar ultimo numero</t>
        </is>
      </c>
      <c r="J165" s="38" t="inlineStr">
        <is>
          <t>Elimar ultimo digito</t>
        </is>
      </c>
      <c r="K165" s="37" t="inlineStr">
        <is>
          <t>Dato Final</t>
        </is>
      </c>
    </row>
    <row r="166" hidden="1" ht="18.6" customHeight="1" thickBot="1">
      <c r="A166" s="46" t="n"/>
      <c r="C166">
        <f>RIGHT(F163,2)</f>
        <v/>
      </c>
      <c r="D166">
        <f>LEFT(C166,1)</f>
        <v/>
      </c>
      <c r="E166" s="30">
        <f>TRUNC(A164)</f>
        <v/>
      </c>
      <c r="F166" s="14">
        <f>FIXED(A164-E166,G166)</f>
        <v/>
      </c>
      <c r="G166">
        <f>ABS(E169-F169)</f>
        <v/>
      </c>
      <c r="H166">
        <f>RIGHT(A164,G166)</f>
        <v/>
      </c>
      <c r="I166" t="n">
        <v>5e-05</v>
      </c>
      <c r="J166" s="14">
        <f>(A164-I166)</f>
        <v/>
      </c>
      <c r="K166" s="45">
        <f>IF(C168=5,IF(AND(D164=0,D169=FALSE),J166,J167),J167)</f>
        <v/>
      </c>
    </row>
    <row r="167" hidden="1">
      <c r="A167" s="31" t="n"/>
      <c r="C167">
        <f>RIGHT(C166,1)</f>
        <v/>
      </c>
      <c r="D167">
        <f>D166+0</f>
        <v/>
      </c>
      <c r="J167">
        <f>FIXED(A164,4)</f>
        <v/>
      </c>
      <c r="K167" s="27" t="n"/>
    </row>
    <row r="168" hidden="1">
      <c r="A168" s="31" t="n"/>
      <c r="C168">
        <f>C167+0</f>
        <v/>
      </c>
      <c r="D168" t="inlineStr">
        <is>
          <t>es impar?</t>
        </is>
      </c>
      <c r="E168" t="inlineStr">
        <is>
          <t>Largo dato original</t>
        </is>
      </c>
      <c r="F168" t="inlineStr">
        <is>
          <t>largo parte enetero y decimal</t>
        </is>
      </c>
      <c r="K168" s="27" t="n"/>
    </row>
    <row r="169" hidden="1">
      <c r="A169" s="31" t="n"/>
      <c r="D169">
        <f>ISODD(D166)</f>
        <v/>
      </c>
      <c r="E169">
        <f>LEN(A164)</f>
        <v/>
      </c>
      <c r="F169">
        <f>LEN(E166)+1</f>
        <v/>
      </c>
      <c r="K169" s="27" t="n"/>
    </row>
    <row r="170" hidden="1">
      <c r="A170" s="31" t="n"/>
      <c r="K170" s="27" t="n"/>
    </row>
    <row r="171" hidden="1">
      <c r="A171" s="190" t="inlineStr">
        <is>
          <t>4 Decimales</t>
        </is>
      </c>
      <c r="K171" s="27" t="n"/>
    </row>
    <row r="172" hidden="1">
      <c r="A172" s="42">
        <f>K166</f>
        <v/>
      </c>
      <c r="C172">
        <f>FIXED(A164,5)</f>
        <v/>
      </c>
      <c r="D172">
        <f>RIGHT(C172,1)</f>
        <v/>
      </c>
      <c r="E172">
        <f>D172+0</f>
        <v/>
      </c>
      <c r="K172" s="27" t="n"/>
    </row>
    <row r="173" hidden="1" ht="28.8" customHeight="1">
      <c r="A173" s="31" t="n"/>
      <c r="C173" t="inlineStr">
        <is>
          <t>Extrae el ultimo digito</t>
        </is>
      </c>
      <c r="D173" t="inlineStr">
        <is>
          <t>extrael primer digito</t>
        </is>
      </c>
      <c r="E173" t="inlineStr">
        <is>
          <t>parte entera</t>
        </is>
      </c>
      <c r="F173" t="inlineStr">
        <is>
          <t>Parte decimal</t>
        </is>
      </c>
      <c r="G173" s="38" t="inlineStr">
        <is>
          <t>cantidad de decimales</t>
        </is>
      </c>
      <c r="H173" s="38" t="inlineStr">
        <is>
          <t>decimales en enteros</t>
        </is>
      </c>
      <c r="I173" s="38" t="inlineStr">
        <is>
          <t>restar ultimo numero</t>
        </is>
      </c>
      <c r="J173" s="38" t="inlineStr">
        <is>
          <t>Elimar ultimo digito</t>
        </is>
      </c>
      <c r="K173" s="37" t="inlineStr">
        <is>
          <t>Dato Final</t>
        </is>
      </c>
    </row>
    <row r="174" hidden="1" ht="18" customHeight="1">
      <c r="A174" s="31" t="n"/>
      <c r="C174">
        <f>RIGHT(A172,2)</f>
        <v/>
      </c>
      <c r="D174">
        <f>LEFT(C174,1)</f>
        <v/>
      </c>
      <c r="E174" s="36">
        <f>TRUNC(A172)</f>
        <v/>
      </c>
      <c r="F174" s="14">
        <f>FIXED(A172-E174,G174)</f>
        <v/>
      </c>
      <c r="G174">
        <f>ABS(E177-F177)</f>
        <v/>
      </c>
      <c r="H174">
        <f>RIGHT(A172,G174)</f>
        <v/>
      </c>
      <c r="I174" t="n">
        <v>0.0005</v>
      </c>
      <c r="J174" s="44">
        <f>(A172-I174)</f>
        <v/>
      </c>
      <c r="K174" s="43">
        <f>IF(C176=5,IF(AND(E172=0,D177=FALSE),J174,J175),J175)</f>
        <v/>
      </c>
    </row>
    <row r="175" hidden="1">
      <c r="A175" s="31" t="n"/>
      <c r="C175">
        <f>RIGHT(C174,1)</f>
        <v/>
      </c>
      <c r="D175">
        <f>D174+0</f>
        <v/>
      </c>
      <c r="J175">
        <f>FIXED(A172,3)</f>
        <v/>
      </c>
      <c r="K175" s="27" t="n"/>
    </row>
    <row r="176" hidden="1">
      <c r="A176" s="31" t="n"/>
      <c r="C176">
        <f>C175+0</f>
        <v/>
      </c>
      <c r="D176" t="inlineStr">
        <is>
          <t>es impar?</t>
        </is>
      </c>
      <c r="E176" t="inlineStr">
        <is>
          <t>Largo dato original</t>
        </is>
      </c>
      <c r="F176" t="inlineStr">
        <is>
          <t>largo parte enetero y decimal</t>
        </is>
      </c>
      <c r="K176" s="27" t="n"/>
    </row>
    <row r="177" hidden="1">
      <c r="A177" s="31" t="n"/>
      <c r="D177">
        <f>ISODD(D174)</f>
        <v/>
      </c>
      <c r="E177">
        <f>LEN(A172)</f>
        <v/>
      </c>
      <c r="F177">
        <f>LEN(E174)+1</f>
        <v/>
      </c>
      <c r="K177" s="27" t="n"/>
    </row>
    <row r="178" hidden="1">
      <c r="A178" s="31" t="n"/>
      <c r="K178" s="27" t="n"/>
    </row>
    <row r="179" hidden="1">
      <c r="A179" s="190" t="inlineStr">
        <is>
          <t>3 Decimales</t>
        </is>
      </c>
      <c r="K179" s="27" t="n"/>
    </row>
    <row r="180" hidden="1">
      <c r="A180" s="42">
        <f>K174</f>
        <v/>
      </c>
      <c r="C180">
        <f>FIXED(A172,4)</f>
        <v/>
      </c>
      <c r="D180">
        <f>RIGHT(C180,1)</f>
        <v/>
      </c>
      <c r="E180">
        <f>D180+0</f>
        <v/>
      </c>
      <c r="K180" s="27" t="n"/>
    </row>
    <row r="181" hidden="1" ht="28.8" customHeight="1">
      <c r="A181" s="31" t="n"/>
      <c r="C181" t="inlineStr">
        <is>
          <t>Extrae el ultimo digito</t>
        </is>
      </c>
      <c r="D181" t="inlineStr">
        <is>
          <t>extrael primer digito</t>
        </is>
      </c>
      <c r="E181" t="inlineStr">
        <is>
          <t>parte entera</t>
        </is>
      </c>
      <c r="F181" t="inlineStr">
        <is>
          <t>Parte decimal</t>
        </is>
      </c>
      <c r="G181" s="38" t="inlineStr">
        <is>
          <t>cantidad de decimales</t>
        </is>
      </c>
      <c r="H181" s="38" t="inlineStr">
        <is>
          <t>decimales en enteros</t>
        </is>
      </c>
      <c r="I181" s="38" t="inlineStr">
        <is>
          <t>restar ultimo numero</t>
        </is>
      </c>
      <c r="J181" s="38" t="inlineStr">
        <is>
          <t>Elimar ultimo digito</t>
        </is>
      </c>
      <c r="K181" s="37" t="inlineStr">
        <is>
          <t>Dato Final</t>
        </is>
      </c>
    </row>
    <row r="182" hidden="1" ht="18" customHeight="1">
      <c r="A182" s="31" t="n"/>
      <c r="C182">
        <f>RIGHT(A180,2)</f>
        <v/>
      </c>
      <c r="D182">
        <f>LEFT(C182,1)</f>
        <v/>
      </c>
      <c r="E182" s="36">
        <f>TRUNC(A180)</f>
        <v/>
      </c>
      <c r="F182" s="14">
        <f>FIXED(A180-E182,G182)</f>
        <v/>
      </c>
      <c r="G182">
        <f>ABS(E185-F185)</f>
        <v/>
      </c>
      <c r="H182">
        <f>RIGHT(A180,G182)</f>
        <v/>
      </c>
      <c r="I182" t="n">
        <v>0.005</v>
      </c>
      <c r="J182" s="2">
        <f>(A180-I182)</f>
        <v/>
      </c>
      <c r="K182" s="41">
        <f>IF(C184=5,IF(AND(E180=0,D185=FALSE),J182,J183),J183)</f>
        <v/>
      </c>
    </row>
    <row r="183" hidden="1" ht="18" customHeight="1">
      <c r="A183" s="31" t="n"/>
      <c r="C183">
        <f>RIGHT(C182,1)</f>
        <v/>
      </c>
      <c r="D183">
        <f>D182+0</f>
        <v/>
      </c>
      <c r="J183">
        <f>FIXED(A180,2)</f>
        <v/>
      </c>
      <c r="K183" s="41" t="n"/>
    </row>
    <row r="184" hidden="1">
      <c r="A184" s="31" t="n"/>
      <c r="C184">
        <f>C183+0</f>
        <v/>
      </c>
      <c r="D184" t="inlineStr">
        <is>
          <t>es impar?</t>
        </is>
      </c>
      <c r="E184" t="inlineStr">
        <is>
          <t>Largo dato original</t>
        </is>
      </c>
      <c r="F184" t="inlineStr">
        <is>
          <t>largo parte enetero y decimal</t>
        </is>
      </c>
      <c r="K184" s="27" t="n"/>
    </row>
    <row r="185" hidden="1">
      <c r="A185" s="31" t="n"/>
      <c r="D185">
        <f>ISODD(D182)</f>
        <v/>
      </c>
      <c r="E185">
        <f>LEN(A180)</f>
        <v/>
      </c>
      <c r="F185">
        <f>LEN(E182)+1</f>
        <v/>
      </c>
      <c r="K185" s="27" t="n"/>
    </row>
    <row r="186" hidden="1">
      <c r="A186" s="31" t="n"/>
      <c r="K186" s="27" t="n"/>
    </row>
    <row r="187" hidden="1">
      <c r="A187" s="190" t="inlineStr">
        <is>
          <t>2 Decimales</t>
        </is>
      </c>
      <c r="K187" s="27" t="n"/>
    </row>
    <row r="188" hidden="1">
      <c r="A188" s="39">
        <f>K182</f>
        <v/>
      </c>
      <c r="C188">
        <f>FIXED(A180,3)</f>
        <v/>
      </c>
      <c r="D188">
        <f>RIGHT(C188,1)</f>
        <v/>
      </c>
      <c r="E188">
        <f>D188+0</f>
        <v/>
      </c>
      <c r="K188" s="27" t="n"/>
    </row>
    <row r="189" hidden="1" ht="28.8" customHeight="1">
      <c r="A189" s="31" t="n"/>
      <c r="C189" t="inlineStr">
        <is>
          <t>Extrae el ultimo digito</t>
        </is>
      </c>
      <c r="D189" t="inlineStr">
        <is>
          <t>extrael primer digito</t>
        </is>
      </c>
      <c r="E189" t="inlineStr">
        <is>
          <t>parte entera</t>
        </is>
      </c>
      <c r="F189" t="inlineStr">
        <is>
          <t>Parte decimal</t>
        </is>
      </c>
      <c r="G189" s="38" t="inlineStr">
        <is>
          <t>cantidad de decimales</t>
        </is>
      </c>
      <c r="H189" s="38" t="inlineStr">
        <is>
          <t>decimales en enteros</t>
        </is>
      </c>
      <c r="I189" s="38" t="inlineStr">
        <is>
          <t>restar ultimo numero</t>
        </is>
      </c>
      <c r="J189" s="38" t="inlineStr">
        <is>
          <t>Elimar ultimo digito</t>
        </is>
      </c>
      <c r="K189" s="37" t="inlineStr">
        <is>
          <t>Dato Final</t>
        </is>
      </c>
    </row>
    <row r="190" hidden="1" ht="18" customHeight="1">
      <c r="A190" s="31" t="n"/>
      <c r="C190">
        <f>RIGHT(A188,2)</f>
        <v/>
      </c>
      <c r="D190">
        <f>LEFT(C190,1)</f>
        <v/>
      </c>
      <c r="E190" s="36">
        <f>TRUNC(A188)</f>
        <v/>
      </c>
      <c r="F190" s="14">
        <f>FIXED(A188-E190,G190)</f>
        <v/>
      </c>
      <c r="G190">
        <f>ABS(E193-F193)</f>
        <v/>
      </c>
      <c r="H190">
        <f>RIGHT(A188,G190)</f>
        <v/>
      </c>
      <c r="I190" t="n">
        <v>0.05</v>
      </c>
      <c r="J190" s="2">
        <f>(A188-I190)</f>
        <v/>
      </c>
      <c r="K190" s="41">
        <f>IF(C192=5,IF(AND(E188=0,D193=FALSE),J190,J191),J191)</f>
        <v/>
      </c>
    </row>
    <row r="191" hidden="1">
      <c r="A191" s="31" t="n"/>
      <c r="C191">
        <f>RIGHT(C190,1)</f>
        <v/>
      </c>
      <c r="D191">
        <f>D190+0</f>
        <v/>
      </c>
      <c r="J191">
        <f>FIXED(A188,1)</f>
        <v/>
      </c>
      <c r="K191" s="40" t="n"/>
    </row>
    <row r="192" hidden="1">
      <c r="A192" s="31" t="n"/>
      <c r="C192">
        <f>C191+0</f>
        <v/>
      </c>
      <c r="D192" t="inlineStr">
        <is>
          <t>es impar?</t>
        </is>
      </c>
      <c r="E192" t="inlineStr">
        <is>
          <t>Largo dato original</t>
        </is>
      </c>
      <c r="F192" t="inlineStr">
        <is>
          <t>largo parte enetero y decimal</t>
        </is>
      </c>
      <c r="K192" s="27" t="n"/>
    </row>
    <row r="193" hidden="1">
      <c r="A193" s="31" t="n"/>
      <c r="D193">
        <f>ISODD(D190)</f>
        <v/>
      </c>
      <c r="E193">
        <f>LEN(A188)</f>
        <v/>
      </c>
      <c r="F193">
        <f>LEN(E190)+1</f>
        <v/>
      </c>
      <c r="K193" s="27" t="n"/>
    </row>
    <row r="194" hidden="1">
      <c r="A194" s="31" t="n"/>
      <c r="K194" s="27" t="n"/>
    </row>
    <row r="195" hidden="1">
      <c r="A195" s="190" t="inlineStr">
        <is>
          <t>1 Decimales</t>
        </is>
      </c>
      <c r="K195" s="27" t="n"/>
    </row>
    <row r="196" hidden="1">
      <c r="A196" s="39">
        <f>K190</f>
        <v/>
      </c>
      <c r="C196">
        <f>FIXED(A188,2)</f>
        <v/>
      </c>
      <c r="D196">
        <f>RIGHT(C196,1)</f>
        <v/>
      </c>
      <c r="E196">
        <f>D196+0</f>
        <v/>
      </c>
      <c r="K196" s="27" t="n"/>
    </row>
    <row r="197" hidden="1" ht="28.8" customHeight="1">
      <c r="A197" s="31" t="n"/>
      <c r="C197" t="inlineStr">
        <is>
          <t>Extrae el ultimo digito</t>
        </is>
      </c>
      <c r="D197" t="inlineStr">
        <is>
          <t>extrael primer digito</t>
        </is>
      </c>
      <c r="E197" t="inlineStr">
        <is>
          <t>parte entera</t>
        </is>
      </c>
      <c r="F197" t="inlineStr">
        <is>
          <t>Parte decimal</t>
        </is>
      </c>
      <c r="G197" s="38" t="inlineStr">
        <is>
          <t>cantidad de decimales</t>
        </is>
      </c>
      <c r="H197" s="38" t="inlineStr">
        <is>
          <t>decimales en enteros</t>
        </is>
      </c>
      <c r="I197" s="38" t="inlineStr">
        <is>
          <t>restar ultimo numero</t>
        </is>
      </c>
      <c r="J197" s="38" t="inlineStr">
        <is>
          <t>Elimar ultimo digito</t>
        </is>
      </c>
      <c r="K197" s="37" t="inlineStr">
        <is>
          <t>Dato Final</t>
        </is>
      </c>
    </row>
    <row r="198" hidden="1" ht="18" customHeight="1">
      <c r="A198" s="31" t="n"/>
      <c r="C198">
        <f>RIGHT(A196,2)</f>
        <v/>
      </c>
      <c r="D198">
        <f>RIGHT(E198,1)</f>
        <v/>
      </c>
      <c r="E198" s="36">
        <f>TRUNC(A196)</f>
        <v/>
      </c>
      <c r="F198" s="14">
        <f>FIXED(A196-E198,G198)</f>
        <v/>
      </c>
      <c r="G198">
        <f>ABS(E201-F201)</f>
        <v/>
      </c>
      <c r="H198">
        <f>RIGHT(A196,G198)</f>
        <v/>
      </c>
      <c r="I198" t="n">
        <v>0.5</v>
      </c>
      <c r="J198" s="12">
        <f>(A196-I198)</f>
        <v/>
      </c>
      <c r="K198" s="35">
        <f>IF(C200=5,IF(AND(E196=0,D201=FALSE),J198,J199),J199)</f>
        <v/>
      </c>
    </row>
    <row r="199" hidden="1">
      <c r="A199" s="31" t="n"/>
      <c r="C199">
        <f>RIGHT(C198,1)</f>
        <v/>
      </c>
      <c r="D199">
        <f>D198+0</f>
        <v/>
      </c>
      <c r="J199">
        <f>FIXED(A196,0)</f>
        <v/>
      </c>
      <c r="K199" s="34" t="n"/>
    </row>
    <row r="200" hidden="1">
      <c r="A200" s="31" t="n"/>
      <c r="C200">
        <f>C199+0</f>
        <v/>
      </c>
      <c r="D200" t="inlineStr">
        <is>
          <t>es impar?</t>
        </is>
      </c>
      <c r="E200" t="inlineStr">
        <is>
          <t>Largo dato original</t>
        </is>
      </c>
      <c r="F200" t="inlineStr">
        <is>
          <t>largo parte enetero y decimal</t>
        </is>
      </c>
      <c r="K200" s="27" t="n"/>
    </row>
    <row r="201" hidden="1" ht="15" customHeight="1" thickBot="1">
      <c r="A201" s="33" t="n"/>
      <c r="B201" s="33" t="n"/>
      <c r="C201" s="33" t="n"/>
      <c r="D201" s="33">
        <f>ISODD(D198)</f>
        <v/>
      </c>
      <c r="E201" s="33">
        <f>LEN(A196)</f>
        <v/>
      </c>
      <c r="F201" s="33">
        <f>LEN(E198)+1</f>
        <v/>
      </c>
      <c r="G201" s="33" t="n"/>
      <c r="H201" s="33" t="n"/>
      <c r="I201" s="33" t="n"/>
      <c r="J201" s="33" t="n"/>
      <c r="K201" s="32" t="n"/>
    </row>
    <row r="202" ht="15" customHeight="1" thickBot="1">
      <c r="A202" s="187" t="inlineStr">
        <is>
          <t>DATO 5</t>
        </is>
      </c>
      <c r="B202" s="188" t="n"/>
      <c r="C202" s="188" t="n"/>
      <c r="D202" s="188" t="n"/>
      <c r="E202" s="188" t="n"/>
      <c r="F202" s="188" t="n"/>
      <c r="G202" s="188" t="n"/>
      <c r="H202" s="188" t="n"/>
      <c r="I202" s="188" t="n"/>
      <c r="J202" s="188" t="n"/>
      <c r="K202" s="189" t="n"/>
    </row>
    <row r="203" ht="15" customHeight="1" thickBot="1">
      <c r="A203" s="31" t="inlineStr">
        <is>
          <t>Dato</t>
        </is>
      </c>
      <c r="B203" s="18" t="inlineStr">
        <is>
          <t>Dato redondeado</t>
        </is>
      </c>
      <c r="C203">
        <f>FIXED(A204,6)</f>
        <v/>
      </c>
      <c r="D203">
        <f>RIGHT(C203,1)</f>
        <v/>
      </c>
      <c r="E203">
        <f>D203/1000000</f>
        <v/>
      </c>
      <c r="F203" s="30">
        <f>A204-E203</f>
        <v/>
      </c>
      <c r="H203">
        <f>IF(C208=5,IF(AND(D204=0,D209=FALSE),J206,J207),J207)</f>
        <v/>
      </c>
      <c r="K203" s="27" t="n"/>
    </row>
    <row r="204" ht="18.6" customHeight="1" thickBot="1">
      <c r="A204" s="29">
        <f>INCERTIDUMBRE!L10</f>
        <v/>
      </c>
      <c r="B204" s="28">
        <f>IF(A204&gt;=10,K238,IF(A204&gt;=1,K230,IF(A204&gt;=0.1,K222,IF(A204&gt;=0.01,K214,IF(A204&gt;=0.001,K206)))))</f>
        <v/>
      </c>
      <c r="C204" t="inlineStr">
        <is>
          <t>6 decimal</t>
        </is>
      </c>
      <c r="D204">
        <f>D203+0</f>
        <v/>
      </c>
      <c r="K204" s="27" t="n"/>
    </row>
    <row r="205" hidden="1" ht="28.8" customHeight="1">
      <c r="A205" s="47" t="n"/>
      <c r="B205" s="47" t="n"/>
      <c r="C205" t="inlineStr">
        <is>
          <t>Extrae el ultimo digito</t>
        </is>
      </c>
      <c r="D205" t="inlineStr">
        <is>
          <t>extrael primer digito</t>
        </is>
      </c>
      <c r="E205" t="inlineStr">
        <is>
          <t>parte entera</t>
        </is>
      </c>
      <c r="F205" t="inlineStr">
        <is>
          <t>Parte decimal</t>
        </is>
      </c>
      <c r="G205" s="38" t="inlineStr">
        <is>
          <t>cantidad de decimales</t>
        </is>
      </c>
      <c r="H205" s="38" t="inlineStr">
        <is>
          <t>decimales en enteros</t>
        </is>
      </c>
      <c r="I205" s="38" t="inlineStr">
        <is>
          <t>restar ultimo numero</t>
        </is>
      </c>
      <c r="J205" s="38" t="inlineStr">
        <is>
          <t>Elimar ultimo digito</t>
        </is>
      </c>
      <c r="K205" s="37" t="inlineStr">
        <is>
          <t>Dato Final</t>
        </is>
      </c>
    </row>
    <row r="206" hidden="1" ht="18.6" customHeight="1" thickBot="1">
      <c r="A206" s="46" t="n"/>
      <c r="C206">
        <f>RIGHT(F203,2)</f>
        <v/>
      </c>
      <c r="D206">
        <f>LEFT(C206,1)</f>
        <v/>
      </c>
      <c r="E206" s="30">
        <f>TRUNC(A204)</f>
        <v/>
      </c>
      <c r="F206" s="14">
        <f>FIXED(A204-E206,G206)</f>
        <v/>
      </c>
      <c r="G206">
        <f>ABS(E209-F209)</f>
        <v/>
      </c>
      <c r="H206">
        <f>RIGHT(A204,G206)</f>
        <v/>
      </c>
      <c r="I206" t="n">
        <v>5e-05</v>
      </c>
      <c r="J206" s="14">
        <f>(A204-I206)</f>
        <v/>
      </c>
      <c r="K206" s="45">
        <f>IF(C208=5,IF(AND(D204=0,D209=FALSE),J206,J207),J207)</f>
        <v/>
      </c>
    </row>
    <row r="207" hidden="1">
      <c r="A207" s="31" t="n"/>
      <c r="C207">
        <f>RIGHT(C206,1)</f>
        <v/>
      </c>
      <c r="D207">
        <f>D206+0</f>
        <v/>
      </c>
      <c r="J207">
        <f>FIXED(A204,4)</f>
        <v/>
      </c>
      <c r="K207" s="27" t="n"/>
    </row>
    <row r="208" hidden="1">
      <c r="A208" s="31" t="n"/>
      <c r="C208">
        <f>C207+0</f>
        <v/>
      </c>
      <c r="D208" t="inlineStr">
        <is>
          <t>es impar?</t>
        </is>
      </c>
      <c r="E208" t="inlineStr">
        <is>
          <t>Largo dato original</t>
        </is>
      </c>
      <c r="F208" t="inlineStr">
        <is>
          <t>largo parte enetero y decimal</t>
        </is>
      </c>
      <c r="K208" s="27" t="n"/>
    </row>
    <row r="209" hidden="1">
      <c r="A209" s="31" t="n"/>
      <c r="D209">
        <f>ISODD(D206)</f>
        <v/>
      </c>
      <c r="E209">
        <f>LEN(A204)</f>
        <v/>
      </c>
      <c r="F209">
        <f>LEN(E206)+1</f>
        <v/>
      </c>
      <c r="K209" s="27" t="n"/>
    </row>
    <row r="210" hidden="1">
      <c r="A210" s="31" t="n"/>
      <c r="K210" s="27" t="n"/>
    </row>
    <row r="211" hidden="1">
      <c r="A211" s="190" t="inlineStr">
        <is>
          <t>4 Decimales</t>
        </is>
      </c>
      <c r="K211" s="27" t="n"/>
    </row>
    <row r="212" hidden="1">
      <c r="A212" s="42">
        <f>K206</f>
        <v/>
      </c>
      <c r="C212">
        <f>FIXED(A204,5)</f>
        <v/>
      </c>
      <c r="D212">
        <f>RIGHT(C212,1)</f>
        <v/>
      </c>
      <c r="E212">
        <f>D212+0</f>
        <v/>
      </c>
      <c r="K212" s="27" t="n"/>
    </row>
    <row r="213" hidden="1" ht="28.8" customHeight="1">
      <c r="A213" s="31" t="n"/>
      <c r="C213" t="inlineStr">
        <is>
          <t>Extrae el ultimo digito</t>
        </is>
      </c>
      <c r="D213" t="inlineStr">
        <is>
          <t>extrael primer digito</t>
        </is>
      </c>
      <c r="E213" t="inlineStr">
        <is>
          <t>parte entera</t>
        </is>
      </c>
      <c r="F213" t="inlineStr">
        <is>
          <t>Parte decimal</t>
        </is>
      </c>
      <c r="G213" s="38" t="inlineStr">
        <is>
          <t>cantidad de decimales</t>
        </is>
      </c>
      <c r="H213" s="38" t="inlineStr">
        <is>
          <t>decimales en enteros</t>
        </is>
      </c>
      <c r="I213" s="38" t="inlineStr">
        <is>
          <t>restar ultimo numero</t>
        </is>
      </c>
      <c r="J213" s="38" t="inlineStr">
        <is>
          <t>Elimar ultimo digito</t>
        </is>
      </c>
      <c r="K213" s="37" t="inlineStr">
        <is>
          <t>Dato Final</t>
        </is>
      </c>
    </row>
    <row r="214" hidden="1" ht="18" customHeight="1">
      <c r="A214" s="31" t="n"/>
      <c r="C214">
        <f>RIGHT(A212,2)</f>
        <v/>
      </c>
      <c r="D214">
        <f>LEFT(C214,1)</f>
        <v/>
      </c>
      <c r="E214" s="36">
        <f>TRUNC(A212)</f>
        <v/>
      </c>
      <c r="F214" s="14">
        <f>FIXED(A212-E214,G214)</f>
        <v/>
      </c>
      <c r="G214">
        <f>ABS(E217-F217)</f>
        <v/>
      </c>
      <c r="H214">
        <f>RIGHT(A212,G214)</f>
        <v/>
      </c>
      <c r="I214" t="n">
        <v>0.0005</v>
      </c>
      <c r="J214" s="44">
        <f>(A212-I214)</f>
        <v/>
      </c>
      <c r="K214" s="43">
        <f>IF(C216=5,IF(AND(E212=0,D217=FALSE),J214,J215),J215)</f>
        <v/>
      </c>
    </row>
    <row r="215" hidden="1">
      <c r="A215" s="31" t="n"/>
      <c r="C215">
        <f>RIGHT(C214,1)</f>
        <v/>
      </c>
      <c r="D215">
        <f>D214+0</f>
        <v/>
      </c>
      <c r="J215">
        <f>FIXED(A212,3)</f>
        <v/>
      </c>
      <c r="K215" s="27" t="n"/>
    </row>
    <row r="216" hidden="1">
      <c r="A216" s="31" t="n"/>
      <c r="C216">
        <f>C215+0</f>
        <v/>
      </c>
      <c r="D216" t="inlineStr">
        <is>
          <t>es impar?</t>
        </is>
      </c>
      <c r="E216" t="inlineStr">
        <is>
          <t>Largo dato original</t>
        </is>
      </c>
      <c r="F216" t="inlineStr">
        <is>
          <t>largo parte enetero y decimal</t>
        </is>
      </c>
      <c r="K216" s="27" t="n"/>
    </row>
    <row r="217" hidden="1">
      <c r="A217" s="31" t="n"/>
      <c r="D217">
        <f>ISODD(D214)</f>
        <v/>
      </c>
      <c r="E217">
        <f>LEN(A212)</f>
        <v/>
      </c>
      <c r="F217">
        <f>LEN(E214)+1</f>
        <v/>
      </c>
      <c r="K217" s="27" t="n"/>
    </row>
    <row r="218" hidden="1">
      <c r="A218" s="31" t="n"/>
      <c r="K218" s="27" t="n"/>
    </row>
    <row r="219" hidden="1">
      <c r="A219" s="190" t="inlineStr">
        <is>
          <t>3 Decimales</t>
        </is>
      </c>
      <c r="K219" s="27" t="n"/>
    </row>
    <row r="220" hidden="1">
      <c r="A220" s="42">
        <f>K214</f>
        <v/>
      </c>
      <c r="C220">
        <f>FIXED(A212,4)</f>
        <v/>
      </c>
      <c r="D220">
        <f>RIGHT(C220,1)</f>
        <v/>
      </c>
      <c r="E220">
        <f>D220+0</f>
        <v/>
      </c>
      <c r="K220" s="27" t="n"/>
    </row>
    <row r="221" hidden="1" ht="28.8" customHeight="1">
      <c r="A221" s="31" t="n"/>
      <c r="C221" t="inlineStr">
        <is>
          <t>Extrae el ultimo digito</t>
        </is>
      </c>
      <c r="D221" t="inlineStr">
        <is>
          <t>extrael primer digito</t>
        </is>
      </c>
      <c r="E221" t="inlineStr">
        <is>
          <t>parte entera</t>
        </is>
      </c>
      <c r="F221" t="inlineStr">
        <is>
          <t>Parte decimal</t>
        </is>
      </c>
      <c r="G221" s="38" t="inlineStr">
        <is>
          <t>cantidad de decimales</t>
        </is>
      </c>
      <c r="H221" s="38" t="inlineStr">
        <is>
          <t>decimales en enteros</t>
        </is>
      </c>
      <c r="I221" s="38" t="inlineStr">
        <is>
          <t>restar ultimo numero</t>
        </is>
      </c>
      <c r="J221" s="38" t="inlineStr">
        <is>
          <t>Elimar ultimo digito</t>
        </is>
      </c>
      <c r="K221" s="37" t="inlineStr">
        <is>
          <t>Dato Final</t>
        </is>
      </c>
    </row>
    <row r="222" hidden="1" ht="18" customHeight="1">
      <c r="A222" s="31" t="n"/>
      <c r="C222">
        <f>RIGHT(A220,2)</f>
        <v/>
      </c>
      <c r="D222">
        <f>LEFT(C222,1)</f>
        <v/>
      </c>
      <c r="E222" s="36">
        <f>TRUNC(A220)</f>
        <v/>
      </c>
      <c r="F222" s="14">
        <f>FIXED(A220-E222,G222)</f>
        <v/>
      </c>
      <c r="G222">
        <f>ABS(E225-F225)</f>
        <v/>
      </c>
      <c r="H222">
        <f>RIGHT(A220,G222)</f>
        <v/>
      </c>
      <c r="I222" t="n">
        <v>0.005</v>
      </c>
      <c r="J222" s="2">
        <f>(A220-I222)</f>
        <v/>
      </c>
      <c r="K222" s="41">
        <f>IF(C224=5,IF(AND(E220=0,D225=FALSE),J222,J223),J223)</f>
        <v/>
      </c>
    </row>
    <row r="223" hidden="1" ht="18" customHeight="1">
      <c r="A223" s="31" t="n"/>
      <c r="C223">
        <f>RIGHT(C222,1)</f>
        <v/>
      </c>
      <c r="D223">
        <f>D222+0</f>
        <v/>
      </c>
      <c r="J223">
        <f>FIXED(A220,2)</f>
        <v/>
      </c>
      <c r="K223" s="41" t="n"/>
    </row>
    <row r="224" hidden="1">
      <c r="A224" s="31" t="n"/>
      <c r="C224">
        <f>C223+0</f>
        <v/>
      </c>
      <c r="D224" t="inlineStr">
        <is>
          <t>es impar?</t>
        </is>
      </c>
      <c r="E224" t="inlineStr">
        <is>
          <t>Largo dato original</t>
        </is>
      </c>
      <c r="F224" t="inlineStr">
        <is>
          <t>largo parte enetero y decimal</t>
        </is>
      </c>
      <c r="K224" s="27" t="n"/>
    </row>
    <row r="225" hidden="1">
      <c r="A225" s="31" t="n"/>
      <c r="D225">
        <f>ISODD(D222)</f>
        <v/>
      </c>
      <c r="E225">
        <f>LEN(A220)</f>
        <v/>
      </c>
      <c r="F225">
        <f>LEN(E222)+1</f>
        <v/>
      </c>
      <c r="K225" s="27" t="n"/>
    </row>
    <row r="226" hidden="1">
      <c r="A226" s="31" t="n"/>
      <c r="K226" s="27" t="n"/>
    </row>
    <row r="227" hidden="1">
      <c r="A227" s="190" t="inlineStr">
        <is>
          <t>2 Decimales</t>
        </is>
      </c>
      <c r="K227" s="27" t="n"/>
    </row>
    <row r="228" hidden="1">
      <c r="A228" s="39">
        <f>K222</f>
        <v/>
      </c>
      <c r="C228">
        <f>FIXED(A220,3)</f>
        <v/>
      </c>
      <c r="D228">
        <f>RIGHT(C228,1)</f>
        <v/>
      </c>
      <c r="E228">
        <f>D228+0</f>
        <v/>
      </c>
      <c r="K228" s="27" t="n"/>
    </row>
    <row r="229" hidden="1" ht="28.8" customHeight="1">
      <c r="A229" s="31" t="n"/>
      <c r="C229" t="inlineStr">
        <is>
          <t>Extrae el ultimo digito</t>
        </is>
      </c>
      <c r="D229" t="inlineStr">
        <is>
          <t>extrael primer digito</t>
        </is>
      </c>
      <c r="E229" t="inlineStr">
        <is>
          <t>parte entera</t>
        </is>
      </c>
      <c r="F229" t="inlineStr">
        <is>
          <t>Parte decimal</t>
        </is>
      </c>
      <c r="G229" s="38" t="inlineStr">
        <is>
          <t>cantidad de decimales</t>
        </is>
      </c>
      <c r="H229" s="38" t="inlineStr">
        <is>
          <t>decimales en enteros</t>
        </is>
      </c>
      <c r="I229" s="38" t="inlineStr">
        <is>
          <t>restar ultimo numero</t>
        </is>
      </c>
      <c r="J229" s="38" t="inlineStr">
        <is>
          <t>Elimar ultimo digito</t>
        </is>
      </c>
      <c r="K229" s="37" t="inlineStr">
        <is>
          <t>Dato Final</t>
        </is>
      </c>
    </row>
    <row r="230" hidden="1" ht="18" customHeight="1">
      <c r="A230" s="31" t="n"/>
      <c r="C230">
        <f>RIGHT(A228,2)</f>
        <v/>
      </c>
      <c r="D230">
        <f>LEFT(C230,1)</f>
        <v/>
      </c>
      <c r="E230" s="36">
        <f>TRUNC(A228)</f>
        <v/>
      </c>
      <c r="F230" s="14">
        <f>FIXED(A228-E230,G230)</f>
        <v/>
      </c>
      <c r="G230">
        <f>ABS(E233-F233)</f>
        <v/>
      </c>
      <c r="H230">
        <f>RIGHT(A228,G230)</f>
        <v/>
      </c>
      <c r="I230" t="n">
        <v>0.05</v>
      </c>
      <c r="J230" s="2">
        <f>(A228-I230)</f>
        <v/>
      </c>
      <c r="K230" s="41">
        <f>IF(C232=5,IF(AND(E228=0,D233=FALSE),J230,J231),J231)</f>
        <v/>
      </c>
    </row>
    <row r="231" hidden="1">
      <c r="A231" s="31" t="n"/>
      <c r="C231">
        <f>RIGHT(C230,1)</f>
        <v/>
      </c>
      <c r="D231">
        <f>D230+0</f>
        <v/>
      </c>
      <c r="J231">
        <f>FIXED(A228,1)</f>
        <v/>
      </c>
      <c r="K231" s="40" t="n"/>
    </row>
    <row r="232" hidden="1">
      <c r="A232" s="31" t="n"/>
      <c r="C232">
        <f>C231+0</f>
        <v/>
      </c>
      <c r="D232" t="inlineStr">
        <is>
          <t>es impar?</t>
        </is>
      </c>
      <c r="E232" t="inlineStr">
        <is>
          <t>Largo dato original</t>
        </is>
      </c>
      <c r="F232" t="inlineStr">
        <is>
          <t>largo parte enetero y decimal</t>
        </is>
      </c>
      <c r="K232" s="27" t="n"/>
    </row>
    <row r="233" hidden="1">
      <c r="A233" s="31" t="n"/>
      <c r="D233">
        <f>ISODD(D230)</f>
        <v/>
      </c>
      <c r="E233">
        <f>LEN(A228)</f>
        <v/>
      </c>
      <c r="F233">
        <f>LEN(E230)+1</f>
        <v/>
      </c>
      <c r="K233" s="27" t="n"/>
    </row>
    <row r="234" hidden="1">
      <c r="A234" s="31" t="n"/>
      <c r="K234" s="27" t="n"/>
    </row>
    <row r="235" hidden="1">
      <c r="A235" s="190" t="inlineStr">
        <is>
          <t>1 Decimales</t>
        </is>
      </c>
      <c r="K235" s="27" t="n"/>
    </row>
    <row r="236" hidden="1">
      <c r="A236" s="39">
        <f>K230</f>
        <v/>
      </c>
      <c r="C236">
        <f>FIXED(A228,2)</f>
        <v/>
      </c>
      <c r="D236">
        <f>RIGHT(C236,1)</f>
        <v/>
      </c>
      <c r="E236">
        <f>D236+0</f>
        <v/>
      </c>
      <c r="K236" s="27" t="n"/>
    </row>
    <row r="237" hidden="1" ht="28.8" customHeight="1">
      <c r="A237" s="31" t="n"/>
      <c r="C237" t="inlineStr">
        <is>
          <t>Extrae el ultimo digito</t>
        </is>
      </c>
      <c r="D237" t="inlineStr">
        <is>
          <t>extrael primer digito</t>
        </is>
      </c>
      <c r="E237" t="inlineStr">
        <is>
          <t>parte entera</t>
        </is>
      </c>
      <c r="F237" t="inlineStr">
        <is>
          <t>Parte decimal</t>
        </is>
      </c>
      <c r="G237" s="38" t="inlineStr">
        <is>
          <t>cantidad de decimales</t>
        </is>
      </c>
      <c r="H237" s="38" t="inlineStr">
        <is>
          <t>decimales en enteros</t>
        </is>
      </c>
      <c r="I237" s="38" t="inlineStr">
        <is>
          <t>restar ultimo numero</t>
        </is>
      </c>
      <c r="J237" s="38" t="inlineStr">
        <is>
          <t>Elimar ultimo digito</t>
        </is>
      </c>
      <c r="K237" s="37" t="inlineStr">
        <is>
          <t>Dato Final</t>
        </is>
      </c>
    </row>
    <row r="238" hidden="1" ht="18" customHeight="1">
      <c r="A238" s="31" t="n"/>
      <c r="C238">
        <f>RIGHT(A236,2)</f>
        <v/>
      </c>
      <c r="D238">
        <f>RIGHT(E238,1)</f>
        <v/>
      </c>
      <c r="E238" s="36">
        <f>TRUNC(A236)</f>
        <v/>
      </c>
      <c r="F238" s="14">
        <f>FIXED(A236-E238,G238)</f>
        <v/>
      </c>
      <c r="G238">
        <f>ABS(E241-F241)</f>
        <v/>
      </c>
      <c r="H238">
        <f>RIGHT(A236,G238)</f>
        <v/>
      </c>
      <c r="I238" t="n">
        <v>0.5</v>
      </c>
      <c r="J238" s="12">
        <f>(A236-I238)</f>
        <v/>
      </c>
      <c r="K238" s="35">
        <f>IF(C240=5,IF(AND(E236=0,D241=FALSE),J238,J239),J239)</f>
        <v/>
      </c>
    </row>
    <row r="239" hidden="1">
      <c r="A239" s="31" t="n"/>
      <c r="C239">
        <f>RIGHT(C238,1)</f>
        <v/>
      </c>
      <c r="D239">
        <f>D238+0</f>
        <v/>
      </c>
      <c r="J239">
        <f>FIXED(A236,0)</f>
        <v/>
      </c>
      <c r="K239" s="34" t="n"/>
    </row>
    <row r="240" hidden="1">
      <c r="A240" s="31" t="n"/>
      <c r="C240">
        <f>C239+0</f>
        <v/>
      </c>
      <c r="D240" t="inlineStr">
        <is>
          <t>es impar?</t>
        </is>
      </c>
      <c r="E240" t="inlineStr">
        <is>
          <t>Largo dato original</t>
        </is>
      </c>
      <c r="F240" t="inlineStr">
        <is>
          <t>largo parte enetero y decimal</t>
        </is>
      </c>
      <c r="K240" s="27" t="n"/>
    </row>
    <row r="241" hidden="1" ht="15" customHeight="1" thickBot="1">
      <c r="A241" s="33" t="n"/>
      <c r="B241" s="33" t="n"/>
      <c r="C241" s="33" t="n"/>
      <c r="D241" s="33">
        <f>ISODD(D238)</f>
        <v/>
      </c>
      <c r="E241" s="33">
        <f>LEN(A236)</f>
        <v/>
      </c>
      <c r="F241" s="33">
        <f>LEN(E238)+1</f>
        <v/>
      </c>
      <c r="G241" s="33" t="n"/>
      <c r="H241" s="33" t="n"/>
      <c r="I241" s="33" t="n"/>
      <c r="J241" s="33" t="n"/>
      <c r="K241" s="32" t="n"/>
    </row>
    <row r="242" ht="15" customHeight="1" thickBot="1">
      <c r="A242" s="187" t="inlineStr">
        <is>
          <t>DATO 6</t>
        </is>
      </c>
      <c r="B242" s="188" t="n"/>
      <c r="C242" s="188" t="n"/>
      <c r="D242" s="188" t="n"/>
      <c r="E242" s="188" t="n"/>
      <c r="F242" s="188" t="n"/>
      <c r="G242" s="188" t="n"/>
      <c r="H242" s="188" t="n"/>
      <c r="I242" s="188" t="n"/>
      <c r="J242" s="188" t="n"/>
      <c r="K242" s="189" t="n"/>
    </row>
    <row r="243" ht="15" customHeight="1" thickBot="1">
      <c r="A243" s="31" t="inlineStr">
        <is>
          <t>Dato</t>
        </is>
      </c>
      <c r="B243" s="18" t="inlineStr">
        <is>
          <t>Dato redondeado</t>
        </is>
      </c>
      <c r="C243">
        <f>FIXED(A244,6)</f>
        <v/>
      </c>
      <c r="D243">
        <f>RIGHT(C243,1)</f>
        <v/>
      </c>
      <c r="E243">
        <f>D243/1000000</f>
        <v/>
      </c>
      <c r="F243" s="30">
        <f>A244-E243</f>
        <v/>
      </c>
      <c r="H243">
        <f>IF(C248=5,IF(AND(D244=0,D249=FALSE),J246,J247),J247)</f>
        <v/>
      </c>
      <c r="K243" s="27" t="n"/>
    </row>
    <row r="244" ht="18.6" customHeight="1" thickBot="1">
      <c r="A244" s="29">
        <f>INCERTIDUMBRE!L11</f>
        <v/>
      </c>
      <c r="B244" s="28">
        <f>IF(A244&gt;=10,K278,IF(A244&gt;=1,K270,IF(A244&gt;=0.1,K262,IF(A244&gt;=0.01,K254,IF(A244&gt;=0.001,K246)))))</f>
        <v/>
      </c>
      <c r="C244" t="inlineStr">
        <is>
          <t>6 decimal</t>
        </is>
      </c>
      <c r="D244">
        <f>D243+0</f>
        <v/>
      </c>
      <c r="K244" s="27" t="n"/>
    </row>
    <row r="245" hidden="1" ht="28.8" customHeight="1">
      <c r="A245" s="47" t="n"/>
      <c r="B245" s="47" t="n"/>
      <c r="C245" t="inlineStr">
        <is>
          <t>Extrae el ultimo digito</t>
        </is>
      </c>
      <c r="D245" t="inlineStr">
        <is>
          <t>extrael primer digito</t>
        </is>
      </c>
      <c r="E245" t="inlineStr">
        <is>
          <t>parte entera</t>
        </is>
      </c>
      <c r="F245" t="inlineStr">
        <is>
          <t>Parte decimal</t>
        </is>
      </c>
      <c r="G245" s="38" t="inlineStr">
        <is>
          <t>cantidad de decimales</t>
        </is>
      </c>
      <c r="H245" s="38" t="inlineStr">
        <is>
          <t>decimales en enteros</t>
        </is>
      </c>
      <c r="I245" s="38" t="inlineStr">
        <is>
          <t>restar ultimo numero</t>
        </is>
      </c>
      <c r="J245" s="38" t="inlineStr">
        <is>
          <t>Elimar ultimo digito</t>
        </is>
      </c>
      <c r="K245" s="37" t="inlineStr">
        <is>
          <t>Dato Final</t>
        </is>
      </c>
    </row>
    <row r="246" hidden="1" ht="18.6" customHeight="1" thickBot="1">
      <c r="A246" s="46" t="n"/>
      <c r="C246">
        <f>RIGHT(F243,2)</f>
        <v/>
      </c>
      <c r="D246">
        <f>LEFT(C246,1)</f>
        <v/>
      </c>
      <c r="E246" s="30">
        <f>TRUNC(A244)</f>
        <v/>
      </c>
      <c r="F246" s="14">
        <f>FIXED(A244-E246,G246)</f>
        <v/>
      </c>
      <c r="G246">
        <f>ABS(E249-F249)</f>
        <v/>
      </c>
      <c r="H246">
        <f>RIGHT(A244,G246)</f>
        <v/>
      </c>
      <c r="I246" t="n">
        <v>5e-05</v>
      </c>
      <c r="J246" s="14">
        <f>(A244-I246)</f>
        <v/>
      </c>
      <c r="K246" s="45">
        <f>IF(C248=5,IF(AND(D244=0,D249=FALSE),J246,J247),J247)</f>
        <v/>
      </c>
    </row>
    <row r="247" hidden="1">
      <c r="A247" s="31" t="n"/>
      <c r="C247">
        <f>RIGHT(C246,1)</f>
        <v/>
      </c>
      <c r="D247">
        <f>D246+0</f>
        <v/>
      </c>
      <c r="J247">
        <f>FIXED(A244,4)</f>
        <v/>
      </c>
      <c r="K247" s="27" t="n"/>
    </row>
    <row r="248" hidden="1">
      <c r="A248" s="31" t="n"/>
      <c r="C248">
        <f>C247+0</f>
        <v/>
      </c>
      <c r="D248" t="inlineStr">
        <is>
          <t>es impar?</t>
        </is>
      </c>
      <c r="E248" t="inlineStr">
        <is>
          <t>Largo dato original</t>
        </is>
      </c>
      <c r="F248" t="inlineStr">
        <is>
          <t>largo parte enetero y decimal</t>
        </is>
      </c>
      <c r="K248" s="27" t="n"/>
    </row>
    <row r="249" hidden="1">
      <c r="A249" s="31" t="n"/>
      <c r="D249">
        <f>ISODD(D246)</f>
        <v/>
      </c>
      <c r="E249">
        <f>LEN(A244)</f>
        <v/>
      </c>
      <c r="F249">
        <f>LEN(E246)+1</f>
        <v/>
      </c>
      <c r="K249" s="27" t="n"/>
    </row>
    <row r="250" hidden="1">
      <c r="A250" s="31" t="n"/>
      <c r="K250" s="27" t="n"/>
    </row>
    <row r="251" hidden="1">
      <c r="A251" s="190" t="inlineStr">
        <is>
          <t>4 Decimales</t>
        </is>
      </c>
      <c r="K251" s="27" t="n"/>
    </row>
    <row r="252" hidden="1">
      <c r="A252" s="42">
        <f>K246</f>
        <v/>
      </c>
      <c r="C252">
        <f>FIXED(A244,5)</f>
        <v/>
      </c>
      <c r="D252">
        <f>RIGHT(C252,1)</f>
        <v/>
      </c>
      <c r="E252">
        <f>D252+0</f>
        <v/>
      </c>
      <c r="K252" s="27" t="n"/>
    </row>
    <row r="253" hidden="1" ht="28.8" customHeight="1">
      <c r="A253" s="31" t="n"/>
      <c r="C253" t="inlineStr">
        <is>
          <t>Extrae el ultimo digito</t>
        </is>
      </c>
      <c r="D253" t="inlineStr">
        <is>
          <t>extrael primer digito</t>
        </is>
      </c>
      <c r="E253" t="inlineStr">
        <is>
          <t>parte entera</t>
        </is>
      </c>
      <c r="F253" t="inlineStr">
        <is>
          <t>Parte decimal</t>
        </is>
      </c>
      <c r="G253" s="38" t="inlineStr">
        <is>
          <t>cantidad de decimales</t>
        </is>
      </c>
      <c r="H253" s="38" t="inlineStr">
        <is>
          <t>decimales en enteros</t>
        </is>
      </c>
      <c r="I253" s="38" t="inlineStr">
        <is>
          <t>restar ultimo numero</t>
        </is>
      </c>
      <c r="J253" s="38" t="inlineStr">
        <is>
          <t>Elimar ultimo digito</t>
        </is>
      </c>
      <c r="K253" s="37" t="inlineStr">
        <is>
          <t>Dato Final</t>
        </is>
      </c>
    </row>
    <row r="254" hidden="1" ht="18" customHeight="1">
      <c r="A254" s="31" t="n"/>
      <c r="C254">
        <f>RIGHT(A252,2)</f>
        <v/>
      </c>
      <c r="D254">
        <f>LEFT(C254,1)</f>
        <v/>
      </c>
      <c r="E254" s="36">
        <f>TRUNC(A252)</f>
        <v/>
      </c>
      <c r="F254" s="14">
        <f>FIXED(A252-E254,G254)</f>
        <v/>
      </c>
      <c r="G254">
        <f>ABS(E257-F257)</f>
        <v/>
      </c>
      <c r="H254">
        <f>RIGHT(A252,G254)</f>
        <v/>
      </c>
      <c r="I254" t="n">
        <v>0.0005</v>
      </c>
      <c r="J254" s="44">
        <f>(A252-I254)</f>
        <v/>
      </c>
      <c r="K254" s="43">
        <f>IF(C256=5,IF(AND(E252=0,D257=FALSE),J254,J255),J255)</f>
        <v/>
      </c>
    </row>
    <row r="255" hidden="1">
      <c r="A255" s="31" t="n"/>
      <c r="C255">
        <f>RIGHT(C254,1)</f>
        <v/>
      </c>
      <c r="D255">
        <f>D254+0</f>
        <v/>
      </c>
      <c r="J255">
        <f>FIXED(A252,3)</f>
        <v/>
      </c>
      <c r="K255" s="27" t="n"/>
    </row>
    <row r="256" hidden="1">
      <c r="A256" s="31" t="n"/>
      <c r="C256">
        <f>C255+0</f>
        <v/>
      </c>
      <c r="D256" t="inlineStr">
        <is>
          <t>es impar?</t>
        </is>
      </c>
      <c r="E256" t="inlineStr">
        <is>
          <t>Largo dato original</t>
        </is>
      </c>
      <c r="F256" t="inlineStr">
        <is>
          <t>largo parte enetero y decimal</t>
        </is>
      </c>
      <c r="K256" s="27" t="n"/>
    </row>
    <row r="257" hidden="1">
      <c r="A257" s="31" t="n"/>
      <c r="D257">
        <f>ISODD(D254)</f>
        <v/>
      </c>
      <c r="E257">
        <f>LEN(A252)</f>
        <v/>
      </c>
      <c r="F257">
        <f>LEN(E254)+1</f>
        <v/>
      </c>
      <c r="K257" s="27" t="n"/>
    </row>
    <row r="258" hidden="1">
      <c r="A258" s="31" t="n"/>
      <c r="K258" s="27" t="n"/>
    </row>
    <row r="259" hidden="1">
      <c r="A259" s="190" t="inlineStr">
        <is>
          <t>3 Decimales</t>
        </is>
      </c>
      <c r="K259" s="27" t="n"/>
    </row>
    <row r="260" hidden="1">
      <c r="A260" s="42">
        <f>K254</f>
        <v/>
      </c>
      <c r="C260">
        <f>FIXED(A252,4)</f>
        <v/>
      </c>
      <c r="D260">
        <f>RIGHT(C260,1)</f>
        <v/>
      </c>
      <c r="E260">
        <f>D260+0</f>
        <v/>
      </c>
      <c r="K260" s="27" t="n"/>
    </row>
    <row r="261" hidden="1" ht="28.8" customHeight="1">
      <c r="A261" s="31" t="n"/>
      <c r="C261" t="inlineStr">
        <is>
          <t>Extrae el ultimo digito</t>
        </is>
      </c>
      <c r="D261" t="inlineStr">
        <is>
          <t>extrael primer digito</t>
        </is>
      </c>
      <c r="E261" t="inlineStr">
        <is>
          <t>parte entera</t>
        </is>
      </c>
      <c r="F261" t="inlineStr">
        <is>
          <t>Parte decimal</t>
        </is>
      </c>
      <c r="G261" s="38" t="inlineStr">
        <is>
          <t>cantidad de decimales</t>
        </is>
      </c>
      <c r="H261" s="38" t="inlineStr">
        <is>
          <t>decimales en enteros</t>
        </is>
      </c>
      <c r="I261" s="38" t="inlineStr">
        <is>
          <t>restar ultimo numero</t>
        </is>
      </c>
      <c r="J261" s="38" t="inlineStr">
        <is>
          <t>Elimar ultimo digito</t>
        </is>
      </c>
      <c r="K261" s="37" t="inlineStr">
        <is>
          <t>Dato Final</t>
        </is>
      </c>
    </row>
    <row r="262" hidden="1" ht="18" customHeight="1">
      <c r="A262" s="31" t="n"/>
      <c r="C262">
        <f>RIGHT(A260,2)</f>
        <v/>
      </c>
      <c r="D262">
        <f>LEFT(C262,1)</f>
        <v/>
      </c>
      <c r="E262" s="36">
        <f>TRUNC(A260)</f>
        <v/>
      </c>
      <c r="F262" s="14">
        <f>FIXED(A260-E262,G262)</f>
        <v/>
      </c>
      <c r="G262">
        <f>ABS(E265-F265)</f>
        <v/>
      </c>
      <c r="H262">
        <f>RIGHT(A260,G262)</f>
        <v/>
      </c>
      <c r="I262" t="n">
        <v>0.005</v>
      </c>
      <c r="J262" s="2">
        <f>(A260-I262)</f>
        <v/>
      </c>
      <c r="K262" s="41">
        <f>IF(C264=5,IF(AND(E260=0,D265=FALSE),J262,J263),J263)</f>
        <v/>
      </c>
    </row>
    <row r="263" hidden="1" ht="18" customHeight="1">
      <c r="A263" s="31" t="n"/>
      <c r="C263">
        <f>RIGHT(C262,1)</f>
        <v/>
      </c>
      <c r="D263">
        <f>D262+0</f>
        <v/>
      </c>
      <c r="J263">
        <f>FIXED(A260,2)</f>
        <v/>
      </c>
      <c r="K263" s="41" t="n"/>
    </row>
    <row r="264" hidden="1">
      <c r="A264" s="31" t="n"/>
      <c r="C264">
        <f>C263+0</f>
        <v/>
      </c>
      <c r="D264" t="inlineStr">
        <is>
          <t>es impar?</t>
        </is>
      </c>
      <c r="E264" t="inlineStr">
        <is>
          <t>Largo dato original</t>
        </is>
      </c>
      <c r="F264" t="inlineStr">
        <is>
          <t>largo parte enetero y decimal</t>
        </is>
      </c>
      <c r="K264" s="27" t="n"/>
    </row>
    <row r="265" hidden="1">
      <c r="A265" s="31" t="n"/>
      <c r="D265">
        <f>ISODD(D262)</f>
        <v/>
      </c>
      <c r="E265">
        <f>LEN(A260)</f>
        <v/>
      </c>
      <c r="F265">
        <f>LEN(E262)+1</f>
        <v/>
      </c>
      <c r="K265" s="27" t="n"/>
    </row>
    <row r="266" hidden="1">
      <c r="A266" s="31" t="n"/>
      <c r="K266" s="27" t="n"/>
    </row>
    <row r="267" hidden="1">
      <c r="A267" s="190" t="inlineStr">
        <is>
          <t>2 Decimales</t>
        </is>
      </c>
      <c r="K267" s="27" t="n"/>
    </row>
    <row r="268" hidden="1">
      <c r="A268" s="39">
        <f>K262</f>
        <v/>
      </c>
      <c r="C268">
        <f>FIXED(A260,3)</f>
        <v/>
      </c>
      <c r="D268">
        <f>RIGHT(C268,1)</f>
        <v/>
      </c>
      <c r="E268">
        <f>D268+0</f>
        <v/>
      </c>
      <c r="K268" s="27" t="n"/>
    </row>
    <row r="269" hidden="1" ht="28.8" customHeight="1">
      <c r="A269" s="31" t="n"/>
      <c r="C269" t="inlineStr">
        <is>
          <t>Extrae el ultimo digito</t>
        </is>
      </c>
      <c r="D269" t="inlineStr">
        <is>
          <t>extrael primer digito</t>
        </is>
      </c>
      <c r="E269" t="inlineStr">
        <is>
          <t>parte entera</t>
        </is>
      </c>
      <c r="F269" t="inlineStr">
        <is>
          <t>Parte decimal</t>
        </is>
      </c>
      <c r="G269" s="38" t="inlineStr">
        <is>
          <t>cantidad de decimales</t>
        </is>
      </c>
      <c r="H269" s="38" t="inlineStr">
        <is>
          <t>decimales en enteros</t>
        </is>
      </c>
      <c r="I269" s="38" t="inlineStr">
        <is>
          <t>restar ultimo numero</t>
        </is>
      </c>
      <c r="J269" s="38" t="inlineStr">
        <is>
          <t>Elimar ultimo digito</t>
        </is>
      </c>
      <c r="K269" s="37" t="inlineStr">
        <is>
          <t>Dato Final</t>
        </is>
      </c>
    </row>
    <row r="270" hidden="1" ht="18" customHeight="1">
      <c r="A270" s="31" t="n"/>
      <c r="C270">
        <f>RIGHT(A268,2)</f>
        <v/>
      </c>
      <c r="D270">
        <f>LEFT(C270,1)</f>
        <v/>
      </c>
      <c r="E270" s="36">
        <f>TRUNC(A268)</f>
        <v/>
      </c>
      <c r="F270" s="14">
        <f>FIXED(A268-E270,G270)</f>
        <v/>
      </c>
      <c r="G270">
        <f>ABS(E273-F273)</f>
        <v/>
      </c>
      <c r="H270">
        <f>RIGHT(A268,G270)</f>
        <v/>
      </c>
      <c r="I270" t="n">
        <v>0.05</v>
      </c>
      <c r="J270" s="2">
        <f>(A268-I270)</f>
        <v/>
      </c>
      <c r="K270" s="41">
        <f>IF(C272=5,IF(AND(E268=0,D273=FALSE),J270,J271),J271)</f>
        <v/>
      </c>
    </row>
    <row r="271" hidden="1">
      <c r="A271" s="31" t="n"/>
      <c r="C271">
        <f>RIGHT(C270,1)</f>
        <v/>
      </c>
      <c r="D271">
        <f>D270+0</f>
        <v/>
      </c>
      <c r="J271">
        <f>FIXED(A268,1)</f>
        <v/>
      </c>
      <c r="K271" s="40" t="n"/>
    </row>
    <row r="272" hidden="1">
      <c r="A272" s="31" t="n"/>
      <c r="C272">
        <f>C271+0</f>
        <v/>
      </c>
      <c r="D272" t="inlineStr">
        <is>
          <t>es impar?</t>
        </is>
      </c>
      <c r="E272" t="inlineStr">
        <is>
          <t>Largo dato original</t>
        </is>
      </c>
      <c r="F272" t="inlineStr">
        <is>
          <t>largo parte enetero y decimal</t>
        </is>
      </c>
      <c r="K272" s="27" t="n"/>
    </row>
    <row r="273" hidden="1">
      <c r="A273" s="31" t="n"/>
      <c r="D273">
        <f>ISODD(D270)</f>
        <v/>
      </c>
      <c r="E273">
        <f>LEN(A268)</f>
        <v/>
      </c>
      <c r="F273">
        <f>LEN(E270)+1</f>
        <v/>
      </c>
      <c r="K273" s="27" t="n"/>
    </row>
    <row r="274" hidden="1">
      <c r="A274" s="31" t="n"/>
      <c r="K274" s="27" t="n"/>
    </row>
    <row r="275" hidden="1">
      <c r="A275" s="190" t="inlineStr">
        <is>
          <t>1 Decimales</t>
        </is>
      </c>
      <c r="K275" s="27" t="n"/>
    </row>
    <row r="276" hidden="1">
      <c r="A276" s="39">
        <f>K270</f>
        <v/>
      </c>
      <c r="C276">
        <f>FIXED(A268,2)</f>
        <v/>
      </c>
      <c r="D276">
        <f>RIGHT(C276,1)</f>
        <v/>
      </c>
      <c r="E276">
        <f>D276+0</f>
        <v/>
      </c>
      <c r="K276" s="27" t="n"/>
    </row>
    <row r="277" hidden="1" ht="28.8" customHeight="1">
      <c r="A277" s="31" t="n"/>
      <c r="C277" t="inlineStr">
        <is>
          <t>Extrae el ultimo digito</t>
        </is>
      </c>
      <c r="D277" t="inlineStr">
        <is>
          <t>extrael primer digito</t>
        </is>
      </c>
      <c r="E277" t="inlineStr">
        <is>
          <t>parte entera</t>
        </is>
      </c>
      <c r="F277" t="inlineStr">
        <is>
          <t>Parte decimal</t>
        </is>
      </c>
      <c r="G277" s="38" t="inlineStr">
        <is>
          <t>cantidad de decimales</t>
        </is>
      </c>
      <c r="H277" s="38" t="inlineStr">
        <is>
          <t>decimales en enteros</t>
        </is>
      </c>
      <c r="I277" s="38" t="inlineStr">
        <is>
          <t>restar ultimo numero</t>
        </is>
      </c>
      <c r="J277" s="38" t="inlineStr">
        <is>
          <t>Elimar ultimo digito</t>
        </is>
      </c>
      <c r="K277" s="37" t="inlineStr">
        <is>
          <t>Dato Final</t>
        </is>
      </c>
    </row>
    <row r="278" hidden="1" ht="18" customHeight="1">
      <c r="A278" s="31" t="n"/>
      <c r="C278">
        <f>RIGHT(A276,2)</f>
        <v/>
      </c>
      <c r="D278">
        <f>RIGHT(E278,1)</f>
        <v/>
      </c>
      <c r="E278" s="36">
        <f>TRUNC(A276)</f>
        <v/>
      </c>
      <c r="F278" s="14">
        <f>FIXED(A276-E278,G278)</f>
        <v/>
      </c>
      <c r="G278">
        <f>ABS(E281-F281)</f>
        <v/>
      </c>
      <c r="H278">
        <f>RIGHT(A276,G278)</f>
        <v/>
      </c>
      <c r="I278" t="n">
        <v>0.5</v>
      </c>
      <c r="J278" s="12">
        <f>(A276-I278)</f>
        <v/>
      </c>
      <c r="K278" s="35">
        <f>IF(C280=5,IF(AND(E276=0,D281=FALSE),J278,J279),J279)</f>
        <v/>
      </c>
    </row>
    <row r="279" hidden="1">
      <c r="A279" s="31" t="n"/>
      <c r="C279">
        <f>RIGHT(C278,1)</f>
        <v/>
      </c>
      <c r="D279">
        <f>D278+0</f>
        <v/>
      </c>
      <c r="J279">
        <f>FIXED(A276,0)</f>
        <v/>
      </c>
      <c r="K279" s="34" t="n"/>
    </row>
    <row r="280" hidden="1">
      <c r="A280" s="31" t="n"/>
      <c r="C280">
        <f>C279+0</f>
        <v/>
      </c>
      <c r="D280" t="inlineStr">
        <is>
          <t>es impar?</t>
        </is>
      </c>
      <c r="E280" t="inlineStr">
        <is>
          <t>Largo dato original</t>
        </is>
      </c>
      <c r="F280" t="inlineStr">
        <is>
          <t>largo parte enetero y decimal</t>
        </is>
      </c>
      <c r="K280" s="27" t="n"/>
    </row>
    <row r="281" hidden="1" ht="15" customHeight="1" thickBot="1">
      <c r="A281" s="33" t="n"/>
      <c r="B281" s="33" t="n"/>
      <c r="C281" s="33" t="n"/>
      <c r="D281" s="33">
        <f>ISODD(D278)</f>
        <v/>
      </c>
      <c r="E281" s="33">
        <f>LEN(A276)</f>
        <v/>
      </c>
      <c r="F281" s="33">
        <f>LEN(E278)+1</f>
        <v/>
      </c>
      <c r="G281" s="33" t="n"/>
      <c r="H281" s="33" t="n"/>
      <c r="I281" s="33" t="n"/>
      <c r="J281" s="33" t="n"/>
      <c r="K281" s="32" t="n"/>
    </row>
    <row r="282" ht="15" customHeight="1" thickBot="1">
      <c r="A282" s="187" t="inlineStr">
        <is>
          <t>DATO 7</t>
        </is>
      </c>
      <c r="B282" s="188" t="n"/>
      <c r="C282" s="188" t="n"/>
      <c r="D282" s="188" t="n"/>
      <c r="E282" s="188" t="n"/>
      <c r="F282" s="188" t="n"/>
      <c r="G282" s="188" t="n"/>
      <c r="H282" s="188" t="n"/>
      <c r="I282" s="188" t="n"/>
      <c r="J282" s="188" t="n"/>
      <c r="K282" s="189" t="n"/>
    </row>
    <row r="283" ht="15" customHeight="1" thickBot="1">
      <c r="A283" s="31" t="inlineStr">
        <is>
          <t>Dato</t>
        </is>
      </c>
      <c r="B283" s="18" t="inlineStr">
        <is>
          <t>Dato redondeado</t>
        </is>
      </c>
      <c r="C283">
        <f>FIXED(A284,6)</f>
        <v/>
      </c>
      <c r="D283">
        <f>RIGHT(C283,1)</f>
        <v/>
      </c>
      <c r="E283">
        <f>D283/1000000</f>
        <v/>
      </c>
      <c r="F283" s="30">
        <f>A284-E283</f>
        <v/>
      </c>
      <c r="H283">
        <f>IF(C288=5,IF(AND(D284=0,D289=FALSE),J286,J287),J287)</f>
        <v/>
      </c>
      <c r="K283" s="27" t="n"/>
    </row>
    <row r="284" ht="18.6" customHeight="1" thickBot="1">
      <c r="A284" s="29">
        <f>INCERTIDUMBRE!L12</f>
        <v/>
      </c>
      <c r="B284" s="28">
        <f>IF(A284&gt;=10,K318,IF(A284&gt;=1,K310,IF(A284&gt;=0.1,K302,IF(A284&gt;=0.01,K294,IF(A284&gt;=0.001,K286)))))</f>
        <v/>
      </c>
      <c r="C284" t="inlineStr">
        <is>
          <t>6 decimal</t>
        </is>
      </c>
      <c r="D284">
        <f>D283+0</f>
        <v/>
      </c>
      <c r="K284" s="27" t="n"/>
    </row>
    <row r="285" hidden="1" ht="28.8" customHeight="1">
      <c r="A285" s="47" t="n"/>
      <c r="B285" s="47" t="n"/>
      <c r="C285" t="inlineStr">
        <is>
          <t>Extrae el ultimo digito</t>
        </is>
      </c>
      <c r="D285" t="inlineStr">
        <is>
          <t>extrael primer digito</t>
        </is>
      </c>
      <c r="E285" t="inlineStr">
        <is>
          <t>parte entera</t>
        </is>
      </c>
      <c r="F285" t="inlineStr">
        <is>
          <t>Parte decimal</t>
        </is>
      </c>
      <c r="G285" s="38" t="inlineStr">
        <is>
          <t>cantidad de decimales</t>
        </is>
      </c>
      <c r="H285" s="38" t="inlineStr">
        <is>
          <t>decimales en enteros</t>
        </is>
      </c>
      <c r="I285" s="38" t="inlineStr">
        <is>
          <t>restar ultimo numero</t>
        </is>
      </c>
      <c r="J285" s="38" t="inlineStr">
        <is>
          <t>Elimar ultimo digito</t>
        </is>
      </c>
      <c r="K285" s="37" t="inlineStr">
        <is>
          <t>Dato Final</t>
        </is>
      </c>
    </row>
    <row r="286" hidden="1" ht="18.6" customHeight="1" thickBot="1">
      <c r="A286" s="46" t="n"/>
      <c r="C286">
        <f>RIGHT(F283,2)</f>
        <v/>
      </c>
      <c r="D286">
        <f>LEFT(C286,1)</f>
        <v/>
      </c>
      <c r="E286" s="30">
        <f>TRUNC(A284)</f>
        <v/>
      </c>
      <c r="F286" s="14">
        <f>FIXED(A284-E286,G286)</f>
        <v/>
      </c>
      <c r="G286">
        <f>ABS(E289-F289)</f>
        <v/>
      </c>
      <c r="H286">
        <f>RIGHT(A284,G286)</f>
        <v/>
      </c>
      <c r="I286" t="n">
        <v>5e-05</v>
      </c>
      <c r="J286" s="14">
        <f>(A284-I286)</f>
        <v/>
      </c>
      <c r="K286" s="45">
        <f>IF(C288=5,IF(AND(D284=0,D289=FALSE),J286,J287),J287)</f>
        <v/>
      </c>
    </row>
    <row r="287" hidden="1">
      <c r="A287" s="31" t="n"/>
      <c r="C287">
        <f>RIGHT(C286,1)</f>
        <v/>
      </c>
      <c r="D287">
        <f>D286+0</f>
        <v/>
      </c>
      <c r="J287">
        <f>FIXED(A284,4)</f>
        <v/>
      </c>
      <c r="K287" s="27" t="n"/>
    </row>
    <row r="288" hidden="1">
      <c r="A288" s="31" t="n"/>
      <c r="C288">
        <f>C287+0</f>
        <v/>
      </c>
      <c r="D288" t="inlineStr">
        <is>
          <t>es impar?</t>
        </is>
      </c>
      <c r="E288" t="inlineStr">
        <is>
          <t>Largo dato original</t>
        </is>
      </c>
      <c r="F288" t="inlineStr">
        <is>
          <t>largo parte enetero y decimal</t>
        </is>
      </c>
      <c r="K288" s="27" t="n"/>
    </row>
    <row r="289" hidden="1">
      <c r="A289" s="31" t="n"/>
      <c r="D289">
        <f>ISODD(D286)</f>
        <v/>
      </c>
      <c r="E289">
        <f>LEN(A284)</f>
        <v/>
      </c>
      <c r="F289">
        <f>LEN(E286)+1</f>
        <v/>
      </c>
      <c r="K289" s="27" t="n"/>
    </row>
    <row r="290" hidden="1">
      <c r="A290" s="31" t="n"/>
      <c r="K290" s="27" t="n"/>
    </row>
    <row r="291" hidden="1">
      <c r="A291" s="190" t="inlineStr">
        <is>
          <t>4 Decimales</t>
        </is>
      </c>
      <c r="K291" s="27" t="n"/>
    </row>
    <row r="292" hidden="1">
      <c r="A292" s="42">
        <f>K286</f>
        <v/>
      </c>
      <c r="C292">
        <f>FIXED(A284,5)</f>
        <v/>
      </c>
      <c r="D292">
        <f>RIGHT(C292,1)</f>
        <v/>
      </c>
      <c r="E292">
        <f>D292+0</f>
        <v/>
      </c>
      <c r="K292" s="27" t="n"/>
    </row>
    <row r="293" hidden="1" ht="28.8" customHeight="1">
      <c r="A293" s="31" t="n"/>
      <c r="C293" t="inlineStr">
        <is>
          <t>Extrae el ultimo digito</t>
        </is>
      </c>
      <c r="D293" t="inlineStr">
        <is>
          <t>extrael primer digito</t>
        </is>
      </c>
      <c r="E293" t="inlineStr">
        <is>
          <t>parte entera</t>
        </is>
      </c>
      <c r="F293" t="inlineStr">
        <is>
          <t>Parte decimal</t>
        </is>
      </c>
      <c r="G293" s="38" t="inlineStr">
        <is>
          <t>cantidad de decimales</t>
        </is>
      </c>
      <c r="H293" s="38" t="inlineStr">
        <is>
          <t>decimales en enteros</t>
        </is>
      </c>
      <c r="I293" s="38" t="inlineStr">
        <is>
          <t>restar ultimo numero</t>
        </is>
      </c>
      <c r="J293" s="38" t="inlineStr">
        <is>
          <t>Elimar ultimo digito</t>
        </is>
      </c>
      <c r="K293" s="37" t="inlineStr">
        <is>
          <t>Dato Final</t>
        </is>
      </c>
    </row>
    <row r="294" hidden="1" ht="18" customHeight="1">
      <c r="A294" s="31" t="n"/>
      <c r="C294">
        <f>RIGHT(A292,2)</f>
        <v/>
      </c>
      <c r="D294">
        <f>LEFT(C294,1)</f>
        <v/>
      </c>
      <c r="E294" s="36">
        <f>TRUNC(A292)</f>
        <v/>
      </c>
      <c r="F294" s="14">
        <f>FIXED(A292-E294,G294)</f>
        <v/>
      </c>
      <c r="G294">
        <f>ABS(E297-F297)</f>
        <v/>
      </c>
      <c r="H294">
        <f>RIGHT(A292,G294)</f>
        <v/>
      </c>
      <c r="I294" t="n">
        <v>0.0005</v>
      </c>
      <c r="J294" s="44">
        <f>(A292-I294)</f>
        <v/>
      </c>
      <c r="K294" s="43">
        <f>IF(C296=5,IF(AND(E292=0,D297=FALSE),J294,J295),J295)</f>
        <v/>
      </c>
    </row>
    <row r="295" hidden="1">
      <c r="A295" s="31" t="n"/>
      <c r="C295">
        <f>RIGHT(C294,1)</f>
        <v/>
      </c>
      <c r="D295">
        <f>D294+0</f>
        <v/>
      </c>
      <c r="J295">
        <f>FIXED(A292,3)</f>
        <v/>
      </c>
      <c r="K295" s="27" t="n"/>
    </row>
    <row r="296" hidden="1">
      <c r="A296" s="31" t="n"/>
      <c r="C296">
        <f>C295+0</f>
        <v/>
      </c>
      <c r="D296" t="inlineStr">
        <is>
          <t>es impar?</t>
        </is>
      </c>
      <c r="E296" t="inlineStr">
        <is>
          <t>Largo dato original</t>
        </is>
      </c>
      <c r="F296" t="inlineStr">
        <is>
          <t>largo parte enetero y decimal</t>
        </is>
      </c>
      <c r="K296" s="27" t="n"/>
    </row>
    <row r="297" hidden="1">
      <c r="A297" s="31" t="n"/>
      <c r="D297">
        <f>ISODD(D294)</f>
        <v/>
      </c>
      <c r="E297">
        <f>LEN(A292)</f>
        <v/>
      </c>
      <c r="F297">
        <f>LEN(E294)+1</f>
        <v/>
      </c>
      <c r="K297" s="27" t="n"/>
    </row>
    <row r="298" hidden="1">
      <c r="A298" s="31" t="n"/>
      <c r="K298" s="27" t="n"/>
    </row>
    <row r="299" hidden="1">
      <c r="A299" s="190" t="inlineStr">
        <is>
          <t>3 Decimales</t>
        </is>
      </c>
      <c r="K299" s="27" t="n"/>
    </row>
    <row r="300" hidden="1">
      <c r="A300" s="42">
        <f>K294</f>
        <v/>
      </c>
      <c r="C300">
        <f>FIXED(A292,4)</f>
        <v/>
      </c>
      <c r="D300">
        <f>RIGHT(C300,1)</f>
        <v/>
      </c>
      <c r="E300">
        <f>D300+0</f>
        <v/>
      </c>
      <c r="K300" s="27" t="n"/>
    </row>
    <row r="301" hidden="1" ht="28.8" customHeight="1">
      <c r="A301" s="31" t="n"/>
      <c r="C301" t="inlineStr">
        <is>
          <t>Extrae el ultimo digito</t>
        </is>
      </c>
      <c r="D301" t="inlineStr">
        <is>
          <t>extrael primer digito</t>
        </is>
      </c>
      <c r="E301" t="inlineStr">
        <is>
          <t>parte entera</t>
        </is>
      </c>
      <c r="F301" t="inlineStr">
        <is>
          <t>Parte decimal</t>
        </is>
      </c>
      <c r="G301" s="38" t="inlineStr">
        <is>
          <t>cantidad de decimales</t>
        </is>
      </c>
      <c r="H301" s="38" t="inlineStr">
        <is>
          <t>decimales en enteros</t>
        </is>
      </c>
      <c r="I301" s="38" t="inlineStr">
        <is>
          <t>restar ultimo numero</t>
        </is>
      </c>
      <c r="J301" s="38" t="inlineStr">
        <is>
          <t>Elimar ultimo digito</t>
        </is>
      </c>
      <c r="K301" s="37" t="inlineStr">
        <is>
          <t>Dato Final</t>
        </is>
      </c>
    </row>
    <row r="302" hidden="1" ht="18" customHeight="1">
      <c r="A302" s="31" t="n"/>
      <c r="C302">
        <f>RIGHT(A300,2)</f>
        <v/>
      </c>
      <c r="D302">
        <f>LEFT(C302,1)</f>
        <v/>
      </c>
      <c r="E302" s="36">
        <f>TRUNC(A300)</f>
        <v/>
      </c>
      <c r="F302" s="14">
        <f>FIXED(A300-E302,G302)</f>
        <v/>
      </c>
      <c r="G302">
        <f>ABS(E305-F305)</f>
        <v/>
      </c>
      <c r="H302">
        <f>RIGHT(A300,G302)</f>
        <v/>
      </c>
      <c r="I302" t="n">
        <v>0.005</v>
      </c>
      <c r="J302" s="2">
        <f>(A300-I302)</f>
        <v/>
      </c>
      <c r="K302" s="41">
        <f>IF(C304=5,IF(AND(E300=0,D305=FALSE),J302,J303),J303)</f>
        <v/>
      </c>
    </row>
    <row r="303" hidden="1" ht="18" customHeight="1">
      <c r="A303" s="31" t="n"/>
      <c r="C303">
        <f>RIGHT(C302,1)</f>
        <v/>
      </c>
      <c r="D303">
        <f>D302+0</f>
        <v/>
      </c>
      <c r="J303">
        <f>FIXED(A300,2)</f>
        <v/>
      </c>
      <c r="K303" s="41" t="n"/>
    </row>
    <row r="304" hidden="1">
      <c r="A304" s="31" t="n"/>
      <c r="C304">
        <f>C303+0</f>
        <v/>
      </c>
      <c r="D304" t="inlineStr">
        <is>
          <t>es impar?</t>
        </is>
      </c>
      <c r="E304" t="inlineStr">
        <is>
          <t>Largo dato original</t>
        </is>
      </c>
      <c r="F304" t="inlineStr">
        <is>
          <t>largo parte enetero y decimal</t>
        </is>
      </c>
      <c r="K304" s="27" t="n"/>
    </row>
    <row r="305" hidden="1">
      <c r="A305" s="31" t="n"/>
      <c r="D305">
        <f>ISODD(D302)</f>
        <v/>
      </c>
      <c r="E305">
        <f>LEN(A300)</f>
        <v/>
      </c>
      <c r="F305">
        <f>LEN(E302)+1</f>
        <v/>
      </c>
      <c r="K305" s="27" t="n"/>
    </row>
    <row r="306" hidden="1">
      <c r="A306" s="31" t="n"/>
      <c r="K306" s="27" t="n"/>
    </row>
    <row r="307" hidden="1">
      <c r="A307" s="190" t="inlineStr">
        <is>
          <t>2 Decimales</t>
        </is>
      </c>
      <c r="K307" s="27" t="n"/>
    </row>
    <row r="308" hidden="1">
      <c r="A308" s="39">
        <f>K302</f>
        <v/>
      </c>
      <c r="C308">
        <f>FIXED(A300,3)</f>
        <v/>
      </c>
      <c r="D308">
        <f>RIGHT(C308,1)</f>
        <v/>
      </c>
      <c r="E308">
        <f>D308+0</f>
        <v/>
      </c>
      <c r="K308" s="27" t="n"/>
    </row>
    <row r="309" hidden="1" ht="28.8" customHeight="1">
      <c r="A309" s="31" t="n"/>
      <c r="C309" t="inlineStr">
        <is>
          <t>Extrae el ultimo digito</t>
        </is>
      </c>
      <c r="D309" t="inlineStr">
        <is>
          <t>extrael primer digito</t>
        </is>
      </c>
      <c r="E309" t="inlineStr">
        <is>
          <t>parte entera</t>
        </is>
      </c>
      <c r="F309" t="inlineStr">
        <is>
          <t>Parte decimal</t>
        </is>
      </c>
      <c r="G309" s="38" t="inlineStr">
        <is>
          <t>cantidad de decimales</t>
        </is>
      </c>
      <c r="H309" s="38" t="inlineStr">
        <is>
          <t>decimales en enteros</t>
        </is>
      </c>
      <c r="I309" s="38" t="inlineStr">
        <is>
          <t>restar ultimo numero</t>
        </is>
      </c>
      <c r="J309" s="38" t="inlineStr">
        <is>
          <t>Elimar ultimo digito</t>
        </is>
      </c>
      <c r="K309" s="37" t="inlineStr">
        <is>
          <t>Dato Final</t>
        </is>
      </c>
    </row>
    <row r="310" hidden="1" ht="18" customHeight="1">
      <c r="A310" s="31" t="n"/>
      <c r="C310">
        <f>RIGHT(A308,2)</f>
        <v/>
      </c>
      <c r="D310">
        <f>LEFT(C310,1)</f>
        <v/>
      </c>
      <c r="E310" s="36">
        <f>TRUNC(A308)</f>
        <v/>
      </c>
      <c r="F310" s="14">
        <f>FIXED(A308-E310,G310)</f>
        <v/>
      </c>
      <c r="G310">
        <f>ABS(E313-F313)</f>
        <v/>
      </c>
      <c r="H310">
        <f>RIGHT(A308,G310)</f>
        <v/>
      </c>
      <c r="I310" t="n">
        <v>0.05</v>
      </c>
      <c r="J310" s="2">
        <f>(A308-I310)</f>
        <v/>
      </c>
      <c r="K310" s="41">
        <f>IF(C312=5,IF(AND(E308=0,D313=FALSE),J310,J311),J311)</f>
        <v/>
      </c>
    </row>
    <row r="311" hidden="1">
      <c r="A311" s="31" t="n"/>
      <c r="C311">
        <f>RIGHT(C310,1)</f>
        <v/>
      </c>
      <c r="D311">
        <f>D310+0</f>
        <v/>
      </c>
      <c r="J311">
        <f>FIXED(A308,1)</f>
        <v/>
      </c>
      <c r="K311" s="40" t="n"/>
    </row>
    <row r="312" hidden="1">
      <c r="A312" s="31" t="n"/>
      <c r="C312">
        <f>C311+0</f>
        <v/>
      </c>
      <c r="D312" t="inlineStr">
        <is>
          <t>es impar?</t>
        </is>
      </c>
      <c r="E312" t="inlineStr">
        <is>
          <t>Largo dato original</t>
        </is>
      </c>
      <c r="F312" t="inlineStr">
        <is>
          <t>largo parte enetero y decimal</t>
        </is>
      </c>
      <c r="K312" s="27" t="n"/>
    </row>
    <row r="313" hidden="1">
      <c r="A313" s="31" t="n"/>
      <c r="D313">
        <f>ISODD(D310)</f>
        <v/>
      </c>
      <c r="E313">
        <f>LEN(A308)</f>
        <v/>
      </c>
      <c r="F313">
        <f>LEN(E310)+1</f>
        <v/>
      </c>
      <c r="K313" s="27" t="n"/>
    </row>
    <row r="314" hidden="1">
      <c r="A314" s="31" t="n"/>
      <c r="K314" s="27" t="n"/>
    </row>
    <row r="315" hidden="1">
      <c r="A315" s="190" t="inlineStr">
        <is>
          <t>1 Decimales</t>
        </is>
      </c>
      <c r="K315" s="27" t="n"/>
    </row>
    <row r="316" hidden="1">
      <c r="A316" s="39">
        <f>K310</f>
        <v/>
      </c>
      <c r="C316">
        <f>FIXED(A308,2)</f>
        <v/>
      </c>
      <c r="D316">
        <f>RIGHT(C316,1)</f>
        <v/>
      </c>
      <c r="E316">
        <f>D316+0</f>
        <v/>
      </c>
      <c r="K316" s="27" t="n"/>
    </row>
    <row r="317" hidden="1" ht="28.8" customHeight="1">
      <c r="A317" s="31" t="n"/>
      <c r="C317" t="inlineStr">
        <is>
          <t>Extrae el ultimo digito</t>
        </is>
      </c>
      <c r="D317" t="inlineStr">
        <is>
          <t>extrael primer digito</t>
        </is>
      </c>
      <c r="E317" t="inlineStr">
        <is>
          <t>parte entera</t>
        </is>
      </c>
      <c r="F317" t="inlineStr">
        <is>
          <t>Parte decimal</t>
        </is>
      </c>
      <c r="G317" s="38" t="inlineStr">
        <is>
          <t>cantidad de decimales</t>
        </is>
      </c>
      <c r="H317" s="38" t="inlineStr">
        <is>
          <t>decimales en enteros</t>
        </is>
      </c>
      <c r="I317" s="38" t="inlineStr">
        <is>
          <t>restar ultimo numero</t>
        </is>
      </c>
      <c r="J317" s="38" t="inlineStr">
        <is>
          <t>Elimar ultimo digito</t>
        </is>
      </c>
      <c r="K317" s="37" t="inlineStr">
        <is>
          <t>Dato Final</t>
        </is>
      </c>
    </row>
    <row r="318" hidden="1" ht="18" customHeight="1">
      <c r="A318" s="31" t="n"/>
      <c r="C318">
        <f>RIGHT(A316,2)</f>
        <v/>
      </c>
      <c r="D318">
        <f>RIGHT(E318,1)</f>
        <v/>
      </c>
      <c r="E318" s="36">
        <f>TRUNC(A316)</f>
        <v/>
      </c>
      <c r="F318" s="14">
        <f>FIXED(A316-E318,G318)</f>
        <v/>
      </c>
      <c r="G318">
        <f>ABS(E321-F321)</f>
        <v/>
      </c>
      <c r="H318">
        <f>RIGHT(A316,G318)</f>
        <v/>
      </c>
      <c r="I318" t="n">
        <v>0.5</v>
      </c>
      <c r="J318" s="12">
        <f>(A316-I318)</f>
        <v/>
      </c>
      <c r="K318" s="35">
        <f>IF(C320=5,IF(AND(E316=0,D321=FALSE),J318,J319),J319)</f>
        <v/>
      </c>
    </row>
    <row r="319" hidden="1">
      <c r="A319" s="31" t="n"/>
      <c r="C319">
        <f>RIGHT(C318,1)</f>
        <v/>
      </c>
      <c r="D319">
        <f>D318+0</f>
        <v/>
      </c>
      <c r="J319">
        <f>FIXED(A316,0)</f>
        <v/>
      </c>
      <c r="K319" s="34" t="n"/>
    </row>
    <row r="320" hidden="1">
      <c r="A320" s="31" t="n"/>
      <c r="C320">
        <f>C319+0</f>
        <v/>
      </c>
      <c r="D320" t="inlineStr">
        <is>
          <t>es impar?</t>
        </is>
      </c>
      <c r="E320" t="inlineStr">
        <is>
          <t>Largo dato original</t>
        </is>
      </c>
      <c r="F320" t="inlineStr">
        <is>
          <t>largo parte enetero y decimal</t>
        </is>
      </c>
      <c r="K320" s="27" t="n"/>
    </row>
    <row r="321" hidden="1" ht="15" customHeight="1" thickBot="1">
      <c r="A321" s="33" t="n"/>
      <c r="B321" s="33" t="n"/>
      <c r="C321" s="33" t="n"/>
      <c r="D321" s="33">
        <f>ISODD(D318)</f>
        <v/>
      </c>
      <c r="E321" s="33">
        <f>LEN(A316)</f>
        <v/>
      </c>
      <c r="F321" s="33">
        <f>LEN(E318)+1</f>
        <v/>
      </c>
      <c r="G321" s="33" t="n"/>
      <c r="H321" s="33" t="n"/>
      <c r="I321" s="33" t="n"/>
      <c r="J321" s="33" t="n"/>
      <c r="K321" s="32" t="n"/>
    </row>
    <row r="322" ht="15" customHeight="1" thickBot="1">
      <c r="A322" s="187" t="inlineStr">
        <is>
          <t>DATO 8</t>
        </is>
      </c>
      <c r="B322" s="188" t="n"/>
      <c r="C322" s="188" t="n"/>
      <c r="D322" s="188" t="n"/>
      <c r="E322" s="188" t="n"/>
      <c r="F322" s="188" t="n"/>
      <c r="G322" s="188" t="n"/>
      <c r="H322" s="188" t="n"/>
      <c r="I322" s="188" t="n"/>
      <c r="J322" s="188" t="n"/>
      <c r="K322" s="189" t="n"/>
    </row>
    <row r="323" ht="15" customHeight="1" thickBot="1">
      <c r="A323" s="31" t="inlineStr">
        <is>
          <t>Dato</t>
        </is>
      </c>
      <c r="B323" s="18" t="inlineStr">
        <is>
          <t>Dato redondeado</t>
        </is>
      </c>
      <c r="C323">
        <f>FIXED(A324,6)</f>
        <v/>
      </c>
      <c r="D323">
        <f>RIGHT(C323,1)</f>
        <v/>
      </c>
      <c r="E323">
        <f>D323/1000000</f>
        <v/>
      </c>
      <c r="F323" s="30">
        <f>A324-E323</f>
        <v/>
      </c>
      <c r="H323">
        <f>IF(C328=5,IF(AND(D324=0,D329=FALSE),J326,J327),J327)</f>
        <v/>
      </c>
      <c r="K323" s="27" t="n"/>
    </row>
    <row r="324" ht="18.6" customHeight="1" thickBot="1">
      <c r="A324" s="29">
        <f>INCERTIDUMBRE!L13</f>
        <v/>
      </c>
      <c r="B324" s="28">
        <f>IF(A324&gt;=10,K358,IF(A324&gt;=1,K350,IF(A324&gt;=0.1,K342,IF(A324&gt;=0.01,K334,IF(A324&gt;=0.001,K326)))))</f>
        <v/>
      </c>
      <c r="C324" t="inlineStr">
        <is>
          <t>6 decimal</t>
        </is>
      </c>
      <c r="D324">
        <f>D323+0</f>
        <v/>
      </c>
      <c r="K324" s="27" t="n"/>
    </row>
    <row r="325" hidden="1" ht="28.8" customHeight="1">
      <c r="A325" s="47" t="n"/>
      <c r="B325" s="47" t="n"/>
      <c r="C325" t="inlineStr">
        <is>
          <t>Extrae el ultimo digito</t>
        </is>
      </c>
      <c r="D325" t="inlineStr">
        <is>
          <t>extrael primer digito</t>
        </is>
      </c>
      <c r="E325" t="inlineStr">
        <is>
          <t>parte entera</t>
        </is>
      </c>
      <c r="F325" t="inlineStr">
        <is>
          <t>Parte decimal</t>
        </is>
      </c>
      <c r="G325" s="38" t="inlineStr">
        <is>
          <t>cantidad de decimales</t>
        </is>
      </c>
      <c r="H325" s="38" t="inlineStr">
        <is>
          <t>decimales en enteros</t>
        </is>
      </c>
      <c r="I325" s="38" t="inlineStr">
        <is>
          <t>restar ultimo numero</t>
        </is>
      </c>
      <c r="J325" s="38" t="inlineStr">
        <is>
          <t>Elimar ultimo digito</t>
        </is>
      </c>
      <c r="K325" s="37" t="inlineStr">
        <is>
          <t>Dato Final</t>
        </is>
      </c>
    </row>
    <row r="326" hidden="1" ht="18.6" customHeight="1" thickBot="1">
      <c r="A326" s="46" t="n"/>
      <c r="C326">
        <f>RIGHT(F323,2)</f>
        <v/>
      </c>
      <c r="D326">
        <f>LEFT(C326,1)</f>
        <v/>
      </c>
      <c r="E326" s="30">
        <f>TRUNC(A324)</f>
        <v/>
      </c>
      <c r="F326" s="14">
        <f>FIXED(A324-E326,G326)</f>
        <v/>
      </c>
      <c r="G326">
        <f>ABS(E329-F329)</f>
        <v/>
      </c>
      <c r="H326">
        <f>RIGHT(A324,G326)</f>
        <v/>
      </c>
      <c r="I326" t="n">
        <v>5e-05</v>
      </c>
      <c r="J326" s="14">
        <f>(A324-I326)</f>
        <v/>
      </c>
      <c r="K326" s="45">
        <f>IF(C328=5,IF(AND(D324=0,D329=FALSE),J326,J327),J327)</f>
        <v/>
      </c>
    </row>
    <row r="327" hidden="1">
      <c r="A327" s="31" t="n"/>
      <c r="C327">
        <f>RIGHT(C326,1)</f>
        <v/>
      </c>
      <c r="D327">
        <f>D326+0</f>
        <v/>
      </c>
      <c r="J327">
        <f>FIXED(A324,4)</f>
        <v/>
      </c>
      <c r="K327" s="27" t="n"/>
    </row>
    <row r="328" hidden="1">
      <c r="A328" s="31" t="n"/>
      <c r="C328">
        <f>C327+0</f>
        <v/>
      </c>
      <c r="D328" t="inlineStr">
        <is>
          <t>es impar?</t>
        </is>
      </c>
      <c r="E328" t="inlineStr">
        <is>
          <t>Largo dato original</t>
        </is>
      </c>
      <c r="F328" t="inlineStr">
        <is>
          <t>largo parte enetero y decimal</t>
        </is>
      </c>
      <c r="K328" s="27" t="n"/>
    </row>
    <row r="329" hidden="1">
      <c r="A329" s="31" t="n"/>
      <c r="D329">
        <f>ISODD(D326)</f>
        <v/>
      </c>
      <c r="E329">
        <f>LEN(A324)</f>
        <v/>
      </c>
      <c r="F329">
        <f>LEN(E326)+1</f>
        <v/>
      </c>
      <c r="K329" s="27" t="n"/>
    </row>
    <row r="330" hidden="1">
      <c r="A330" s="31" t="n"/>
      <c r="K330" s="27" t="n"/>
    </row>
    <row r="331" hidden="1">
      <c r="A331" s="190" t="inlineStr">
        <is>
          <t>4 Decimales</t>
        </is>
      </c>
      <c r="K331" s="27" t="n"/>
    </row>
    <row r="332" hidden="1">
      <c r="A332" s="42">
        <f>K326</f>
        <v/>
      </c>
      <c r="C332">
        <f>FIXED(A324,5)</f>
        <v/>
      </c>
      <c r="D332">
        <f>RIGHT(C332,1)</f>
        <v/>
      </c>
      <c r="E332">
        <f>D332+0</f>
        <v/>
      </c>
      <c r="K332" s="27" t="n"/>
    </row>
    <row r="333" hidden="1" ht="28.8" customHeight="1">
      <c r="A333" s="31" t="n"/>
      <c r="C333" t="inlineStr">
        <is>
          <t>Extrae el ultimo digito</t>
        </is>
      </c>
      <c r="D333" t="inlineStr">
        <is>
          <t>extrael primer digito</t>
        </is>
      </c>
      <c r="E333" t="inlineStr">
        <is>
          <t>parte entera</t>
        </is>
      </c>
      <c r="F333" t="inlineStr">
        <is>
          <t>Parte decimal</t>
        </is>
      </c>
      <c r="G333" s="38" t="inlineStr">
        <is>
          <t>cantidad de decimales</t>
        </is>
      </c>
      <c r="H333" s="38" t="inlineStr">
        <is>
          <t>decimales en enteros</t>
        </is>
      </c>
      <c r="I333" s="38" t="inlineStr">
        <is>
          <t>restar ultimo numero</t>
        </is>
      </c>
      <c r="J333" s="38" t="inlineStr">
        <is>
          <t>Elimar ultimo digito</t>
        </is>
      </c>
      <c r="K333" s="37" t="inlineStr">
        <is>
          <t>Dato Final</t>
        </is>
      </c>
    </row>
    <row r="334" hidden="1" ht="18" customHeight="1">
      <c r="A334" s="31" t="n"/>
      <c r="C334">
        <f>RIGHT(A332,2)</f>
        <v/>
      </c>
      <c r="D334">
        <f>LEFT(C334,1)</f>
        <v/>
      </c>
      <c r="E334" s="36">
        <f>TRUNC(A332)</f>
        <v/>
      </c>
      <c r="F334" s="14">
        <f>FIXED(A332-E334,G334)</f>
        <v/>
      </c>
      <c r="G334">
        <f>ABS(E337-F337)</f>
        <v/>
      </c>
      <c r="H334">
        <f>RIGHT(A332,G334)</f>
        <v/>
      </c>
      <c r="I334" t="n">
        <v>0.0005</v>
      </c>
      <c r="J334" s="44">
        <f>(A332-I334)</f>
        <v/>
      </c>
      <c r="K334" s="43">
        <f>IF(C336=5,IF(AND(E332=0,D337=FALSE),J334,J335),J335)</f>
        <v/>
      </c>
    </row>
    <row r="335" hidden="1">
      <c r="A335" s="31" t="n"/>
      <c r="C335">
        <f>RIGHT(C334,1)</f>
        <v/>
      </c>
      <c r="D335">
        <f>D334+0</f>
        <v/>
      </c>
      <c r="J335">
        <f>FIXED(A332,3)</f>
        <v/>
      </c>
      <c r="K335" s="27" t="n"/>
    </row>
    <row r="336" hidden="1">
      <c r="A336" s="31" t="n"/>
      <c r="C336">
        <f>C335+0</f>
        <v/>
      </c>
      <c r="D336" t="inlineStr">
        <is>
          <t>es impar?</t>
        </is>
      </c>
      <c r="E336" t="inlineStr">
        <is>
          <t>Largo dato original</t>
        </is>
      </c>
      <c r="F336" t="inlineStr">
        <is>
          <t>largo parte enetero y decimal</t>
        </is>
      </c>
      <c r="K336" s="27" t="n"/>
    </row>
    <row r="337" hidden="1">
      <c r="A337" s="31" t="n"/>
      <c r="D337">
        <f>ISODD(D334)</f>
        <v/>
      </c>
      <c r="E337">
        <f>LEN(A332)</f>
        <v/>
      </c>
      <c r="F337">
        <f>LEN(E334)+1</f>
        <v/>
      </c>
      <c r="K337" s="27" t="n"/>
    </row>
    <row r="338" hidden="1">
      <c r="A338" s="31" t="n"/>
      <c r="K338" s="27" t="n"/>
    </row>
    <row r="339" hidden="1">
      <c r="A339" s="190" t="inlineStr">
        <is>
          <t>3 Decimales</t>
        </is>
      </c>
      <c r="K339" s="27" t="n"/>
    </row>
    <row r="340" hidden="1">
      <c r="A340" s="42">
        <f>K334</f>
        <v/>
      </c>
      <c r="C340">
        <f>FIXED(A332,4)</f>
        <v/>
      </c>
      <c r="D340">
        <f>RIGHT(C340,1)</f>
        <v/>
      </c>
      <c r="E340">
        <f>D340+0</f>
        <v/>
      </c>
      <c r="K340" s="27" t="n"/>
    </row>
    <row r="341" hidden="1" ht="28.8" customHeight="1">
      <c r="A341" s="31" t="n"/>
      <c r="C341" t="inlineStr">
        <is>
          <t>Extrae el ultimo digito</t>
        </is>
      </c>
      <c r="D341" t="inlineStr">
        <is>
          <t>extrael primer digito</t>
        </is>
      </c>
      <c r="E341" t="inlineStr">
        <is>
          <t>parte entera</t>
        </is>
      </c>
      <c r="F341" t="inlineStr">
        <is>
          <t>Parte decimal</t>
        </is>
      </c>
      <c r="G341" s="38" t="inlineStr">
        <is>
          <t>cantidad de decimales</t>
        </is>
      </c>
      <c r="H341" s="38" t="inlineStr">
        <is>
          <t>decimales en enteros</t>
        </is>
      </c>
      <c r="I341" s="38" t="inlineStr">
        <is>
          <t>restar ultimo numero</t>
        </is>
      </c>
      <c r="J341" s="38" t="inlineStr">
        <is>
          <t>Elimar ultimo digito</t>
        </is>
      </c>
      <c r="K341" s="37" t="inlineStr">
        <is>
          <t>Dato Final</t>
        </is>
      </c>
    </row>
    <row r="342" hidden="1" ht="18" customHeight="1">
      <c r="A342" s="31" t="n"/>
      <c r="C342">
        <f>RIGHT(A340,2)</f>
        <v/>
      </c>
      <c r="D342">
        <f>LEFT(C342,1)</f>
        <v/>
      </c>
      <c r="E342" s="36">
        <f>TRUNC(A340)</f>
        <v/>
      </c>
      <c r="F342" s="14">
        <f>FIXED(A340-E342,G342)</f>
        <v/>
      </c>
      <c r="G342">
        <f>ABS(E345-F345)</f>
        <v/>
      </c>
      <c r="H342">
        <f>RIGHT(A340,G342)</f>
        <v/>
      </c>
      <c r="I342" t="n">
        <v>0.005</v>
      </c>
      <c r="J342" s="2">
        <f>(A340-I342)</f>
        <v/>
      </c>
      <c r="K342" s="41">
        <f>IF(C344=5,IF(AND(E340=0,D345=FALSE),J342,J343),J343)</f>
        <v/>
      </c>
    </row>
    <row r="343" hidden="1" ht="18" customHeight="1">
      <c r="A343" s="31" t="n"/>
      <c r="C343">
        <f>RIGHT(C342,1)</f>
        <v/>
      </c>
      <c r="D343">
        <f>D342+0</f>
        <v/>
      </c>
      <c r="J343">
        <f>FIXED(A340,2)</f>
        <v/>
      </c>
      <c r="K343" s="41" t="n"/>
    </row>
    <row r="344" hidden="1">
      <c r="A344" s="31" t="n"/>
      <c r="C344">
        <f>C343+0</f>
        <v/>
      </c>
      <c r="D344" t="inlineStr">
        <is>
          <t>es impar?</t>
        </is>
      </c>
      <c r="E344" t="inlineStr">
        <is>
          <t>Largo dato original</t>
        </is>
      </c>
      <c r="F344" t="inlineStr">
        <is>
          <t>largo parte enetero y decimal</t>
        </is>
      </c>
      <c r="K344" s="27" t="n"/>
    </row>
    <row r="345" hidden="1">
      <c r="A345" s="31" t="n"/>
      <c r="D345">
        <f>ISODD(D342)</f>
        <v/>
      </c>
      <c r="E345">
        <f>LEN(A340)</f>
        <v/>
      </c>
      <c r="F345">
        <f>LEN(E342)+1</f>
        <v/>
      </c>
      <c r="K345" s="27" t="n"/>
    </row>
    <row r="346" hidden="1">
      <c r="A346" s="31" t="n"/>
      <c r="K346" s="27" t="n"/>
    </row>
    <row r="347" hidden="1">
      <c r="A347" s="190" t="inlineStr">
        <is>
          <t>2 Decimales</t>
        </is>
      </c>
      <c r="K347" s="27" t="n"/>
    </row>
    <row r="348" hidden="1">
      <c r="A348" s="39">
        <f>K342</f>
        <v/>
      </c>
      <c r="C348">
        <f>FIXED(A340,3)</f>
        <v/>
      </c>
      <c r="D348">
        <f>RIGHT(C348,1)</f>
        <v/>
      </c>
      <c r="E348">
        <f>D348+0</f>
        <v/>
      </c>
      <c r="K348" s="27" t="n"/>
    </row>
    <row r="349" hidden="1" ht="28.8" customHeight="1">
      <c r="A349" s="31" t="n"/>
      <c r="C349" t="inlineStr">
        <is>
          <t>Extrae el ultimo digito</t>
        </is>
      </c>
      <c r="D349" t="inlineStr">
        <is>
          <t>extrael primer digito</t>
        </is>
      </c>
      <c r="E349" t="inlineStr">
        <is>
          <t>parte entera</t>
        </is>
      </c>
      <c r="F349" t="inlineStr">
        <is>
          <t>Parte decimal</t>
        </is>
      </c>
      <c r="G349" s="38" t="inlineStr">
        <is>
          <t>cantidad de decimales</t>
        </is>
      </c>
      <c r="H349" s="38" t="inlineStr">
        <is>
          <t>decimales en enteros</t>
        </is>
      </c>
      <c r="I349" s="38" t="inlineStr">
        <is>
          <t>restar ultimo numero</t>
        </is>
      </c>
      <c r="J349" s="38" t="inlineStr">
        <is>
          <t>Elimar ultimo digito</t>
        </is>
      </c>
      <c r="K349" s="37" t="inlineStr">
        <is>
          <t>Dato Final</t>
        </is>
      </c>
    </row>
    <row r="350" hidden="1" ht="18" customHeight="1">
      <c r="A350" s="31" t="n"/>
      <c r="C350">
        <f>RIGHT(A348,2)</f>
        <v/>
      </c>
      <c r="D350">
        <f>LEFT(C350,1)</f>
        <v/>
      </c>
      <c r="E350" s="36">
        <f>TRUNC(A348)</f>
        <v/>
      </c>
      <c r="F350" s="14">
        <f>FIXED(A348-E350,G350)</f>
        <v/>
      </c>
      <c r="G350">
        <f>ABS(E353-F353)</f>
        <v/>
      </c>
      <c r="H350">
        <f>RIGHT(A348,G350)</f>
        <v/>
      </c>
      <c r="I350" t="n">
        <v>0.05</v>
      </c>
      <c r="J350" s="2">
        <f>(A348-I350)</f>
        <v/>
      </c>
      <c r="K350" s="41">
        <f>IF(C352=5,IF(AND(E348=0,D353=FALSE),J350,J351),J351)</f>
        <v/>
      </c>
    </row>
    <row r="351" hidden="1">
      <c r="A351" s="31" t="n"/>
      <c r="C351">
        <f>RIGHT(C350,1)</f>
        <v/>
      </c>
      <c r="D351">
        <f>D350+0</f>
        <v/>
      </c>
      <c r="J351">
        <f>FIXED(A348,1)</f>
        <v/>
      </c>
      <c r="K351" s="40" t="n"/>
    </row>
    <row r="352" hidden="1">
      <c r="A352" s="31" t="n"/>
      <c r="C352">
        <f>C351+0</f>
        <v/>
      </c>
      <c r="D352" t="inlineStr">
        <is>
          <t>es impar?</t>
        </is>
      </c>
      <c r="E352" t="inlineStr">
        <is>
          <t>Largo dato original</t>
        </is>
      </c>
      <c r="F352" t="inlineStr">
        <is>
          <t>largo parte enetero y decimal</t>
        </is>
      </c>
      <c r="K352" s="27" t="n"/>
    </row>
    <row r="353" hidden="1">
      <c r="A353" s="31" t="n"/>
      <c r="D353">
        <f>ISODD(D350)</f>
        <v/>
      </c>
      <c r="E353">
        <f>LEN(A348)</f>
        <v/>
      </c>
      <c r="F353">
        <f>LEN(E350)+1</f>
        <v/>
      </c>
      <c r="K353" s="27" t="n"/>
    </row>
    <row r="354" hidden="1">
      <c r="A354" s="31" t="n"/>
      <c r="K354" s="27" t="n"/>
    </row>
    <row r="355" hidden="1">
      <c r="A355" s="190" t="inlineStr">
        <is>
          <t>1 Decimales</t>
        </is>
      </c>
      <c r="K355" s="27" t="n"/>
    </row>
    <row r="356" hidden="1">
      <c r="A356" s="39">
        <f>K350</f>
        <v/>
      </c>
      <c r="C356">
        <f>FIXED(A348,2)</f>
        <v/>
      </c>
      <c r="D356">
        <f>RIGHT(C356,1)</f>
        <v/>
      </c>
      <c r="E356">
        <f>D356+0</f>
        <v/>
      </c>
      <c r="K356" s="27" t="n"/>
    </row>
    <row r="357" hidden="1" ht="28.8" customHeight="1">
      <c r="A357" s="31" t="n"/>
      <c r="C357" t="inlineStr">
        <is>
          <t>Extrae el ultimo digito</t>
        </is>
      </c>
      <c r="D357" t="inlineStr">
        <is>
          <t>extrael primer digito</t>
        </is>
      </c>
      <c r="E357" t="inlineStr">
        <is>
          <t>parte entera</t>
        </is>
      </c>
      <c r="F357" t="inlineStr">
        <is>
          <t>Parte decimal</t>
        </is>
      </c>
      <c r="G357" s="38" t="inlineStr">
        <is>
          <t>cantidad de decimales</t>
        </is>
      </c>
      <c r="H357" s="38" t="inlineStr">
        <is>
          <t>decimales en enteros</t>
        </is>
      </c>
      <c r="I357" s="38" t="inlineStr">
        <is>
          <t>restar ultimo numero</t>
        </is>
      </c>
      <c r="J357" s="38" t="inlineStr">
        <is>
          <t>Elimar ultimo digito</t>
        </is>
      </c>
      <c r="K357" s="37" t="inlineStr">
        <is>
          <t>Dato Final</t>
        </is>
      </c>
    </row>
    <row r="358" hidden="1" ht="18" customHeight="1">
      <c r="A358" s="31" t="n"/>
      <c r="C358">
        <f>RIGHT(A356,2)</f>
        <v/>
      </c>
      <c r="D358">
        <f>RIGHT(E358,1)</f>
        <v/>
      </c>
      <c r="E358" s="36">
        <f>TRUNC(A356)</f>
        <v/>
      </c>
      <c r="F358" s="14">
        <f>FIXED(A356-E358,G358)</f>
        <v/>
      </c>
      <c r="G358">
        <f>ABS(E361-F361)</f>
        <v/>
      </c>
      <c r="H358">
        <f>RIGHT(A356,G358)</f>
        <v/>
      </c>
      <c r="I358" t="n">
        <v>0.5</v>
      </c>
      <c r="J358" s="12">
        <f>(A356-I358)</f>
        <v/>
      </c>
      <c r="K358" s="35">
        <f>IF(C360=5,IF(AND(E356=0,D361=FALSE),J358,J359),J359)</f>
        <v/>
      </c>
    </row>
    <row r="359" hidden="1">
      <c r="A359" s="31" t="n"/>
      <c r="C359">
        <f>RIGHT(C358,1)</f>
        <v/>
      </c>
      <c r="D359">
        <f>D358+0</f>
        <v/>
      </c>
      <c r="J359">
        <f>FIXED(A356,0)</f>
        <v/>
      </c>
      <c r="K359" s="34" t="n"/>
    </row>
    <row r="360" hidden="1">
      <c r="A360" s="31" t="n"/>
      <c r="C360">
        <f>C359+0</f>
        <v/>
      </c>
      <c r="D360" t="inlineStr">
        <is>
          <t>es impar?</t>
        </is>
      </c>
      <c r="E360" t="inlineStr">
        <is>
          <t>Largo dato original</t>
        </is>
      </c>
      <c r="F360" t="inlineStr">
        <is>
          <t>largo parte enetero y decimal</t>
        </is>
      </c>
      <c r="K360" s="27" t="n"/>
    </row>
    <row r="361" hidden="1" ht="15" customHeight="1" thickBot="1">
      <c r="A361" s="33" t="n"/>
      <c r="B361" s="33" t="n"/>
      <c r="C361" s="33" t="n"/>
      <c r="D361" s="33">
        <f>ISODD(D358)</f>
        <v/>
      </c>
      <c r="E361" s="33">
        <f>LEN(A356)</f>
        <v/>
      </c>
      <c r="F361" s="33">
        <f>LEN(E358)+1</f>
        <v/>
      </c>
      <c r="G361" s="33" t="n"/>
      <c r="H361" s="33" t="n"/>
      <c r="I361" s="33" t="n"/>
      <c r="J361" s="33" t="n"/>
      <c r="K361" s="32" t="n"/>
    </row>
    <row r="362" ht="15" customHeight="1" thickBot="1">
      <c r="A362" s="187" t="inlineStr">
        <is>
          <t>DATO 9</t>
        </is>
      </c>
      <c r="B362" s="188" t="n"/>
      <c r="C362" s="188" t="n"/>
      <c r="D362" s="188" t="n"/>
      <c r="E362" s="188" t="n"/>
      <c r="F362" s="188" t="n"/>
      <c r="G362" s="188" t="n"/>
      <c r="H362" s="188" t="n"/>
      <c r="I362" s="188" t="n"/>
      <c r="J362" s="188" t="n"/>
      <c r="K362" s="189" t="n"/>
    </row>
    <row r="363" ht="15" customHeight="1" thickBot="1">
      <c r="A363" s="31" t="inlineStr">
        <is>
          <t>Dato</t>
        </is>
      </c>
      <c r="B363" s="18" t="inlineStr">
        <is>
          <t>Dato redondeado</t>
        </is>
      </c>
      <c r="C363">
        <f>FIXED(A364,6)</f>
        <v/>
      </c>
      <c r="D363">
        <f>RIGHT(C363,1)</f>
        <v/>
      </c>
      <c r="E363">
        <f>D363/1000000</f>
        <v/>
      </c>
      <c r="F363" s="30">
        <f>A364-E363</f>
        <v/>
      </c>
      <c r="H363">
        <f>IF(C368=5,IF(AND(D364=0,D369=FALSE),J366,J367),J367)</f>
        <v/>
      </c>
      <c r="K363" s="27" t="n"/>
    </row>
    <row r="364" ht="18.6" customHeight="1" thickBot="1">
      <c r="A364" s="29">
        <f>INCERTIDUMBRE!L14</f>
        <v/>
      </c>
      <c r="B364" s="28">
        <f>IF(A364&gt;=10,K398,IF(A364&gt;=1,K390,IF(A364&gt;=0.1,K382,IF(A364&gt;=0.01,K374,IF(A364&gt;=0.001,K366)))))</f>
        <v/>
      </c>
      <c r="C364" t="inlineStr">
        <is>
          <t>6 decimal</t>
        </is>
      </c>
      <c r="D364">
        <f>D363+0</f>
        <v/>
      </c>
      <c r="K364" s="27" t="n"/>
    </row>
    <row r="365" hidden="1" ht="28.8" customHeight="1">
      <c r="A365" s="47" t="n"/>
      <c r="B365" s="47" t="n"/>
      <c r="C365" t="inlineStr">
        <is>
          <t>Extrae el ultimo digito</t>
        </is>
      </c>
      <c r="D365" t="inlineStr">
        <is>
          <t>extrael primer digito</t>
        </is>
      </c>
      <c r="E365" t="inlineStr">
        <is>
          <t>parte entera</t>
        </is>
      </c>
      <c r="F365" t="inlineStr">
        <is>
          <t>Parte decimal</t>
        </is>
      </c>
      <c r="G365" s="38" t="inlineStr">
        <is>
          <t>cantidad de decimales</t>
        </is>
      </c>
      <c r="H365" s="38" t="inlineStr">
        <is>
          <t>decimales en enteros</t>
        </is>
      </c>
      <c r="I365" s="38" t="inlineStr">
        <is>
          <t>restar ultimo numero</t>
        </is>
      </c>
      <c r="J365" s="38" t="inlineStr">
        <is>
          <t>Elimar ultimo digito</t>
        </is>
      </c>
      <c r="K365" s="37" t="inlineStr">
        <is>
          <t>Dato Final</t>
        </is>
      </c>
    </row>
    <row r="366" hidden="1" ht="18.6" customHeight="1" thickBot="1">
      <c r="A366" s="46" t="n"/>
      <c r="C366">
        <f>RIGHT(F363,2)</f>
        <v/>
      </c>
      <c r="D366">
        <f>LEFT(C366,1)</f>
        <v/>
      </c>
      <c r="E366" s="30">
        <f>TRUNC(A364)</f>
        <v/>
      </c>
      <c r="F366" s="14">
        <f>FIXED(A364-E366,G366)</f>
        <v/>
      </c>
      <c r="G366">
        <f>ABS(E369-F369)</f>
        <v/>
      </c>
      <c r="H366">
        <f>RIGHT(A364,G366)</f>
        <v/>
      </c>
      <c r="I366" t="n">
        <v>5e-05</v>
      </c>
      <c r="J366" s="14">
        <f>(A364-I366)</f>
        <v/>
      </c>
      <c r="K366" s="45">
        <f>IF(C368=5,IF(AND(D364=0,D369=FALSE),J366,J367),J367)</f>
        <v/>
      </c>
    </row>
    <row r="367" hidden="1">
      <c r="A367" s="31" t="n"/>
      <c r="C367">
        <f>RIGHT(C366,1)</f>
        <v/>
      </c>
      <c r="D367">
        <f>D366+0</f>
        <v/>
      </c>
      <c r="J367">
        <f>FIXED(A364,4)</f>
        <v/>
      </c>
      <c r="K367" s="27" t="n"/>
    </row>
    <row r="368" hidden="1">
      <c r="A368" s="31" t="n"/>
      <c r="C368">
        <f>C367+0</f>
        <v/>
      </c>
      <c r="D368" t="inlineStr">
        <is>
          <t>es impar?</t>
        </is>
      </c>
      <c r="E368" t="inlineStr">
        <is>
          <t>Largo dato original</t>
        </is>
      </c>
      <c r="F368" t="inlineStr">
        <is>
          <t>largo parte enetero y decimal</t>
        </is>
      </c>
      <c r="K368" s="27" t="n"/>
    </row>
    <row r="369" hidden="1">
      <c r="A369" s="31" t="n"/>
      <c r="D369">
        <f>ISODD(D366)</f>
        <v/>
      </c>
      <c r="E369">
        <f>LEN(A364)</f>
        <v/>
      </c>
      <c r="F369">
        <f>LEN(E366)+1</f>
        <v/>
      </c>
      <c r="K369" s="27" t="n"/>
    </row>
    <row r="370" hidden="1">
      <c r="A370" s="31" t="n"/>
      <c r="K370" s="27" t="n"/>
    </row>
    <row r="371" hidden="1">
      <c r="A371" s="190" t="inlineStr">
        <is>
          <t>4 Decimales</t>
        </is>
      </c>
      <c r="K371" s="27" t="n"/>
    </row>
    <row r="372" hidden="1">
      <c r="A372" s="42">
        <f>K366</f>
        <v/>
      </c>
      <c r="C372">
        <f>FIXED(A364,5)</f>
        <v/>
      </c>
      <c r="D372">
        <f>RIGHT(C372,1)</f>
        <v/>
      </c>
      <c r="E372">
        <f>D372+0</f>
        <v/>
      </c>
      <c r="K372" s="27" t="n"/>
    </row>
    <row r="373" hidden="1" ht="28.8" customHeight="1">
      <c r="A373" s="31" t="n"/>
      <c r="C373" t="inlineStr">
        <is>
          <t>Extrae el ultimo digito</t>
        </is>
      </c>
      <c r="D373" t="inlineStr">
        <is>
          <t>extrael primer digito</t>
        </is>
      </c>
      <c r="E373" t="inlineStr">
        <is>
          <t>parte entera</t>
        </is>
      </c>
      <c r="F373" t="inlineStr">
        <is>
          <t>Parte decimal</t>
        </is>
      </c>
      <c r="G373" s="38" t="inlineStr">
        <is>
          <t>cantidad de decimales</t>
        </is>
      </c>
      <c r="H373" s="38" t="inlineStr">
        <is>
          <t>decimales en enteros</t>
        </is>
      </c>
      <c r="I373" s="38" t="inlineStr">
        <is>
          <t>restar ultimo numero</t>
        </is>
      </c>
      <c r="J373" s="38" t="inlineStr">
        <is>
          <t>Elimar ultimo digito</t>
        </is>
      </c>
      <c r="K373" s="37" t="inlineStr">
        <is>
          <t>Dato Final</t>
        </is>
      </c>
    </row>
    <row r="374" hidden="1" ht="18" customHeight="1">
      <c r="A374" s="31" t="n"/>
      <c r="C374">
        <f>RIGHT(A372,2)</f>
        <v/>
      </c>
      <c r="D374">
        <f>LEFT(C374,1)</f>
        <v/>
      </c>
      <c r="E374" s="36">
        <f>TRUNC(A372)</f>
        <v/>
      </c>
      <c r="F374" s="14">
        <f>FIXED(A372-E374,G374)</f>
        <v/>
      </c>
      <c r="G374">
        <f>ABS(E377-F377)</f>
        <v/>
      </c>
      <c r="H374">
        <f>RIGHT(A372,G374)</f>
        <v/>
      </c>
      <c r="I374" t="n">
        <v>0.0005</v>
      </c>
      <c r="J374" s="44">
        <f>(A372-I374)</f>
        <v/>
      </c>
      <c r="K374" s="43">
        <f>IF(C376=5,IF(AND(E372=0,D377=FALSE),J374,J375),J375)</f>
        <v/>
      </c>
    </row>
    <row r="375" hidden="1">
      <c r="A375" s="31" t="n"/>
      <c r="C375">
        <f>RIGHT(C374,1)</f>
        <v/>
      </c>
      <c r="D375">
        <f>D374+0</f>
        <v/>
      </c>
      <c r="J375">
        <f>FIXED(A372,3)</f>
        <v/>
      </c>
      <c r="K375" s="27" t="n"/>
    </row>
    <row r="376" hidden="1">
      <c r="A376" s="31" t="n"/>
      <c r="C376">
        <f>C375+0</f>
        <v/>
      </c>
      <c r="D376" t="inlineStr">
        <is>
          <t>es impar?</t>
        </is>
      </c>
      <c r="E376" t="inlineStr">
        <is>
          <t>Largo dato original</t>
        </is>
      </c>
      <c r="F376" t="inlineStr">
        <is>
          <t>largo parte enetero y decimal</t>
        </is>
      </c>
      <c r="K376" s="27" t="n"/>
    </row>
    <row r="377" hidden="1">
      <c r="A377" s="31" t="n"/>
      <c r="D377">
        <f>ISODD(D374)</f>
        <v/>
      </c>
      <c r="E377">
        <f>LEN(A372)</f>
        <v/>
      </c>
      <c r="F377">
        <f>LEN(E374)+1</f>
        <v/>
      </c>
      <c r="K377" s="27" t="n"/>
    </row>
    <row r="378" hidden="1">
      <c r="A378" s="31" t="n"/>
      <c r="K378" s="27" t="n"/>
    </row>
    <row r="379" hidden="1">
      <c r="A379" s="190" t="inlineStr">
        <is>
          <t>3 Decimales</t>
        </is>
      </c>
      <c r="K379" s="27" t="n"/>
    </row>
    <row r="380" hidden="1">
      <c r="A380" s="42">
        <f>K374</f>
        <v/>
      </c>
      <c r="C380">
        <f>FIXED(A372,4)</f>
        <v/>
      </c>
      <c r="D380">
        <f>RIGHT(C380,1)</f>
        <v/>
      </c>
      <c r="E380">
        <f>D380+0</f>
        <v/>
      </c>
      <c r="K380" s="27" t="n"/>
    </row>
    <row r="381" hidden="1" ht="28.8" customHeight="1">
      <c r="A381" s="31" t="n"/>
      <c r="C381" t="inlineStr">
        <is>
          <t>Extrae el ultimo digito</t>
        </is>
      </c>
      <c r="D381" t="inlineStr">
        <is>
          <t>extrael primer digito</t>
        </is>
      </c>
      <c r="E381" t="inlineStr">
        <is>
          <t>parte entera</t>
        </is>
      </c>
      <c r="F381" t="inlineStr">
        <is>
          <t>Parte decimal</t>
        </is>
      </c>
      <c r="G381" s="38" t="inlineStr">
        <is>
          <t>cantidad de decimales</t>
        </is>
      </c>
      <c r="H381" s="38" t="inlineStr">
        <is>
          <t>decimales en enteros</t>
        </is>
      </c>
      <c r="I381" s="38" t="inlineStr">
        <is>
          <t>restar ultimo numero</t>
        </is>
      </c>
      <c r="J381" s="38" t="inlineStr">
        <is>
          <t>Elimar ultimo digito</t>
        </is>
      </c>
      <c r="K381" s="37" t="inlineStr">
        <is>
          <t>Dato Final</t>
        </is>
      </c>
    </row>
    <row r="382" hidden="1" ht="18" customHeight="1">
      <c r="A382" s="31" t="n"/>
      <c r="C382">
        <f>RIGHT(A380,2)</f>
        <v/>
      </c>
      <c r="D382">
        <f>LEFT(C382,1)</f>
        <v/>
      </c>
      <c r="E382" s="36">
        <f>TRUNC(A380)</f>
        <v/>
      </c>
      <c r="F382" s="14">
        <f>FIXED(A380-E382,G382)</f>
        <v/>
      </c>
      <c r="G382">
        <f>ABS(E385-F385)</f>
        <v/>
      </c>
      <c r="H382">
        <f>RIGHT(A380,G382)</f>
        <v/>
      </c>
      <c r="I382" t="n">
        <v>0.005</v>
      </c>
      <c r="J382" s="2">
        <f>(A380-I382)</f>
        <v/>
      </c>
      <c r="K382" s="41">
        <f>IF(C384=5,IF(AND(E380=0,D385=FALSE),J382,J383),J383)</f>
        <v/>
      </c>
    </row>
    <row r="383" hidden="1" ht="18" customHeight="1">
      <c r="A383" s="31" t="n"/>
      <c r="C383">
        <f>RIGHT(C382,1)</f>
        <v/>
      </c>
      <c r="D383">
        <f>D382+0</f>
        <v/>
      </c>
      <c r="J383">
        <f>FIXED(A380,2)</f>
        <v/>
      </c>
      <c r="K383" s="41" t="n"/>
    </row>
    <row r="384" hidden="1">
      <c r="A384" s="31" t="n"/>
      <c r="C384">
        <f>C383+0</f>
        <v/>
      </c>
      <c r="D384" t="inlineStr">
        <is>
          <t>es impar?</t>
        </is>
      </c>
      <c r="E384" t="inlineStr">
        <is>
          <t>Largo dato original</t>
        </is>
      </c>
      <c r="F384" t="inlineStr">
        <is>
          <t>largo parte enetero y decimal</t>
        </is>
      </c>
      <c r="K384" s="27" t="n"/>
    </row>
    <row r="385" hidden="1">
      <c r="A385" s="31" t="n"/>
      <c r="D385">
        <f>ISODD(D382)</f>
        <v/>
      </c>
      <c r="E385">
        <f>LEN(A380)</f>
        <v/>
      </c>
      <c r="F385">
        <f>LEN(E382)+1</f>
        <v/>
      </c>
      <c r="K385" s="27" t="n"/>
    </row>
    <row r="386" hidden="1">
      <c r="A386" s="31" t="n"/>
      <c r="K386" s="27" t="n"/>
    </row>
    <row r="387" hidden="1">
      <c r="A387" s="190" t="inlineStr">
        <is>
          <t>2 Decimales</t>
        </is>
      </c>
      <c r="K387" s="27" t="n"/>
    </row>
    <row r="388" hidden="1">
      <c r="A388" s="39">
        <f>K382</f>
        <v/>
      </c>
      <c r="C388">
        <f>FIXED(A380,3)</f>
        <v/>
      </c>
      <c r="D388">
        <f>RIGHT(C388,1)</f>
        <v/>
      </c>
      <c r="E388">
        <f>D388+0</f>
        <v/>
      </c>
      <c r="K388" s="27" t="n"/>
    </row>
    <row r="389" hidden="1" ht="28.8" customHeight="1">
      <c r="A389" s="31" t="n"/>
      <c r="C389" t="inlineStr">
        <is>
          <t>Extrae el ultimo digito</t>
        </is>
      </c>
      <c r="D389" t="inlineStr">
        <is>
          <t>extrael primer digito</t>
        </is>
      </c>
      <c r="E389" t="inlineStr">
        <is>
          <t>parte entera</t>
        </is>
      </c>
      <c r="F389" t="inlineStr">
        <is>
          <t>Parte decimal</t>
        </is>
      </c>
      <c r="G389" s="38" t="inlineStr">
        <is>
          <t>cantidad de decimales</t>
        </is>
      </c>
      <c r="H389" s="38" t="inlineStr">
        <is>
          <t>decimales en enteros</t>
        </is>
      </c>
      <c r="I389" s="38" t="inlineStr">
        <is>
          <t>restar ultimo numero</t>
        </is>
      </c>
      <c r="J389" s="38" t="inlineStr">
        <is>
          <t>Elimar ultimo digito</t>
        </is>
      </c>
      <c r="K389" s="37" t="inlineStr">
        <is>
          <t>Dato Final</t>
        </is>
      </c>
    </row>
    <row r="390" hidden="1" ht="18" customHeight="1">
      <c r="A390" s="31" t="n"/>
      <c r="C390">
        <f>RIGHT(A388,2)</f>
        <v/>
      </c>
      <c r="D390">
        <f>LEFT(C390,1)</f>
        <v/>
      </c>
      <c r="E390" s="36">
        <f>TRUNC(A388)</f>
        <v/>
      </c>
      <c r="F390" s="14">
        <f>FIXED(A388-E390,G390)</f>
        <v/>
      </c>
      <c r="G390">
        <f>ABS(E393-F393)</f>
        <v/>
      </c>
      <c r="H390">
        <f>RIGHT(A388,G390)</f>
        <v/>
      </c>
      <c r="I390" t="n">
        <v>0.05</v>
      </c>
      <c r="J390" s="2">
        <f>(A388-I390)</f>
        <v/>
      </c>
      <c r="K390" s="41">
        <f>IF(C392=5,IF(AND(E388=0,D393=FALSE),J390,J391),J391)</f>
        <v/>
      </c>
    </row>
    <row r="391" hidden="1">
      <c r="A391" s="31" t="n"/>
      <c r="C391">
        <f>RIGHT(C390,1)</f>
        <v/>
      </c>
      <c r="D391">
        <f>D390+0</f>
        <v/>
      </c>
      <c r="J391">
        <f>FIXED(A388,1)</f>
        <v/>
      </c>
      <c r="K391" s="40" t="n"/>
    </row>
    <row r="392" hidden="1">
      <c r="A392" s="31" t="n"/>
      <c r="C392">
        <f>C391+0</f>
        <v/>
      </c>
      <c r="D392" t="inlineStr">
        <is>
          <t>es impar?</t>
        </is>
      </c>
      <c r="E392" t="inlineStr">
        <is>
          <t>Largo dato original</t>
        </is>
      </c>
      <c r="F392" t="inlineStr">
        <is>
          <t>largo parte enetero y decimal</t>
        </is>
      </c>
      <c r="K392" s="27" t="n"/>
    </row>
    <row r="393" hidden="1">
      <c r="A393" s="31" t="n"/>
      <c r="D393">
        <f>ISODD(D390)</f>
        <v/>
      </c>
      <c r="E393">
        <f>LEN(A388)</f>
        <v/>
      </c>
      <c r="F393">
        <f>LEN(E390)+1</f>
        <v/>
      </c>
      <c r="K393" s="27" t="n"/>
    </row>
    <row r="394" hidden="1">
      <c r="A394" s="31" t="n"/>
      <c r="K394" s="27" t="n"/>
    </row>
    <row r="395" hidden="1">
      <c r="A395" s="190" t="inlineStr">
        <is>
          <t>1 Decimales</t>
        </is>
      </c>
      <c r="K395" s="27" t="n"/>
    </row>
    <row r="396" hidden="1">
      <c r="A396" s="39">
        <f>K390</f>
        <v/>
      </c>
      <c r="C396">
        <f>FIXED(A388,2)</f>
        <v/>
      </c>
      <c r="D396">
        <f>RIGHT(C396,1)</f>
        <v/>
      </c>
      <c r="E396">
        <f>D396+0</f>
        <v/>
      </c>
      <c r="K396" s="27" t="n"/>
    </row>
    <row r="397" hidden="1" ht="28.8" customHeight="1">
      <c r="A397" s="31" t="n"/>
      <c r="C397" t="inlineStr">
        <is>
          <t>Extrae el ultimo digito</t>
        </is>
      </c>
      <c r="D397" t="inlineStr">
        <is>
          <t>extrael primer digito</t>
        </is>
      </c>
      <c r="E397" t="inlineStr">
        <is>
          <t>parte entera</t>
        </is>
      </c>
      <c r="F397" t="inlineStr">
        <is>
          <t>Parte decimal</t>
        </is>
      </c>
      <c r="G397" s="38" t="inlineStr">
        <is>
          <t>cantidad de decimales</t>
        </is>
      </c>
      <c r="H397" s="38" t="inlineStr">
        <is>
          <t>decimales en enteros</t>
        </is>
      </c>
      <c r="I397" s="38" t="inlineStr">
        <is>
          <t>restar ultimo numero</t>
        </is>
      </c>
      <c r="J397" s="38" t="inlineStr">
        <is>
          <t>Elimar ultimo digito</t>
        </is>
      </c>
      <c r="K397" s="37" t="inlineStr">
        <is>
          <t>Dato Final</t>
        </is>
      </c>
    </row>
    <row r="398" hidden="1" ht="18" customHeight="1">
      <c r="A398" s="31" t="n"/>
      <c r="C398">
        <f>RIGHT(A396,2)</f>
        <v/>
      </c>
      <c r="D398">
        <f>RIGHT(E398,1)</f>
        <v/>
      </c>
      <c r="E398" s="36">
        <f>TRUNC(A396)</f>
        <v/>
      </c>
      <c r="F398" s="14">
        <f>FIXED(A396-E398,G398)</f>
        <v/>
      </c>
      <c r="G398">
        <f>ABS(E401-F401)</f>
        <v/>
      </c>
      <c r="H398">
        <f>RIGHT(A396,G398)</f>
        <v/>
      </c>
      <c r="I398" t="n">
        <v>0.5</v>
      </c>
      <c r="J398" s="12">
        <f>(A396-I398)</f>
        <v/>
      </c>
      <c r="K398" s="35">
        <f>IF(C400=5,IF(AND(E396=0,D401=FALSE),J398,J399),J399)</f>
        <v/>
      </c>
    </row>
    <row r="399" hidden="1">
      <c r="A399" s="31" t="n"/>
      <c r="C399">
        <f>RIGHT(C398,1)</f>
        <v/>
      </c>
      <c r="D399">
        <f>D398+0</f>
        <v/>
      </c>
      <c r="J399">
        <f>FIXED(A396,0)</f>
        <v/>
      </c>
      <c r="K399" s="34" t="n"/>
    </row>
    <row r="400" hidden="1">
      <c r="A400" s="31" t="n"/>
      <c r="C400">
        <f>C399+0</f>
        <v/>
      </c>
      <c r="D400" t="inlineStr">
        <is>
          <t>es impar?</t>
        </is>
      </c>
      <c r="E400" t="inlineStr">
        <is>
          <t>Largo dato original</t>
        </is>
      </c>
      <c r="F400" t="inlineStr">
        <is>
          <t>largo parte enetero y decimal</t>
        </is>
      </c>
      <c r="K400" s="27" t="n"/>
    </row>
    <row r="401" hidden="1" ht="15" customHeight="1" thickBot="1">
      <c r="A401" s="33" t="n"/>
      <c r="B401" s="33" t="n"/>
      <c r="C401" s="33" t="n"/>
      <c r="D401" s="33">
        <f>ISODD(D398)</f>
        <v/>
      </c>
      <c r="E401" s="33">
        <f>LEN(A396)</f>
        <v/>
      </c>
      <c r="F401" s="33">
        <f>LEN(E398)+1</f>
        <v/>
      </c>
      <c r="G401" s="33" t="n"/>
      <c r="H401" s="33" t="n"/>
      <c r="I401" s="33" t="n"/>
      <c r="J401" s="33" t="n"/>
      <c r="K401" s="32" t="n"/>
    </row>
    <row r="402" ht="15" customHeight="1" thickBot="1">
      <c r="A402" s="187" t="inlineStr">
        <is>
          <t>DATO 10</t>
        </is>
      </c>
      <c r="B402" s="188" t="n"/>
      <c r="C402" s="188" t="n"/>
      <c r="D402" s="188" t="n"/>
      <c r="E402" s="188" t="n"/>
      <c r="F402" s="188" t="n"/>
      <c r="G402" s="188" t="n"/>
      <c r="H402" s="188" t="n"/>
      <c r="I402" s="188" t="n"/>
      <c r="J402" s="188" t="n"/>
      <c r="K402" s="189" t="n"/>
    </row>
    <row r="403" ht="15" customHeight="1" thickBot="1">
      <c r="A403" s="31" t="inlineStr">
        <is>
          <t>Dato</t>
        </is>
      </c>
      <c r="B403" s="18" t="inlineStr">
        <is>
          <t>Dato redondeado</t>
        </is>
      </c>
      <c r="C403">
        <f>FIXED(A404,6)</f>
        <v/>
      </c>
      <c r="D403">
        <f>RIGHT(C403,1)</f>
        <v/>
      </c>
      <c r="E403">
        <f>D403/1000000</f>
        <v/>
      </c>
      <c r="F403" s="30">
        <f>A404-E403</f>
        <v/>
      </c>
      <c r="H403">
        <f>IF(C408=5,IF(AND(D404=0,D409=FALSE),J406,J407),J407)</f>
        <v/>
      </c>
      <c r="K403" s="27" t="n"/>
    </row>
    <row r="404" ht="18.6" customHeight="1" thickBot="1">
      <c r="A404" s="29">
        <f>INCERTIDUMBRE!#REF!</f>
        <v/>
      </c>
      <c r="B404" s="28">
        <f>IF(A404&gt;=10,K438,IF(A404&gt;=1,K430,IF(A404&gt;=0.1,K422,IF(A404&gt;=0.01,K414,IF(A404&gt;=0.001,K406)))))</f>
        <v/>
      </c>
      <c r="C404" t="inlineStr">
        <is>
          <t>6 decimal</t>
        </is>
      </c>
      <c r="D404">
        <f>D403+0</f>
        <v/>
      </c>
      <c r="K404" s="27" t="n"/>
    </row>
    <row r="405" hidden="1" ht="28.8" customHeight="1">
      <c r="A405" s="47" t="n"/>
      <c r="B405" s="47" t="n"/>
      <c r="C405" t="inlineStr">
        <is>
          <t>Extrae el ultimo digito</t>
        </is>
      </c>
      <c r="D405" t="inlineStr">
        <is>
          <t>extrael primer digito</t>
        </is>
      </c>
      <c r="E405" t="inlineStr">
        <is>
          <t>parte entera</t>
        </is>
      </c>
      <c r="F405" t="inlineStr">
        <is>
          <t>Parte decimal</t>
        </is>
      </c>
      <c r="G405" s="38" t="inlineStr">
        <is>
          <t>cantidad de decimales</t>
        </is>
      </c>
      <c r="H405" s="38" t="inlineStr">
        <is>
          <t>decimales en enteros</t>
        </is>
      </c>
      <c r="I405" s="38" t="inlineStr">
        <is>
          <t>restar ultimo numero</t>
        </is>
      </c>
      <c r="J405" s="38" t="inlineStr">
        <is>
          <t>Elimar ultimo digito</t>
        </is>
      </c>
      <c r="K405" s="37" t="inlineStr">
        <is>
          <t>Dato Final</t>
        </is>
      </c>
    </row>
    <row r="406" hidden="1" ht="18.6" customHeight="1" thickBot="1">
      <c r="A406" s="46" t="n"/>
      <c r="C406">
        <f>RIGHT(F403,2)</f>
        <v/>
      </c>
      <c r="D406">
        <f>LEFT(C406,1)</f>
        <v/>
      </c>
      <c r="E406" s="30">
        <f>TRUNC(A404)</f>
        <v/>
      </c>
      <c r="F406" s="14">
        <f>FIXED(A404-E406,G406)</f>
        <v/>
      </c>
      <c r="G406">
        <f>ABS(E409-F409)</f>
        <v/>
      </c>
      <c r="H406">
        <f>RIGHT(A404,G406)</f>
        <v/>
      </c>
      <c r="I406" t="n">
        <v>5e-05</v>
      </c>
      <c r="J406" s="14">
        <f>(A404-I406)</f>
        <v/>
      </c>
      <c r="K406" s="45">
        <f>IF(C408=5,IF(AND(D404=0,D409=FALSE),J406,J407),J407)</f>
        <v/>
      </c>
    </row>
    <row r="407" hidden="1">
      <c r="A407" s="31" t="n"/>
      <c r="C407">
        <f>RIGHT(C406,1)</f>
        <v/>
      </c>
      <c r="D407">
        <f>D406+0</f>
        <v/>
      </c>
      <c r="J407">
        <f>FIXED(A404,4)</f>
        <v/>
      </c>
      <c r="K407" s="27" t="n"/>
    </row>
    <row r="408" hidden="1">
      <c r="A408" s="31" t="n"/>
      <c r="C408">
        <f>C407+0</f>
        <v/>
      </c>
      <c r="D408" t="inlineStr">
        <is>
          <t>es impar?</t>
        </is>
      </c>
      <c r="E408" t="inlineStr">
        <is>
          <t>Largo dato original</t>
        </is>
      </c>
      <c r="F408" t="inlineStr">
        <is>
          <t>largo parte enetero y decimal</t>
        </is>
      </c>
      <c r="K408" s="27" t="n"/>
    </row>
    <row r="409" hidden="1">
      <c r="A409" s="31" t="n"/>
      <c r="D409">
        <f>ISODD(D406)</f>
        <v/>
      </c>
      <c r="E409">
        <f>LEN(A404)</f>
        <v/>
      </c>
      <c r="F409">
        <f>LEN(E406)+1</f>
        <v/>
      </c>
      <c r="K409" s="27" t="n"/>
    </row>
    <row r="410" hidden="1">
      <c r="A410" s="31" t="n"/>
      <c r="K410" s="27" t="n"/>
    </row>
    <row r="411" hidden="1">
      <c r="A411" s="190" t="inlineStr">
        <is>
          <t>4 Decimales</t>
        </is>
      </c>
      <c r="K411" s="27" t="n"/>
    </row>
    <row r="412" hidden="1">
      <c r="A412" s="42">
        <f>K406</f>
        <v/>
      </c>
      <c r="C412">
        <f>FIXED(A404,5)</f>
        <v/>
      </c>
      <c r="D412">
        <f>RIGHT(C412,1)</f>
        <v/>
      </c>
      <c r="E412">
        <f>D412+0</f>
        <v/>
      </c>
      <c r="K412" s="27" t="n"/>
    </row>
    <row r="413" hidden="1" ht="28.8" customHeight="1">
      <c r="A413" s="31" t="n"/>
      <c r="C413" t="inlineStr">
        <is>
          <t>Extrae el ultimo digito</t>
        </is>
      </c>
      <c r="D413" t="inlineStr">
        <is>
          <t>extrael primer digito</t>
        </is>
      </c>
      <c r="E413" t="inlineStr">
        <is>
          <t>parte entera</t>
        </is>
      </c>
      <c r="F413" t="inlineStr">
        <is>
          <t>Parte decimal</t>
        </is>
      </c>
      <c r="G413" s="38" t="inlineStr">
        <is>
          <t>cantidad de decimales</t>
        </is>
      </c>
      <c r="H413" s="38" t="inlineStr">
        <is>
          <t>decimales en enteros</t>
        </is>
      </c>
      <c r="I413" s="38" t="inlineStr">
        <is>
          <t>restar ultimo numero</t>
        </is>
      </c>
      <c r="J413" s="38" t="inlineStr">
        <is>
          <t>Elimar ultimo digito</t>
        </is>
      </c>
      <c r="K413" s="37" t="inlineStr">
        <is>
          <t>Dato Final</t>
        </is>
      </c>
    </row>
    <row r="414" hidden="1" ht="18" customHeight="1">
      <c r="A414" s="31" t="n"/>
      <c r="C414">
        <f>RIGHT(A412,2)</f>
        <v/>
      </c>
      <c r="D414">
        <f>LEFT(C414,1)</f>
        <v/>
      </c>
      <c r="E414" s="36">
        <f>TRUNC(A412)</f>
        <v/>
      </c>
      <c r="F414" s="14">
        <f>FIXED(A412-E414,G414)</f>
        <v/>
      </c>
      <c r="G414">
        <f>ABS(E417-F417)</f>
        <v/>
      </c>
      <c r="H414">
        <f>RIGHT(A412,G414)</f>
        <v/>
      </c>
      <c r="I414" t="n">
        <v>0.0005</v>
      </c>
      <c r="J414" s="44">
        <f>(A412-I414)</f>
        <v/>
      </c>
      <c r="K414" s="43">
        <f>IF(C416=5,IF(AND(E412=0,D417=FALSE),J414,J415),J415)</f>
        <v/>
      </c>
    </row>
    <row r="415" hidden="1">
      <c r="A415" s="31" t="n"/>
      <c r="C415">
        <f>RIGHT(C414,1)</f>
        <v/>
      </c>
      <c r="D415">
        <f>D414+0</f>
        <v/>
      </c>
      <c r="J415">
        <f>FIXED(A412,3)</f>
        <v/>
      </c>
      <c r="K415" s="27" t="n"/>
    </row>
    <row r="416" hidden="1">
      <c r="A416" s="31" t="n"/>
      <c r="C416">
        <f>C415+0</f>
        <v/>
      </c>
      <c r="D416" t="inlineStr">
        <is>
          <t>es impar?</t>
        </is>
      </c>
      <c r="E416" t="inlineStr">
        <is>
          <t>Largo dato original</t>
        </is>
      </c>
      <c r="F416" t="inlineStr">
        <is>
          <t>largo parte enetero y decimal</t>
        </is>
      </c>
      <c r="K416" s="27" t="n"/>
    </row>
    <row r="417" hidden="1">
      <c r="A417" s="31" t="n"/>
      <c r="D417">
        <f>ISODD(D414)</f>
        <v/>
      </c>
      <c r="E417">
        <f>LEN(A412)</f>
        <v/>
      </c>
      <c r="F417">
        <f>LEN(E414)+1</f>
        <v/>
      </c>
      <c r="K417" s="27" t="n"/>
    </row>
    <row r="418" hidden="1">
      <c r="A418" s="31" t="n"/>
      <c r="K418" s="27" t="n"/>
    </row>
    <row r="419" hidden="1">
      <c r="A419" s="190" t="inlineStr">
        <is>
          <t>3 Decimales</t>
        </is>
      </c>
      <c r="K419" s="27" t="n"/>
    </row>
    <row r="420" hidden="1">
      <c r="A420" s="42">
        <f>K414</f>
        <v/>
      </c>
      <c r="C420">
        <f>FIXED(A412,4)</f>
        <v/>
      </c>
      <c r="D420">
        <f>RIGHT(C420,1)</f>
        <v/>
      </c>
      <c r="E420">
        <f>D420+0</f>
        <v/>
      </c>
      <c r="K420" s="27" t="n"/>
    </row>
    <row r="421" hidden="1" ht="28.8" customHeight="1">
      <c r="A421" s="31" t="n"/>
      <c r="C421" t="inlineStr">
        <is>
          <t>Extrae el ultimo digito</t>
        </is>
      </c>
      <c r="D421" t="inlineStr">
        <is>
          <t>extrael primer digito</t>
        </is>
      </c>
      <c r="E421" t="inlineStr">
        <is>
          <t>parte entera</t>
        </is>
      </c>
      <c r="F421" t="inlineStr">
        <is>
          <t>Parte decimal</t>
        </is>
      </c>
      <c r="G421" s="38" t="inlineStr">
        <is>
          <t>cantidad de decimales</t>
        </is>
      </c>
      <c r="H421" s="38" t="inlineStr">
        <is>
          <t>decimales en enteros</t>
        </is>
      </c>
      <c r="I421" s="38" t="inlineStr">
        <is>
          <t>restar ultimo numero</t>
        </is>
      </c>
      <c r="J421" s="38" t="inlineStr">
        <is>
          <t>Elimar ultimo digito</t>
        </is>
      </c>
      <c r="K421" s="37" t="inlineStr">
        <is>
          <t>Dato Final</t>
        </is>
      </c>
    </row>
    <row r="422" hidden="1" ht="18" customHeight="1">
      <c r="A422" s="31" t="n"/>
      <c r="C422">
        <f>RIGHT(A420,2)</f>
        <v/>
      </c>
      <c r="D422">
        <f>LEFT(C422,1)</f>
        <v/>
      </c>
      <c r="E422" s="36">
        <f>TRUNC(A420)</f>
        <v/>
      </c>
      <c r="F422" s="14">
        <f>FIXED(A420-E422,G422)</f>
        <v/>
      </c>
      <c r="G422">
        <f>ABS(E425-F425)</f>
        <v/>
      </c>
      <c r="H422">
        <f>RIGHT(A420,G422)</f>
        <v/>
      </c>
      <c r="I422" t="n">
        <v>0.005</v>
      </c>
      <c r="J422" s="2">
        <f>(A420-I422)</f>
        <v/>
      </c>
      <c r="K422" s="41">
        <f>IF(C424=5,IF(AND(E420=0,D425=FALSE),J422,J423),J423)</f>
        <v/>
      </c>
    </row>
    <row r="423" hidden="1" ht="18" customHeight="1">
      <c r="A423" s="31" t="n"/>
      <c r="C423">
        <f>RIGHT(C422,1)</f>
        <v/>
      </c>
      <c r="D423">
        <f>D422+0</f>
        <v/>
      </c>
      <c r="J423">
        <f>FIXED(A420,2)</f>
        <v/>
      </c>
      <c r="K423" s="41" t="n"/>
    </row>
    <row r="424" hidden="1">
      <c r="A424" s="31" t="n"/>
      <c r="C424">
        <f>C423+0</f>
        <v/>
      </c>
      <c r="D424" t="inlineStr">
        <is>
          <t>es impar?</t>
        </is>
      </c>
      <c r="E424" t="inlineStr">
        <is>
          <t>Largo dato original</t>
        </is>
      </c>
      <c r="F424" t="inlineStr">
        <is>
          <t>largo parte enetero y decimal</t>
        </is>
      </c>
      <c r="K424" s="27" t="n"/>
    </row>
    <row r="425" hidden="1">
      <c r="A425" s="31" t="n"/>
      <c r="D425">
        <f>ISODD(D422)</f>
        <v/>
      </c>
      <c r="E425">
        <f>LEN(A420)</f>
        <v/>
      </c>
      <c r="F425">
        <f>LEN(E422)+1</f>
        <v/>
      </c>
      <c r="K425" s="27" t="n"/>
    </row>
    <row r="426" hidden="1">
      <c r="A426" s="31" t="n"/>
      <c r="K426" s="27" t="n"/>
    </row>
    <row r="427" hidden="1">
      <c r="A427" s="190" t="inlineStr">
        <is>
          <t>2 Decimales</t>
        </is>
      </c>
      <c r="K427" s="27" t="n"/>
    </row>
    <row r="428" hidden="1">
      <c r="A428" s="39">
        <f>K422</f>
        <v/>
      </c>
      <c r="C428">
        <f>FIXED(A420,3)</f>
        <v/>
      </c>
      <c r="D428">
        <f>RIGHT(C428,1)</f>
        <v/>
      </c>
      <c r="E428">
        <f>D428+0</f>
        <v/>
      </c>
      <c r="K428" s="27" t="n"/>
    </row>
    <row r="429" hidden="1" ht="28.8" customHeight="1">
      <c r="A429" s="31" t="n"/>
      <c r="C429" t="inlineStr">
        <is>
          <t>Extrae el ultimo digito</t>
        </is>
      </c>
      <c r="D429" t="inlineStr">
        <is>
          <t>extrael primer digito</t>
        </is>
      </c>
      <c r="E429" t="inlineStr">
        <is>
          <t>parte entera</t>
        </is>
      </c>
      <c r="F429" t="inlineStr">
        <is>
          <t>Parte decimal</t>
        </is>
      </c>
      <c r="G429" s="38" t="inlineStr">
        <is>
          <t>cantidad de decimales</t>
        </is>
      </c>
      <c r="H429" s="38" t="inlineStr">
        <is>
          <t>decimales en enteros</t>
        </is>
      </c>
      <c r="I429" s="38" t="inlineStr">
        <is>
          <t>restar ultimo numero</t>
        </is>
      </c>
      <c r="J429" s="38" t="inlineStr">
        <is>
          <t>Elimar ultimo digito</t>
        </is>
      </c>
      <c r="K429" s="37" t="inlineStr">
        <is>
          <t>Dato Final</t>
        </is>
      </c>
    </row>
    <row r="430" hidden="1" ht="18" customHeight="1">
      <c r="A430" s="31" t="n"/>
      <c r="C430">
        <f>RIGHT(A428,2)</f>
        <v/>
      </c>
      <c r="D430">
        <f>LEFT(C430,1)</f>
        <v/>
      </c>
      <c r="E430" s="36">
        <f>TRUNC(A428)</f>
        <v/>
      </c>
      <c r="F430" s="14">
        <f>FIXED(A428-E430,G430)</f>
        <v/>
      </c>
      <c r="G430">
        <f>ABS(E433-F433)</f>
        <v/>
      </c>
      <c r="H430">
        <f>RIGHT(A428,G430)</f>
        <v/>
      </c>
      <c r="I430" t="n">
        <v>0.05</v>
      </c>
      <c r="J430" s="2">
        <f>(A428-I430)</f>
        <v/>
      </c>
      <c r="K430" s="41">
        <f>IF(C432=5,IF(AND(E428=0,D433=FALSE),J430,J431),J431)</f>
        <v/>
      </c>
    </row>
    <row r="431" hidden="1">
      <c r="A431" s="31" t="n"/>
      <c r="C431">
        <f>RIGHT(C430,1)</f>
        <v/>
      </c>
      <c r="D431">
        <f>D430+0</f>
        <v/>
      </c>
      <c r="J431">
        <f>FIXED(A428,1)</f>
        <v/>
      </c>
      <c r="K431" s="40" t="n"/>
    </row>
    <row r="432" hidden="1">
      <c r="A432" s="31" t="n"/>
      <c r="C432">
        <f>C431+0</f>
        <v/>
      </c>
      <c r="D432" t="inlineStr">
        <is>
          <t>es impar?</t>
        </is>
      </c>
      <c r="E432" t="inlineStr">
        <is>
          <t>Largo dato original</t>
        </is>
      </c>
      <c r="F432" t="inlineStr">
        <is>
          <t>largo parte enetero y decimal</t>
        </is>
      </c>
      <c r="K432" s="27" t="n"/>
    </row>
    <row r="433" hidden="1">
      <c r="A433" s="31" t="n"/>
      <c r="D433">
        <f>ISODD(D430)</f>
        <v/>
      </c>
      <c r="E433">
        <f>LEN(A428)</f>
        <v/>
      </c>
      <c r="F433">
        <f>LEN(E430)+1</f>
        <v/>
      </c>
      <c r="K433" s="27" t="n"/>
    </row>
    <row r="434" hidden="1">
      <c r="A434" s="31" t="n"/>
      <c r="K434" s="27" t="n"/>
    </row>
    <row r="435" hidden="1">
      <c r="A435" s="190" t="inlineStr">
        <is>
          <t>1 Decimales</t>
        </is>
      </c>
      <c r="K435" s="27" t="n"/>
    </row>
    <row r="436" hidden="1">
      <c r="A436" s="39">
        <f>K430</f>
        <v/>
      </c>
      <c r="C436">
        <f>FIXED(A428,2)</f>
        <v/>
      </c>
      <c r="D436">
        <f>RIGHT(C436,1)</f>
        <v/>
      </c>
      <c r="E436">
        <f>D436+0</f>
        <v/>
      </c>
      <c r="K436" s="27" t="n"/>
    </row>
    <row r="437" hidden="1" ht="28.8" customHeight="1">
      <c r="A437" s="31" t="n"/>
      <c r="C437" t="inlineStr">
        <is>
          <t>Extrae el ultimo digito</t>
        </is>
      </c>
      <c r="D437" t="inlineStr">
        <is>
          <t>extrael primer digito</t>
        </is>
      </c>
      <c r="E437" t="inlineStr">
        <is>
          <t>parte entera</t>
        </is>
      </c>
      <c r="F437" t="inlineStr">
        <is>
          <t>Parte decimal</t>
        </is>
      </c>
      <c r="G437" s="38" t="inlineStr">
        <is>
          <t>cantidad de decimales</t>
        </is>
      </c>
      <c r="H437" s="38" t="inlineStr">
        <is>
          <t>decimales en enteros</t>
        </is>
      </c>
      <c r="I437" s="38" t="inlineStr">
        <is>
          <t>restar ultimo numero</t>
        </is>
      </c>
      <c r="J437" s="38" t="inlineStr">
        <is>
          <t>Elimar ultimo digito</t>
        </is>
      </c>
      <c r="K437" s="37" t="inlineStr">
        <is>
          <t>Dato Final</t>
        </is>
      </c>
    </row>
    <row r="438" hidden="1" ht="18" customHeight="1">
      <c r="A438" s="31" t="n"/>
      <c r="C438">
        <f>RIGHT(A436,2)</f>
        <v/>
      </c>
      <c r="D438">
        <f>RIGHT(E438,1)</f>
        <v/>
      </c>
      <c r="E438" s="36">
        <f>TRUNC(A436)</f>
        <v/>
      </c>
      <c r="F438" s="14">
        <f>FIXED(A436-E438,G438)</f>
        <v/>
      </c>
      <c r="G438">
        <f>ABS(E441-F441)</f>
        <v/>
      </c>
      <c r="H438">
        <f>RIGHT(A436,G438)</f>
        <v/>
      </c>
      <c r="I438" t="n">
        <v>0.5</v>
      </c>
      <c r="J438" s="12">
        <f>(A436-I438)</f>
        <v/>
      </c>
      <c r="K438" s="35">
        <f>IF(C440=5,IF(AND(E436=0,D441=FALSE),J438,J439),J439)</f>
        <v/>
      </c>
    </row>
    <row r="439" hidden="1">
      <c r="A439" s="31" t="n"/>
      <c r="C439">
        <f>RIGHT(C438,1)</f>
        <v/>
      </c>
      <c r="D439">
        <f>D438+0</f>
        <v/>
      </c>
      <c r="J439">
        <f>FIXED(A436,0)</f>
        <v/>
      </c>
      <c r="K439" s="34" t="n"/>
    </row>
    <row r="440" hidden="1">
      <c r="A440" s="31" t="n"/>
      <c r="C440">
        <f>C439+0</f>
        <v/>
      </c>
      <c r="D440" t="inlineStr">
        <is>
          <t>es impar?</t>
        </is>
      </c>
      <c r="E440" t="inlineStr">
        <is>
          <t>Largo dato original</t>
        </is>
      </c>
      <c r="F440" t="inlineStr">
        <is>
          <t>largo parte enetero y decimal</t>
        </is>
      </c>
      <c r="K440" s="27" t="n"/>
    </row>
    <row r="441" hidden="1" ht="15" customHeight="1" thickBot="1">
      <c r="A441" s="33" t="n"/>
      <c r="B441" s="33" t="n"/>
      <c r="C441" s="33" t="n"/>
      <c r="D441" s="33">
        <f>ISODD(D438)</f>
        <v/>
      </c>
      <c r="E441" s="33">
        <f>LEN(A436)</f>
        <v/>
      </c>
      <c r="F441" s="33">
        <f>LEN(E438)+1</f>
        <v/>
      </c>
      <c r="G441" s="33" t="n"/>
      <c r="H441" s="33" t="n"/>
      <c r="I441" s="33" t="n"/>
      <c r="J441" s="33" t="n"/>
      <c r="K441" s="32" t="n"/>
    </row>
    <row r="442" ht="15" customHeight="1" thickBot="1">
      <c r="A442" s="187" t="inlineStr">
        <is>
          <t>DATO 11</t>
        </is>
      </c>
      <c r="B442" s="188" t="n"/>
      <c r="C442" s="188" t="n"/>
      <c r="D442" s="188" t="n"/>
      <c r="E442" s="188" t="n"/>
      <c r="F442" s="188" t="n"/>
      <c r="G442" s="188" t="n"/>
      <c r="H442" s="188" t="n"/>
      <c r="I442" s="188" t="n"/>
      <c r="J442" s="188" t="n"/>
      <c r="K442" s="189" t="n"/>
    </row>
    <row r="443" ht="15" customHeight="1" thickBot="1">
      <c r="C443" s="31" t="inlineStr">
        <is>
          <t>Dato</t>
        </is>
      </c>
      <c r="D443" s="18" t="inlineStr">
        <is>
          <t>Dato redondeado</t>
        </is>
      </c>
      <c r="E443">
        <f>FIXED(C444,6)</f>
        <v/>
      </c>
      <c r="F443">
        <f>RIGHT(E443,1)</f>
        <v/>
      </c>
      <c r="G443">
        <f>F443/1000000</f>
        <v/>
      </c>
      <c r="H443" s="30">
        <f>C444-G443</f>
        <v/>
      </c>
      <c r="J443">
        <f>IF(E448=5,IF(AND(F444=0,F449=FALSE),L446,L447),L447)</f>
        <v/>
      </c>
      <c r="M443" s="27" t="n"/>
    </row>
    <row r="444" ht="18" customHeight="1">
      <c r="C444" s="29">
        <f>INCERTIDUMBRE!L15</f>
        <v/>
      </c>
      <c r="D444" s="28">
        <f>IF(C444&gt;=10,M478,IF(C444&gt;=1,M470,IF(C444&gt;=0.1,M462,IF(C444&gt;=0.01,M454,IF(C444&gt;=0.001,M446)))))</f>
        <v/>
      </c>
      <c r="E444" t="inlineStr">
        <is>
          <t>6 decimal</t>
        </is>
      </c>
      <c r="F444">
        <f>F443+0</f>
        <v/>
      </c>
      <c r="M444" s="27" t="n"/>
    </row>
    <row r="445" ht="28.8" customHeight="1">
      <c r="C445" s="47" t="n"/>
      <c r="D445" s="47" t="n"/>
      <c r="E445" t="inlineStr">
        <is>
          <t>Extrae el ultimo digito</t>
        </is>
      </c>
      <c r="F445" t="inlineStr">
        <is>
          <t>extrael primer digito</t>
        </is>
      </c>
      <c r="G445" t="inlineStr">
        <is>
          <t>parte entera</t>
        </is>
      </c>
      <c r="H445" t="inlineStr">
        <is>
          <t>Parte decimal</t>
        </is>
      </c>
      <c r="I445" s="38" t="inlineStr">
        <is>
          <t>cantidad de decimales</t>
        </is>
      </c>
      <c r="J445" s="38" t="inlineStr">
        <is>
          <t>decimales en enteros</t>
        </is>
      </c>
      <c r="K445" s="38" t="inlineStr">
        <is>
          <t>restar ultimo numero</t>
        </is>
      </c>
      <c r="L445" s="38" t="inlineStr">
        <is>
          <t>Elimar ultimo digito</t>
        </is>
      </c>
      <c r="M445" s="37" t="inlineStr">
        <is>
          <t>Dato Final</t>
        </is>
      </c>
    </row>
    <row r="446" ht="18.6" customHeight="1" thickBot="1">
      <c r="C446" s="46" t="n"/>
      <c r="E446">
        <f>RIGHT(H443,2)</f>
        <v/>
      </c>
      <c r="F446">
        <f>LEFT(E446,1)</f>
        <v/>
      </c>
      <c r="G446" s="30">
        <f>TRUNC(C444)</f>
        <v/>
      </c>
      <c r="H446" s="14">
        <f>FIXED(C444-G446,I446)</f>
        <v/>
      </c>
      <c r="I446">
        <f>ABS(G449-H449)</f>
        <v/>
      </c>
      <c r="J446">
        <f>RIGHT(C444,I446)</f>
        <v/>
      </c>
      <c r="K446" t="n">
        <v>5e-05</v>
      </c>
      <c r="L446" s="14">
        <f>(C444-K446)</f>
        <v/>
      </c>
      <c r="M446" s="45">
        <f>IF(E448=5,IF(AND(F444=0,F449=FALSE),L446,L447),L447)</f>
        <v/>
      </c>
    </row>
    <row r="447">
      <c r="C447" s="31" t="n"/>
      <c r="E447">
        <f>RIGHT(E446,1)</f>
        <v/>
      </c>
      <c r="F447">
        <f>F446+0</f>
        <v/>
      </c>
      <c r="L447">
        <f>FIXED(C444,4)</f>
        <v/>
      </c>
      <c r="M447" s="27" t="n"/>
    </row>
    <row r="448">
      <c r="C448" s="31" t="n"/>
      <c r="E448">
        <f>E447+0</f>
        <v/>
      </c>
      <c r="F448" t="inlineStr">
        <is>
          <t>es impar?</t>
        </is>
      </c>
      <c r="G448" t="inlineStr">
        <is>
          <t>Largo dato original</t>
        </is>
      </c>
      <c r="H448" t="inlineStr">
        <is>
          <t>largo parte enetero y decimal</t>
        </is>
      </c>
      <c r="M448" s="27" t="n"/>
    </row>
    <row r="449">
      <c r="C449" s="31" t="n"/>
      <c r="F449">
        <f>ISODD(F446)</f>
        <v/>
      </c>
      <c r="G449">
        <f>LEN(C444)</f>
        <v/>
      </c>
      <c r="H449">
        <f>LEN(G446)+1</f>
        <v/>
      </c>
      <c r="M449" s="27" t="n"/>
    </row>
    <row r="450">
      <c r="C450" s="31" t="n"/>
      <c r="M450" s="27" t="n"/>
    </row>
    <row r="451">
      <c r="C451" s="190" t="inlineStr">
        <is>
          <t>4 Decimales</t>
        </is>
      </c>
      <c r="M451" s="27" t="n"/>
    </row>
    <row r="452">
      <c r="C452" s="42">
        <f>M446</f>
        <v/>
      </c>
      <c r="E452">
        <f>FIXED(C444,5)</f>
        <v/>
      </c>
      <c r="F452">
        <f>RIGHT(E452,1)</f>
        <v/>
      </c>
      <c r="G452">
        <f>F452+0</f>
        <v/>
      </c>
      <c r="M452" s="27" t="n"/>
    </row>
    <row r="453" ht="28.8" customHeight="1">
      <c r="C453" s="31" t="n"/>
      <c r="E453" t="inlineStr">
        <is>
          <t>Extrae el ultimo digito</t>
        </is>
      </c>
      <c r="F453" t="inlineStr">
        <is>
          <t>extrael primer digito</t>
        </is>
      </c>
      <c r="G453" t="inlineStr">
        <is>
          <t>parte entera</t>
        </is>
      </c>
      <c r="H453" t="inlineStr">
        <is>
          <t>Parte decimal</t>
        </is>
      </c>
      <c r="I453" s="38" t="inlineStr">
        <is>
          <t>cantidad de decimales</t>
        </is>
      </c>
      <c r="J453" s="38" t="inlineStr">
        <is>
          <t>decimales en enteros</t>
        </is>
      </c>
      <c r="K453" s="38" t="inlineStr">
        <is>
          <t>restar ultimo numero</t>
        </is>
      </c>
      <c r="L453" s="38" t="inlineStr">
        <is>
          <t>Elimar ultimo digito</t>
        </is>
      </c>
      <c r="M453" s="37" t="inlineStr">
        <is>
          <t>Dato Final</t>
        </is>
      </c>
    </row>
    <row r="454" ht="18" customHeight="1">
      <c r="C454" s="31" t="n"/>
      <c r="E454">
        <f>RIGHT(C452,2)</f>
        <v/>
      </c>
      <c r="F454">
        <f>LEFT(E454,1)</f>
        <v/>
      </c>
      <c r="G454" s="36">
        <f>TRUNC(C452)</f>
        <v/>
      </c>
      <c r="H454" s="14">
        <f>FIXED(C452-G454,I454)</f>
        <v/>
      </c>
      <c r="I454">
        <f>ABS(G457-H457)</f>
        <v/>
      </c>
      <c r="J454">
        <f>RIGHT(C452,I454)</f>
        <v/>
      </c>
      <c r="K454" t="n">
        <v>0.0005</v>
      </c>
      <c r="L454" s="44">
        <f>(C452-K454)</f>
        <v/>
      </c>
      <c r="M454" s="43">
        <f>IF(E456=5,IF(AND(G452=0,F457=FALSE),L454,L455),L455)</f>
        <v/>
      </c>
    </row>
    <row r="455">
      <c r="C455" s="31" t="n"/>
      <c r="E455">
        <f>RIGHT(E454,1)</f>
        <v/>
      </c>
      <c r="F455">
        <f>F454+0</f>
        <v/>
      </c>
      <c r="L455">
        <f>FIXED(C452,3)</f>
        <v/>
      </c>
      <c r="M455" s="27" t="n"/>
    </row>
    <row r="456">
      <c r="C456" s="31" t="n"/>
      <c r="E456">
        <f>E455+0</f>
        <v/>
      </c>
      <c r="F456" t="inlineStr">
        <is>
          <t>es impar?</t>
        </is>
      </c>
      <c r="G456" t="inlineStr">
        <is>
          <t>Largo dato original</t>
        </is>
      </c>
      <c r="H456" t="inlineStr">
        <is>
          <t>largo parte enetero y decimal</t>
        </is>
      </c>
      <c r="M456" s="27" t="n"/>
    </row>
    <row r="457">
      <c r="C457" s="31" t="n"/>
      <c r="F457">
        <f>ISODD(F454)</f>
        <v/>
      </c>
      <c r="G457">
        <f>LEN(C452)</f>
        <v/>
      </c>
      <c r="H457">
        <f>LEN(G454)+1</f>
        <v/>
      </c>
      <c r="M457" s="27" t="n"/>
    </row>
    <row r="458">
      <c r="C458" s="31" t="n"/>
      <c r="M458" s="27" t="n"/>
    </row>
    <row r="459">
      <c r="C459" s="190" t="inlineStr">
        <is>
          <t>3 Decimales</t>
        </is>
      </c>
      <c r="M459" s="27" t="n"/>
    </row>
    <row r="460">
      <c r="C460" s="42">
        <f>M454</f>
        <v/>
      </c>
      <c r="E460">
        <f>FIXED(C452,4)</f>
        <v/>
      </c>
      <c r="F460">
        <f>RIGHT(E460,1)</f>
        <v/>
      </c>
      <c r="G460">
        <f>F460+0</f>
        <v/>
      </c>
      <c r="M460" s="27" t="n"/>
    </row>
    <row r="461" ht="28.8" customHeight="1">
      <c r="C461" s="31" t="n"/>
      <c r="E461" t="inlineStr">
        <is>
          <t>Extrae el ultimo digito</t>
        </is>
      </c>
      <c r="F461" t="inlineStr">
        <is>
          <t>extrael primer digito</t>
        </is>
      </c>
      <c r="G461" t="inlineStr">
        <is>
          <t>parte entera</t>
        </is>
      </c>
      <c r="H461" t="inlineStr">
        <is>
          <t>Parte decimal</t>
        </is>
      </c>
      <c r="I461" s="38" t="inlineStr">
        <is>
          <t>cantidad de decimales</t>
        </is>
      </c>
      <c r="J461" s="38" t="inlineStr">
        <is>
          <t>decimales en enteros</t>
        </is>
      </c>
      <c r="K461" s="38" t="inlineStr">
        <is>
          <t>restar ultimo numero</t>
        </is>
      </c>
      <c r="L461" s="38" t="inlineStr">
        <is>
          <t>Elimar ultimo digito</t>
        </is>
      </c>
      <c r="M461" s="37" t="inlineStr">
        <is>
          <t>Dato Final</t>
        </is>
      </c>
    </row>
    <row r="462" ht="18" customHeight="1">
      <c r="C462" s="31" t="n"/>
      <c r="E462">
        <f>RIGHT(C460,2)</f>
        <v/>
      </c>
      <c r="F462">
        <f>LEFT(E462,1)</f>
        <v/>
      </c>
      <c r="G462" s="36">
        <f>TRUNC(C460)</f>
        <v/>
      </c>
      <c r="H462" s="14">
        <f>FIXED(C460-G462,I462)</f>
        <v/>
      </c>
      <c r="I462">
        <f>ABS(G465-H465)</f>
        <v/>
      </c>
      <c r="J462">
        <f>RIGHT(C460,I462)</f>
        <v/>
      </c>
      <c r="K462" t="n">
        <v>0.005</v>
      </c>
      <c r="L462" s="2">
        <f>(C460-K462)</f>
        <v/>
      </c>
      <c r="M462" s="41">
        <f>IF(E464=5,IF(AND(G460=0,F465=FALSE),L462,L463),L463)</f>
        <v/>
      </c>
    </row>
    <row r="463" ht="18" customHeight="1">
      <c r="C463" s="31" t="n"/>
      <c r="E463">
        <f>RIGHT(E462,1)</f>
        <v/>
      </c>
      <c r="F463">
        <f>F462+0</f>
        <v/>
      </c>
      <c r="L463">
        <f>FIXED(C460,2)</f>
        <v/>
      </c>
      <c r="M463" s="41" t="n"/>
    </row>
    <row r="464">
      <c r="C464" s="31" t="n"/>
      <c r="E464">
        <f>E463+0</f>
        <v/>
      </c>
      <c r="F464" t="inlineStr">
        <is>
          <t>es impar?</t>
        </is>
      </c>
      <c r="G464" t="inlineStr">
        <is>
          <t>Largo dato original</t>
        </is>
      </c>
      <c r="H464" t="inlineStr">
        <is>
          <t>largo parte enetero y decimal</t>
        </is>
      </c>
      <c r="M464" s="27" t="n"/>
    </row>
    <row r="465">
      <c r="C465" s="31" t="n"/>
      <c r="F465">
        <f>ISODD(F462)</f>
        <v/>
      </c>
      <c r="G465">
        <f>LEN(C460)</f>
        <v/>
      </c>
      <c r="H465">
        <f>LEN(G462)+1</f>
        <v/>
      </c>
      <c r="M465" s="27" t="n"/>
    </row>
    <row r="466">
      <c r="C466" s="31" t="n"/>
      <c r="M466" s="27" t="n"/>
    </row>
    <row r="467">
      <c r="C467" s="190" t="inlineStr">
        <is>
          <t>2 Decimales</t>
        </is>
      </c>
      <c r="M467" s="27" t="n"/>
    </row>
    <row r="468">
      <c r="C468" s="39">
        <f>M462</f>
        <v/>
      </c>
      <c r="E468">
        <f>FIXED(C460,3)</f>
        <v/>
      </c>
      <c r="F468">
        <f>RIGHT(E468,1)</f>
        <v/>
      </c>
      <c r="G468">
        <f>F468+0</f>
        <v/>
      </c>
      <c r="M468" s="27" t="n"/>
    </row>
    <row r="469" ht="28.8" customHeight="1">
      <c r="C469" s="31" t="n"/>
      <c r="E469" t="inlineStr">
        <is>
          <t>Extrae el ultimo digito</t>
        </is>
      </c>
      <c r="F469" t="inlineStr">
        <is>
          <t>extrael primer digito</t>
        </is>
      </c>
      <c r="G469" t="inlineStr">
        <is>
          <t>parte entera</t>
        </is>
      </c>
      <c r="H469" t="inlineStr">
        <is>
          <t>Parte decimal</t>
        </is>
      </c>
      <c r="I469" s="38" t="inlineStr">
        <is>
          <t>cantidad de decimales</t>
        </is>
      </c>
      <c r="J469" s="38" t="inlineStr">
        <is>
          <t>decimales en enteros</t>
        </is>
      </c>
      <c r="K469" s="38" t="inlineStr">
        <is>
          <t>restar ultimo numero</t>
        </is>
      </c>
      <c r="L469" s="38" t="inlineStr">
        <is>
          <t>Elimar ultimo digito</t>
        </is>
      </c>
      <c r="M469" s="37" t="inlineStr">
        <is>
          <t>Dato Final</t>
        </is>
      </c>
    </row>
    <row r="470" ht="18" customHeight="1">
      <c r="C470" s="31" t="n"/>
      <c r="E470">
        <f>RIGHT(C468,2)</f>
        <v/>
      </c>
      <c r="F470">
        <f>LEFT(E470,1)</f>
        <v/>
      </c>
      <c r="G470" s="36">
        <f>TRUNC(C468)</f>
        <v/>
      </c>
      <c r="H470" s="14">
        <f>FIXED(C468-G470,I470)</f>
        <v/>
      </c>
      <c r="I470">
        <f>ABS(G473-H473)</f>
        <v/>
      </c>
      <c r="J470">
        <f>RIGHT(C468,I470)</f>
        <v/>
      </c>
      <c r="K470" t="n">
        <v>0.05</v>
      </c>
      <c r="L470" s="2">
        <f>(C468-K470)</f>
        <v/>
      </c>
      <c r="M470" s="41">
        <f>IF(E472=5,IF(AND(G468=0,F473=FALSE),L470,L471),L471)</f>
        <v/>
      </c>
    </row>
    <row r="471">
      <c r="C471" s="31" t="n"/>
      <c r="E471">
        <f>RIGHT(E470,1)</f>
        <v/>
      </c>
      <c r="F471">
        <f>F470+0</f>
        <v/>
      </c>
      <c r="L471">
        <f>FIXED(C468,1)</f>
        <v/>
      </c>
      <c r="M471" s="40" t="n"/>
    </row>
    <row r="472">
      <c r="C472" s="31" t="n"/>
      <c r="E472">
        <f>E471+0</f>
        <v/>
      </c>
      <c r="F472" t="inlineStr">
        <is>
          <t>es impar?</t>
        </is>
      </c>
      <c r="G472" t="inlineStr">
        <is>
          <t>Largo dato original</t>
        </is>
      </c>
      <c r="H472" t="inlineStr">
        <is>
          <t>largo parte enetero y decimal</t>
        </is>
      </c>
      <c r="M472" s="27" t="n"/>
    </row>
    <row r="473">
      <c r="C473" s="31" t="n"/>
      <c r="F473">
        <f>ISODD(F470)</f>
        <v/>
      </c>
      <c r="G473">
        <f>LEN(C468)</f>
        <v/>
      </c>
      <c r="H473">
        <f>LEN(G470)+1</f>
        <v/>
      </c>
      <c r="M473" s="27" t="n"/>
    </row>
    <row r="474">
      <c r="C474" s="31" t="n"/>
      <c r="M474" s="27" t="n"/>
    </row>
    <row r="475">
      <c r="C475" s="190" t="inlineStr">
        <is>
          <t>1 Decimales</t>
        </is>
      </c>
      <c r="M475" s="27" t="n"/>
    </row>
    <row r="476">
      <c r="C476" s="39">
        <f>M470</f>
        <v/>
      </c>
      <c r="E476">
        <f>FIXED(C468,2)</f>
        <v/>
      </c>
      <c r="F476">
        <f>RIGHT(E476,1)</f>
        <v/>
      </c>
      <c r="G476">
        <f>F476+0</f>
        <v/>
      </c>
      <c r="M476" s="27" t="n"/>
    </row>
    <row r="477" ht="28.8" customHeight="1">
      <c r="C477" s="31" t="n"/>
      <c r="E477" t="inlineStr">
        <is>
          <t>Extrae el ultimo digito</t>
        </is>
      </c>
      <c r="F477" t="inlineStr">
        <is>
          <t>extrael primer digito</t>
        </is>
      </c>
      <c r="G477" t="inlineStr">
        <is>
          <t>parte entera</t>
        </is>
      </c>
      <c r="H477" t="inlineStr">
        <is>
          <t>Parte decimal</t>
        </is>
      </c>
      <c r="I477" s="38" t="inlineStr">
        <is>
          <t>cantidad de decimales</t>
        </is>
      </c>
      <c r="J477" s="38" t="inlineStr">
        <is>
          <t>decimales en enteros</t>
        </is>
      </c>
      <c r="K477" s="38" t="inlineStr">
        <is>
          <t>restar ultimo numero</t>
        </is>
      </c>
      <c r="L477" s="38" t="inlineStr">
        <is>
          <t>Elimar ultimo digito</t>
        </is>
      </c>
      <c r="M477" s="37" t="inlineStr">
        <is>
          <t>Dato Final</t>
        </is>
      </c>
    </row>
    <row r="478" ht="18" customHeight="1">
      <c r="C478" s="31" t="n"/>
      <c r="E478">
        <f>RIGHT(C476,2)</f>
        <v/>
      </c>
      <c r="F478">
        <f>RIGHT(G478,1)</f>
        <v/>
      </c>
      <c r="G478" s="36">
        <f>TRUNC(C476)</f>
        <v/>
      </c>
      <c r="H478" s="14">
        <f>FIXED(C476-G478,I478)</f>
        <v/>
      </c>
      <c r="I478">
        <f>ABS(G481-H481)</f>
        <v/>
      </c>
      <c r="J478">
        <f>RIGHT(C476,I478)</f>
        <v/>
      </c>
      <c r="K478" t="n">
        <v>0.5</v>
      </c>
      <c r="L478" s="12">
        <f>(C476-K478)</f>
        <v/>
      </c>
      <c r="M478" s="35">
        <f>IF(E480=5,IF(AND(G476=0,F481=FALSE),L478,L479),L479)</f>
        <v/>
      </c>
    </row>
    <row r="479">
      <c r="C479" s="31" t="n"/>
      <c r="E479">
        <f>RIGHT(E478,1)</f>
        <v/>
      </c>
      <c r="F479">
        <f>F478+0</f>
        <v/>
      </c>
      <c r="L479">
        <f>FIXED(C476,0)</f>
        <v/>
      </c>
      <c r="M479" s="34" t="n"/>
    </row>
    <row r="480">
      <c r="C480" s="31" t="n"/>
      <c r="E480">
        <f>E479+0</f>
        <v/>
      </c>
      <c r="F480" t="inlineStr">
        <is>
          <t>es impar?</t>
        </is>
      </c>
      <c r="G480" t="inlineStr">
        <is>
          <t>Largo dato original</t>
        </is>
      </c>
      <c r="H480" t="inlineStr">
        <is>
          <t>largo parte enetero y decimal</t>
        </is>
      </c>
      <c r="M480" s="27" t="n"/>
    </row>
    <row r="481" ht="15" customHeight="1" thickBot="1">
      <c r="C481" s="33" t="n"/>
      <c r="D481" s="33" t="n"/>
      <c r="E481" s="33" t="n"/>
      <c r="F481" s="33">
        <f>ISODD(F478)</f>
        <v/>
      </c>
      <c r="G481" s="33">
        <f>LEN(C476)</f>
        <v/>
      </c>
      <c r="H481" s="33">
        <f>LEN(G478)+1</f>
        <v/>
      </c>
      <c r="I481" s="33" t="n"/>
      <c r="J481" s="33" t="n"/>
      <c r="K481" s="33" t="n"/>
      <c r="L481" s="33" t="n"/>
      <c r="M481" s="32" t="n"/>
    </row>
  </sheetData>
  <mergeCells count="60">
    <mergeCell ref="A347:K347"/>
    <mergeCell ref="A58:K58"/>
    <mergeCell ref="A114:K114"/>
    <mergeCell ref="A34:K34"/>
    <mergeCell ref="C459:M459"/>
    <mergeCell ref="A275:K275"/>
    <mergeCell ref="A402:K402"/>
    <mergeCell ref="A387:K387"/>
    <mergeCell ref="A291:K291"/>
    <mergeCell ref="A98:K98"/>
    <mergeCell ref="A1:K1"/>
    <mergeCell ref="A339:K339"/>
    <mergeCell ref="A315:K315"/>
    <mergeCell ref="C475:M475"/>
    <mergeCell ref="A442:K442"/>
    <mergeCell ref="A355:K355"/>
    <mergeCell ref="A427:K427"/>
    <mergeCell ref="C451:M451"/>
    <mergeCell ref="A187:K187"/>
    <mergeCell ref="A162:K162"/>
    <mergeCell ref="A227:K227"/>
    <mergeCell ref="A41:K41"/>
    <mergeCell ref="A379:K379"/>
    <mergeCell ref="A90:K90"/>
    <mergeCell ref="A419:K419"/>
    <mergeCell ref="A66:K66"/>
    <mergeCell ref="A282:K282"/>
    <mergeCell ref="A267:K267"/>
    <mergeCell ref="A74:K74"/>
    <mergeCell ref="A18:K18"/>
    <mergeCell ref="A50:K50"/>
    <mergeCell ref="A139:K139"/>
    <mergeCell ref="A26:K26"/>
    <mergeCell ref="A179:K179"/>
    <mergeCell ref="A195:K195"/>
    <mergeCell ref="A251:K251"/>
    <mergeCell ref="A235:K235"/>
    <mergeCell ref="A242:K242"/>
    <mergeCell ref="A331:K331"/>
    <mergeCell ref="A307:K307"/>
    <mergeCell ref="A322:K322"/>
    <mergeCell ref="C467:M467"/>
    <mergeCell ref="A219:K219"/>
    <mergeCell ref="A259:K259"/>
    <mergeCell ref="A106:K106"/>
    <mergeCell ref="A122:K122"/>
    <mergeCell ref="A131:K131"/>
    <mergeCell ref="A395:K395"/>
    <mergeCell ref="A411:K411"/>
    <mergeCell ref="A371:K371"/>
    <mergeCell ref="A171:K171"/>
    <mergeCell ref="A147:K147"/>
    <mergeCell ref="A81:K81"/>
    <mergeCell ref="A299:K299"/>
    <mergeCell ref="A10:K10"/>
    <mergeCell ref="A155:K155"/>
    <mergeCell ref="A435:K435"/>
    <mergeCell ref="A211:K211"/>
    <mergeCell ref="A362:K362"/>
    <mergeCell ref="A202:K202"/>
  </mergeCells>
  <pageMargins left="0.7" right="0.7" top="0.75" bottom="0.75" header="0.3" footer="0.3"/>
</worksheet>
</file>

<file path=xl/worksheets/sheet3.xml><?xml version="1.0" encoding="utf-8"?>
<worksheet xmlns="http://schemas.openxmlformats.org/spreadsheetml/2006/main">
  <sheetPr codeName="Hoja3">
    <outlinePr summaryBelow="1" summaryRight="1"/>
    <pageSetUpPr/>
  </sheetPr>
  <dimension ref="A1:AF48"/>
  <sheetViews>
    <sheetView zoomScaleNormal="100" workbookViewId="0">
      <selection activeCell="Q11" sqref="Q11"/>
    </sheetView>
  </sheetViews>
  <sheetFormatPr baseColWidth="10" defaultColWidth="11.44140625" defaultRowHeight="14.4"/>
  <cols>
    <col width="5.77734375" customWidth="1" style="16" min="1" max="2"/>
    <col width="6.5546875" customWidth="1" style="16" min="3" max="3"/>
    <col width="5.77734375" customWidth="1" style="16" min="4" max="6"/>
    <col width="4.88671875" customWidth="1" style="16" min="7" max="7"/>
    <col width="5.77734375" customWidth="1" style="16" min="8" max="10"/>
    <col width="3.33203125" customWidth="1" style="16" min="11" max="11"/>
    <col width="5.77734375" customWidth="1" style="16" min="12" max="12"/>
    <col width="6.33203125" customWidth="1" style="16" min="13" max="13"/>
    <col width="6.44140625" customWidth="1" style="16" min="14" max="14"/>
    <col width="2.88671875" customWidth="1" style="16" min="15" max="15"/>
    <col width="5.77734375" customWidth="1" style="16" min="16" max="31"/>
    <col width="10.33203125" customWidth="1" style="16" min="32" max="33"/>
    <col width="6.44140625" customWidth="1" style="16" min="34" max="34"/>
    <col width="10.33203125" customWidth="1" style="16" min="35" max="38"/>
    <col width="11.44140625" customWidth="1" style="16" min="39" max="16384"/>
  </cols>
  <sheetData>
    <row r="1"/>
    <row r="2"/>
    <row r="3">
      <c r="B3" s="167" t="inlineStr">
        <is>
          <t>Volumen</t>
        </is>
      </c>
    </row>
    <row r="4">
      <c r="B4" s="116" t="inlineStr">
        <is>
          <t>Equipo bajo prueba              (mL)</t>
        </is>
      </c>
      <c r="C4" s="191" t="n"/>
      <c r="D4" s="152" t="inlineStr">
        <is>
          <t>Medidas del equipo patrón</t>
        </is>
      </c>
      <c r="E4" s="192" t="n"/>
      <c r="F4" s="192" t="n"/>
      <c r="G4" s="192" t="n"/>
      <c r="H4" s="192" t="n"/>
      <c r="I4" s="192" t="n"/>
      <c r="J4" s="192" t="n"/>
      <c r="K4" s="186" t="n"/>
      <c r="L4" s="91" t="n"/>
      <c r="M4" s="92" t="n"/>
      <c r="N4" s="92" t="n"/>
      <c r="O4" s="92" t="n"/>
    </row>
    <row r="5" ht="25.8" customHeight="1">
      <c r="B5" s="193" t="n"/>
      <c r="C5" s="194" t="n"/>
      <c r="D5" s="113" t="inlineStr">
        <is>
          <t>Lectura 1        (mL)</t>
        </is>
      </c>
      <c r="E5" s="186" t="n"/>
      <c r="F5" s="113" t="inlineStr">
        <is>
          <t>Lectura 2     (mL)</t>
        </is>
      </c>
      <c r="G5" s="186" t="n"/>
      <c r="H5" s="113" t="inlineStr">
        <is>
          <t>Lectura 3        (mL)</t>
        </is>
      </c>
      <c r="I5" s="186" t="n"/>
      <c r="J5" s="113" t="inlineStr">
        <is>
          <t>Lectura 4(mL)</t>
        </is>
      </c>
      <c r="K5" s="186" t="n"/>
      <c r="L5" s="116" t="inlineStr">
        <is>
          <t>Promedio      (mL)</t>
        </is>
      </c>
      <c r="M5" s="186" t="n"/>
      <c r="N5" s="116" t="inlineStr">
        <is>
          <t>Error        (mL)</t>
        </is>
      </c>
      <c r="O5" s="186" t="n"/>
    </row>
    <row r="6">
      <c r="B6" s="168" t="n">
        <v>1</v>
      </c>
      <c r="C6" s="186" t="n"/>
      <c r="D6" s="169" t="n">
        <v>0.998</v>
      </c>
      <c r="E6" s="186" t="n"/>
      <c r="F6" s="170">
        <f>D6+((RAND()*(0.05)+0.008)*(RANDBETWEEN(-1,1)))</f>
        <v/>
      </c>
      <c r="G6" s="186" t="n"/>
      <c r="H6" s="170">
        <f>D6+((RAND()*(0.05)+0.008)*(RANDBETWEEN(-1,1)))</f>
        <v/>
      </c>
      <c r="I6" s="186" t="n"/>
      <c r="J6" s="170">
        <f>D6+((RAND()*(0.05)+0.008)*(RANDBETWEEN(-1,1)))</f>
        <v/>
      </c>
      <c r="K6" s="186" t="n"/>
      <c r="L6" s="170">
        <f>AVERAGE(D6:K6)</f>
        <v/>
      </c>
      <c r="M6" s="186" t="n"/>
      <c r="N6" s="170">
        <f>B6-L6</f>
        <v/>
      </c>
      <c r="O6" s="186" t="n"/>
    </row>
    <row r="7">
      <c r="B7" s="168" t="n">
        <v>2</v>
      </c>
      <c r="C7" s="186" t="n"/>
      <c r="D7" s="169" t="n">
        <v>1.998</v>
      </c>
      <c r="E7" s="186" t="n"/>
      <c r="F7" s="170">
        <f>D7+((RAND()*(0.05)+0.008)*(RANDBETWEEN(-1,1)))</f>
        <v/>
      </c>
      <c r="G7" s="186" t="n"/>
      <c r="H7" s="170">
        <f>D7+((RAND()*(0.05)+0.008)*(RANDBETWEEN(-1,1)))</f>
        <v/>
      </c>
      <c r="I7" s="186" t="n"/>
      <c r="J7" s="170">
        <f>D7+((RAND()*(0.05)+0.008)*(RANDBETWEEN(-1,1)))</f>
        <v/>
      </c>
      <c r="K7" s="186" t="n"/>
      <c r="L7" s="170">
        <f>AVERAGE(D7:K7)</f>
        <v/>
      </c>
      <c r="M7" s="186" t="n"/>
      <c r="N7" s="170">
        <f>B7-L7</f>
        <v/>
      </c>
      <c r="O7" s="186" t="n"/>
    </row>
    <row r="8">
      <c r="B8" s="168" t="n">
        <v>5</v>
      </c>
      <c r="C8" s="186" t="n"/>
      <c r="D8" s="169" t="n">
        <v>4.895</v>
      </c>
      <c r="E8" s="186" t="n"/>
      <c r="F8" s="170">
        <f>D8+((RAND()*(0.05)+0.008)*(RANDBETWEEN(-1,1)))</f>
        <v/>
      </c>
      <c r="G8" s="186" t="n"/>
      <c r="H8" s="170">
        <f>D8+((RAND()*(0.05)+0.008)*(RANDBETWEEN(-1,1)))</f>
        <v/>
      </c>
      <c r="I8" s="186" t="n"/>
      <c r="J8" s="170">
        <f>D8+((RAND()*(0.05)+0.008)*(RANDBETWEEN(-1,1)))</f>
        <v/>
      </c>
      <c r="K8" s="186" t="n"/>
      <c r="L8" s="170">
        <f>AVERAGE(D8:K8)</f>
        <v/>
      </c>
      <c r="M8" s="186" t="n"/>
      <c r="N8" s="170">
        <f>B8-L8</f>
        <v/>
      </c>
      <c r="O8" s="186" t="n"/>
    </row>
    <row r="9"/>
    <row r="10"/>
    <row r="11" ht="26.4" customHeight="1"/>
    <row r="12"/>
    <row r="13"/>
    <row r="14"/>
    <row r="15"/>
    <row r="16"/>
    <row r="17"/>
    <row r="18"/>
    <row r="19" ht="14.4" customHeight="1"/>
    <row r="20" ht="27.6" customHeight="1"/>
    <row r="21"/>
    <row r="22"/>
    <row r="23"/>
    <row r="24"/>
    <row r="25"/>
    <row r="26"/>
    <row r="27"/>
    <row r="28" ht="17.4" customHeight="1"/>
    <row r="29" ht="23.4" customHeight="1"/>
    <row r="30"/>
    <row r="31"/>
    <row r="32"/>
    <row r="33"/>
    <row r="34"/>
    <row r="35"/>
    <row r="36"/>
    <row r="37"/>
    <row r="38"/>
    <row r="39"/>
    <row r="40"/>
    <row r="41" ht="30" customHeight="1"/>
    <row r="42"/>
    <row r="43"/>
    <row r="44"/>
    <row r="45"/>
    <row r="46">
      <c r="B46" s="16" t="n"/>
      <c r="C46" s="16" t="n"/>
      <c r="D46" s="16" t="n"/>
      <c r="E46" s="16" t="n"/>
      <c r="F46" s="16" t="n"/>
      <c r="G46" s="16" t="n"/>
      <c r="H46" s="16" t="n"/>
      <c r="I46" s="16" t="n"/>
      <c r="J46" s="16" t="n"/>
      <c r="K46" s="16" t="n"/>
      <c r="L46" s="16" t="n"/>
      <c r="M46" s="16" t="n"/>
      <c r="N46" s="16" t="n"/>
      <c r="O46" s="16" t="n"/>
    </row>
    <row r="47">
      <c r="B47" s="16" t="n"/>
      <c r="C47" s="16" t="n"/>
      <c r="D47" s="16" t="n"/>
      <c r="E47" s="16" t="n"/>
      <c r="F47" s="16" t="n"/>
      <c r="G47" s="16" t="n"/>
      <c r="H47" s="16" t="n"/>
      <c r="I47" s="16" t="n"/>
      <c r="J47" s="16" t="n"/>
      <c r="K47" s="16" t="n"/>
      <c r="L47" s="16" t="n"/>
      <c r="M47" s="16" t="n"/>
      <c r="N47" s="16" t="n"/>
      <c r="O47" s="16" t="n"/>
    </row>
    <row r="48"/>
  </sheetData>
  <mergeCells count="30">
    <mergeCell ref="L7:M7"/>
    <mergeCell ref="B7:C7"/>
    <mergeCell ref="J5:K5"/>
    <mergeCell ref="N7:O7"/>
    <mergeCell ref="F6:G6"/>
    <mergeCell ref="B3:O3"/>
    <mergeCell ref="F7:G7"/>
    <mergeCell ref="D6:E6"/>
    <mergeCell ref="H6:I6"/>
    <mergeCell ref="J6:K6"/>
    <mergeCell ref="F5:G5"/>
    <mergeCell ref="L5:M5"/>
    <mergeCell ref="N5:O5"/>
    <mergeCell ref="L8:M8"/>
    <mergeCell ref="B8:C8"/>
    <mergeCell ref="N8:O8"/>
    <mergeCell ref="B4:C5"/>
    <mergeCell ref="F8:G8"/>
    <mergeCell ref="D7:E7"/>
    <mergeCell ref="H7:I7"/>
    <mergeCell ref="J7:K7"/>
    <mergeCell ref="D4:K4"/>
    <mergeCell ref="D8:E8"/>
    <mergeCell ref="B6:C6"/>
    <mergeCell ref="L6:M6"/>
    <mergeCell ref="N6:O6"/>
    <mergeCell ref="D5:E5"/>
    <mergeCell ref="H5:I5"/>
    <mergeCell ref="H8:I8"/>
    <mergeCell ref="J8:K8"/>
  </mergeCells>
  <pageMargins left="0.7" right="0.7" top="0.75" bottom="0.75" header="0.3" footer="0.3"/>
  <pageSetup orientation="portrait" paperSize="9" horizontalDpi="0" verticalDpi="0"/>
</worksheet>
</file>

<file path=xl/worksheets/sheet4.xml><?xml version="1.0" encoding="utf-8"?>
<worksheet xmlns:r="http://schemas.openxmlformats.org/officeDocument/2006/relationships" xmlns="http://schemas.openxmlformats.org/spreadsheetml/2006/main">
  <sheetPr codeName="Hoja4">
    <outlinePr summaryBelow="1" summaryRight="1"/>
    <pageSetUpPr/>
  </sheetPr>
  <dimension ref="A2:Q101"/>
  <sheetViews>
    <sheetView topLeftCell="A33" workbookViewId="0">
      <selection activeCell="I50" sqref="I50"/>
    </sheetView>
  </sheetViews>
  <sheetFormatPr baseColWidth="10" defaultRowHeight="14.4"/>
  <cols>
    <col width="13.88671875" customWidth="1" min="2" max="2"/>
    <col width="13.6640625" bestFit="1" customWidth="1" min="6" max="6"/>
    <col width="11" customWidth="1" min="7" max="7"/>
    <col width="18.33203125" bestFit="1" customWidth="1" min="8" max="8"/>
    <col width="11.44140625" customWidth="1" min="9" max="9"/>
    <col width="14.33203125" customWidth="1" min="10" max="10"/>
    <col width="18.33203125" bestFit="1" customWidth="1" min="11" max="11"/>
    <col width="14.33203125" customWidth="1" min="15" max="15"/>
    <col width="12.5546875" bestFit="1" customWidth="1" min="18" max="19"/>
  </cols>
  <sheetData>
    <row r="2">
      <c r="C2" s="171" t="inlineStr">
        <is>
          <t>Volumen</t>
        </is>
      </c>
      <c r="D2" s="84" t="n"/>
      <c r="E2" s="84" t="n"/>
      <c r="F2" s="84" t="n"/>
      <c r="G2" s="84" t="n"/>
      <c r="H2" s="84" t="n"/>
      <c r="I2" s="84" t="n"/>
      <c r="J2" s="84" t="n"/>
      <c r="K2" s="84" t="n"/>
    </row>
    <row r="3">
      <c r="A3" s="18" t="n"/>
      <c r="C3" s="21" t="inlineStr">
        <is>
          <t>Nominal</t>
        </is>
      </c>
      <c r="D3" s="21" t="inlineStr">
        <is>
          <t>Medido</t>
        </is>
      </c>
      <c r="E3" s="21" t="inlineStr">
        <is>
          <t>Corrección</t>
        </is>
      </c>
      <c r="F3" s="21" t="inlineStr">
        <is>
          <t>k</t>
        </is>
      </c>
      <c r="G3" s="20" t="inlineStr">
        <is>
          <t>Correcion estimada</t>
        </is>
      </c>
      <c r="H3" s="21" t="inlineStr">
        <is>
          <t>Residuales</t>
        </is>
      </c>
      <c r="I3" s="21" t="inlineStr">
        <is>
          <t>N-M-1</t>
        </is>
      </c>
      <c r="J3" s="21" t="inlineStr">
        <is>
          <t>u interpolación</t>
        </is>
      </c>
    </row>
    <row r="4">
      <c r="C4" s="23" t="n">
        <v>99.59999999999999</v>
      </c>
      <c r="D4" s="23" t="n">
        <v>106.2</v>
      </c>
      <c r="E4" s="24">
        <f>C4-D4</f>
        <v/>
      </c>
      <c r="F4" s="23" t="n">
        <v>2</v>
      </c>
      <c r="G4" s="5">
        <f>J$13*D4-J$14</f>
        <v/>
      </c>
      <c r="H4" s="5">
        <f>E4-G4</f>
        <v/>
      </c>
      <c r="I4" s="5">
        <f>2-2-1</f>
        <v/>
      </c>
      <c r="J4" s="5" t="n">
        <v>0</v>
      </c>
    </row>
    <row r="5">
      <c r="C5" s="24" t="n">
        <v>1000</v>
      </c>
      <c r="D5" s="24" t="n">
        <v>1042</v>
      </c>
      <c r="E5" s="24">
        <f>C5-D5</f>
        <v/>
      </c>
      <c r="F5" s="23" t="n">
        <v>2</v>
      </c>
      <c r="G5" s="5">
        <f>J$13*D5-J$14</f>
        <v/>
      </c>
      <c r="H5" s="5">
        <f>E5-G5</f>
        <v/>
      </c>
      <c r="I5" s="2" t="n"/>
      <c r="J5" s="2" t="n"/>
    </row>
    <row r="6">
      <c r="C6" s="24" t="n"/>
      <c r="D6" s="24" t="n"/>
      <c r="E6" s="24" t="n"/>
      <c r="F6" s="23" t="n"/>
      <c r="G6" s="5" t="n"/>
      <c r="H6" s="5" t="n"/>
      <c r="I6" s="2" t="n"/>
    </row>
    <row r="7">
      <c r="C7" s="24" t="n"/>
      <c r="D7" s="24" t="n"/>
      <c r="E7" s="5" t="n"/>
      <c r="F7" s="17" t="n"/>
      <c r="G7" s="5" t="n"/>
      <c r="H7" s="5" t="n"/>
      <c r="I7" s="2" t="n"/>
    </row>
    <row r="8">
      <c r="C8" s="24" t="n"/>
      <c r="D8" s="24" t="n"/>
      <c r="E8" s="5" t="n"/>
      <c r="F8" s="17" t="n"/>
      <c r="G8" s="5" t="n"/>
      <c r="H8" s="5" t="n"/>
      <c r="I8" s="2" t="n"/>
    </row>
    <row r="9">
      <c r="C9" s="22" t="n"/>
      <c r="D9" s="25" t="n"/>
      <c r="E9" s="5" t="n"/>
      <c r="F9" s="24" t="n"/>
      <c r="G9" s="17" t="n"/>
      <c r="H9" s="5" t="n"/>
      <c r="I9" s="5" t="n"/>
      <c r="J9" s="2" t="n"/>
    </row>
    <row r="10">
      <c r="C10" s="22" t="n"/>
      <c r="D10" s="25" t="n"/>
      <c r="E10" s="5" t="n"/>
      <c r="F10" s="24" t="n"/>
      <c r="G10" s="17" t="n"/>
      <c r="H10" s="5" t="n"/>
      <c r="I10" s="5" t="n"/>
      <c r="J10" s="2" t="n"/>
    </row>
    <row r="11">
      <c r="C11" s="22" t="n"/>
      <c r="D11" s="25" t="n"/>
      <c r="E11" s="5" t="n"/>
      <c r="F11" s="24" t="n"/>
      <c r="G11" s="17" t="n"/>
      <c r="H11" s="5" t="n"/>
      <c r="I11" s="5" t="n"/>
      <c r="J11" s="2" t="n"/>
    </row>
    <row r="12">
      <c r="C12" s="22" t="n"/>
      <c r="D12" s="25" t="n"/>
      <c r="E12" s="5" t="n"/>
      <c r="F12" s="24" t="n"/>
      <c r="G12" s="17" t="n"/>
      <c r="H12" s="5" t="n"/>
      <c r="I12" s="5" t="n"/>
      <c r="J12" s="2" t="n"/>
    </row>
    <row r="13">
      <c r="C13" s="22" t="n"/>
      <c r="D13" s="25" t="n"/>
      <c r="E13" s="5" t="n"/>
      <c r="F13" s="24" t="n"/>
      <c r="G13" s="17" t="n"/>
      <c r="H13" s="5" t="n"/>
      <c r="I13" s="5" t="n"/>
      <c r="J13" s="2" t="n">
        <v>-0.0378285958538149</v>
      </c>
    </row>
    <row r="14">
      <c r="C14" s="22" t="n"/>
      <c r="D14" s="25" t="n"/>
      <c r="E14" s="5" t="n"/>
      <c r="F14" s="24" t="n"/>
      <c r="G14" s="17" t="n"/>
      <c r="H14" s="5" t="n"/>
      <c r="I14" s="5" t="n"/>
      <c r="J14" t="n">
        <v>2.58260312032486</v>
      </c>
    </row>
    <row r="15">
      <c r="E15" s="17" t="n"/>
    </row>
    <row r="34">
      <c r="B34" s="177" t="inlineStr">
        <is>
          <t>EQUIPO PATRÓN</t>
        </is>
      </c>
      <c r="N34" s="177" t="n"/>
      <c r="O34" s="177" t="n"/>
      <c r="P34" s="177" t="n"/>
      <c r="Q34" s="177" t="n"/>
    </row>
    <row r="35">
      <c r="B35" s="172" t="inlineStr">
        <is>
          <t>Equipo patrón:</t>
        </is>
      </c>
      <c r="G35" s="195" t="inlineStr">
        <is>
          <t>Báscula Analítica</t>
        </is>
      </c>
      <c r="H35" s="184" t="n"/>
      <c r="I35" s="184" t="n"/>
      <c r="J35" s="184" t="n"/>
      <c r="K35" s="184" t="n"/>
      <c r="L35" s="184" t="n"/>
      <c r="M35" s="185" t="n"/>
      <c r="N35" s="9" t="n"/>
      <c r="O35" s="9" t="n"/>
      <c r="P35" s="9" t="n"/>
      <c r="Q35" s="9" t="n"/>
    </row>
    <row r="36">
      <c r="B36" s="172" t="inlineStr">
        <is>
          <t>Marca:</t>
        </is>
      </c>
      <c r="G36" s="195" t="inlineStr">
        <is>
          <t>TSI</t>
        </is>
      </c>
      <c r="H36" s="184" t="n"/>
      <c r="I36" s="184" t="n"/>
      <c r="J36" s="184" t="n"/>
      <c r="K36" s="184" t="n"/>
      <c r="L36" s="184" t="n"/>
      <c r="M36" s="185" t="n"/>
      <c r="N36" s="9" t="n"/>
      <c r="O36" s="9" t="n"/>
      <c r="P36" s="9" t="n"/>
      <c r="Q36" s="9" t="n"/>
    </row>
    <row r="37">
      <c r="B37" s="172" t="inlineStr">
        <is>
          <t>Modelo:</t>
        </is>
      </c>
      <c r="G37" s="195" t="n">
        <v>4070</v>
      </c>
      <c r="H37" s="184" t="n"/>
      <c r="I37" s="184" t="n"/>
      <c r="J37" s="184" t="n"/>
      <c r="K37" s="184" t="n"/>
      <c r="L37" s="184" t="n"/>
      <c r="M37" s="185" t="n"/>
      <c r="N37" s="9" t="n"/>
      <c r="O37" s="9" t="n"/>
      <c r="P37" s="9" t="n"/>
      <c r="Q37" s="9" t="n"/>
    </row>
    <row r="38">
      <c r="B38" s="172" t="inlineStr">
        <is>
          <t>Serie:</t>
        </is>
      </c>
      <c r="G38" s="195" t="inlineStr">
        <is>
          <t>N8201011-071</t>
        </is>
      </c>
      <c r="H38" s="184" t="n"/>
      <c r="I38" s="184" t="n"/>
      <c r="J38" s="184" t="n"/>
      <c r="K38" s="184" t="n"/>
      <c r="L38" s="184" t="n"/>
      <c r="M38" s="185" t="n"/>
      <c r="N38" s="9" t="n"/>
      <c r="O38" s="9" t="n"/>
      <c r="P38" s="9" t="n"/>
      <c r="Q38" s="9" t="n"/>
    </row>
    <row r="39">
      <c r="B39" s="173" t="inlineStr">
        <is>
          <t>Fecha de Calibración:</t>
        </is>
      </c>
      <c r="F39" s="196" t="n"/>
      <c r="G39" s="178" t="n">
        <v>44997</v>
      </c>
      <c r="H39" s="192" t="n"/>
      <c r="I39" s="192" t="n"/>
      <c r="J39" s="192" t="n"/>
      <c r="K39" s="192" t="n"/>
      <c r="L39" s="192" t="n"/>
      <c r="M39" s="186" t="n"/>
      <c r="N39" s="10" t="n"/>
      <c r="O39" s="10" t="n"/>
      <c r="P39" s="10" t="n"/>
      <c r="Q39" s="10" t="n"/>
    </row>
    <row r="40">
      <c r="B40" s="172" t="inlineStr">
        <is>
          <t>No. Certificado:</t>
        </is>
      </c>
      <c r="G40" s="179" t="inlineStr">
        <is>
          <t>CC259833</t>
        </is>
      </c>
      <c r="H40" s="192" t="n"/>
      <c r="I40" s="192" t="n"/>
      <c r="J40" s="192" t="n"/>
      <c r="K40" s="192" t="n"/>
      <c r="L40" s="192" t="n"/>
      <c r="M40" s="186" t="n"/>
      <c r="N40" s="9" t="n"/>
      <c r="O40" s="9" t="n"/>
      <c r="P40" s="9" t="n"/>
      <c r="Q40" s="9" t="n"/>
    </row>
    <row r="41">
      <c r="B41" s="172" t="inlineStr">
        <is>
          <t>Incertidumbre :</t>
        </is>
      </c>
      <c r="G41" s="195" t="n">
        <v>0.027</v>
      </c>
      <c r="H41" s="184" t="n"/>
      <c r="I41" s="184" t="n"/>
      <c r="J41" s="184" t="n"/>
      <c r="K41" s="184" t="n"/>
      <c r="L41" s="184" t="n"/>
      <c r="M41" s="185" t="n"/>
      <c r="N41" s="4" t="n"/>
      <c r="O41" s="4" t="n"/>
      <c r="P41" s="4" t="n"/>
      <c r="Q41" s="4" t="n"/>
    </row>
    <row r="42">
      <c r="B42" s="173" t="inlineStr">
        <is>
          <t>Deriva :</t>
        </is>
      </c>
      <c r="F42" s="196" t="n"/>
      <c r="G42" s="195" t="n">
        <v>0.2</v>
      </c>
      <c r="H42" s="184" t="n"/>
      <c r="I42" s="184" t="n"/>
      <c r="J42" s="184" t="n"/>
      <c r="K42" s="184" t="n"/>
      <c r="L42" s="184" t="n"/>
      <c r="M42" s="185" t="n"/>
      <c r="N42" s="4" t="n"/>
      <c r="O42" s="4" t="n"/>
      <c r="P42" s="4" t="n"/>
      <c r="Q42" s="4" t="n"/>
    </row>
    <row r="43">
      <c r="B43" s="173" t="inlineStr">
        <is>
          <t>Resolución:</t>
        </is>
      </c>
      <c r="F43" s="196" t="n"/>
      <c r="G43" s="195" t="n">
        <v>0.0001</v>
      </c>
      <c r="H43" s="184" t="n"/>
      <c r="I43" s="184" t="n"/>
      <c r="J43" s="184" t="n"/>
      <c r="K43" s="184" t="n"/>
      <c r="L43" s="184" t="n"/>
      <c r="M43" s="185" t="n"/>
    </row>
    <row r="44">
      <c r="B44" s="173" t="inlineStr">
        <is>
          <t>Factor de cobertura K:</t>
        </is>
      </c>
      <c r="F44" s="196" t="n"/>
      <c r="G44" s="195" t="n">
        <v>2</v>
      </c>
      <c r="H44" s="184" t="n"/>
      <c r="I44" s="184" t="n"/>
      <c r="J44" s="184" t="n"/>
      <c r="K44" s="184" t="n"/>
      <c r="L44" s="184" t="n"/>
      <c r="M44" s="185" t="n"/>
    </row>
    <row r="78">
      <c r="N78" s="4" t="n"/>
      <c r="O78" s="4" t="n"/>
      <c r="P78" s="26" t="n"/>
    </row>
    <row r="79">
      <c r="N79" s="17" t="n"/>
      <c r="O79" s="17" t="n"/>
      <c r="P79" s="26" t="n"/>
    </row>
    <row r="80">
      <c r="N80" s="17" t="n"/>
      <c r="O80" s="17" t="n"/>
      <c r="P80" s="26" t="n"/>
    </row>
    <row r="81">
      <c r="N81" s="17" t="n"/>
      <c r="O81" s="17" t="n"/>
      <c r="P81" s="26" t="n"/>
    </row>
    <row r="82">
      <c r="N82" s="17" t="n"/>
      <c r="O82" s="17" t="n"/>
      <c r="P82" s="26" t="n"/>
    </row>
    <row r="83">
      <c r="N83" s="17" t="n"/>
      <c r="O83" s="17" t="n"/>
      <c r="P83" s="26" t="n"/>
    </row>
    <row r="84">
      <c r="N84" s="17" t="n"/>
      <c r="O84" s="17" t="n"/>
      <c r="P84" s="26" t="n"/>
    </row>
    <row r="92">
      <c r="C92" s="125" t="n"/>
    </row>
    <row r="95">
      <c r="N95" s="4" t="n"/>
      <c r="O95" s="4" t="n"/>
    </row>
    <row r="96">
      <c r="N96" s="17" t="n"/>
      <c r="O96" s="17" t="n"/>
    </row>
    <row r="97">
      <c r="N97" s="17" t="n"/>
      <c r="O97" s="17" t="n"/>
    </row>
    <row r="98">
      <c r="N98" s="17" t="n"/>
      <c r="O98" s="17" t="n"/>
    </row>
    <row r="99">
      <c r="N99" s="17" t="n"/>
      <c r="O99" s="17" t="n"/>
    </row>
    <row r="100">
      <c r="N100" s="17" t="n"/>
      <c r="O100" s="17" t="n"/>
    </row>
    <row r="101">
      <c r="N101" s="17" t="n"/>
      <c r="O101" s="17" t="n"/>
    </row>
  </sheetData>
  <mergeCells count="23">
    <mergeCell ref="G35:M35"/>
    <mergeCell ref="G44:M44"/>
    <mergeCell ref="G41:M41"/>
    <mergeCell ref="C2:K2"/>
    <mergeCell ref="B43:F43"/>
    <mergeCell ref="B34:M34"/>
    <mergeCell ref="B39:F39"/>
    <mergeCell ref="G40:M40"/>
    <mergeCell ref="B42:F42"/>
    <mergeCell ref="G43:M43"/>
    <mergeCell ref="G42:M42"/>
    <mergeCell ref="B44:F44"/>
    <mergeCell ref="G36:M36"/>
    <mergeCell ref="G39:M39"/>
    <mergeCell ref="B38:F38"/>
    <mergeCell ref="B37:F37"/>
    <mergeCell ref="C92:E92"/>
    <mergeCell ref="G38:M38"/>
    <mergeCell ref="B40:F40"/>
    <mergeCell ref="G37:M37"/>
    <mergeCell ref="B36:F36"/>
    <mergeCell ref="B41:F41"/>
    <mergeCell ref="B35:F35"/>
  </mergeCells>
  <pageMargins left="0.7" right="0.7" top="0.75" bottom="0.75" header="0.3" footer="0.3"/>
  <drawing r:id="rId1"/>
</worksheet>
</file>

<file path=xl/worksheets/sheet5.xml><?xml version="1.0" encoding="utf-8"?>
<worksheet xmlns="http://schemas.openxmlformats.org/spreadsheetml/2006/main">
  <sheetPr codeName="Hoja5">
    <outlinePr summaryBelow="1" summaryRight="1"/>
    <pageSetUpPr/>
  </sheetPr>
  <dimension ref="A2:L8"/>
  <sheetViews>
    <sheetView zoomScaleNormal="100" workbookViewId="0">
      <selection activeCell="K14" sqref="K14"/>
    </sheetView>
  </sheetViews>
  <sheetFormatPr baseColWidth="10" defaultRowHeight="14.4"/>
  <cols>
    <col width="17.6640625" bestFit="1" customWidth="1" min="2" max="2"/>
    <col width="11.44140625" customWidth="1" min="3" max="5"/>
    <col width="13.44140625" bestFit="1" customWidth="1" min="6" max="6"/>
    <col width="15.21875" bestFit="1" customWidth="1" min="7" max="7"/>
    <col width="11.44140625" customWidth="1" min="8" max="8"/>
    <col width="13.5546875" customWidth="1" min="9" max="9"/>
    <col width="12.109375" customWidth="1" min="11" max="11"/>
    <col width="12.33203125" customWidth="1" min="12" max="12"/>
    <col width="11.44140625" customWidth="1" min="13" max="13"/>
    <col width="14.6640625" customWidth="1" min="14" max="14"/>
    <col width="12.6640625" customWidth="1" min="15" max="15"/>
    <col width="11.44140625" customWidth="1" min="16" max="16"/>
    <col width="11.44140625" customWidth="1" min="17" max="17"/>
    <col width="12.44140625" bestFit="1" customWidth="1" min="18" max="18"/>
    <col width="11.44140625" customWidth="1" min="19" max="19"/>
    <col width="11.44140625" customWidth="1" min="20" max="20"/>
    <col width="13.33203125" customWidth="1" min="22" max="22"/>
  </cols>
  <sheetData>
    <row r="2">
      <c r="B2" s="197" t="inlineStr">
        <is>
          <t>FUENTES DE INCERTIDUMBRE VOLUMEN</t>
        </is>
      </c>
      <c r="C2" s="198" t="n"/>
      <c r="D2" s="198" t="n"/>
      <c r="E2" s="198" t="n"/>
      <c r="F2" s="198" t="n"/>
      <c r="G2" s="198" t="n"/>
      <c r="H2" s="198" t="n"/>
      <c r="I2" s="198" t="n"/>
      <c r="J2" s="198" t="n"/>
      <c r="K2" s="198" t="n"/>
      <c r="L2" s="199" t="n"/>
    </row>
    <row r="3" ht="22.8" customHeight="1">
      <c r="B3" s="19" t="inlineStr">
        <is>
          <t>Punto de calibración</t>
        </is>
      </c>
      <c r="C3" s="19" t="inlineStr">
        <is>
          <t>Cert de calibración</t>
        </is>
      </c>
      <c r="D3" s="19" t="inlineStr">
        <is>
          <t>Deriva</t>
        </is>
      </c>
      <c r="E3" s="19" t="inlineStr">
        <is>
          <t>Interpolación</t>
        </is>
      </c>
      <c r="F3" s="19" t="inlineStr">
        <is>
          <t>Resolución item</t>
        </is>
      </c>
      <c r="G3" s="19" t="inlineStr">
        <is>
          <t>Resolución patrón</t>
        </is>
      </c>
      <c r="H3" s="19" t="inlineStr">
        <is>
          <t>Repetibilidad</t>
        </is>
      </c>
      <c r="I3" s="19" t="inlineStr">
        <is>
          <t>Incertidumbre combinada</t>
        </is>
      </c>
      <c r="J3" s="19" t="inlineStr">
        <is>
          <t>Veff</t>
        </is>
      </c>
      <c r="K3" s="19" t="inlineStr">
        <is>
          <t>Factor de cobertura (k)</t>
        </is>
      </c>
      <c r="L3" s="19" t="inlineStr">
        <is>
          <t>Incertidumbre Expandida</t>
        </is>
      </c>
    </row>
    <row r="4">
      <c r="A4" s="52" t="n"/>
      <c r="B4" s="6">
        <f>MEDIDA!B6</f>
        <v/>
      </c>
      <c r="C4" s="8">
        <f>PATRON!G$41/2</f>
        <v/>
      </c>
      <c r="D4" s="8">
        <f>PATRON!G$42/SQRT(3)</f>
        <v/>
      </c>
      <c r="E4" s="8" t="n">
        <v>0</v>
      </c>
      <c r="F4" s="8">
        <f>1/SQRT(12)</f>
        <v/>
      </c>
      <c r="G4" s="94">
        <f>PATRON!G$43/SQRT(12)</f>
        <v/>
      </c>
      <c r="H4" s="7">
        <f>STDEVA(MEDIDA!D6:K6)/SQRT(4)</f>
        <v/>
      </c>
      <c r="I4" s="8">
        <f>SQRT(SUMSQ(C4:H4))</f>
        <v/>
      </c>
      <c r="J4" s="15">
        <f>I4^4/(C4^4/200+D4^4/200+E4^4/200+F4^4/200+G4^4/200+H4^4/3)</f>
        <v/>
      </c>
      <c r="K4" s="11">
        <f>TINV(0.0455,J4)</f>
        <v/>
      </c>
      <c r="L4" s="7" t="n">
        <v>0.01</v>
      </c>
    </row>
    <row r="5">
      <c r="A5" s="52" t="n"/>
      <c r="B5" s="6">
        <f>MEDIDA!B7</f>
        <v/>
      </c>
      <c r="C5" s="8">
        <f>PATRON!G$41/2</f>
        <v/>
      </c>
      <c r="D5" s="8">
        <f>PATRON!G$42/SQRT(3)</f>
        <v/>
      </c>
      <c r="E5" s="8" t="n">
        <v>0</v>
      </c>
      <c r="F5" s="8">
        <f>1/SQRT(12)</f>
        <v/>
      </c>
      <c r="G5" s="94">
        <f>PATRON!G$43/SQRT(12)</f>
        <v/>
      </c>
      <c r="H5" s="7">
        <f>STDEVA(MEDIDA!D7:K7)/SQRT(4)</f>
        <v/>
      </c>
      <c r="I5" s="8">
        <f>SQRT(SUMSQ(C5:H5))</f>
        <v/>
      </c>
      <c r="J5" s="15">
        <f>I5^4/(C5^4/200+D5^4/200+E5^4/200+F5^4/200+G5^4/200+H5^4/3)</f>
        <v/>
      </c>
      <c r="K5" s="11">
        <f>TINV(0.0455,J5)</f>
        <v/>
      </c>
      <c r="L5" s="7" t="n">
        <v>0.01</v>
      </c>
    </row>
    <row r="6">
      <c r="A6" s="52" t="n"/>
      <c r="B6" s="6">
        <f>MEDIDA!B8</f>
        <v/>
      </c>
      <c r="C6" s="8">
        <f>PATRON!G$41/2</f>
        <v/>
      </c>
      <c r="D6" s="8">
        <f>PATRON!G$42/SQRT(3)</f>
        <v/>
      </c>
      <c r="E6" s="8" t="n">
        <v>0</v>
      </c>
      <c r="F6" s="8">
        <f>1/SQRT(12)</f>
        <v/>
      </c>
      <c r="G6" s="94">
        <f>PATRON!G$43/SQRT(12)</f>
        <v/>
      </c>
      <c r="H6" s="7">
        <f>STDEVA(MEDIDA!D8:K8)/SQRT(4)</f>
        <v/>
      </c>
      <c r="I6" s="8">
        <f>SQRT(SUMSQ(C6:H6))</f>
        <v/>
      </c>
      <c r="J6" s="15">
        <f>I6^4/(C6^4/200+D6^4/200+E6^4/200+F6^4/200+G6^4/200+H6^4/3)</f>
        <v/>
      </c>
      <c r="K6" s="11">
        <f>TINV(0.0455,J6)</f>
        <v/>
      </c>
      <c r="L6" s="7" t="n">
        <v>0.01</v>
      </c>
    </row>
    <row r="7">
      <c r="A7" s="52" t="n"/>
      <c r="B7" s="6">
        <f>MEDIDA!#REF!</f>
        <v/>
      </c>
      <c r="C7" s="8">
        <f>PATRON!G$41/2</f>
        <v/>
      </c>
      <c r="D7" s="8">
        <f>PATRON!G$42/SQRT(3)</f>
        <v/>
      </c>
      <c r="E7" s="8" t="n">
        <v>0</v>
      </c>
      <c r="F7" s="8">
        <f>1/SQRT(12)</f>
        <v/>
      </c>
      <c r="G7" s="94">
        <f>PATRON!G$43/SQRT(12)</f>
        <v/>
      </c>
      <c r="H7" s="7">
        <f>STDEVA(MEDIDA!#REF!)/SQRT(4)</f>
        <v/>
      </c>
      <c r="I7" s="8">
        <f>SQRT(SUMSQ(C7:H7))</f>
        <v/>
      </c>
      <c r="J7" s="15">
        <f>I7^4/(C7^4/200+D7^4/200+E7^4/200+F7^4/200+G7^4/200+H7^4/3)</f>
        <v/>
      </c>
      <c r="K7" s="11">
        <f>TINV(0.0455,J7)</f>
        <v/>
      </c>
      <c r="L7" s="7">
        <f>I7*K7</f>
        <v/>
      </c>
    </row>
    <row r="8">
      <c r="B8" s="6">
        <f>MEDIDA!#REF!</f>
        <v/>
      </c>
      <c r="C8" s="8">
        <f>PATRON!G$41/2</f>
        <v/>
      </c>
      <c r="D8" s="8">
        <f>PATRON!G$42/SQRT(3)</f>
        <v/>
      </c>
      <c r="E8" s="8" t="n">
        <v>0</v>
      </c>
      <c r="F8" s="8">
        <f>1/SQRT(12)</f>
        <v/>
      </c>
      <c r="G8" s="94">
        <f>PATRON!G$43/SQRT(12)</f>
        <v/>
      </c>
      <c r="H8" s="7">
        <f>STDEVA(MEDIDA!#REF!)/SQRT(4)</f>
        <v/>
      </c>
      <c r="I8" s="8">
        <f>SQRT(SUMSQ(C8:H8))</f>
        <v/>
      </c>
      <c r="J8" s="15">
        <f>I8^4/(C8^4/200+D8^4/200+E8^4/200+F8^4/200+G8^4/200+H8^4/3)</f>
        <v/>
      </c>
      <c r="K8" s="11">
        <f>TINV(0.0455,J8)</f>
        <v/>
      </c>
      <c r="L8" s="7">
        <f>I8*K8</f>
        <v/>
      </c>
    </row>
  </sheetData>
  <mergeCells count="1">
    <mergeCell ref="B2:L2"/>
  </mergeCells>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AD174"/>
  <sheetViews>
    <sheetView tabSelected="1" view="pageLayout" zoomScaleNormal="100" workbookViewId="0">
      <selection activeCell="N81" sqref="N81"/>
    </sheetView>
  </sheetViews>
  <sheetFormatPr baseColWidth="10" defaultColWidth="11.5546875" defaultRowHeight="14.4"/>
  <cols>
    <col width="4.6640625" customWidth="1" min="1" max="18"/>
    <col width="4.44140625" customWidth="1" min="19" max="19"/>
    <col width="5" customWidth="1" min="20" max="25"/>
  </cols>
  <sheetData>
    <row r="1" ht="16.95" customHeight="1">
      <c r="D1" s="54" t="n"/>
      <c r="E1" s="54" t="n"/>
      <c r="F1" s="55" t="n"/>
      <c r="G1" s="56" t="n"/>
      <c r="H1" s="57" t="n"/>
      <c r="I1" s="146" t="n"/>
      <c r="M1" s="63" t="n"/>
      <c r="O1" s="108" t="inlineStr">
        <is>
          <t>CERTIFICADO N°:</t>
        </is>
      </c>
      <c r="R1" s="109">
        <f>INFORMACIÓN!G3</f>
        <v/>
      </c>
    </row>
    <row r="2" ht="16.95" customHeight="1">
      <c r="G2" s="148" t="n"/>
      <c r="J2" s="147" t="n"/>
    </row>
    <row r="3" ht="16.95" customHeight="1">
      <c r="B3" s="82" t="n"/>
      <c r="C3" s="149" t="inlineStr">
        <is>
          <t>1. EQUIPO BAJO PRUEBA</t>
        </is>
      </c>
      <c r="D3" s="200" t="n"/>
      <c r="E3" s="200" t="n"/>
      <c r="F3" s="200" t="n"/>
      <c r="G3" s="200" t="n"/>
      <c r="H3" s="200" t="n"/>
      <c r="I3" s="200" t="n"/>
      <c r="J3" s="200" t="n"/>
      <c r="K3" s="200" t="n"/>
      <c r="L3" s="200" t="n"/>
      <c r="M3" s="200" t="n"/>
      <c r="N3" s="200" t="n"/>
      <c r="O3" s="200" t="n"/>
      <c r="P3" s="200" t="n"/>
      <c r="Q3" s="200" t="n"/>
      <c r="R3" s="200" t="n"/>
    </row>
    <row r="4" ht="16.95" customHeight="1">
      <c r="A4" s="79" t="n"/>
      <c r="B4" s="79" t="n"/>
      <c r="C4" s="79" t="n"/>
      <c r="D4" s="79" t="n"/>
      <c r="E4" s="79" t="n"/>
      <c r="F4" s="79" t="n"/>
      <c r="G4" s="79" t="n"/>
      <c r="H4" s="79" t="n"/>
      <c r="I4" s="79" t="n"/>
      <c r="J4" s="79" t="n"/>
      <c r="K4" s="79" t="n"/>
      <c r="L4" s="79" t="n"/>
      <c r="M4" s="79" t="n"/>
      <c r="N4" s="79" t="n"/>
      <c r="O4" s="79" t="n"/>
      <c r="P4" s="79" t="n"/>
      <c r="Q4" s="79" t="n"/>
      <c r="R4" s="79" t="n"/>
    </row>
    <row r="5" ht="16.95" customFormat="1" customHeight="1" s="53">
      <c r="B5" s="77" t="n"/>
      <c r="C5" s="108" t="inlineStr">
        <is>
          <t>INSTRUMENTO:</t>
        </is>
      </c>
      <c r="H5" s="51" t="n"/>
      <c r="I5" s="145">
        <f>INFORMACIÓN!A3</f>
        <v/>
      </c>
    </row>
    <row r="6" ht="16.95" customFormat="1" customHeight="1" s="53">
      <c r="B6" s="77" t="n"/>
      <c r="C6" s="108" t="inlineStr">
        <is>
          <t>MARCA:</t>
        </is>
      </c>
      <c r="H6" s="51" t="n"/>
      <c r="I6" s="145">
        <f>INFORMACIÓN!B3</f>
        <v/>
      </c>
    </row>
    <row r="7" ht="16.95" customFormat="1" customHeight="1" s="53">
      <c r="B7" s="77" t="n"/>
      <c r="C7" s="108" t="inlineStr">
        <is>
          <t>MODELO:</t>
        </is>
      </c>
      <c r="H7" s="51" t="n"/>
      <c r="I7" s="145">
        <f>INFORMACIÓN!C3</f>
        <v/>
      </c>
    </row>
    <row r="8" ht="16.95" customFormat="1" customHeight="1" s="53">
      <c r="B8" s="77" t="n"/>
      <c r="C8" s="108" t="inlineStr">
        <is>
          <t xml:space="preserve">SERIE: </t>
        </is>
      </c>
      <c r="H8" s="51" t="n"/>
      <c r="I8" s="150">
        <f>INFORMACIÓN!D3</f>
        <v/>
      </c>
    </row>
    <row r="9" ht="16.95" customFormat="1" customHeight="1" s="53">
      <c r="B9" s="77" t="n"/>
      <c r="C9" s="108" t="inlineStr">
        <is>
          <t>CÓDIGO INTERNO:</t>
        </is>
      </c>
      <c r="H9" s="51" t="n"/>
      <c r="I9" s="150">
        <f>INFORMACIÓN!F3</f>
        <v/>
      </c>
    </row>
    <row r="10" ht="16.95" customFormat="1" customHeight="1" s="53">
      <c r="B10" s="77" t="n"/>
      <c r="C10" s="108" t="inlineStr">
        <is>
          <t>UBICACIÓN:</t>
        </is>
      </c>
      <c r="H10" s="51" t="n"/>
      <c r="I10" s="145">
        <f>INFORMACIÓN!E3</f>
        <v/>
      </c>
    </row>
    <row r="11" ht="16.95" customFormat="1" customHeight="1" s="53">
      <c r="B11" s="77" t="n"/>
      <c r="C11" s="108" t="inlineStr">
        <is>
          <t>ESTADO FÍSICO:</t>
        </is>
      </c>
      <c r="H11" s="51" t="n"/>
      <c r="I11" s="145">
        <f>INFORMACIÓN!B8</f>
        <v/>
      </c>
    </row>
    <row r="12" ht="16.95" customFormat="1" customHeight="1" s="53">
      <c r="B12" s="77" t="n"/>
      <c r="C12" s="108" t="inlineStr">
        <is>
          <t>FECHA DE RECEPCIÓN:</t>
        </is>
      </c>
      <c r="H12" s="78" t="n"/>
      <c r="I12" s="151">
        <f>INFORMACIÓN!H3</f>
        <v/>
      </c>
    </row>
    <row r="13" ht="16.95" customFormat="1" customHeight="1" s="53">
      <c r="B13" s="77" t="n"/>
      <c r="C13" s="108" t="inlineStr">
        <is>
          <t>FECHA DE CALIBRACIÓN:</t>
        </is>
      </c>
      <c r="H13" s="78" t="n"/>
      <c r="I13" s="151">
        <f>INFORMACIÓN!B9</f>
        <v/>
      </c>
    </row>
    <row r="14" ht="16.95" customHeight="1"/>
    <row r="15" ht="16.95" customHeight="1">
      <c r="B15" s="63" t="n"/>
      <c r="C15" s="112" t="inlineStr">
        <is>
          <t>2. DATOS DEL CLIENTE</t>
        </is>
      </c>
      <c r="D15" s="201" t="n"/>
      <c r="E15" s="201" t="n"/>
      <c r="F15" s="201" t="n"/>
      <c r="G15" s="201" t="n"/>
      <c r="H15" s="201" t="n"/>
      <c r="I15" s="201" t="n"/>
      <c r="J15" s="201" t="n"/>
      <c r="K15" s="201" t="n"/>
      <c r="L15" s="201" t="n"/>
      <c r="M15" s="201" t="n"/>
      <c r="N15" s="201" t="n"/>
      <c r="O15" s="201" t="n"/>
      <c r="P15" s="201" t="n"/>
      <c r="Q15" s="201" t="n"/>
      <c r="R15" s="201" t="n"/>
    </row>
    <row r="16" ht="16.95" customHeight="1"/>
    <row r="17" ht="16.95" customHeight="1">
      <c r="B17" s="50" t="n"/>
      <c r="C17" s="124" t="inlineStr">
        <is>
          <t>NOMBRE:</t>
        </is>
      </c>
      <c r="H17" s="49" t="n"/>
      <c r="I17" s="140">
        <f>INFORMACIÓN!E7</f>
        <v/>
      </c>
    </row>
    <row r="18" ht="16.95" customHeight="1">
      <c r="B18" s="50" t="n"/>
      <c r="C18" s="124" t="inlineStr">
        <is>
          <t>NIT:</t>
        </is>
      </c>
      <c r="H18" s="49" t="n"/>
      <c r="I18" s="140">
        <f>INFORMACIÓN!E8</f>
        <v/>
      </c>
    </row>
    <row r="19" ht="16.95" customHeight="1">
      <c r="B19" s="50" t="n"/>
      <c r="C19" s="124" t="inlineStr">
        <is>
          <t>TELÉFONO:</t>
        </is>
      </c>
      <c r="H19" s="49" t="n"/>
      <c r="I19" s="140">
        <f>INFORMACIÓN!E9</f>
        <v/>
      </c>
    </row>
    <row r="20" ht="16.95" customHeight="1">
      <c r="B20" s="50" t="n"/>
      <c r="C20" s="124" t="inlineStr">
        <is>
          <t>DIRECCIÓN:</t>
        </is>
      </c>
      <c r="H20" s="49" t="n"/>
      <c r="I20" s="140">
        <f>INFORMACIÓN!E10</f>
        <v/>
      </c>
    </row>
    <row r="21" ht="16.95" customHeight="1">
      <c r="B21" s="50" t="n"/>
      <c r="C21" s="124" t="inlineStr">
        <is>
          <t>CIUDAD:</t>
        </is>
      </c>
      <c r="H21" s="49" t="n"/>
      <c r="I21" s="140">
        <f>INFORMACIÓN!E11</f>
        <v/>
      </c>
    </row>
    <row r="22" ht="16.95" customHeight="1">
      <c r="A22" s="49" t="n"/>
      <c r="B22" s="49" t="n"/>
      <c r="C22" s="49" t="n"/>
      <c r="D22" s="49" t="n"/>
      <c r="E22" s="49" t="n"/>
      <c r="F22" s="49" t="n"/>
      <c r="G22" s="49" t="n"/>
      <c r="H22" s="49" t="n"/>
      <c r="I22" s="49" t="n"/>
      <c r="J22" s="49" t="n"/>
      <c r="K22" s="49" t="n"/>
      <c r="L22" s="49" t="n"/>
      <c r="M22" s="49" t="n"/>
      <c r="N22" s="49" t="n"/>
      <c r="O22" s="49" t="n"/>
      <c r="P22" s="49" t="n"/>
      <c r="Q22" s="49" t="n"/>
      <c r="R22" s="49" t="n"/>
    </row>
    <row r="23" ht="16.95" customHeight="1">
      <c r="B23" s="76" t="n"/>
      <c r="C23" s="202" t="inlineStr">
        <is>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is>
      </c>
      <c r="D23" s="203" t="n"/>
      <c r="E23" s="203" t="n"/>
      <c r="F23" s="203" t="n"/>
      <c r="G23" s="203" t="n"/>
      <c r="H23" s="203" t="n"/>
      <c r="I23" s="203" t="n"/>
      <c r="J23" s="203" t="n"/>
      <c r="K23" s="203" t="n"/>
      <c r="L23" s="203" t="n"/>
      <c r="M23" s="203" t="n"/>
      <c r="N23" s="203" t="n"/>
      <c r="O23" s="203" t="n"/>
      <c r="P23" s="203" t="n"/>
      <c r="Q23" s="203" t="n"/>
      <c r="R23" s="203" t="n"/>
    </row>
    <row r="24" ht="16.95" customHeight="1">
      <c r="A24" s="76" t="n"/>
      <c r="B24" s="76" t="n"/>
    </row>
    <row r="25" ht="16.95" customHeight="1">
      <c r="A25" s="76" t="n"/>
      <c r="B25" s="76" t="n"/>
    </row>
    <row r="26" ht="16.95" customHeight="1">
      <c r="A26" s="76" t="n"/>
      <c r="B26" s="76" t="n"/>
    </row>
    <row r="27" ht="16.95" customHeight="1">
      <c r="A27" s="76" t="n"/>
      <c r="B27" s="76" t="n"/>
    </row>
    <row r="28" ht="16.95" customHeight="1">
      <c r="A28" s="76" t="n"/>
      <c r="B28" s="76" t="n"/>
      <c r="C28" s="200" t="n"/>
      <c r="D28" s="200" t="n"/>
      <c r="E28" s="200" t="n"/>
      <c r="F28" s="200" t="n"/>
      <c r="G28" s="200" t="n"/>
      <c r="H28" s="200" t="n"/>
      <c r="I28" s="200" t="n"/>
      <c r="J28" s="200" t="n"/>
      <c r="K28" s="200" t="n"/>
      <c r="L28" s="200" t="n"/>
      <c r="M28" s="200" t="n"/>
      <c r="N28" s="200" t="n"/>
      <c r="O28" s="200" t="n"/>
      <c r="P28" s="200" t="n"/>
      <c r="Q28" s="200" t="n"/>
      <c r="R28" s="200" t="n"/>
    </row>
    <row r="29" ht="16.95" customHeight="1">
      <c r="A29" s="76" t="n"/>
      <c r="B29" s="76" t="n"/>
      <c r="C29" s="142" t="n"/>
      <c r="D29" s="142" t="n"/>
      <c r="E29" s="142" t="n"/>
      <c r="F29" s="142" t="n"/>
      <c r="G29" s="142" t="n"/>
      <c r="H29" s="142" t="n"/>
      <c r="I29" s="142" t="n"/>
      <c r="J29" s="142" t="n"/>
      <c r="K29" s="142" t="n"/>
      <c r="L29" s="142" t="n"/>
      <c r="M29" s="142" t="n"/>
      <c r="N29" s="142" t="n"/>
      <c r="O29" s="142" t="n"/>
      <c r="P29" s="142" t="n"/>
      <c r="Q29" s="142" t="n"/>
      <c r="R29" s="142" t="n"/>
    </row>
    <row r="30" ht="16.95" customHeight="1">
      <c r="A30" s="76" t="n"/>
      <c r="B30" s="76" t="n"/>
      <c r="C30" s="81" t="n"/>
      <c r="D30" s="81" t="n"/>
      <c r="E30" s="81" t="n"/>
      <c r="F30" s="81" t="n"/>
      <c r="G30" s="81" t="n"/>
      <c r="H30" s="81" t="n"/>
      <c r="I30" s="81" t="n"/>
      <c r="J30" s="81" t="n"/>
      <c r="K30" s="81" t="n"/>
      <c r="L30" s="81" t="n"/>
      <c r="M30" s="81" t="n"/>
      <c r="N30" s="81" t="n"/>
      <c r="O30" s="81" t="n"/>
      <c r="P30" s="81" t="n"/>
      <c r="Q30" s="81" t="n"/>
      <c r="R30" s="81" t="n"/>
    </row>
    <row r="31" ht="16.95" customHeight="1">
      <c r="B31" s="49" t="n"/>
      <c r="C31" s="50" t="inlineStr">
        <is>
          <t>REVISÓ Y AUTORIZÓ:</t>
        </is>
      </c>
      <c r="D31" s="49" t="n"/>
      <c r="H31" s="50" t="n"/>
      <c r="I31" s="124" t="inlineStr">
        <is>
          <t>CALIBRADO POR:</t>
        </is>
      </c>
      <c r="M31" s="140">
        <f>INFORMACIÓN!B15</f>
        <v/>
      </c>
    </row>
    <row r="32" ht="16.95" customHeight="1">
      <c r="F32" s="50" t="n"/>
      <c r="G32" s="50" t="n"/>
      <c r="H32" s="50" t="n"/>
      <c r="I32" s="124" t="inlineStr">
        <is>
          <t>FECHA DE EMISIÓN:</t>
        </is>
      </c>
      <c r="M32" s="144">
        <f>INFORMACIÓN!B10</f>
        <v/>
      </c>
      <c r="P32" s="62" t="n"/>
      <c r="Q32" s="62" t="n"/>
      <c r="R32" s="50" t="n"/>
    </row>
    <row r="33" ht="16.95" customHeight="1">
      <c r="I33" s="124" t="inlineStr">
        <is>
          <t>NÚMERO DE PÁGINAS:</t>
        </is>
      </c>
      <c r="M33" s="140" t="n">
        <v>3</v>
      </c>
      <c r="N33" s="49" t="n"/>
      <c r="O33" s="49" t="n"/>
      <c r="P33" s="49" t="n"/>
      <c r="Q33" s="49" t="n"/>
      <c r="R33" s="62" t="n"/>
    </row>
    <row r="34" ht="16.95" customHeight="1"/>
    <row r="35" ht="16.95" customHeight="1">
      <c r="C35" s="84" t="n"/>
      <c r="D35" s="84" t="n"/>
      <c r="E35" s="84" t="n"/>
      <c r="F35" s="84" t="n"/>
      <c r="G35" s="84" t="n"/>
    </row>
    <row r="36">
      <c r="B36" s="51" t="n"/>
      <c r="C36" s="80" t="inlineStr">
        <is>
          <t>ING. JOHAN SEBASTIÁN PÉREZ</t>
        </is>
      </c>
      <c r="D36" s="51" t="n"/>
      <c r="E36" s="51" t="n"/>
      <c r="F36" s="51" t="n"/>
      <c r="H36" s="50" t="n"/>
      <c r="J36" s="50" t="n"/>
      <c r="K36" s="50" t="n"/>
      <c r="L36" s="50" t="n"/>
      <c r="N36" s="62" t="n"/>
      <c r="O36" s="62" t="n"/>
    </row>
    <row r="37" ht="13.2" customHeight="1">
      <c r="B37" s="51" t="n"/>
      <c r="C37" s="76" t="inlineStr">
        <is>
          <t>DIRECTOR DE LABORATORIO</t>
        </is>
      </c>
      <c r="D37" s="76" t="n"/>
      <c r="E37" s="76" t="n"/>
      <c r="F37" s="76" t="n"/>
      <c r="G37" s="76" t="n"/>
      <c r="J37" s="50" t="n"/>
      <c r="K37" s="50" t="n"/>
      <c r="L37" s="50" t="n"/>
      <c r="N37" s="144" t="n"/>
      <c r="O37" s="60" t="n"/>
      <c r="P37" s="60" t="n"/>
      <c r="Q37" s="60" t="n"/>
    </row>
    <row r="38" ht="16.95" customHeight="1">
      <c r="B38" s="59" t="n"/>
      <c r="C38" s="59" t="n"/>
      <c r="D38" s="59" t="n"/>
      <c r="E38" s="59" t="n"/>
      <c r="G38" s="49" t="n"/>
      <c r="H38" s="49" t="n"/>
      <c r="I38" s="49" t="n"/>
      <c r="J38" s="50" t="n"/>
      <c r="K38" s="50" t="n"/>
      <c r="L38" s="50" t="n"/>
      <c r="M38" s="50" t="n"/>
      <c r="N38" s="49" t="n"/>
      <c r="O38" s="124">
        <f>O1</f>
        <v/>
      </c>
      <c r="R38" s="139">
        <f>R1</f>
        <v/>
      </c>
    </row>
    <row r="39" ht="16.95" customHeight="1"/>
    <row r="40" ht="16.95" customHeight="1">
      <c r="B40" s="126" t="inlineStr">
        <is>
          <t>3. CONDICIONES AMBIENTALES</t>
        </is>
      </c>
    </row>
    <row r="41" ht="16.95" customHeight="1">
      <c r="B41" s="119" t="inlineStr">
        <is>
          <t>El laboratorio de metrología BTM COLOMBIA ZOMAC S.A.S registra las condiciones ambientales (Humedad y Temperatura) tomando los máximos y mínimos alcanzados durante el tiempo en que se ejecuta la calibración. A continuación se presenta el promedio y la variación resultante.</t>
        </is>
      </c>
      <c r="C41" s="204" t="n"/>
      <c r="D41" s="204" t="n"/>
      <c r="E41" s="204" t="n"/>
      <c r="F41" s="204" t="n"/>
      <c r="G41" s="204" t="n"/>
      <c r="H41" s="204" t="n"/>
      <c r="I41" s="204" t="n"/>
      <c r="J41" s="204" t="n"/>
      <c r="K41" s="204" t="n"/>
      <c r="L41" s="204" t="n"/>
      <c r="M41" s="204" t="n"/>
      <c r="N41" s="204" t="n"/>
      <c r="O41" s="204" t="n"/>
      <c r="P41" s="204" t="n"/>
      <c r="Q41" s="204" t="n"/>
      <c r="R41" s="204" t="n"/>
      <c r="S41" s="204" t="n"/>
    </row>
    <row r="42" ht="16.95" customHeight="1">
      <c r="A42" s="85" t="n"/>
    </row>
    <row r="43" ht="16.95" customHeight="1">
      <c r="A43" s="85" t="n"/>
    </row>
    <row r="44" ht="9" customHeight="1">
      <c r="C44" s="85" t="n"/>
      <c r="D44" s="85" t="n"/>
      <c r="E44" s="85" t="n"/>
      <c r="F44" s="85" t="n"/>
      <c r="G44" s="85" t="n"/>
      <c r="H44" s="85" t="n"/>
      <c r="I44" s="85" t="n"/>
      <c r="J44" s="85" t="n"/>
      <c r="K44" s="85" t="n"/>
      <c r="L44" s="85" t="n"/>
      <c r="M44" s="85" t="n"/>
      <c r="N44" s="85" t="n"/>
      <c r="O44" s="85" t="n"/>
      <c r="P44" s="85" t="n"/>
      <c r="Q44" s="85" t="n"/>
      <c r="R44" s="85" t="n"/>
    </row>
    <row r="45" ht="16.95" customHeight="1">
      <c r="E45" s="74" t="n"/>
      <c r="F45" s="205" t="inlineStr">
        <is>
          <t>TEMPERATURA AMBIENTE (°C)</t>
        </is>
      </c>
      <c r="G45" s="206" t="n"/>
      <c r="H45" s="206" t="n"/>
      <c r="I45" s="206" t="n"/>
      <c r="J45" s="207" t="n"/>
      <c r="K45" s="117" t="inlineStr">
        <is>
          <t>HUMEDAD RELATIVA (%HR)</t>
        </is>
      </c>
      <c r="L45" s="206" t="n"/>
      <c r="M45" s="206" t="n"/>
      <c r="N45" s="206" t="n"/>
      <c r="O45" s="207" t="n"/>
    </row>
    <row r="46" ht="16.95" customHeight="1">
      <c r="E46" s="74" t="n"/>
      <c r="F46" s="131">
        <f>AVERAGE(INFORMACIÓN!B11:B12)</f>
        <v/>
      </c>
      <c r="G46" s="206" t="n"/>
      <c r="H46" s="70" t="inlineStr">
        <is>
          <t>±</t>
        </is>
      </c>
      <c r="I46" s="71">
        <f>ABS(INFORMACIÓN!B11-INFORMACIÓN!B12)</f>
        <v/>
      </c>
      <c r="J46" s="75" t="n"/>
      <c r="K46" s="133">
        <f>AVERAGE(INFORMACIÓN!B13:B14)</f>
        <v/>
      </c>
      <c r="L46" s="206" t="n"/>
      <c r="M46" s="70" t="inlineStr">
        <is>
          <t>±</t>
        </is>
      </c>
      <c r="N46" s="72">
        <f>ABS(INFORMACIÓN!B13-INFORMACIÓN!B14)</f>
        <v/>
      </c>
      <c r="O46" s="73" t="n"/>
    </row>
    <row r="47" ht="11.4" customHeight="1">
      <c r="E47" s="49" t="n"/>
      <c r="F47" s="65" t="n"/>
      <c r="G47" s="66" t="n"/>
      <c r="H47" s="135" t="n"/>
      <c r="I47" s="68" t="n"/>
      <c r="K47" s="69" t="n"/>
      <c r="L47" s="66" t="n"/>
      <c r="M47" s="64" t="n"/>
    </row>
    <row r="48" ht="16.95" customHeight="1">
      <c r="B48" s="51" t="n"/>
      <c r="D48" s="51" t="n"/>
      <c r="F48" s="130" t="inlineStr">
        <is>
          <t>La calibración fue realizada en:</t>
        </is>
      </c>
      <c r="K48" s="135" t="inlineStr">
        <is>
          <t>En sitio (instalaciones del cliente)</t>
        </is>
      </c>
    </row>
    <row r="49" ht="13.2" customHeight="1"/>
    <row r="50" ht="16.95" customHeight="1">
      <c r="B50" s="125" t="inlineStr">
        <is>
          <t>4. INCERTIDUMBRE DE MEDICIÓN</t>
        </is>
      </c>
    </row>
    <row r="51" ht="16.95" customHeight="1">
      <c r="B51" s="119" t="inlineStr">
        <is>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is>
      </c>
      <c r="C51" s="204" t="n"/>
      <c r="D51" s="204" t="n"/>
      <c r="E51" s="204" t="n"/>
      <c r="F51" s="204" t="n"/>
      <c r="G51" s="204" t="n"/>
      <c r="H51" s="204" t="n"/>
      <c r="I51" s="204" t="n"/>
      <c r="J51" s="204" t="n"/>
      <c r="K51" s="204" t="n"/>
      <c r="L51" s="204" t="n"/>
      <c r="M51" s="204" t="n"/>
      <c r="N51" s="204" t="n"/>
      <c r="O51" s="204" t="n"/>
      <c r="P51" s="204" t="n"/>
      <c r="Q51" s="204" t="n"/>
      <c r="R51" s="204" t="n"/>
      <c r="S51" s="204" t="n"/>
    </row>
    <row r="52" ht="16.95" customHeight="1">
      <c r="A52" s="85" t="n"/>
    </row>
    <row r="53" ht="16.95" customHeight="1">
      <c r="A53" s="85" t="n"/>
    </row>
    <row r="54" ht="16.95" customHeight="1">
      <c r="A54" s="85" t="n"/>
    </row>
    <row r="55" ht="16.95" customHeight="1">
      <c r="A55" s="85" t="n"/>
    </row>
    <row r="56" ht="16.95" customHeight="1">
      <c r="A56" s="85" t="n"/>
    </row>
    <row r="57" ht="16.95" customHeight="1">
      <c r="A57" s="85" t="n"/>
    </row>
    <row r="58" ht="16.95" customHeight="1">
      <c r="A58" s="85" t="n"/>
    </row>
    <row r="59" ht="16.95" customHeight="1">
      <c r="B59" s="85" t="n"/>
      <c r="C59" s="85" t="n"/>
      <c r="D59" s="85" t="n"/>
      <c r="E59" s="85" t="n"/>
      <c r="F59" s="85" t="n"/>
      <c r="G59" s="85" t="n"/>
      <c r="H59" s="85" t="n"/>
      <c r="I59" s="85" t="n"/>
      <c r="J59" s="85" t="n"/>
      <c r="K59" s="85" t="n"/>
      <c r="L59" s="85" t="n"/>
      <c r="M59" s="85" t="n"/>
      <c r="N59" s="85" t="n"/>
      <c r="O59" s="85" t="n"/>
      <c r="P59" s="85" t="n"/>
      <c r="Q59" s="85" t="n"/>
      <c r="R59" s="85" t="n"/>
      <c r="S59" s="85" t="n"/>
    </row>
    <row r="60" ht="16.95" customHeight="1">
      <c r="B60" s="126" t="inlineStr">
        <is>
          <t>5. PROCEDIMIENTO DE CALIBRACIÓN</t>
        </is>
      </c>
    </row>
    <row r="61" ht="16.95" customHeight="1">
      <c r="B61" s="119" t="inlineStr">
        <is>
          <t>La calibración se ejecutó mediante el método de comparación directa con patrón de referencia de acuerdo con el procedimiento interno para micropipetas BTM-P-042.</t>
        </is>
      </c>
      <c r="C61" s="204" t="n"/>
      <c r="D61" s="204" t="n"/>
      <c r="E61" s="204" t="n"/>
      <c r="F61" s="204" t="n"/>
      <c r="G61" s="204" t="n"/>
      <c r="H61" s="204" t="n"/>
      <c r="I61" s="204" t="n"/>
      <c r="J61" s="204" t="n"/>
      <c r="K61" s="204" t="n"/>
      <c r="L61" s="204" t="n"/>
      <c r="M61" s="204" t="n"/>
      <c r="N61" s="204" t="n"/>
      <c r="O61" s="204" t="n"/>
      <c r="P61" s="204" t="n"/>
      <c r="Q61" s="204" t="n"/>
      <c r="R61" s="204" t="n"/>
      <c r="S61" s="204" t="n"/>
    </row>
    <row r="62" ht="16.95" customHeight="1">
      <c r="A62" s="85" t="n"/>
    </row>
    <row r="63" ht="13.8" customHeight="1"/>
    <row r="64" ht="15" customHeight="1">
      <c r="B64" s="126" t="inlineStr">
        <is>
          <t xml:space="preserve">6. TRAZABILIDAD </t>
        </is>
      </c>
    </row>
    <row r="65" ht="19.2" customHeight="1">
      <c r="B65" s="119" t="inlineStr">
        <is>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is>
      </c>
      <c r="C65" s="204" t="n"/>
      <c r="D65" s="204" t="n"/>
      <c r="E65" s="204" t="n"/>
      <c r="F65" s="204" t="n"/>
      <c r="G65" s="204" t="n"/>
      <c r="H65" s="204" t="n"/>
      <c r="I65" s="204" t="n"/>
      <c r="J65" s="204" t="n"/>
      <c r="K65" s="204" t="n"/>
      <c r="L65" s="204" t="n"/>
      <c r="M65" s="204" t="n"/>
      <c r="N65" s="204" t="n"/>
      <c r="O65" s="204" t="n"/>
      <c r="P65" s="204" t="n"/>
      <c r="Q65" s="204" t="n"/>
      <c r="R65" s="204" t="n"/>
      <c r="S65" s="204" t="n"/>
    </row>
    <row r="66" ht="16.95" customHeight="1">
      <c r="A66" s="85" t="n"/>
    </row>
    <row r="67" ht="16.95" customHeight="1">
      <c r="A67" s="85" t="n"/>
    </row>
    <row r="68" ht="16.95" customHeight="1">
      <c r="A68" s="85" t="n"/>
    </row>
    <row r="69" ht="16.95" customHeight="1"/>
    <row r="70" ht="16.95" customHeight="1">
      <c r="B70" s="117" t="inlineStr">
        <is>
          <t>PATRÓN</t>
        </is>
      </c>
      <c r="C70" s="206" t="n"/>
      <c r="D70" s="206" t="n"/>
      <c r="E70" s="206" t="n"/>
      <c r="F70" s="206" t="n"/>
      <c r="G70" s="207" t="n"/>
      <c r="H70" s="117" t="inlineStr">
        <is>
          <t>SERIE</t>
        </is>
      </c>
      <c r="I70" s="206" t="n"/>
      <c r="J70" s="206" t="n"/>
      <c r="K70" s="206" t="n"/>
      <c r="L70" s="207" t="n"/>
      <c r="M70" s="117" t="inlineStr">
        <is>
          <t>CALIBRACIÓN</t>
        </is>
      </c>
      <c r="N70" s="206" t="n"/>
      <c r="O70" s="207" t="n"/>
      <c r="P70" s="117" t="inlineStr">
        <is>
          <t>CERTIFICADO</t>
        </is>
      </c>
      <c r="Q70" s="206" t="n"/>
      <c r="R70" s="206" t="n"/>
      <c r="S70" s="207" t="n"/>
    </row>
    <row r="71" ht="16.95" customHeight="1">
      <c r="B71" s="118" t="inlineStr">
        <is>
          <t>Báscula Analítica</t>
        </is>
      </c>
      <c r="C71" s="206" t="n"/>
      <c r="D71" s="206" t="n"/>
      <c r="E71" s="206" t="n"/>
      <c r="F71" s="206" t="n"/>
      <c r="G71" s="207" t="n"/>
      <c r="H71" s="122" t="inlineStr">
        <is>
          <t>N8201011-071</t>
        </is>
      </c>
      <c r="I71" s="206" t="n"/>
      <c r="J71" s="206" t="n"/>
      <c r="K71" s="206" t="n"/>
      <c r="L71" s="207" t="n"/>
      <c r="M71" s="123" t="n">
        <v>46059</v>
      </c>
      <c r="N71" s="206" t="n"/>
      <c r="O71" s="207" t="n"/>
      <c r="P71" s="121" t="n">
        <v>316261</v>
      </c>
      <c r="Q71" s="206" t="n"/>
      <c r="R71" s="206" t="n"/>
      <c r="S71" s="207" t="n"/>
    </row>
    <row r="72" ht="16.95" customHeight="1"/>
    <row r="73" ht="16.95" customHeight="1"/>
    <row r="74" ht="16.95" customHeight="1"/>
    <row r="75" ht="16.95" customHeight="1"/>
    <row r="76" ht="16.95" customHeight="1">
      <c r="O76" s="124">
        <f>O1</f>
        <v/>
      </c>
      <c r="R76" s="139">
        <f>R1</f>
        <v/>
      </c>
    </row>
    <row r="77" ht="16.95" customHeight="1"/>
    <row r="78" ht="16.95" customHeight="1">
      <c r="B78" s="107" t="inlineStr">
        <is>
          <t>7. RESULTADOS DE LA CALIBRACIÓN</t>
        </is>
      </c>
      <c r="C78" s="201" t="n"/>
      <c r="D78" s="201" t="n"/>
      <c r="E78" s="201" t="n"/>
      <c r="F78" s="201" t="n"/>
      <c r="G78" s="201" t="n"/>
      <c r="H78" s="201" t="n"/>
      <c r="I78" s="201" t="n"/>
      <c r="J78" s="201" t="n"/>
      <c r="K78" s="201" t="n"/>
      <c r="L78" s="201" t="n"/>
      <c r="M78" s="201" t="n"/>
      <c r="N78" s="201" t="n"/>
      <c r="O78" s="201" t="n"/>
      <c r="P78" s="201" t="n"/>
      <c r="Q78" s="201" t="n"/>
      <c r="R78" s="201" t="n"/>
      <c r="S78" s="201" t="n"/>
    </row>
    <row r="79" ht="16.65" customHeight="1"/>
    <row r="80" ht="16.65" customHeight="1">
      <c r="B80" s="50" t="inlineStr">
        <is>
          <t>Calibración de volumen</t>
        </is>
      </c>
      <c r="C80" s="50" t="n"/>
      <c r="D80" s="50" t="n"/>
      <c r="E80" s="50" t="n"/>
      <c r="F80" s="50" t="n"/>
      <c r="G80" s="50" t="n"/>
      <c r="H80" s="50" t="n"/>
      <c r="I80" s="154" t="inlineStr">
        <is>
          <t>Intervalo de medición(mL):</t>
        </is>
      </c>
      <c r="N80" s="153" t="inlineStr">
        <is>
          <t>1 a 5</t>
        </is>
      </c>
      <c r="P80" s="154" t="inlineStr">
        <is>
          <t>Resolución(mL):</t>
        </is>
      </c>
      <c r="S80" s="153" t="n">
        <v>1</v>
      </c>
    </row>
    <row r="81" ht="16.8" customHeight="1"/>
    <row r="82" ht="16.65" customHeight="1">
      <c r="B82" s="116" t="inlineStr">
        <is>
          <t>Equipo bajo prueba    (mL)</t>
        </is>
      </c>
      <c r="C82" s="191" t="n"/>
      <c r="D82" s="152" t="inlineStr">
        <is>
          <t>Medidas del equipo patrón</t>
        </is>
      </c>
      <c r="E82" s="192" t="n"/>
      <c r="F82" s="192" t="n"/>
      <c r="G82" s="192" t="n"/>
      <c r="H82" s="192" t="n"/>
      <c r="I82" s="192" t="n"/>
      <c r="J82" s="192" t="n"/>
      <c r="K82" s="186" t="n"/>
      <c r="L82" s="155" t="inlineStr">
        <is>
          <t>*mL= Mililitros</t>
        </is>
      </c>
      <c r="M82" s="198" t="n"/>
      <c r="N82" s="198" t="n"/>
      <c r="O82" s="198" t="n"/>
      <c r="P82" s="198" t="n"/>
      <c r="Q82" s="198" t="n"/>
      <c r="R82" s="198" t="n"/>
      <c r="S82" s="198" t="n"/>
    </row>
    <row r="83" ht="24" customHeight="1">
      <c r="B83" s="193" t="n"/>
      <c r="C83" s="194" t="n"/>
      <c r="D83" s="113" t="inlineStr">
        <is>
          <t>Lectura 1(mL)</t>
        </is>
      </c>
      <c r="E83" s="186" t="n"/>
      <c r="F83" s="113" t="inlineStr">
        <is>
          <t>Lectura 2(mL)</t>
        </is>
      </c>
      <c r="G83" s="186" t="n"/>
      <c r="H83" s="113" t="inlineStr">
        <is>
          <t>Lectura 3 (mL)</t>
        </is>
      </c>
      <c r="I83" s="186" t="n"/>
      <c r="J83" s="113" t="inlineStr">
        <is>
          <t>Lectura 4(mL)</t>
        </is>
      </c>
      <c r="K83" s="186" t="n"/>
      <c r="L83" s="116" t="inlineStr">
        <is>
          <t>Promedio(mL)</t>
        </is>
      </c>
      <c r="M83" s="186" t="n"/>
      <c r="N83" s="116" t="inlineStr">
        <is>
          <t>Error          (mL)</t>
        </is>
      </c>
      <c r="O83" s="186" t="n"/>
      <c r="P83" s="113" t="inlineStr">
        <is>
          <t>Incertidumbre Expandida ±</t>
        </is>
      </c>
      <c r="Q83" s="192" t="n"/>
      <c r="R83" s="186" t="n"/>
      <c r="S83" s="152" t="inlineStr">
        <is>
          <t>k</t>
        </is>
      </c>
    </row>
    <row r="84" ht="16.8" customHeight="1">
      <c r="B84" s="115">
        <f>MEDIDA!B6</f>
        <v/>
      </c>
      <c r="C84" s="186" t="n"/>
      <c r="D84" s="114">
        <f>MEDIDA!D6</f>
        <v/>
      </c>
      <c r="E84" s="186" t="n"/>
      <c r="F84" s="114">
        <f>MEDIDA!F6</f>
        <v/>
      </c>
      <c r="G84" s="186" t="n"/>
      <c r="H84" s="114">
        <f>MEDIDA!H6</f>
        <v/>
      </c>
      <c r="I84" s="186" t="n"/>
      <c r="J84" s="114">
        <f>MEDIDA!J6</f>
        <v/>
      </c>
      <c r="K84" s="186" t="n"/>
      <c r="L84" s="114">
        <f>MEDIDA!L6</f>
        <v/>
      </c>
      <c r="M84" s="186" t="n"/>
      <c r="N84" s="114">
        <f>MEDIDA!N6</f>
        <v/>
      </c>
      <c r="O84" s="186" t="n"/>
      <c r="P84" s="114" t="n">
        <v>0.01</v>
      </c>
      <c r="Q84" s="192" t="n"/>
      <c r="R84" s="186" t="n"/>
      <c r="S84" s="93">
        <f>INCERTIDUMBRE!K4</f>
        <v/>
      </c>
    </row>
    <row r="85" ht="16.8" customHeight="1">
      <c r="B85" s="115">
        <f>MEDIDA!B7</f>
        <v/>
      </c>
      <c r="C85" s="186" t="n"/>
      <c r="D85" s="114">
        <f>MEDIDA!D7</f>
        <v/>
      </c>
      <c r="E85" s="186" t="n"/>
      <c r="F85" s="114">
        <f>MEDIDA!F7</f>
        <v/>
      </c>
      <c r="G85" s="186" t="n"/>
      <c r="H85" s="114">
        <f>MEDIDA!H7</f>
        <v/>
      </c>
      <c r="I85" s="186" t="n"/>
      <c r="J85" s="114">
        <f>MEDIDA!J7</f>
        <v/>
      </c>
      <c r="K85" s="186" t="n"/>
      <c r="L85" s="114">
        <f>MEDIDA!L7</f>
        <v/>
      </c>
      <c r="M85" s="186" t="n"/>
      <c r="N85" s="114">
        <f>MEDIDA!N7</f>
        <v/>
      </c>
      <c r="O85" s="186" t="n"/>
      <c r="P85" s="114" t="n">
        <v>0.01</v>
      </c>
      <c r="Q85" s="192" t="n"/>
      <c r="R85" s="186" t="n"/>
      <c r="S85" s="93">
        <f>INCERTIDUMBRE!K5</f>
        <v/>
      </c>
    </row>
    <row r="86" ht="16.8" customHeight="1">
      <c r="B86" s="115">
        <f>MEDIDA!B8</f>
        <v/>
      </c>
      <c r="C86" s="186" t="n"/>
      <c r="D86" s="114">
        <f>MEDIDA!D8</f>
        <v/>
      </c>
      <c r="E86" s="186" t="n"/>
      <c r="F86" s="114">
        <f>MEDIDA!F8</f>
        <v/>
      </c>
      <c r="G86" s="186" t="n"/>
      <c r="H86" s="114">
        <f>MEDIDA!H8</f>
        <v/>
      </c>
      <c r="I86" s="186" t="n"/>
      <c r="J86" s="114">
        <f>MEDIDA!J8</f>
        <v/>
      </c>
      <c r="K86" s="186" t="n"/>
      <c r="L86" s="114">
        <f>MEDIDA!L8</f>
        <v/>
      </c>
      <c r="M86" s="186" t="n"/>
      <c r="N86" s="114">
        <f>MEDIDA!N8</f>
        <v/>
      </c>
      <c r="O86" s="186" t="n"/>
      <c r="P86" s="114" t="n">
        <v>0.01</v>
      </c>
      <c r="Q86" s="192" t="n"/>
      <c r="R86" s="186" t="n"/>
      <c r="S86" s="93">
        <f>INCERTIDUMBRE!K6</f>
        <v/>
      </c>
    </row>
    <row r="87" ht="16.2" customHeight="1"/>
    <row r="88" ht="16.95" customHeight="1"/>
    <row r="89" ht="16.95" customHeight="1"/>
    <row r="90" ht="16.95" customHeight="1"/>
    <row r="91" ht="24" customHeight="1"/>
    <row r="92" ht="16.95" customHeight="1"/>
    <row r="93" ht="16.95" customHeight="1"/>
    <row r="94" ht="16.95" customHeight="1"/>
    <row r="95" ht="16.95" customHeight="1"/>
    <row r="96" ht="16.95" customHeight="1"/>
    <row r="97" ht="16.95" customHeight="1"/>
    <row r="98" ht="16.95" customHeight="1"/>
    <row r="99" ht="16.95" customHeight="1"/>
    <row r="100" ht="16.95" customHeight="1">
      <c r="B100" s="107" t="inlineStr">
        <is>
          <t>8. INFORMACIÓN ADICIONAL</t>
        </is>
      </c>
      <c r="C100" s="201" t="n"/>
      <c r="D100" s="201" t="n"/>
      <c r="E100" s="201" t="n"/>
      <c r="F100" s="201" t="n"/>
      <c r="G100" s="201" t="n"/>
      <c r="H100" s="201" t="n"/>
      <c r="I100" s="201" t="n"/>
      <c r="J100" s="201" t="n"/>
      <c r="K100" s="201" t="n"/>
      <c r="L100" s="201" t="n"/>
      <c r="M100" s="201" t="n"/>
      <c r="N100" s="201" t="n"/>
      <c r="O100" s="201" t="n"/>
      <c r="P100" s="201" t="n"/>
      <c r="Q100" s="201" t="n"/>
      <c r="R100" s="201" t="n"/>
      <c r="S100" s="201" t="n"/>
    </row>
    <row r="101" ht="16.95" customHeight="1"/>
    <row r="102" ht="16.95" customHeight="1">
      <c r="B102" s="108" t="inlineStr">
        <is>
          <t>Declaración de cumplimiento según:</t>
        </is>
      </c>
      <c r="I102" s="76" t="inlineStr">
        <is>
          <t>N/A</t>
        </is>
      </c>
      <c r="J102" s="76" t="n"/>
      <c r="K102" s="76" t="n"/>
      <c r="L102" s="76" t="n"/>
      <c r="M102" s="76" t="n"/>
      <c r="N102" s="76" t="n"/>
      <c r="O102" s="76" t="n"/>
      <c r="P102" s="76" t="n"/>
      <c r="Q102" s="76" t="n"/>
      <c r="R102" s="76" t="n"/>
      <c r="S102" s="76" t="n"/>
    </row>
    <row r="103" ht="19.8" customHeight="1">
      <c r="B103" s="109" t="inlineStr">
        <is>
          <t>Datos Suministrados por el cliente:</t>
        </is>
      </c>
      <c r="I103" s="76" t="inlineStr">
        <is>
          <t>N/A</t>
        </is>
      </c>
    </row>
    <row r="104">
      <c r="B104" s="108" t="inlineStr">
        <is>
          <t xml:space="preserve">Comentarios: </t>
        </is>
      </c>
      <c r="I104" s="76" t="inlineStr">
        <is>
          <t>N/A</t>
        </is>
      </c>
      <c r="J104" s="76" t="n"/>
      <c r="K104" s="76" t="n"/>
      <c r="L104" s="76" t="n"/>
      <c r="M104" s="76" t="n"/>
      <c r="N104" s="76" t="n"/>
      <c r="O104" s="76" t="n"/>
      <c r="P104" s="76" t="n"/>
      <c r="Q104" s="76" t="n"/>
      <c r="R104" s="76" t="n"/>
      <c r="S104" s="76" t="n"/>
    </row>
    <row r="105">
      <c r="B105" s="110" t="inlineStr">
        <is>
          <t>Factor de conversión:</t>
        </is>
      </c>
      <c r="I105" s="111" t="inlineStr">
        <is>
          <t>N/A</t>
        </is>
      </c>
      <c r="M105" s="111" t="n"/>
      <c r="N105" s="111" t="n"/>
      <c r="O105" s="111" t="n"/>
      <c r="P105" s="111" t="n"/>
      <c r="Q105" s="111" t="n"/>
      <c r="R105" s="111" t="n"/>
      <c r="S105" s="111" t="n"/>
    </row>
    <row r="106" ht="16.65" customHeight="1"/>
    <row r="107" ht="16.8" customHeight="1"/>
    <row r="108" ht="16.8" customHeight="1">
      <c r="B108" s="112" t="inlineStr">
        <is>
          <t>*** FIN DEL CERTIFICADO ***</t>
        </is>
      </c>
      <c r="C108" s="201" t="n"/>
      <c r="D108" s="201" t="n"/>
      <c r="E108" s="201" t="n"/>
      <c r="F108" s="201" t="n"/>
      <c r="G108" s="201" t="n"/>
      <c r="H108" s="201" t="n"/>
      <c r="I108" s="201" t="n"/>
      <c r="J108" s="201" t="n"/>
      <c r="K108" s="201" t="n"/>
      <c r="L108" s="201" t="n"/>
      <c r="M108" s="201" t="n"/>
      <c r="N108" s="201" t="n"/>
      <c r="O108" s="201" t="n"/>
      <c r="P108" s="201" t="n"/>
      <c r="Q108" s="201" t="n"/>
      <c r="R108" s="201" t="n"/>
      <c r="S108" s="201" t="n"/>
    </row>
    <row r="109" ht="16.8" customHeight="1"/>
    <row r="110" ht="16.8" customHeight="1"/>
    <row r="111"/>
    <row r="112"/>
    <row r="113"/>
    <row r="114" ht="16.65" customHeight="1"/>
    <row r="115" ht="16.65" customHeight="1"/>
    <row r="116" ht="16.65" customHeight="1"/>
    <row r="117" ht="16.8" customHeight="1"/>
    <row r="118" ht="16.8" customHeight="1"/>
    <row r="119" ht="24" customHeight="1"/>
    <row r="120" ht="16.8" customHeight="1"/>
    <row r="121" ht="16.8" customHeight="1"/>
    <row r="122" ht="16.8" customHeight="1"/>
    <row r="123" ht="16.8" customHeight="1"/>
    <row r="124" ht="16.8" customHeight="1"/>
    <row r="125"/>
    <row r="126"/>
    <row r="127"/>
    <row r="128" ht="24" customHeight="1"/>
    <row r="129" ht="16.8" customHeight="1"/>
    <row r="130" ht="16.8" customHeight="1"/>
    <row r="131" ht="16.8" customHeight="1"/>
    <row r="132" ht="16.8" customHeight="1"/>
    <row r="133" ht="16.8" customHeight="1"/>
    <row r="134"/>
    <row r="135"/>
    <row r="136"/>
    <row r="137" ht="24" customHeight="1"/>
    <row r="138"/>
    <row r="139"/>
    <row r="140"/>
    <row r="141"/>
    <row r="142"/>
    <row r="143"/>
    <row r="144"/>
    <row r="145"/>
    <row r="146"/>
    <row r="147"/>
    <row r="148"/>
    <row r="149" ht="16.2" customHeight="1">
      <c r="T149" s="50" t="n"/>
    </row>
    <row r="150" ht="11.4" customHeight="1"/>
    <row r="151"/>
    <row r="152"/>
    <row r="153"/>
    <row r="154" ht="16.8" customHeight="1"/>
    <row r="155" ht="24" customHeight="1"/>
    <row r="156"/>
    <row r="157"/>
    <row r="158"/>
    <row r="159" ht="16.8" customHeight="1"/>
    <row r="160"/>
    <row r="161"/>
    <row r="162"/>
    <row r="163" ht="24" customHeight="1"/>
    <row r="164"/>
    <row r="165"/>
    <row r="166"/>
    <row r="167"/>
    <row r="168"/>
    <row r="169"/>
    <row r="170"/>
    <row r="171"/>
    <row r="172"/>
    <row r="173"/>
    <row r="174">
      <c r="T174" s="111" t="n"/>
    </row>
  </sheetData>
  <mergeCells count="112">
    <mergeCell ref="I8:R8"/>
    <mergeCell ref="N85:O85"/>
    <mergeCell ref="I17:R17"/>
    <mergeCell ref="C5:G5"/>
    <mergeCell ref="I80:M80"/>
    <mergeCell ref="D84:E84"/>
    <mergeCell ref="F84:G84"/>
    <mergeCell ref="M31:R31"/>
    <mergeCell ref="I10:R10"/>
    <mergeCell ref="I19:R19"/>
    <mergeCell ref="B78:S78"/>
    <mergeCell ref="B86:C86"/>
    <mergeCell ref="D86:E86"/>
    <mergeCell ref="F86:G86"/>
    <mergeCell ref="C3:R3"/>
    <mergeCell ref="I9:R9"/>
    <mergeCell ref="K48:P48"/>
    <mergeCell ref="F45:J45"/>
    <mergeCell ref="B40:S40"/>
    <mergeCell ref="J86:K86"/>
    <mergeCell ref="O76:Q76"/>
    <mergeCell ref="C21:G21"/>
    <mergeCell ref="B64:S64"/>
    <mergeCell ref="B50:S50"/>
    <mergeCell ref="G2:I2"/>
    <mergeCell ref="C7:G7"/>
    <mergeCell ref="F48:J48"/>
    <mergeCell ref="P70:S70"/>
    <mergeCell ref="B41:S43"/>
    <mergeCell ref="I12:R12"/>
    <mergeCell ref="B102:G102"/>
    <mergeCell ref="I21:R21"/>
    <mergeCell ref="C18:G18"/>
    <mergeCell ref="K45:O45"/>
    <mergeCell ref="F83:G83"/>
    <mergeCell ref="H83:I83"/>
    <mergeCell ref="C20:G20"/>
    <mergeCell ref="I31:L31"/>
    <mergeCell ref="I1:K1"/>
    <mergeCell ref="F85:G85"/>
    <mergeCell ref="J83:K83"/>
    <mergeCell ref="H85:I85"/>
    <mergeCell ref="L83:M83"/>
    <mergeCell ref="B104:G104"/>
    <mergeCell ref="B61:S62"/>
    <mergeCell ref="C12:G12"/>
    <mergeCell ref="O38:Q38"/>
    <mergeCell ref="J85:K85"/>
    <mergeCell ref="L85:M85"/>
    <mergeCell ref="M71:O71"/>
    <mergeCell ref="F46:G46"/>
    <mergeCell ref="B84:C84"/>
    <mergeCell ref="I32:L32"/>
    <mergeCell ref="B70:G70"/>
    <mergeCell ref="L84:M84"/>
    <mergeCell ref="N84:O84"/>
    <mergeCell ref="P84:R84"/>
    <mergeCell ref="D82:K82"/>
    <mergeCell ref="M70:O70"/>
    <mergeCell ref="N80:O80"/>
    <mergeCell ref="I33:L33"/>
    <mergeCell ref="R1:S1"/>
    <mergeCell ref="O1:Q1"/>
    <mergeCell ref="P80:R80"/>
    <mergeCell ref="I5:R5"/>
    <mergeCell ref="L82:S82"/>
    <mergeCell ref="I20:R20"/>
    <mergeCell ref="B60:S60"/>
    <mergeCell ref="B65:S68"/>
    <mergeCell ref="P71:S71"/>
    <mergeCell ref="B103:G103"/>
    <mergeCell ref="I13:R13"/>
    <mergeCell ref="C10:G10"/>
    <mergeCell ref="B108:S108"/>
    <mergeCell ref="K46:L46"/>
    <mergeCell ref="C9:G9"/>
    <mergeCell ref="B51:S58"/>
    <mergeCell ref="H70:L70"/>
    <mergeCell ref="M32:O32"/>
    <mergeCell ref="R76:S76"/>
    <mergeCell ref="C11:G11"/>
    <mergeCell ref="P83:R83"/>
    <mergeCell ref="H84:I84"/>
    <mergeCell ref="I7:R7"/>
    <mergeCell ref="D83:E83"/>
    <mergeCell ref="P85:R85"/>
    <mergeCell ref="H86:I86"/>
    <mergeCell ref="J2:K2"/>
    <mergeCell ref="I18:R18"/>
    <mergeCell ref="B71:G71"/>
    <mergeCell ref="B85:C85"/>
    <mergeCell ref="B105:G105"/>
    <mergeCell ref="D85:E85"/>
    <mergeCell ref="C13:G13"/>
    <mergeCell ref="L86:M86"/>
    <mergeCell ref="N86:O86"/>
    <mergeCell ref="C6:G6"/>
    <mergeCell ref="R38:S38"/>
    <mergeCell ref="P86:R86"/>
    <mergeCell ref="J84:K84"/>
    <mergeCell ref="I105:L105"/>
    <mergeCell ref="I6:R6"/>
    <mergeCell ref="I11:R11"/>
    <mergeCell ref="C15:R15"/>
    <mergeCell ref="C8:G8"/>
    <mergeCell ref="C17:G17"/>
    <mergeCell ref="B100:S100"/>
    <mergeCell ref="B82:C83"/>
    <mergeCell ref="C23:R28"/>
    <mergeCell ref="C19:G19"/>
    <mergeCell ref="H71:L71"/>
    <mergeCell ref="N83:O83"/>
  </mergeCells>
  <pageMargins left="0.5118110236220472" right="0.4330708661417323" top="1.692913385826772" bottom="1.299212598425197" header="0.3149606299212598" footer="0.9055118110236221"/>
  <pageSetup orientation="portrait" paperSize="9" scale="99"/>
  <headerFooter>
    <oddHeader>&amp;L&amp;G&amp;C&amp;"Trade Gothic Next Heavy,Normal"&amp;14 _x000a__x000a__x000a__x000a_CERTIFICADO DE CALIBRACIÓN&amp;R&amp;8 BTMC ZOMAC S.A.S_x000a_NIT:901.432.911-7_x000a_Calle 12 # 5-45_x000a_Neiva-Huila_x000a_3142856103_x000a_operaciones.btm@gmail.com</oddHeader>
    <oddFooter>&amp;C&amp;"-,Cursiva"&amp;9 Somos tu mejor aliado en la calibración y mantenimiento de equipos biomédicos&amp;R&amp;"-,Negrita"&amp;9 _x000a_Página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johan sebastian perez gutierrez</dc:creator>
  <dcterms:created xsi:type="dcterms:W3CDTF">2012-07-25T22:15:54Z</dcterms:created>
  <dcterms:modified xsi:type="dcterms:W3CDTF">2026-05-04T23:22:24Z</dcterms:modified>
  <cp:lastModifiedBy>johan sebastian perez gutierrez</cp:lastModifiedBy>
  <cp:lastPrinted>2023-11-29T21:53:38Z</cp:lastPrinted>
</cp:coreProperties>
</file>