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57BF0673-440A-4EC6-AA95-A9321150592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7" i="20" l="1"/>
  <c r="I7" i="20"/>
  <c r="K7" i="20"/>
  <c r="G8" i="20"/>
  <c r="I8" i="20"/>
  <c r="K8" i="20"/>
  <c r="G9" i="20"/>
  <c r="I9" i="20"/>
  <c r="K9" i="20"/>
  <c r="K6" i="20"/>
  <c r="I6" i="20"/>
  <c r="G6" i="20"/>
  <c r="N46" i="31"/>
  <c r="K46" i="31"/>
  <c r="I46" i="31"/>
  <c r="F46" i="31"/>
  <c r="M32" i="31"/>
  <c r="M31" i="31"/>
  <c r="I18" i="31"/>
  <c r="I19" i="31"/>
  <c r="I20" i="31"/>
  <c r="I21" i="31"/>
  <c r="I17" i="31"/>
  <c r="I13" i="31"/>
  <c r="I12" i="31"/>
  <c r="I11" i="31"/>
  <c r="I10" i="31"/>
  <c r="I9" i="31"/>
  <c r="I8" i="31"/>
  <c r="I7" i="31"/>
  <c r="I6" i="31"/>
  <c r="I5" i="31"/>
  <c r="R1" i="31"/>
  <c r="B10" i="23"/>
  <c r="B9" i="23"/>
  <c r="C58" i="21" l="1"/>
  <c r="C57" i="21"/>
  <c r="C56" i="21"/>
  <c r="C51" i="21"/>
  <c r="C52" i="21"/>
  <c r="C50" i="21"/>
  <c r="G58" i="21"/>
  <c r="G57" i="21"/>
  <c r="G56" i="21"/>
  <c r="G51" i="21"/>
  <c r="G52" i="21"/>
  <c r="G50" i="21"/>
  <c r="F58" i="21"/>
  <c r="F57" i="21"/>
  <c r="F56" i="21"/>
  <c r="F51" i="21"/>
  <c r="F52" i="21"/>
  <c r="F50" i="21"/>
  <c r="D58" i="21"/>
  <c r="D57" i="21"/>
  <c r="D56" i="21"/>
  <c r="D51" i="21"/>
  <c r="D52" i="21"/>
  <c r="D50" i="21"/>
  <c r="B57" i="21"/>
  <c r="B58" i="21"/>
  <c r="B56" i="21"/>
  <c r="B51" i="21"/>
  <c r="B52" i="21"/>
  <c r="B50" i="21"/>
  <c r="I58" i="21"/>
  <c r="J58" i="21"/>
  <c r="K58" i="21"/>
  <c r="H43" i="21"/>
  <c r="I43" i="21" s="1"/>
  <c r="H44" i="21"/>
  <c r="I44" i="21" s="1"/>
  <c r="H45" i="21"/>
  <c r="H46" i="21"/>
  <c r="I46" i="21" s="1"/>
  <c r="J46" i="21" s="1"/>
  <c r="K46" i="21" s="1"/>
  <c r="L46" i="21" s="1"/>
  <c r="H42" i="21"/>
  <c r="I42" i="21" s="1"/>
  <c r="J42" i="21" s="1"/>
  <c r="K42" i="21" s="1"/>
  <c r="L42" i="21" s="1"/>
  <c r="G43" i="21"/>
  <c r="G44" i="21"/>
  <c r="G45" i="21"/>
  <c r="G46" i="21"/>
  <c r="G42" i="21"/>
  <c r="F43" i="21"/>
  <c r="F44" i="21"/>
  <c r="F45" i="21"/>
  <c r="F46" i="21"/>
  <c r="F42" i="21"/>
  <c r="D43" i="21"/>
  <c r="D44" i="21"/>
  <c r="D45" i="21"/>
  <c r="D46" i="21"/>
  <c r="D42" i="21"/>
  <c r="C43" i="21"/>
  <c r="C44" i="21"/>
  <c r="C45" i="21"/>
  <c r="C46" i="21"/>
  <c r="C42" i="21"/>
  <c r="H36" i="2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J29" i="21" s="1"/>
  <c r="K29" i="21" s="1"/>
  <c r="S85" i="31" s="1"/>
  <c r="H30" i="21"/>
  <c r="H31" i="21"/>
  <c r="I31" i="21" s="1"/>
  <c r="H28" i="21"/>
  <c r="I28" i="21" s="1"/>
  <c r="J28" i="21" s="1"/>
  <c r="K28" i="21" s="1"/>
  <c r="L28" i="21" s="1"/>
  <c r="P84" i="3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45"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H14" i="21"/>
  <c r="I14" i="21" s="1"/>
  <c r="H15" i="21"/>
  <c r="H16" i="21"/>
  <c r="H12" i="21"/>
  <c r="H21" i="21"/>
  <c r="H22" i="21"/>
  <c r="I22" i="21" s="1"/>
  <c r="H23" i="21"/>
  <c r="I23" i="21" s="1"/>
  <c r="H24" i="21"/>
  <c r="I24" i="21" s="1"/>
  <c r="H20" i="21"/>
  <c r="I20" i="21" s="1"/>
  <c r="H5" i="21"/>
  <c r="I5" i="21" s="1"/>
  <c r="J5" i="21" s="1"/>
  <c r="K5" i="21" s="1"/>
  <c r="H6" i="21"/>
  <c r="I6" i="21" s="1"/>
  <c r="H7" i="21"/>
  <c r="I7" i="21" s="1"/>
  <c r="J7" i="21" s="1"/>
  <c r="K7" i="21" s="1"/>
  <c r="H8" i="21"/>
  <c r="H4" i="21"/>
  <c r="I4" i="21" s="1"/>
  <c r="B43" i="21"/>
  <c r="B44" i="21"/>
  <c r="B45" i="21"/>
  <c r="B46" i="21"/>
  <c r="B42" i="21"/>
  <c r="B36" i="21"/>
  <c r="B37" i="21"/>
  <c r="B38" i="21"/>
  <c r="B35" i="21"/>
  <c r="B29" i="21"/>
  <c r="B30" i="21"/>
  <c r="B31" i="21"/>
  <c r="B28" i="21"/>
  <c r="I36" i="21"/>
  <c r="B21" i="21"/>
  <c r="B22" i="21"/>
  <c r="B23" i="21"/>
  <c r="B24" i="21"/>
  <c r="B20" i="21"/>
  <c r="B13" i="21"/>
  <c r="B14" i="21"/>
  <c r="B15" i="21"/>
  <c r="B16" i="21"/>
  <c r="B12" i="21"/>
  <c r="B5" i="21"/>
  <c r="B6" i="21"/>
  <c r="B7" i="21"/>
  <c r="B8" i="21"/>
  <c r="B4" i="21"/>
  <c r="J85" i="31"/>
  <c r="J86" i="31"/>
  <c r="J87" i="31"/>
  <c r="J84" i="31"/>
  <c r="H85" i="31"/>
  <c r="H86" i="31"/>
  <c r="H87" i="31"/>
  <c r="H84" i="31"/>
  <c r="F85" i="31"/>
  <c r="F86" i="31"/>
  <c r="F87" i="31"/>
  <c r="F84" i="31"/>
  <c r="D85" i="31"/>
  <c r="D86" i="31"/>
  <c r="D87" i="31"/>
  <c r="D84" i="31"/>
  <c r="M9" i="20"/>
  <c r="L87" i="31" s="1"/>
  <c r="M7" i="20"/>
  <c r="L85" i="31" s="1"/>
  <c r="M8" i="20"/>
  <c r="O8" i="20" s="1"/>
  <c r="N86" i="31" s="1"/>
  <c r="M6" i="20"/>
  <c r="O6" i="20" s="1"/>
  <c r="N84" i="31" s="1"/>
  <c r="B85" i="31"/>
  <c r="B86" i="31"/>
  <c r="B87" i="31"/>
  <c r="B84" i="31"/>
  <c r="L57" i="21"/>
  <c r="L50" i="21"/>
  <c r="L52" i="21"/>
  <c r="L56" i="21"/>
  <c r="I16" i="21"/>
  <c r="J16" i="21"/>
  <c r="K16" i="21" s="1"/>
  <c r="L16" i="21" s="1"/>
  <c r="A404" i="29" s="1"/>
  <c r="I21" i="21"/>
  <c r="J21" i="21"/>
  <c r="K21" i="21" s="1"/>
  <c r="J51" i="21"/>
  <c r="K51" i="21"/>
  <c r="I15" i="21"/>
  <c r="J15" i="21" s="1"/>
  <c r="K15" i="21" s="1"/>
  <c r="J20" i="21"/>
  <c r="K20" i="21" s="1"/>
  <c r="L20" i="21" s="1"/>
  <c r="J14" i="21"/>
  <c r="K14" i="21" s="1"/>
  <c r="I30" i="21"/>
  <c r="I12" i="21"/>
  <c r="J12" i="21" s="1"/>
  <c r="K12" i="21" s="1"/>
  <c r="L12" i="21" s="1"/>
  <c r="A244" i="29" s="1"/>
  <c r="J36" i="21"/>
  <c r="K36" i="21" s="1"/>
  <c r="L36" i="21" s="1"/>
  <c r="L51" i="21"/>
  <c r="L15" i="21"/>
  <c r="A364" i="29" s="1"/>
  <c r="L14" i="21"/>
  <c r="A324" i="29" s="1"/>
  <c r="K48" i="31"/>
  <c r="O76" i="3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E406" i="29"/>
  <c r="F409" i="29" s="1"/>
  <c r="B165" i="29"/>
  <c r="C172" i="29"/>
  <c r="D172" i="29"/>
  <c r="E172" i="29"/>
  <c r="J166" i="29"/>
  <c r="E169" i="29"/>
  <c r="C212" i="29"/>
  <c r="D212" i="29"/>
  <c r="E212" i="29"/>
  <c r="C203" i="29"/>
  <c r="D203" i="29"/>
  <c r="J167" i="29"/>
  <c r="C412" i="29"/>
  <c r="D412" i="29" s="1"/>
  <c r="E412" i="29" s="1"/>
  <c r="E166" i="29"/>
  <c r="F169" i="29"/>
  <c r="C163" i="29"/>
  <c r="D163" i="29"/>
  <c r="J207" i="29"/>
  <c r="I8" i="21"/>
  <c r="J8" i="21" s="1"/>
  <c r="K8" i="21" s="1"/>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O7" i="20" l="1"/>
  <c r="N85" i="31" s="1"/>
  <c r="J13" i="21"/>
  <c r="K13" i="21" s="1"/>
  <c r="L13" i="21" s="1"/>
  <c r="A284" i="29" s="1"/>
  <c r="J23" i="21"/>
  <c r="K23" i="21" s="1"/>
  <c r="L23" i="21" s="1"/>
  <c r="E249" i="29"/>
  <c r="B244" i="29"/>
  <c r="C252" i="29"/>
  <c r="D252" i="29" s="1"/>
  <c r="E252" i="29" s="1"/>
  <c r="C243" i="29"/>
  <c r="D243" i="29" s="1"/>
  <c r="D244" i="29" s="1"/>
  <c r="L84" i="31"/>
  <c r="O9" i="20"/>
  <c r="N87" i="31" s="1"/>
  <c r="L86" i="31"/>
  <c r="J327" i="29"/>
  <c r="C332" i="29"/>
  <c r="D332" i="29" s="1"/>
  <c r="E332" i="29" s="1"/>
  <c r="E329" i="29"/>
  <c r="G326" i="29" s="1"/>
  <c r="H326" i="29" s="1"/>
  <c r="J326" i="29"/>
  <c r="C323" i="29"/>
  <c r="D323" i="29" s="1"/>
  <c r="B324" i="29"/>
  <c r="E326" i="29"/>
  <c r="F329" i="29" s="1"/>
  <c r="E366" i="29"/>
  <c r="F369" i="29" s="1"/>
  <c r="J366" i="29"/>
  <c r="C372" i="29"/>
  <c r="D372" i="29" s="1"/>
  <c r="E372" i="29" s="1"/>
  <c r="B364" i="29"/>
  <c r="J367" i="29"/>
  <c r="L29" i="21"/>
  <c r="P85" i="31" s="1"/>
  <c r="J247" i="29"/>
  <c r="E246" i="29"/>
  <c r="F249" i="29" s="1"/>
  <c r="G246" i="29" s="1"/>
  <c r="J246" i="29"/>
  <c r="J22" i="21"/>
  <c r="K22" i="21" s="1"/>
  <c r="L22" i="21"/>
  <c r="S84" i="31"/>
  <c r="L21" i="21"/>
  <c r="J24" i="21"/>
  <c r="K24" i="21" s="1"/>
  <c r="L24" i="21"/>
  <c r="E369" i="29"/>
  <c r="G366" i="29" s="1"/>
  <c r="H366" i="29" s="1"/>
  <c r="C363" i="29"/>
  <c r="D363" i="29" s="1"/>
  <c r="J30" i="21"/>
  <c r="K30" i="21" s="1"/>
  <c r="S86" i="31" s="1"/>
  <c r="J31" i="21"/>
  <c r="K31" i="21" s="1"/>
  <c r="S87" i="31" s="1"/>
  <c r="E409" i="29"/>
  <c r="G406" i="29" s="1"/>
  <c r="H406" i="29" s="1"/>
  <c r="J406" i="29"/>
  <c r="C403" i="29"/>
  <c r="D403" i="29" s="1"/>
  <c r="J407" i="29"/>
  <c r="B404" i="29"/>
  <c r="R76" i="31"/>
  <c r="J43" i="21"/>
  <c r="K43" i="21" s="1"/>
  <c r="J38" i="21"/>
  <c r="K38" i="21" s="1"/>
  <c r="J37" i="21"/>
  <c r="K37" i="21" s="1"/>
  <c r="R38" i="31"/>
  <c r="J45" i="21"/>
  <c r="K45" i="21" s="1"/>
  <c r="J44" i="21"/>
  <c r="K44" i="21" s="1"/>
  <c r="J35" i="21"/>
  <c r="K35" i="21" s="1"/>
  <c r="L8" i="21"/>
  <c r="L7" i="21"/>
  <c r="J6" i="21"/>
  <c r="K6" i="21" s="1"/>
  <c r="L5" i="21"/>
  <c r="J4" i="21"/>
  <c r="K4" i="21" s="1"/>
  <c r="J286" i="29" l="1"/>
  <c r="J287" i="29"/>
  <c r="C292" i="29"/>
  <c r="D292" i="29" s="1"/>
  <c r="E292" i="29" s="1"/>
  <c r="E289" i="29"/>
  <c r="B284" i="29"/>
  <c r="C283" i="29"/>
  <c r="D283" i="29" s="1"/>
  <c r="D284" i="29" s="1"/>
  <c r="E286" i="29"/>
  <c r="F289" i="29" s="1"/>
  <c r="F366" i="29"/>
  <c r="E243" i="29"/>
  <c r="F243" i="29" s="1"/>
  <c r="C246" i="29" s="1"/>
  <c r="D246" i="29"/>
  <c r="C247" i="29"/>
  <c r="C248" i="29" s="1"/>
  <c r="H246" i="29"/>
  <c r="F246" i="29"/>
  <c r="D324" i="29"/>
  <c r="E323" i="29"/>
  <c r="F323" i="29" s="1"/>
  <c r="C326" i="29" s="1"/>
  <c r="E363" i="29"/>
  <c r="F363" i="29" s="1"/>
  <c r="C366" i="29" s="1"/>
  <c r="D364" i="29"/>
  <c r="D404" i="29"/>
  <c r="E403" i="29"/>
  <c r="F403" i="29" s="1"/>
  <c r="C406" i="29" s="1"/>
  <c r="F326" i="29"/>
  <c r="E283" i="29"/>
  <c r="F283" i="29" s="1"/>
  <c r="C286" i="29" s="1"/>
  <c r="L30" i="21"/>
  <c r="P86" i="31" s="1"/>
  <c r="L31" i="21"/>
  <c r="P87" i="31" s="1"/>
  <c r="F406" i="29"/>
  <c r="L43" i="21"/>
  <c r="L38" i="21"/>
  <c r="L37" i="21"/>
  <c r="L45" i="21"/>
  <c r="L44" i="21"/>
  <c r="L35" i="21"/>
  <c r="A124" i="29"/>
  <c r="A83" i="29"/>
  <c r="L6" i="21"/>
  <c r="A3" i="29"/>
  <c r="L4" i="21"/>
  <c r="G286" i="29" l="1"/>
  <c r="H286" i="29" s="1"/>
  <c r="F286" i="29"/>
  <c r="C327" i="29"/>
  <c r="C328" i="29" s="1"/>
  <c r="D326" i="29"/>
  <c r="C287" i="29"/>
  <c r="C288" i="29" s="1"/>
  <c r="D286" i="29"/>
  <c r="C367" i="29"/>
  <c r="C368" i="29" s="1"/>
  <c r="D366" i="29"/>
  <c r="H243" i="29"/>
  <c r="K246" i="29"/>
  <c r="A252" i="29" s="1"/>
  <c r="D406" i="29"/>
  <c r="C407" i="29"/>
  <c r="C408" i="29" s="1"/>
  <c r="D247" i="29"/>
  <c r="D249" i="29"/>
  <c r="E126" i="29"/>
  <c r="F129" i="29" s="1"/>
  <c r="J127" i="29"/>
  <c r="J126" i="29"/>
  <c r="C132" i="29"/>
  <c r="D132" i="29" s="1"/>
  <c r="E132" i="29" s="1"/>
  <c r="E129" i="29"/>
  <c r="C123" i="29"/>
  <c r="D123" i="29" s="1"/>
  <c r="E85" i="29"/>
  <c r="F88" i="29" s="1"/>
  <c r="E88" i="29"/>
  <c r="J85" i="29"/>
  <c r="J86" i="29"/>
  <c r="C91" i="29"/>
  <c r="D91" i="29" s="1"/>
  <c r="E91" i="29" s="1"/>
  <c r="C82" i="29"/>
  <c r="D82" i="29" s="1"/>
  <c r="A43" i="29"/>
  <c r="C11" i="29"/>
  <c r="D11" i="29" s="1"/>
  <c r="E11" i="29" s="1"/>
  <c r="E8" i="29"/>
  <c r="C2" i="29"/>
  <c r="D2" i="29" s="1"/>
  <c r="J6" i="29"/>
  <c r="E5" i="29"/>
  <c r="F8" i="29" s="1"/>
  <c r="J5" i="29"/>
  <c r="D369" i="29" l="1"/>
  <c r="D367" i="29"/>
  <c r="J255" i="29"/>
  <c r="E257" i="29"/>
  <c r="E254" i="29"/>
  <c r="F257" i="29" s="1"/>
  <c r="C254" i="29"/>
  <c r="C260" i="29"/>
  <c r="D260" i="29" s="1"/>
  <c r="E260" i="29" s="1"/>
  <c r="J254" i="29"/>
  <c r="H363" i="29"/>
  <c r="K366" i="29"/>
  <c r="A372" i="29" s="1"/>
  <c r="D289" i="29"/>
  <c r="D287" i="29"/>
  <c r="K286" i="29"/>
  <c r="A292" i="29" s="1"/>
  <c r="H283" i="29"/>
  <c r="H403" i="29"/>
  <c r="K406" i="29"/>
  <c r="A412" i="29" s="1"/>
  <c r="D329" i="29"/>
  <c r="D327" i="29"/>
  <c r="D407" i="29"/>
  <c r="D409" i="29"/>
  <c r="K326" i="29"/>
  <c r="A332" i="29" s="1"/>
  <c r="H323" i="29"/>
  <c r="G126" i="29"/>
  <c r="F126" i="29" s="1"/>
  <c r="E123" i="29"/>
  <c r="F123" i="29" s="1"/>
  <c r="C126" i="29" s="1"/>
  <c r="D124" i="29"/>
  <c r="G85" i="29"/>
  <c r="H85" i="29" s="1"/>
  <c r="D83" i="29"/>
  <c r="E82" i="29"/>
  <c r="F82" i="29" s="1"/>
  <c r="C85" i="29" s="1"/>
  <c r="C42" i="29"/>
  <c r="D42" i="29" s="1"/>
  <c r="E45" i="29"/>
  <c r="F48" i="29" s="1"/>
  <c r="J45" i="29"/>
  <c r="C51" i="29"/>
  <c r="D51" i="29" s="1"/>
  <c r="E51" i="29" s="1"/>
  <c r="E48" i="29"/>
  <c r="J46" i="29"/>
  <c r="G5" i="29"/>
  <c r="H5" i="29" s="1"/>
  <c r="D3" i="29"/>
  <c r="E2" i="29"/>
  <c r="F2" i="29" s="1"/>
  <c r="C5" i="29" s="1"/>
  <c r="E334" i="29" l="1"/>
  <c r="F337" i="29" s="1"/>
  <c r="J334" i="29"/>
  <c r="J335" i="29"/>
  <c r="C334" i="29"/>
  <c r="C340" i="29"/>
  <c r="D340" i="29" s="1"/>
  <c r="E340" i="29" s="1"/>
  <c r="E337" i="29"/>
  <c r="G334" i="29" s="1"/>
  <c r="F334" i="29" s="1"/>
  <c r="J294" i="29"/>
  <c r="C300" i="29"/>
  <c r="D300" i="29" s="1"/>
  <c r="E300" i="29" s="1"/>
  <c r="C294" i="29"/>
  <c r="E294" i="29"/>
  <c r="F297" i="29" s="1"/>
  <c r="J295" i="29"/>
  <c r="E297" i="29"/>
  <c r="G294" i="29" s="1"/>
  <c r="H294" i="29" s="1"/>
  <c r="D254" i="29"/>
  <c r="C255" i="29"/>
  <c r="C256" i="29" s="1"/>
  <c r="K254" i="29" s="1"/>
  <c r="A260" i="29" s="1"/>
  <c r="C374" i="29"/>
  <c r="E377" i="29"/>
  <c r="J375" i="29"/>
  <c r="J374" i="29"/>
  <c r="C380" i="29"/>
  <c r="D380" i="29" s="1"/>
  <c r="E380" i="29" s="1"/>
  <c r="E374" i="29"/>
  <c r="F377" i="29" s="1"/>
  <c r="G254" i="29"/>
  <c r="H254" i="29" s="1"/>
  <c r="C420" i="29"/>
  <c r="D420" i="29" s="1"/>
  <c r="E420" i="29" s="1"/>
  <c r="J415" i="29"/>
  <c r="E414" i="29"/>
  <c r="F417" i="29" s="1"/>
  <c r="C414" i="29"/>
  <c r="J414" i="29"/>
  <c r="E417" i="29"/>
  <c r="F5" i="29"/>
  <c r="H126" i="29"/>
  <c r="C127" i="29"/>
  <c r="C128" i="29" s="1"/>
  <c r="D126" i="29"/>
  <c r="C86" i="29"/>
  <c r="C87" i="29" s="1"/>
  <c r="D85" i="29"/>
  <c r="F85" i="29"/>
  <c r="G45" i="29"/>
  <c r="H45" i="29" s="1"/>
  <c r="E42" i="29"/>
  <c r="F42" i="29" s="1"/>
  <c r="C45" i="29" s="1"/>
  <c r="D43" i="29"/>
  <c r="C6" i="29"/>
  <c r="C7" i="29" s="1"/>
  <c r="D5" i="29"/>
  <c r="H334" i="29" l="1"/>
  <c r="F254" i="29"/>
  <c r="G374" i="29"/>
  <c r="H374" i="29" s="1"/>
  <c r="C335" i="29"/>
  <c r="C336" i="29" s="1"/>
  <c r="K334" i="29" s="1"/>
  <c r="A340" i="29" s="1"/>
  <c r="D334" i="29"/>
  <c r="D294" i="29"/>
  <c r="C295" i="29"/>
  <c r="C296" i="29" s="1"/>
  <c r="K294" i="29" s="1"/>
  <c r="A300" i="29" s="1"/>
  <c r="J263" i="29"/>
  <c r="C262" i="29"/>
  <c r="J262" i="29"/>
  <c r="E262" i="29"/>
  <c r="F265" i="29" s="1"/>
  <c r="C268" i="29"/>
  <c r="D268" i="29" s="1"/>
  <c r="E268" i="29" s="1"/>
  <c r="E265" i="29"/>
  <c r="G262" i="29" s="1"/>
  <c r="H262" i="29" s="1"/>
  <c r="F294" i="29"/>
  <c r="G414" i="29"/>
  <c r="C375" i="29"/>
  <c r="C376" i="29" s="1"/>
  <c r="K374" i="29" s="1"/>
  <c r="A380" i="29" s="1"/>
  <c r="D374" i="29"/>
  <c r="D414" i="29"/>
  <c r="C415" i="29"/>
  <c r="C416" i="29" s="1"/>
  <c r="K414" i="29" s="1"/>
  <c r="A420" i="29" s="1"/>
  <c r="D255" i="29"/>
  <c r="D257" i="29"/>
  <c r="F45" i="29"/>
  <c r="D129" i="29"/>
  <c r="H123" i="29" s="1"/>
  <c r="D127" i="29"/>
  <c r="D86" i="29"/>
  <c r="D88" i="29"/>
  <c r="H82" i="29" s="1"/>
  <c r="D45" i="29"/>
  <c r="C46" i="29"/>
  <c r="C47" i="29" s="1"/>
  <c r="D8" i="29"/>
  <c r="H2" i="29" s="1"/>
  <c r="D6" i="29"/>
  <c r="F374" i="29" l="1"/>
  <c r="J383" i="29"/>
  <c r="C388" i="29"/>
  <c r="D388" i="29" s="1"/>
  <c r="E388" i="29" s="1"/>
  <c r="C382" i="29"/>
  <c r="E382" i="29"/>
  <c r="F385" i="29" s="1"/>
  <c r="E385" i="29"/>
  <c r="J382" i="29"/>
  <c r="H414" i="29"/>
  <c r="F414" i="29"/>
  <c r="D262" i="29"/>
  <c r="C263" i="29"/>
  <c r="C264" i="29" s="1"/>
  <c r="K262" i="29" s="1"/>
  <c r="A268" i="29" s="1"/>
  <c r="E305" i="29"/>
  <c r="J302" i="29"/>
  <c r="E302" i="29"/>
  <c r="F305" i="29" s="1"/>
  <c r="C302" i="29"/>
  <c r="J303" i="29"/>
  <c r="C308" i="29"/>
  <c r="D308" i="29" s="1"/>
  <c r="E308" i="29" s="1"/>
  <c r="D297" i="29"/>
  <c r="D295" i="29"/>
  <c r="D377" i="29"/>
  <c r="D375" i="29"/>
  <c r="J422" i="29"/>
  <c r="J423" i="29"/>
  <c r="E422" i="29"/>
  <c r="F425" i="29" s="1"/>
  <c r="C422" i="29"/>
  <c r="E425" i="29"/>
  <c r="C428" i="29"/>
  <c r="D428" i="29" s="1"/>
  <c r="E428" i="29" s="1"/>
  <c r="D337" i="29"/>
  <c r="D335" i="29"/>
  <c r="D415" i="29"/>
  <c r="D417" i="29"/>
  <c r="F262" i="29"/>
  <c r="J342" i="29"/>
  <c r="E345" i="29"/>
  <c r="C342" i="29"/>
  <c r="C348" i="29"/>
  <c r="D348" i="29" s="1"/>
  <c r="E348" i="29" s="1"/>
  <c r="J343" i="29"/>
  <c r="E342" i="29"/>
  <c r="F345" i="29" s="1"/>
  <c r="K126" i="29"/>
  <c r="A132" i="29" s="1"/>
  <c r="C140" i="29" s="1"/>
  <c r="D140" i="29" s="1"/>
  <c r="E140" i="29" s="1"/>
  <c r="K85" i="29"/>
  <c r="A91" i="29" s="1"/>
  <c r="C93" i="29" s="1"/>
  <c r="D48" i="29"/>
  <c r="K45" i="29" s="1"/>
  <c r="A51" i="29" s="1"/>
  <c r="D46" i="29"/>
  <c r="K5" i="29"/>
  <c r="A11" i="29" s="1"/>
  <c r="J14" i="29" s="1"/>
  <c r="G382" i="29" l="1"/>
  <c r="H382" i="29" s="1"/>
  <c r="G422" i="29"/>
  <c r="H422" i="29" s="1"/>
  <c r="G342" i="29"/>
  <c r="H342" i="29" s="1"/>
  <c r="F342" i="29"/>
  <c r="F422" i="29"/>
  <c r="C423" i="29"/>
  <c r="C424" i="29" s="1"/>
  <c r="K422" i="29" s="1"/>
  <c r="A428" i="29" s="1"/>
  <c r="D422" i="29"/>
  <c r="G302" i="29"/>
  <c r="H302" i="29" s="1"/>
  <c r="F382" i="29"/>
  <c r="C270" i="29"/>
  <c r="E273" i="29"/>
  <c r="E270" i="29"/>
  <c r="F273" i="29" s="1"/>
  <c r="J271" i="29"/>
  <c r="J270" i="29"/>
  <c r="C276" i="29"/>
  <c r="D276" i="29" s="1"/>
  <c r="E276" i="29" s="1"/>
  <c r="D382" i="29"/>
  <c r="C383" i="29"/>
  <c r="C384" i="29" s="1"/>
  <c r="K382" i="29" s="1"/>
  <c r="A388" i="29" s="1"/>
  <c r="D265" i="29"/>
  <c r="D263" i="29"/>
  <c r="C343" i="29"/>
  <c r="C344" i="29" s="1"/>
  <c r="K342" i="29" s="1"/>
  <c r="A348" i="29" s="1"/>
  <c r="D342" i="29"/>
  <c r="D302" i="29"/>
  <c r="C303" i="29"/>
  <c r="C304" i="29" s="1"/>
  <c r="K302" i="29" s="1"/>
  <c r="A308" i="29" s="1"/>
  <c r="C13" i="29"/>
  <c r="D13" i="29" s="1"/>
  <c r="C19" i="29"/>
  <c r="D19" i="29" s="1"/>
  <c r="E19" i="29" s="1"/>
  <c r="E13" i="29"/>
  <c r="F16" i="29" s="1"/>
  <c r="J13" i="29"/>
  <c r="J135" i="29"/>
  <c r="E137" i="29"/>
  <c r="C134" i="29"/>
  <c r="D134" i="29" s="1"/>
  <c r="E134" i="29"/>
  <c r="F137" i="29" s="1"/>
  <c r="J134" i="29"/>
  <c r="J93" i="29"/>
  <c r="E93" i="29"/>
  <c r="F96" i="29" s="1"/>
  <c r="G93" i="29" s="1"/>
  <c r="H93" i="29" s="1"/>
  <c r="E96" i="29"/>
  <c r="J94" i="29"/>
  <c r="C99" i="29"/>
  <c r="D99" i="29" s="1"/>
  <c r="E99" i="29" s="1"/>
  <c r="C94" i="29"/>
  <c r="C95" i="29" s="1"/>
  <c r="D93" i="29"/>
  <c r="H42" i="29"/>
  <c r="C59" i="29"/>
  <c r="D59" i="29" s="1"/>
  <c r="E59" i="29" s="1"/>
  <c r="E53" i="29"/>
  <c r="F56" i="29" s="1"/>
  <c r="C53" i="29"/>
  <c r="J53" i="29"/>
  <c r="E56" i="29"/>
  <c r="J54" i="29"/>
  <c r="E16" i="29"/>
  <c r="G13" i="29" s="1"/>
  <c r="J311" i="29" l="1"/>
  <c r="C316" i="29"/>
  <c r="D316" i="29" s="1"/>
  <c r="E316" i="29" s="1"/>
  <c r="E310" i="29"/>
  <c r="F313" i="29" s="1"/>
  <c r="E313" i="29"/>
  <c r="J310" i="29"/>
  <c r="C310" i="29"/>
  <c r="D343" i="29"/>
  <c r="D345" i="29"/>
  <c r="D423" i="29"/>
  <c r="D425" i="29"/>
  <c r="J351" i="29"/>
  <c r="C350" i="29"/>
  <c r="J350" i="29"/>
  <c r="E353" i="29"/>
  <c r="E350" i="29"/>
  <c r="F353" i="29" s="1"/>
  <c r="C356" i="29"/>
  <c r="D356" i="29" s="1"/>
  <c r="E356" i="29" s="1"/>
  <c r="J431" i="29"/>
  <c r="C430" i="29"/>
  <c r="E433" i="29"/>
  <c r="J430" i="29"/>
  <c r="E430" i="29"/>
  <c r="F433" i="29" s="1"/>
  <c r="C436" i="29"/>
  <c r="D436" i="29" s="1"/>
  <c r="E436" i="29" s="1"/>
  <c r="D383" i="29"/>
  <c r="D385" i="29"/>
  <c r="D303" i="29"/>
  <c r="D305" i="29"/>
  <c r="F302" i="29"/>
  <c r="C14" i="29"/>
  <c r="C15" i="29" s="1"/>
  <c r="K13" i="29" s="1"/>
  <c r="A19" i="29" s="1"/>
  <c r="J21" i="29" s="1"/>
  <c r="D270" i="29"/>
  <c r="C271" i="29"/>
  <c r="C272" i="29" s="1"/>
  <c r="K270" i="29" s="1"/>
  <c r="A276" i="29" s="1"/>
  <c r="E390" i="29"/>
  <c r="F393" i="29" s="1"/>
  <c r="J390" i="29"/>
  <c r="J391" i="29"/>
  <c r="C396" i="29"/>
  <c r="D396" i="29" s="1"/>
  <c r="E396" i="29" s="1"/>
  <c r="C390" i="29"/>
  <c r="E393" i="29"/>
  <c r="G390" i="29" s="1"/>
  <c r="H390" i="29" s="1"/>
  <c r="G270" i="29"/>
  <c r="G134" i="29"/>
  <c r="H134" i="29" s="1"/>
  <c r="C135" i="29"/>
  <c r="C136" i="29" s="1"/>
  <c r="F134" i="29"/>
  <c r="D135" i="29"/>
  <c r="D137" i="29"/>
  <c r="D96" i="29"/>
  <c r="K93" i="29" s="1"/>
  <c r="A99" i="29" s="1"/>
  <c r="D94" i="29"/>
  <c r="F93" i="29"/>
  <c r="G53" i="29"/>
  <c r="H53" i="29" s="1"/>
  <c r="D53" i="29"/>
  <c r="C54" i="29"/>
  <c r="C55" i="29" s="1"/>
  <c r="D14" i="29"/>
  <c r="D16" i="29"/>
  <c r="H13" i="29"/>
  <c r="F13" i="29"/>
  <c r="C21" i="29"/>
  <c r="G310" i="29" l="1"/>
  <c r="H310" i="29" s="1"/>
  <c r="G430" i="29"/>
  <c r="H430" i="29" s="1"/>
  <c r="C27" i="29"/>
  <c r="D27" i="29" s="1"/>
  <c r="E27" i="29" s="1"/>
  <c r="F310" i="29"/>
  <c r="E21" i="29"/>
  <c r="F24" i="29" s="1"/>
  <c r="G350" i="29"/>
  <c r="D310" i="29"/>
  <c r="C311" i="29"/>
  <c r="C312" i="29" s="1"/>
  <c r="K310" i="29" s="1"/>
  <c r="A316" i="29" s="1"/>
  <c r="E24" i="29"/>
  <c r="C431" i="29"/>
  <c r="C432" i="29" s="1"/>
  <c r="K430" i="29" s="1"/>
  <c r="A436" i="29" s="1"/>
  <c r="D430" i="29"/>
  <c r="C351" i="29"/>
  <c r="C352" i="29" s="1"/>
  <c r="K350" i="29" s="1"/>
  <c r="A356" i="29" s="1"/>
  <c r="D350" i="29"/>
  <c r="J22" i="29"/>
  <c r="H270" i="29"/>
  <c r="F270" i="29"/>
  <c r="J278" i="29"/>
  <c r="C278" i="29"/>
  <c r="C279" i="29" s="1"/>
  <c r="C280" i="29" s="1"/>
  <c r="K278" i="29" s="1"/>
  <c r="E278" i="29"/>
  <c r="E281" i="29"/>
  <c r="J279" i="29"/>
  <c r="F430" i="29"/>
  <c r="F390" i="29"/>
  <c r="D273" i="29"/>
  <c r="D271" i="29"/>
  <c r="C391" i="29"/>
  <c r="C392" i="29" s="1"/>
  <c r="K390" i="29" s="1"/>
  <c r="A396" i="29" s="1"/>
  <c r="D390" i="29"/>
  <c r="K134" i="29"/>
  <c r="A140" i="29" s="1"/>
  <c r="C148" i="29" s="1"/>
  <c r="D148" i="29" s="1"/>
  <c r="E148" i="29" s="1"/>
  <c r="F53" i="29"/>
  <c r="C107" i="29"/>
  <c r="D107" i="29" s="1"/>
  <c r="E107" i="29" s="1"/>
  <c r="J102" i="29"/>
  <c r="E104" i="29"/>
  <c r="E101" i="29"/>
  <c r="F104" i="29" s="1"/>
  <c r="C101" i="29"/>
  <c r="D101" i="29" s="1"/>
  <c r="J101" i="29"/>
  <c r="D54" i="29"/>
  <c r="D56" i="29"/>
  <c r="K53" i="29" s="1"/>
  <c r="A59" i="29" s="1"/>
  <c r="G21" i="29"/>
  <c r="H21" i="29" s="1"/>
  <c r="D21" i="29"/>
  <c r="C22" i="29"/>
  <c r="C23" i="29" s="1"/>
  <c r="F350" i="29" l="1"/>
  <c r="H350" i="29"/>
  <c r="G101" i="29"/>
  <c r="H101" i="29" s="1"/>
  <c r="D393" i="29"/>
  <c r="D391" i="29"/>
  <c r="D278" i="29"/>
  <c r="F281" i="29"/>
  <c r="G278" i="29" s="1"/>
  <c r="D351" i="29"/>
  <c r="D353" i="29"/>
  <c r="J359" i="29"/>
  <c r="C358" i="29"/>
  <c r="C359" i="29" s="1"/>
  <c r="C360" i="29" s="1"/>
  <c r="K358" i="29" s="1"/>
  <c r="E358" i="29"/>
  <c r="E361" i="29"/>
  <c r="J358" i="29"/>
  <c r="D433" i="29"/>
  <c r="D431" i="29"/>
  <c r="E441" i="29"/>
  <c r="J438" i="29"/>
  <c r="C438" i="29"/>
  <c r="C439" i="29" s="1"/>
  <c r="C440" i="29" s="1"/>
  <c r="K438" i="29" s="1"/>
  <c r="J439" i="29"/>
  <c r="E438" i="29"/>
  <c r="E401" i="29"/>
  <c r="E398" i="29"/>
  <c r="C398" i="29"/>
  <c r="C399" i="29" s="1"/>
  <c r="C400" i="29" s="1"/>
  <c r="K398" i="29" s="1"/>
  <c r="J398" i="29"/>
  <c r="J399" i="29"/>
  <c r="J142" i="29"/>
  <c r="J319" i="29"/>
  <c r="J318" i="29"/>
  <c r="E318" i="29"/>
  <c r="E321" i="29"/>
  <c r="C318" i="29"/>
  <c r="C319" i="29" s="1"/>
  <c r="C320" i="29" s="1"/>
  <c r="K318" i="29" s="1"/>
  <c r="D311" i="29"/>
  <c r="D313" i="29"/>
  <c r="J143" i="29"/>
  <c r="E145" i="29"/>
  <c r="C142" i="29"/>
  <c r="D142" i="29" s="1"/>
  <c r="D143" i="29" s="1"/>
  <c r="E142" i="29"/>
  <c r="F145" i="29" s="1"/>
  <c r="G142" i="29" s="1"/>
  <c r="H142" i="29" s="1"/>
  <c r="J61" i="29"/>
  <c r="E61" i="29"/>
  <c r="F64" i="29" s="1"/>
  <c r="J62" i="29"/>
  <c r="C67" i="29"/>
  <c r="D67" i="29" s="1"/>
  <c r="E67" i="29" s="1"/>
  <c r="E64" i="29"/>
  <c r="C61" i="29"/>
  <c r="D61" i="29" s="1"/>
  <c r="F21" i="29"/>
  <c r="D145" i="29"/>
  <c r="C102" i="29"/>
  <c r="C103" i="29" s="1"/>
  <c r="K101" i="29" s="1"/>
  <c r="A107" i="29" s="1"/>
  <c r="D104" i="29"/>
  <c r="D102" i="29"/>
  <c r="F101" i="29"/>
  <c r="D22" i="29"/>
  <c r="D24" i="29"/>
  <c r="K21" i="29" s="1"/>
  <c r="A27" i="29" s="1"/>
  <c r="F278" i="29" l="1"/>
  <c r="H278" i="29"/>
  <c r="F441" i="29"/>
  <c r="G438" i="29" s="1"/>
  <c r="D438" i="29"/>
  <c r="D318" i="29"/>
  <c r="F321" i="29"/>
  <c r="G318" i="29" s="1"/>
  <c r="D398" i="29"/>
  <c r="F401" i="29"/>
  <c r="G398" i="29" s="1"/>
  <c r="F361" i="29"/>
  <c r="G358" i="29" s="1"/>
  <c r="D358" i="29"/>
  <c r="D279" i="29"/>
  <c r="D281" i="29"/>
  <c r="C143" i="29"/>
  <c r="C144" i="29" s="1"/>
  <c r="K142" i="29" s="1"/>
  <c r="A148" i="29" s="1"/>
  <c r="E153" i="29" s="1"/>
  <c r="F142" i="29"/>
  <c r="G61" i="29"/>
  <c r="H61" i="29" s="1"/>
  <c r="C62" i="29"/>
  <c r="C63" i="29" s="1"/>
  <c r="J109" i="29"/>
  <c r="C109" i="29"/>
  <c r="E109" i="29"/>
  <c r="F112" i="29" s="1"/>
  <c r="C115" i="29"/>
  <c r="D115" i="29" s="1"/>
  <c r="E115" i="29" s="1"/>
  <c r="J110" i="29"/>
  <c r="E112" i="29"/>
  <c r="D62" i="29"/>
  <c r="D64" i="29"/>
  <c r="C29" i="29"/>
  <c r="E29" i="29"/>
  <c r="F32" i="29" s="1"/>
  <c r="E32" i="29"/>
  <c r="J30" i="29"/>
  <c r="J29" i="29"/>
  <c r="C35" i="29"/>
  <c r="D35" i="29" s="1"/>
  <c r="E35" i="29" s="1"/>
  <c r="H318" i="29" l="1"/>
  <c r="F318" i="29"/>
  <c r="H398" i="29"/>
  <c r="F398" i="29"/>
  <c r="H438" i="29"/>
  <c r="F438" i="29"/>
  <c r="F358" i="29"/>
  <c r="H358" i="29"/>
  <c r="D359" i="29"/>
  <c r="D361" i="29"/>
  <c r="D321" i="29"/>
  <c r="D319" i="29"/>
  <c r="D439" i="29"/>
  <c r="D441" i="29"/>
  <c r="D399" i="29"/>
  <c r="D401" i="29"/>
  <c r="F61" i="29"/>
  <c r="J150" i="29"/>
  <c r="J151" i="29"/>
  <c r="C150" i="29"/>
  <c r="C151" i="29" s="1"/>
  <c r="C152" i="29" s="1"/>
  <c r="K150" i="29" s="1"/>
  <c r="C156" i="29"/>
  <c r="D156" i="29" s="1"/>
  <c r="E156" i="29" s="1"/>
  <c r="E150" i="29"/>
  <c r="F153" i="29" s="1"/>
  <c r="G150" i="29" s="1"/>
  <c r="H150" i="29" s="1"/>
  <c r="K61" i="29"/>
  <c r="A67" i="29" s="1"/>
  <c r="J70" i="29" s="1"/>
  <c r="G109" i="29"/>
  <c r="H109" i="29" s="1"/>
  <c r="C110" i="29"/>
  <c r="C111" i="29" s="1"/>
  <c r="K109" i="29" s="1"/>
  <c r="D109" i="29"/>
  <c r="G29" i="29"/>
  <c r="H29" i="29" s="1"/>
  <c r="C30" i="29"/>
  <c r="C31" i="29" s="1"/>
  <c r="K29" i="29" s="1"/>
  <c r="D29" i="29"/>
  <c r="F150" i="29" l="1"/>
  <c r="D150" i="29"/>
  <c r="C69" i="29"/>
  <c r="D69" i="29" s="1"/>
  <c r="C75" i="29"/>
  <c r="D75" i="29" s="1"/>
  <c r="E75" i="29" s="1"/>
  <c r="J69" i="29"/>
  <c r="E72" i="29"/>
  <c r="E69" i="29"/>
  <c r="F72" i="29" s="1"/>
  <c r="G69" i="29" s="1"/>
  <c r="H69" i="29" s="1"/>
  <c r="A156" i="29"/>
  <c r="J159" i="29" s="1"/>
  <c r="B124" i="29"/>
  <c r="D153" i="29"/>
  <c r="D151" i="29"/>
  <c r="F109" i="29"/>
  <c r="A115" i="29"/>
  <c r="E117" i="29" s="1"/>
  <c r="B83" i="29"/>
  <c r="D110" i="29"/>
  <c r="D112" i="29"/>
  <c r="D30" i="29"/>
  <c r="D32" i="29"/>
  <c r="A35" i="29"/>
  <c r="F29" i="29"/>
  <c r="C70" i="29" l="1"/>
  <c r="C71" i="29" s="1"/>
  <c r="K69" i="29" s="1"/>
  <c r="A75" i="29" s="1"/>
  <c r="E158" i="29"/>
  <c r="F161" i="29" s="1"/>
  <c r="E161" i="29"/>
  <c r="C158" i="29"/>
  <c r="C159" i="29" s="1"/>
  <c r="C160" i="29" s="1"/>
  <c r="K158" i="29" s="1"/>
  <c r="J158" i="29"/>
  <c r="E120" i="29"/>
  <c r="J117" i="29"/>
  <c r="C117" i="29"/>
  <c r="C118" i="29" s="1"/>
  <c r="C119" i="29" s="1"/>
  <c r="J118" i="29"/>
  <c r="D117" i="29"/>
  <c r="F120" i="29"/>
  <c r="D72" i="29"/>
  <c r="D70" i="29"/>
  <c r="B43" i="29"/>
  <c r="F69" i="29"/>
  <c r="J37" i="29"/>
  <c r="C37" i="29"/>
  <c r="C38" i="29" s="1"/>
  <c r="C39" i="29" s="1"/>
  <c r="E37" i="29"/>
  <c r="J38" i="29"/>
  <c r="E40" i="29"/>
  <c r="G158" i="29" l="1"/>
  <c r="D158" i="29"/>
  <c r="D159" i="29" s="1"/>
  <c r="K117" i="29"/>
  <c r="G117" i="29"/>
  <c r="H117" i="29" s="1"/>
  <c r="H158" i="29"/>
  <c r="F158" i="29"/>
  <c r="D161" i="29"/>
  <c r="D118" i="29"/>
  <c r="D120" i="29"/>
  <c r="J77" i="29"/>
  <c r="E80" i="29"/>
  <c r="J78" i="29"/>
  <c r="E77" i="29"/>
  <c r="C77" i="29"/>
  <c r="C78" i="29" s="1"/>
  <c r="C79" i="29" s="1"/>
  <c r="D37" i="29"/>
  <c r="F40" i="29"/>
  <c r="G37" i="29" s="1"/>
  <c r="F117" i="29" l="1"/>
  <c r="F80" i="29"/>
  <c r="G77" i="29" s="1"/>
  <c r="D77" i="29"/>
  <c r="H37" i="29"/>
  <c r="F37" i="29"/>
  <c r="D38" i="29"/>
  <c r="D40" i="29"/>
  <c r="K37" i="29" s="1"/>
  <c r="B3" i="29" s="1"/>
  <c r="H77" i="29" l="1"/>
  <c r="F77" i="29"/>
  <c r="D78" i="29"/>
  <c r="D80" i="29"/>
  <c r="K7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288B6945-099F-46B7-AED2-EE169C511A8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<sst xmlns="http://schemas.openxmlformats.org/spreadsheetml/2006/main" count="1085" uniqueCount="187">
  <si>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</si>
  <si>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</si>
  <si>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</si>
  <si>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</si>
  <si>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</si>
  <si>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</si>
  <si>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</si>
  <si>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</si>
  <si>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</si>
  <si>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</si>
  <si>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</si>
  <si>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</si>
  <si>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</si>
  <si>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</si>
  <si>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</si>
  <si>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</si>
  <si>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</si>
  <si>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</si>
  <si>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</si>
  <si>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</si>
  <si>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</si>
  <si>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</si>
  <si>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</si>
  <si>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</si>
  <si>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</si>
  <si>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</si>
  <si>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</si>
  <si>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</si>
  <si>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</si>
  <si>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</si>
  <si>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</si>
  <si>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</si>
  <si>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</si>
  <si>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</si>
  <si>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</si>
  <si>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</si>
  <si>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</si>
  <si>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</si>
  <si>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</si>
  <si>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</si>
  <si>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</si>
  <si>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</si>
  <si>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</si>
  <si>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</si>
  <si>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</si>
  <si>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</si>
  <si>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</si>
  <si>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</si>
  <si>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</si>
  <si>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</si>
  <si>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</si>
  <si>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</si>
  <si>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</si>
  <si>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</si>
  <si>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</si>
  <si>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</si>
  <si>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</si>
  <si>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</si>
  <si>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</si>
  <si>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</si>
  <si>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</si>
  <si>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</si>
  <si>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</si>
  <si>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</si>
  <si>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</si>
  <si>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</si>
  <si>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</si>
  <si>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</si>
  <si>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</si>
  <si>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</si>
  <si>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</si>
  <si>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</si>
  <si>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</si>
  <si>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</si>
  <si>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</si>
  <si>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</si>
  <si>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</si>
  <si>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</si>
  <si>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</si>
  <si>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</si>
  <si>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</si>
  <si>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</si>
  <si>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</si>
  <si>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</si>
  <si>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</si>
  <si>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</si>
  <si>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</si>
  <si>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</si>
  <si>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</si>
  <si>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</si>
  <si>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</si>
  <si>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</si>
  <si>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</si>
  <si>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</si>
  <si>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</si>
  <si>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</si>
  <si>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</si>
  <si>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</si>
  <si>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 xml:space="preserve">Medidas del equipo bajo prueba </t>
  </si>
  <si>
    <t>Calibración de frecuencia cardiaca</t>
  </si>
  <si>
    <t>Intervalo de medición (Lat/min):</t>
  </si>
  <si>
    <t>Resolución (Lat/min):</t>
  </si>
  <si>
    <t>Patrón (Lat/min)</t>
  </si>
  <si>
    <t>Lectura 1 (Lat/min)</t>
  </si>
  <si>
    <t>Lectura 2 (Lat/min)</t>
  </si>
  <si>
    <t>Lectura 3  (Lat/min)</t>
  </si>
  <si>
    <t>Lectura 4 (Lat/min)</t>
  </si>
  <si>
    <t>Promedio (Lat/min)</t>
  </si>
  <si>
    <t>*Lat/min= Latidos por minuto</t>
  </si>
  <si>
    <t>Error (Lat/min)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</si>
  <si>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</si>
  <si>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</si>
  <si>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</si>
  <si>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</si>
  <si>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</si>
  <si>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</si>
  <si>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</si>
  <si>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</si>
  <si>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</si>
  <si>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</si>
  <si>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</si>
  <si>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</si>
  <si>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</si>
  <si>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</si>
  <si>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</si>
  <si>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</si>
  <si>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</si>
  <si>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</si>
  <si>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</si>
  <si>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</si>
  <si>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</si>
  <si>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</si>
  <si>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</si>
  <si>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</si>
  <si>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</si>
  <si>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</si>
  <si>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</si>
  <si>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</si>
  <si>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</si>
  <si>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</si>
  <si>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</si>
  <si>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</si>
  <si>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</si>
  <si>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</si>
  <si>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</si>
  <si>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</si>
  <si>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</si>
  <si>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</si>
  <si>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</si>
  <si>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</si>
  <si>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</si>
  <si>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</si>
  <si>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</si>
  <si>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</si>
  <si>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</si>
  <si>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</si>
  <si>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</si>
  <si>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ECG</t>
  </si>
  <si>
    <t xml:space="preserve">30 a 240 </t>
  </si>
  <si>
    <t>Error       (Lat/min)</t>
  </si>
  <si>
    <t>FUENTES DE INCERTIDUMBRE PRESIÓN NO INVASIVA</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</si>
  <si>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</si>
  <si>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</si>
  <si>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</si>
  <si>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</si>
  <si>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</si>
  <si>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</si>
  <si>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</si>
  <si>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</si>
  <si>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</si>
  <si>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</si>
  <si>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</si>
  <si>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</si>
  <si>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</si>
  <si>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Inventario</t>
  </si>
  <si>
    <t>Número de Certificado</t>
  </si>
  <si>
    <t>Fecha de Recepción</t>
  </si>
  <si>
    <t>Estado Físico:</t>
  </si>
  <si>
    <t>ING. GABRIEL DURÁN</t>
  </si>
  <si>
    <t>L5555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</si>
  <si>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</si>
  <si>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</si>
  <si>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</si>
  <si>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</si>
  <si>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Holter de Ritmo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</si>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</sst>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
      <sz val="11"/>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25" fillId="0" borderId="0" xfId="0" applyFont="1"/>
    <xf numFmtId="0" fontId="0" fillId="0" borderId="5" xfId="0"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0" fontId="11" fillId="0" borderId="0" xfId="0" applyFont="1" applyAlignment="1">
      <alignment horizont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165" fontId="0" fillId="0" borderId="5" xfId="0" applyNumberFormat="1" applyBorder="1" applyAlignment="1">
      <alignment horizontal="lef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1" fontId="28" fillId="2" borderId="30" xfId="0" applyNumberFormat="1" applyFont="1" applyFill="1" applyBorder="1" applyAlignment="1">
      <alignment horizontal="center" vertical="center" shrinkToFit="1"/>
    </xf>
    <xf numFmtId="49" fontId="29" fillId="2" borderId="5" xfId="0" applyNumberFormat="1" applyFont="1" applyFill="1" applyBorder="1" applyAlignment="1">
      <alignment horizontal="center" vertical="center"/>
    </xf>
    <xf numFmtId="0" fontId="29"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1" fillId="0" borderId="5" xfId="0" applyFont="1" applyBorder="1" applyAlignment="1">
      <alignment horizontal="center" vertical="center"/>
    </xf>
    <xf numFmtId="2" fontId="11" fillId="0" borderId="5" xfId="0" applyNumberFormat="1" applyFont="1" applyBorder="1" applyAlignment="1">
      <alignment horizontal="center" vertical="center"/>
    </xf>
    <xf numFmtId="0" fontId="15" fillId="0" borderId="0" xfId="0" applyFont="1" applyAlignment="1">
      <alignment horizontal="right"/>
    </xf>
    <xf numFmtId="0" fontId="15" fillId="0" borderId="1" xfId="0" applyFont="1" applyBorder="1" applyAlignment="1">
      <alignment horizontal="center" wrapText="1"/>
    </xf>
    <xf numFmtId="0" fontId="15" fillId="0" borderId="3" xfId="0" applyFont="1" applyBorder="1" applyAlignment="1">
      <alignment horizontal="center" wrapText="1"/>
    </xf>
    <xf numFmtId="0" fontId="25" fillId="0" borderId="4" xfId="0" applyFont="1" applyBorder="1" applyAlignment="1">
      <alignment horizontal="center"/>
    </xf>
    <xf numFmtId="0" fontId="25" fillId="0" borderId="7" xfId="0" applyFont="1" applyBorder="1" applyAlignment="1">
      <alignment horizontal="center"/>
    </xf>
    <xf numFmtId="0" fontId="15" fillId="0" borderId="5" xfId="0" applyFont="1" applyBorder="1" applyAlignment="1">
      <alignment horizontal="center" wrapText="1"/>
    </xf>
    <xf numFmtId="0" fontId="15" fillId="0" borderId="5" xfId="0" applyFont="1" applyBorder="1" applyAlignment="1">
      <alignment horizontal="center" vertical="center" wrapText="1"/>
    </xf>
    <xf numFmtId="0" fontId="11" fillId="0" borderId="0" xfId="0" applyFont="1" applyAlignment="1">
      <alignment horizontal="left"/>
    </xf>
    <xf numFmtId="0" fontId="15" fillId="0" borderId="0" xfId="0" applyFont="1" applyAlignment="1">
      <alignment horizont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165" fontId="10" fillId="0" borderId="0" xfId="0" applyNumberFormat="1" applyFont="1" applyAlignment="1">
      <alignment horizontal="left"/>
    </xf>
    <xf numFmtId="0" fontId="15" fillId="0" borderId="5"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1" fontId="10" fillId="0" borderId="0" xfId="0" applyNumberFormat="1" applyFont="1" applyAlignment="1">
      <alignment horizontal="left"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7" fillId="0" borderId="5" xfId="0" applyFont="1" applyBorder="1" applyAlignment="1">
      <alignment horizontal="center"/>
    </xf>
    <xf numFmtId="0" fontId="6" fillId="4" borderId="0" xfId="0" applyFont="1" applyFill="1" applyAlignment="1">
      <alignment horizontal="center"/>
    </xf>
    <xf numFmtId="0" fontId="2" fillId="0" borderId="0" xfId="0" applyFont="1" applyAlignment="1">
      <alignmen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2" fillId="0" borderId="0" xfId="0" applyFont="1" applyAlignment="1">
      <alignment horizontal="left"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0" fillId="0" borderId="5" xfId="0" applyBorder="1" applyAlignment="1">
      <alignment horizontal="center"/>
    </xf>
    <xf numFmtId="0" fontId="2" fillId="0" borderId="0" xfId="0" applyFont="1" applyAlignment="1">
      <alignment horizontal="center" vertical="center"/>
    </xf>
    <xf numFmtId="0" fontId="2" fillId="0" borderId="29" xfId="0" applyFont="1" applyBorder="1" applyAlignment="1">
      <alignment horizontal="center" vertical="center"/>
    </xf>
    <xf numFmtId="0" fontId="2" fillId="0" borderId="29" xfId="0" applyFont="1" applyBorder="1" applyAlignment="1">
      <alignment horizontal="left" vertical="center"/>
    </xf>
    <xf numFmtId="14" fontId="1" fillId="0" borderId="1" xfId="0" applyNumberFormat="1" applyFont="1" applyBorder="1" applyAlignment="1">
      <alignment horizontal="center"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1">
    <dxf>
      <fill>
        <patternFill patternType="solid">
          <fgColor rgb="FFEA9999"/>
          <bgColor rgb="FFEA9999"/>
        </patternFill>
      </fill>
    </dxf>
  </dxfs>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36</xdr:row>
      <xdr:rowOff>121920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8" sqref="E18"/>
    </sheetView>
  </sheetViews>
  <sheetFormatPr baseColWidth="10" defaultColWidth="3.6640625" defaultRowHeight="12.75" customHeight="1" x14ac:dyDescent="0.3"/>
  <cols>
    <col min="1" max="1" width="23" style="1" customWidth="1"/>
    <col min="2" max="2" width="30.6640625" style="1" customWidth="1"/>
    <col min="3" max="3" width="17.88671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117</v>
      </c>
      <c r="B1" s="165"/>
      <c r="C1" s="165"/>
      <c r="D1" s="165"/>
      <c r="E1" s="165"/>
      <c r="F1" s="165"/>
      <c r="G1" s="165"/>
      <c r="H1" s="166"/>
      <c r="I1"/>
      <c r="J1"/>
      <c r="K1"/>
      <c r="L1"/>
      <c r="M1"/>
      <c r="N1"/>
      <c r="O1" t="s">
        <v>129</v>
      </c>
      <c r="P1"/>
      <c r="Q1"/>
      <c r="R1"/>
      <c r="S1"/>
      <c r="T1"/>
      <c r="U1"/>
      <c r="V1"/>
      <c r="W1"/>
      <c r="X1"/>
      <c r="Y1"/>
      <c r="Z1"/>
      <c r="AA1"/>
      <c r="AB1"/>
      <c r="AC1"/>
      <c r="AD1"/>
      <c r="AE1"/>
    </row>
    <row r="2" spans="1:31" ht="14.4" x14ac:dyDescent="0.3">
      <c r="A2" s="100" t="s">
        <v>169</v>
      </c>
      <c r="B2" s="100" t="s">
        <v>170</v>
      </c>
      <c r="C2" s="100" t="s">
        <v>171</v>
      </c>
      <c r="D2" s="100" t="s">
        <v>172</v>
      </c>
      <c r="E2" s="100" t="s">
        <v>173</v>
      </c>
      <c r="F2" s="100" t="s">
        <v>174</v>
      </c>
      <c r="G2" s="100" t="s">
        <v>175</v>
      </c>
      <c r="H2" s="100" t="s">
        <v>176</v>
      </c>
      <c r="I2"/>
      <c r="J2"/>
      <c r="K2"/>
      <c r="L2"/>
      <c r="M2"/>
      <c r="N2"/>
      <c r="O2" t="s">
        <v>130</v>
      </c>
      <c r="P2"/>
      <c r="Q2"/>
      <c r="R2"/>
      <c r="S2"/>
      <c r="T2"/>
      <c r="U2"/>
      <c r="V2"/>
      <c r="W2"/>
      <c r="X2"/>
      <c r="Y2"/>
      <c r="Z2"/>
      <c r="AA2"/>
      <c r="AB2"/>
      <c r="AC2"/>
      <c r="AD2"/>
      <c r="AE2"/>
    </row>
    <row r="3" spans="1:31" ht="12.75" customHeight="1" x14ac:dyDescent="0.3">
      <c r="A3" s="101"/>
      <c r="B3" s="101"/>
      <c r="C3" s="102"/>
      <c r="D3" s="103"/>
      <c r="E3" s="104"/>
      <c r="F3" s="105"/>
      <c r="G3" s="106"/>
      <c r="H3" s="107"/>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131</v>
      </c>
      <c r="P5"/>
      <c r="Q5"/>
      <c r="R5"/>
      <c r="S5"/>
      <c r="T5"/>
      <c r="U5"/>
      <c r="V5"/>
      <c r="W5"/>
      <c r="X5"/>
      <c r="Y5"/>
      <c r="Z5"/>
      <c r="AA5"/>
      <c r="AB5"/>
      <c r="AC5"/>
      <c r="AD5"/>
      <c r="AE5"/>
    </row>
    <row r="6" spans="1:31" ht="12.75" customHeight="1" x14ac:dyDescent="0.3">
      <c r="A6" s="167" t="s">
        <v>118</v>
      </c>
      <c r="B6" s="167"/>
      <c r="C6"/>
      <c r="D6" s="99" t="s">
        <v>116</v>
      </c>
      <c r="E6" s="99"/>
      <c r="H6"/>
      <c r="I6"/>
      <c r="J6"/>
      <c r="K6"/>
      <c r="L6"/>
      <c r="M6"/>
      <c r="N6"/>
      <c r="O6" t="s">
        <v>132</v>
      </c>
      <c r="P6"/>
      <c r="Q6"/>
      <c r="R6"/>
      <c r="S6"/>
      <c r="T6"/>
      <c r="U6"/>
      <c r="V6"/>
      <c r="W6"/>
      <c r="X6"/>
      <c r="Y6"/>
      <c r="Z6"/>
      <c r="AA6"/>
      <c r="AB6"/>
      <c r="AC6"/>
      <c r="AD6"/>
      <c r="AE6"/>
    </row>
    <row r="7" spans="1:31" ht="12.75" customHeight="1" x14ac:dyDescent="0.3">
      <c r="A7" s="22" t="s">
        <v>120</v>
      </c>
      <c r="B7" s="92" t="s">
        <v>129</v>
      </c>
      <c r="C7"/>
      <c r="D7" s="22" t="s">
        <v>119</v>
      </c>
      <c r="E7" s="108"/>
      <c r="H7"/>
      <c r="I7"/>
      <c r="J7"/>
      <c r="K7"/>
      <c r="L7"/>
      <c r="M7"/>
      <c r="N7"/>
      <c r="O7"/>
      <c r="P7"/>
      <c r="Q7"/>
      <c r="R7"/>
      <c r="S7"/>
      <c r="T7"/>
      <c r="U7"/>
      <c r="V7"/>
      <c r="W7"/>
      <c r="X7"/>
      <c r="Y7"/>
      <c r="Z7"/>
      <c r="AA7"/>
      <c r="AB7"/>
      <c r="AC7"/>
      <c r="AD7"/>
      <c r="AE7"/>
    </row>
    <row r="8" spans="1:31" ht="12.75" customHeight="1" x14ac:dyDescent="0.3">
      <c r="A8" s="22" t="s">
        <v>177</v>
      </c>
      <c r="B8" s="92" t="s">
        <v>69</v>
      </c>
      <c r="C8"/>
      <c r="D8" s="22" t="s">
        <v>8</v>
      </c>
      <c r="E8" s="92"/>
      <c r="H8"/>
      <c r="I8"/>
      <c r="J8"/>
      <c r="K8"/>
      <c r="L8"/>
      <c r="M8"/>
      <c r="N8"/>
      <c r="O8"/>
      <c r="P8"/>
      <c r="Q8"/>
      <c r="R8"/>
      <c r="S8"/>
      <c r="T8"/>
      <c r="U8"/>
      <c r="V8"/>
      <c r="W8"/>
      <c r="X8"/>
      <c r="Y8"/>
      <c r="Z8"/>
      <c r="AA8"/>
      <c r="AB8"/>
      <c r="AC8"/>
      <c r="AD8"/>
      <c r="AE8"/>
    </row>
    <row r="9" spans="1:31" ht="12.75" customHeight="1" x14ac:dyDescent="0.3">
      <c r="A9" s="22" t="s">
        <v>122</v>
      </c>
      <c r="B9" s="98">
        <f>H3</f>
        <v>0</v>
      </c>
      <c r="C9"/>
      <c r="D9" s="22" t="s">
        <v>121</v>
      </c>
      <c r="E9" s="92"/>
      <c r="H9"/>
      <c r="I9"/>
      <c r="J9"/>
      <c r="K9"/>
      <c r="L9"/>
      <c r="M9"/>
      <c r="N9"/>
      <c r="O9"/>
      <c r="P9"/>
      <c r="Q9"/>
      <c r="R9"/>
      <c r="S9"/>
      <c r="T9"/>
      <c r="U9"/>
      <c r="V9"/>
      <c r="W9"/>
      <c r="X9"/>
      <c r="Y9"/>
      <c r="Z9"/>
      <c r="AA9"/>
      <c r="AB9"/>
      <c r="AC9"/>
      <c r="AD9"/>
      <c r="AE9"/>
    </row>
    <row r="10" spans="1:31" ht="12.75" customHeight="1" x14ac:dyDescent="0.3">
      <c r="A10" s="22" t="s">
        <v>123</v>
      </c>
      <c r="B10" s="98">
        <f>H3</f>
        <v>0</v>
      </c>
      <c r="C10"/>
      <c r="D10" s="22" t="s">
        <v>5</v>
      </c>
      <c r="E10" s="109"/>
      <c r="G10"/>
      <c r="H10"/>
      <c r="I10"/>
      <c r="J10"/>
      <c r="K10"/>
      <c r="L10"/>
      <c r="M10"/>
      <c r="N10"/>
      <c r="O10"/>
      <c r="P10"/>
      <c r="Q10"/>
      <c r="R10"/>
      <c r="S10"/>
      <c r="T10"/>
      <c r="U10"/>
      <c r="V10"/>
      <c r="W10"/>
      <c r="X10"/>
      <c r="Y10"/>
      <c r="Z10"/>
      <c r="AA10"/>
      <c r="AB10"/>
      <c r="AC10"/>
      <c r="AD10"/>
      <c r="AE10"/>
    </row>
    <row r="11" spans="1:31" ht="12.75" customHeight="1" x14ac:dyDescent="0.3">
      <c r="A11" s="22" t="s">
        <v>124</v>
      </c>
      <c r="B11" s="92">
        <v>24.1</v>
      </c>
      <c r="C11"/>
      <c r="D11" s="22" t="s">
        <v>3</v>
      </c>
      <c r="E11" s="109"/>
      <c r="G11"/>
      <c r="H11"/>
      <c r="I11"/>
      <c r="J11"/>
      <c r="K11"/>
      <c r="L11"/>
      <c r="M11"/>
      <c r="N11"/>
      <c r="O11"/>
      <c r="P11"/>
      <c r="Q11"/>
      <c r="R11"/>
      <c r="S11"/>
      <c r="T11"/>
      <c r="U11"/>
      <c r="V11"/>
      <c r="W11"/>
      <c r="X11"/>
      <c r="Y11"/>
      <c r="Z11"/>
      <c r="AA11"/>
      <c r="AB11"/>
      <c r="AC11"/>
      <c r="AD11"/>
      <c r="AE11"/>
    </row>
    <row r="12" spans="1:31" ht="12.75" customHeight="1" x14ac:dyDescent="0.3">
      <c r="A12" s="22" t="s">
        <v>125</v>
      </c>
      <c r="B12" s="92">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2" t="s">
        <v>126</v>
      </c>
      <c r="B13" s="92">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2" t="s">
        <v>127</v>
      </c>
      <c r="B14" s="92">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2" t="s">
        <v>128</v>
      </c>
      <c r="B15" s="92" t="s">
        <v>178</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conditionalFormatting sqref="E6">
    <cfRule type="expression" dxfId="0" priority="1">
      <formula>#REF!="Fuera de Servicio"</formula>
    </cfRule>
  </conditionalFormatting>
  <dataValidations count="2">
    <dataValidation type="list" allowBlank="1" showInputMessage="1" showErrorMessage="1" sqref="B7" xr:uid="{5E92C701-7333-4FFC-A8DD-392BD7B81119}">
      <formula1>$O$1:$O$2</formula1>
    </dataValidation>
    <dataValidation type="list" allowBlank="1" showInputMessage="1" showErrorMessage="1" sqref="B8" xr:uid="{35D9E79B-B9C8-47B0-85F2-4CD4C6D0C179}">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57</v>
      </c>
      <c r="B1" s="172"/>
      <c r="C1" s="172"/>
      <c r="D1" s="172"/>
      <c r="E1" s="172"/>
      <c r="F1" s="172"/>
      <c r="G1" s="172"/>
      <c r="H1" s="172"/>
      <c r="I1" s="172"/>
      <c r="J1" s="172"/>
      <c r="K1" s="173"/>
    </row>
    <row r="2" spans="1:11" ht="15" thickBot="1" x14ac:dyDescent="0.35">
      <c r="A2" s="33" t="s">
        <v>30</v>
      </c>
      <c r="B2" s="20" t="s">
        <v>29</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28</v>
      </c>
      <c r="D3" t="e">
        <f>D2+0</f>
        <v>#REF!</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34</v>
      </c>
      <c r="E7" t="s">
        <v>33</v>
      </c>
      <c r="F7" t="s">
        <v>32</v>
      </c>
      <c r="K7" s="29"/>
    </row>
    <row r="8" spans="1:11" hidden="1" x14ac:dyDescent="0.3">
      <c r="A8" s="33"/>
      <c r="D8" t="e">
        <f>ISODD(D5)</f>
        <v>#REF!</v>
      </c>
      <c r="E8" t="e">
        <f>LEN(A3)</f>
        <v>#REF!</v>
      </c>
      <c r="F8" t="e">
        <f>LEN(E5)+1</f>
        <v>#REF!</v>
      </c>
      <c r="K8" s="29"/>
    </row>
    <row r="9" spans="1:11" hidden="1" x14ac:dyDescent="0.3">
      <c r="A9" s="33"/>
      <c r="K9" s="29"/>
    </row>
    <row r="10" spans="1:11" hidden="1" x14ac:dyDescent="0.3">
      <c r="A10" s="168" t="s">
        <v>47</v>
      </c>
      <c r="B10" s="169"/>
      <c r="C10" s="169"/>
      <c r="D10" s="169"/>
      <c r="E10" s="169"/>
      <c r="F10" s="169"/>
      <c r="G10" s="169"/>
      <c r="H10" s="169"/>
      <c r="I10" s="169"/>
      <c r="J10" s="169"/>
      <c r="K10" s="170"/>
    </row>
    <row r="11" spans="1:11" hidden="1" x14ac:dyDescent="0.3">
      <c r="A11" s="44" t="e">
        <f>K5</f>
        <v>#REF!</v>
      </c>
      <c r="C11" t="e">
        <f>FIXED(A3,5)</f>
        <v>#REF!</v>
      </c>
      <c r="D11" t="e">
        <f>RIGHT(C11,1)</f>
        <v>#REF!</v>
      </c>
      <c r="E11" t="e">
        <f>D11+0</f>
        <v>#REF!</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34</v>
      </c>
      <c r="E15" t="s">
        <v>33</v>
      </c>
      <c r="F15" t="s">
        <v>32</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8" t="s">
        <v>46</v>
      </c>
      <c r="B18" s="169"/>
      <c r="C18" s="169"/>
      <c r="D18" s="169"/>
      <c r="E18" s="169"/>
      <c r="F18" s="169"/>
      <c r="G18" s="169"/>
      <c r="H18" s="169"/>
      <c r="I18" s="169"/>
      <c r="J18" s="169"/>
      <c r="K18" s="170"/>
    </row>
    <row r="19" spans="1:11" hidden="1" x14ac:dyDescent="0.3">
      <c r="A19" s="44" t="e">
        <f>K13</f>
        <v>#REF!</v>
      </c>
      <c r="C19" t="e">
        <f>FIXED(A11,4)</f>
        <v>#REF!</v>
      </c>
      <c r="D19" t="e">
        <f>RIGHT(C19,1)</f>
        <v>#REF!</v>
      </c>
      <c r="E19" t="e">
        <f>D19+0</f>
        <v>#REF!</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2"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34</v>
      </c>
      <c r="E23" t="s">
        <v>33</v>
      </c>
      <c r="F23" t="s">
        <v>32</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8" t="s">
        <v>45</v>
      </c>
      <c r="B26" s="169"/>
      <c r="C26" s="169"/>
      <c r="D26" s="169"/>
      <c r="E26" s="169"/>
      <c r="F26" s="169"/>
      <c r="G26" s="169"/>
      <c r="H26" s="169"/>
      <c r="I26" s="169"/>
      <c r="J26" s="169"/>
      <c r="K26" s="170"/>
    </row>
    <row r="27" spans="1:11" hidden="1" x14ac:dyDescent="0.3">
      <c r="A27" s="41" t="e">
        <f>K21</f>
        <v>#REF!</v>
      </c>
      <c r="C27" t="e">
        <f>FIXED(A19,3)</f>
        <v>#REF!</v>
      </c>
      <c r="D27" t="e">
        <f>RIGHT(C27,1)</f>
        <v>#REF!</v>
      </c>
      <c r="E27" t="e">
        <f>D27+0</f>
        <v>#REF!</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2"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34</v>
      </c>
      <c r="E31" t="s">
        <v>33</v>
      </c>
      <c r="F31" t="s">
        <v>32</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8" t="s">
        <v>44</v>
      </c>
      <c r="B34" s="169"/>
      <c r="C34" s="169"/>
      <c r="D34" s="169"/>
      <c r="E34" s="169"/>
      <c r="F34" s="169"/>
      <c r="G34" s="169"/>
      <c r="H34" s="169"/>
      <c r="I34" s="169"/>
      <c r="J34" s="169"/>
      <c r="K34" s="170"/>
    </row>
    <row r="35" spans="1:11" hidden="1" x14ac:dyDescent="0.3">
      <c r="A35" s="41" t="e">
        <f>K29</f>
        <v>#REF!</v>
      </c>
      <c r="C35" t="e">
        <f>FIXED(A27,2)</f>
        <v>#REF!</v>
      </c>
      <c r="D35" t="e">
        <f>RIGHT(C35,1)</f>
        <v>#REF!</v>
      </c>
      <c r="E35" t="e">
        <f>D35+0</f>
        <v>#REF!</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34</v>
      </c>
      <c r="E39" t="s">
        <v>33</v>
      </c>
      <c r="F39" t="s">
        <v>32</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1" t="s">
        <v>56</v>
      </c>
      <c r="B41" s="172"/>
      <c r="C41" s="172"/>
      <c r="D41" s="172"/>
      <c r="E41" s="172"/>
      <c r="F41" s="172"/>
      <c r="G41" s="172"/>
      <c r="H41" s="172"/>
      <c r="I41" s="172"/>
      <c r="J41" s="172"/>
      <c r="K41" s="173"/>
    </row>
    <row r="42" spans="1:11" ht="15" thickBot="1" x14ac:dyDescent="0.35">
      <c r="A42" s="33" t="s">
        <v>30</v>
      </c>
      <c r="B42" s="20" t="s">
        <v>29</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28</v>
      </c>
      <c r="D43" t="e">
        <f>D42+0</f>
        <v>#REF!</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34</v>
      </c>
      <c r="E47" t="s">
        <v>33</v>
      </c>
      <c r="F47" t="s">
        <v>32</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8" t="s">
        <v>47</v>
      </c>
      <c r="B50" s="169"/>
      <c r="C50" s="169"/>
      <c r="D50" s="169"/>
      <c r="E50" s="169"/>
      <c r="F50" s="169"/>
      <c r="G50" s="169"/>
      <c r="H50" s="169"/>
      <c r="I50" s="169"/>
      <c r="J50" s="169"/>
      <c r="K50" s="170"/>
    </row>
    <row r="51" spans="1:11" hidden="1" x14ac:dyDescent="0.3">
      <c r="A51" s="44" t="e">
        <f>K45</f>
        <v>#REF!</v>
      </c>
      <c r="C51" t="e">
        <f>FIXED(A43,5)</f>
        <v>#REF!</v>
      </c>
      <c r="D51" t="e">
        <f>RIGHT(C51,1)</f>
        <v>#REF!</v>
      </c>
      <c r="E51" t="e">
        <f>D51+0</f>
        <v>#REF!</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34</v>
      </c>
      <c r="E55" t="s">
        <v>33</v>
      </c>
      <c r="F55" t="s">
        <v>32</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8" t="s">
        <v>46</v>
      </c>
      <c r="B58" s="169"/>
      <c r="C58" s="169"/>
      <c r="D58" s="169"/>
      <c r="E58" s="169"/>
      <c r="F58" s="169"/>
      <c r="G58" s="169"/>
      <c r="H58" s="169"/>
      <c r="I58" s="169"/>
      <c r="J58" s="169"/>
      <c r="K58" s="170"/>
    </row>
    <row r="59" spans="1:11" hidden="1" x14ac:dyDescent="0.3">
      <c r="A59" s="44" t="e">
        <f>K53</f>
        <v>#REF!</v>
      </c>
      <c r="C59" t="e">
        <f>FIXED(A51,4)</f>
        <v>#REF!</v>
      </c>
      <c r="D59" t="e">
        <f>RIGHT(C59,1)</f>
        <v>#REF!</v>
      </c>
      <c r="E59" t="e">
        <f>D59+0</f>
        <v>#REF!</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2"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34</v>
      </c>
      <c r="E63" t="s">
        <v>33</v>
      </c>
      <c r="F63" t="s">
        <v>32</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8" t="s">
        <v>45</v>
      </c>
      <c r="B66" s="169"/>
      <c r="C66" s="169"/>
      <c r="D66" s="169"/>
      <c r="E66" s="169"/>
      <c r="F66" s="169"/>
      <c r="G66" s="169"/>
      <c r="H66" s="169"/>
      <c r="I66" s="169"/>
      <c r="J66" s="169"/>
      <c r="K66" s="170"/>
    </row>
    <row r="67" spans="1:11" hidden="1" x14ac:dyDescent="0.3">
      <c r="A67" s="41" t="e">
        <f>K61</f>
        <v>#REF!</v>
      </c>
      <c r="C67" t="e">
        <f>FIXED(A59,3)</f>
        <v>#REF!</v>
      </c>
      <c r="D67" t="e">
        <f>RIGHT(C67,1)</f>
        <v>#REF!</v>
      </c>
      <c r="E67" t="e">
        <f>D67+0</f>
        <v>#REF!</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2"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34</v>
      </c>
      <c r="E71" t="s">
        <v>33</v>
      </c>
      <c r="F71" t="s">
        <v>32</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8" t="s">
        <v>44</v>
      </c>
      <c r="B74" s="169"/>
      <c r="C74" s="169"/>
      <c r="D74" s="169"/>
      <c r="E74" s="169"/>
      <c r="F74" s="169"/>
      <c r="G74" s="169"/>
      <c r="H74" s="169"/>
      <c r="I74" s="169"/>
      <c r="J74" s="169"/>
      <c r="K74" s="170"/>
    </row>
    <row r="75" spans="1:11" hidden="1" x14ac:dyDescent="0.3">
      <c r="A75" s="41" t="e">
        <f>K69</f>
        <v>#REF!</v>
      </c>
      <c r="C75" t="e">
        <f>FIXED(A67,2)</f>
        <v>#REF!</v>
      </c>
      <c r="D75" t="e">
        <f>RIGHT(C75,1)</f>
        <v>#REF!</v>
      </c>
      <c r="E75" t="e">
        <f>D75+0</f>
        <v>#REF!</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34</v>
      </c>
      <c r="E79" t="s">
        <v>33</v>
      </c>
      <c r="F79" t="s">
        <v>32</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1" t="s">
        <v>55</v>
      </c>
      <c r="B81" s="172"/>
      <c r="C81" s="172"/>
      <c r="D81" s="172"/>
      <c r="E81" s="172"/>
      <c r="F81" s="172"/>
      <c r="G81" s="172"/>
      <c r="H81" s="172"/>
      <c r="I81" s="172"/>
      <c r="J81" s="172"/>
      <c r="K81" s="173"/>
    </row>
    <row r="82" spans="1:11" ht="15" thickBot="1" x14ac:dyDescent="0.35">
      <c r="A82" s="33" t="s">
        <v>30</v>
      </c>
      <c r="B82" s="20" t="s">
        <v>29</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28</v>
      </c>
      <c r="D83" t="e">
        <f>D82+0</f>
        <v>#REF!</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34</v>
      </c>
      <c r="E87" t="s">
        <v>33</v>
      </c>
      <c r="F87" t="s">
        <v>32</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8" t="s">
        <v>47</v>
      </c>
      <c r="B90" s="169"/>
      <c r="C90" s="169"/>
      <c r="D90" s="169"/>
      <c r="E90" s="169"/>
      <c r="F90" s="169"/>
      <c r="G90" s="169"/>
      <c r="H90" s="169"/>
      <c r="I90" s="169"/>
      <c r="J90" s="169"/>
      <c r="K90" s="170"/>
    </row>
    <row r="91" spans="1:11" hidden="1" x14ac:dyDescent="0.3">
      <c r="A91" s="44" t="e">
        <f>K85</f>
        <v>#REF!</v>
      </c>
      <c r="C91" t="e">
        <f>FIXED(A83,5)</f>
        <v>#REF!</v>
      </c>
      <c r="D91" t="e">
        <f>RIGHT(C91,1)</f>
        <v>#REF!</v>
      </c>
      <c r="E91" t="e">
        <f>D91+0</f>
        <v>#REF!</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34</v>
      </c>
      <c r="E95" t="s">
        <v>33</v>
      </c>
      <c r="F95" t="s">
        <v>32</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8" t="s">
        <v>46</v>
      </c>
      <c r="B98" s="169"/>
      <c r="C98" s="169"/>
      <c r="D98" s="169"/>
      <c r="E98" s="169"/>
      <c r="F98" s="169"/>
      <c r="G98" s="169"/>
      <c r="H98" s="169"/>
      <c r="I98" s="169"/>
      <c r="J98" s="169"/>
      <c r="K98" s="170"/>
    </row>
    <row r="99" spans="1:11" hidden="1" x14ac:dyDescent="0.3">
      <c r="A99" s="44" t="e">
        <f>K93</f>
        <v>#REF!</v>
      </c>
      <c r="C99" t="e">
        <f>FIXED(A91,4)</f>
        <v>#REF!</v>
      </c>
      <c r="D99" t="e">
        <f>RIGHT(C99,1)</f>
        <v>#REF!</v>
      </c>
      <c r="E99" t="e">
        <f>D99+0</f>
        <v>#REF!</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2"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34</v>
      </c>
      <c r="E103" t="s">
        <v>33</v>
      </c>
      <c r="F103" t="s">
        <v>32</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8" t="s">
        <v>45</v>
      </c>
      <c r="B106" s="169"/>
      <c r="C106" s="169"/>
      <c r="D106" s="169"/>
      <c r="E106" s="169"/>
      <c r="F106" s="169"/>
      <c r="G106" s="169"/>
      <c r="H106" s="169"/>
      <c r="I106" s="169"/>
      <c r="J106" s="169"/>
      <c r="K106" s="170"/>
    </row>
    <row r="107" spans="1:11" hidden="1" x14ac:dyDescent="0.3">
      <c r="A107" s="41" t="e">
        <f>K101</f>
        <v>#REF!</v>
      </c>
      <c r="C107" t="e">
        <f>FIXED(A99,3)</f>
        <v>#REF!</v>
      </c>
      <c r="D107" t="e">
        <f>RIGHT(C107,1)</f>
        <v>#REF!</v>
      </c>
      <c r="E107" t="e">
        <f>D107+0</f>
        <v>#REF!</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2"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34</v>
      </c>
      <c r="E111" t="s">
        <v>33</v>
      </c>
      <c r="F111" t="s">
        <v>32</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8" t="s">
        <v>44</v>
      </c>
      <c r="B114" s="169"/>
      <c r="C114" s="169"/>
      <c r="D114" s="169"/>
      <c r="E114" s="169"/>
      <c r="F114" s="169"/>
      <c r="G114" s="169"/>
      <c r="H114" s="169"/>
      <c r="I114" s="169"/>
      <c r="J114" s="169"/>
      <c r="K114" s="170"/>
    </row>
    <row r="115" spans="1:11" hidden="1" x14ac:dyDescent="0.3">
      <c r="A115" s="41" t="e">
        <f>K109</f>
        <v>#REF!</v>
      </c>
      <c r="C115" t="e">
        <f>FIXED(A107,2)</f>
        <v>#REF!</v>
      </c>
      <c r="D115" t="e">
        <f>RIGHT(C115,1)</f>
        <v>#REF!</v>
      </c>
      <c r="E115" t="e">
        <f>D115+0</f>
        <v>#REF!</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34</v>
      </c>
      <c r="E119" t="s">
        <v>33</v>
      </c>
      <c r="F119" t="s">
        <v>32</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1" t="s">
        <v>54</v>
      </c>
      <c r="B122" s="172"/>
      <c r="C122" s="172"/>
      <c r="D122" s="172"/>
      <c r="E122" s="172"/>
      <c r="F122" s="172"/>
      <c r="G122" s="172"/>
      <c r="H122" s="172"/>
      <c r="I122" s="172"/>
      <c r="J122" s="172"/>
      <c r="K122" s="173"/>
    </row>
    <row r="123" spans="1:11" ht="15" thickBot="1" x14ac:dyDescent="0.35">
      <c r="A123" s="33" t="s">
        <v>30</v>
      </c>
      <c r="B123" s="20" t="s">
        <v>29</v>
      </c>
      <c r="C123" t="e">
        <f>FIXED(A124,6)</f>
        <v>#REF!</v>
      </c>
      <c r="D123" t="e">
        <f>RIGHT(C123,1)</f>
        <v>#REF!</v>
      </c>
      <c r="E123" t="e">
        <f>D123/1000000</f>
        <v>#REF!</v>
      </c>
      <c r="F123" s="32" t="e">
        <f>A124-E123</f>
        <v>#REF!</v>
      </c>
      <c r="H123" t="e">
        <f>IF(C128=5,IF(AND(D124=0,D129=FALSE),J126,J127),J127)</f>
        <v>#REF!</v>
      </c>
      <c r="K123" s="29"/>
    </row>
    <row r="124" spans="1:11" ht="18.600000000000001" thickBot="1" x14ac:dyDescent="0.4">
      <c r="A124" s="31" t="e">
        <f>INCERTIDUMBRE!L8</f>
        <v>#REF!</v>
      </c>
      <c r="B124" s="30" t="e">
        <f>IF(A124&gt;=10,K158,IF(A124&gt;=1,K150,IF(A124&gt;=0.1,K142,IF(A124&gt;=0.01,K134,IF(A124&gt;=0.001,K126)))))</f>
        <v>#REF!</v>
      </c>
      <c r="C124" t="s">
        <v>28</v>
      </c>
      <c r="D124" t="e">
        <f>D123+0</f>
        <v>#REF!</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e">
        <f>RIGHT(F123,2)</f>
        <v>#REF!</v>
      </c>
      <c r="D126" t="e">
        <f>LEFT(C126,1)</f>
        <v>#REF!</v>
      </c>
      <c r="E126" s="32" t="e">
        <f>TRUNC(A124)</f>
        <v>#REF!</v>
      </c>
      <c r="F126" s="14" t="e">
        <f>FIXED(A124-E126,G126)</f>
        <v>#REF!</v>
      </c>
      <c r="G126" t="e">
        <f>ABS(E129-F129)</f>
        <v>#REF!</v>
      </c>
      <c r="H126" t="e">
        <f>RIGHT(A124,G126)</f>
        <v>#REF!</v>
      </c>
      <c r="I126">
        <v>5.0000000000000002E-5</v>
      </c>
      <c r="J126" s="14" t="e">
        <f>(A124-I126)</f>
        <v>#REF!</v>
      </c>
      <c r="K126" s="47" t="e">
        <f>IF(C128=5,IF(AND(D124=0,D129=FALSE),J126,J127),J127)</f>
        <v>#REF!</v>
      </c>
    </row>
    <row r="127" spans="1:11" hidden="1" x14ac:dyDescent="0.3">
      <c r="A127" s="33"/>
      <c r="C127" t="e">
        <f>RIGHT(C126,1)</f>
        <v>#REF!</v>
      </c>
      <c r="D127" t="e">
        <f>D126+0</f>
        <v>#REF!</v>
      </c>
      <c r="J127" t="e">
        <f>FIXED(A124,4)</f>
        <v>#REF!</v>
      </c>
      <c r="K127" s="29"/>
    </row>
    <row r="128" spans="1:11" hidden="1" x14ac:dyDescent="0.3">
      <c r="A128" s="33"/>
      <c r="C128" t="e">
        <f>C127+0</f>
        <v>#REF!</v>
      </c>
      <c r="D128" t="s">
        <v>34</v>
      </c>
      <c r="E128" t="s">
        <v>33</v>
      </c>
      <c r="F128" t="s">
        <v>32</v>
      </c>
      <c r="K128" s="29"/>
    </row>
    <row r="129" spans="1:11" hidden="1" x14ac:dyDescent="0.3">
      <c r="A129" s="33"/>
      <c r="D129" t="e">
        <f>ISODD(D126)</f>
        <v>#REF!</v>
      </c>
      <c r="E129" t="e">
        <f>LEN(A124)</f>
        <v>#REF!</v>
      </c>
      <c r="F129" t="e">
        <f>LEN(E126)+1</f>
        <v>#REF!</v>
      </c>
      <c r="K129" s="29"/>
    </row>
    <row r="130" spans="1:11" hidden="1" x14ac:dyDescent="0.3">
      <c r="A130" s="33"/>
      <c r="K130" s="29"/>
    </row>
    <row r="131" spans="1:11" hidden="1" x14ac:dyDescent="0.3">
      <c r="A131" s="168" t="s">
        <v>47</v>
      </c>
      <c r="B131" s="169"/>
      <c r="C131" s="169"/>
      <c r="D131" s="169"/>
      <c r="E131" s="169"/>
      <c r="F131" s="169"/>
      <c r="G131" s="169"/>
      <c r="H131" s="169"/>
      <c r="I131" s="169"/>
      <c r="J131" s="169"/>
      <c r="K131" s="170"/>
    </row>
    <row r="132" spans="1:11" hidden="1" x14ac:dyDescent="0.3">
      <c r="A132" s="44" t="e">
        <f>K126</f>
        <v>#REF!</v>
      </c>
      <c r="C132" t="e">
        <f>FIXED(A124,5)</f>
        <v>#REF!</v>
      </c>
      <c r="D132" t="e">
        <f>RIGHT(C132,1)</f>
        <v>#REF!</v>
      </c>
      <c r="E132" t="e">
        <f>D132+0</f>
        <v>#REF!</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e">
        <f>RIGHT(A132,2)</f>
        <v>#REF!</v>
      </c>
      <c r="D134" t="e">
        <f>LEFT(C134,1)</f>
        <v>#REF!</v>
      </c>
      <c r="E134" s="38" t="e">
        <f>TRUNC(A132)</f>
        <v>#REF!</v>
      </c>
      <c r="F134" s="14" t="e">
        <f>FIXED(A132-E134,G134)</f>
        <v>#REF!</v>
      </c>
      <c r="G134" t="e">
        <f>ABS(E137-F137)</f>
        <v>#REF!</v>
      </c>
      <c r="H134" t="e">
        <f>RIGHT(A132,G134)</f>
        <v>#REF!</v>
      </c>
      <c r="I134">
        <v>5.0000000000000001E-4</v>
      </c>
      <c r="J134" s="46" t="e">
        <f>(A132-I134)</f>
        <v>#REF!</v>
      </c>
      <c r="K134" s="45" t="e">
        <f>IF(C136=5,IF(AND(E132=0,D137=FALSE),J134,J135),J135)</f>
        <v>#REF!</v>
      </c>
    </row>
    <row r="135" spans="1:11" hidden="1" x14ac:dyDescent="0.3">
      <c r="A135" s="33"/>
      <c r="C135" t="e">
        <f>RIGHT(C134,1)</f>
        <v>#REF!</v>
      </c>
      <c r="D135" t="e">
        <f>D134+0</f>
        <v>#REF!</v>
      </c>
      <c r="J135" t="e">
        <f>FIXED(A132,3)</f>
        <v>#REF!</v>
      </c>
      <c r="K135" s="29"/>
    </row>
    <row r="136" spans="1:11" hidden="1" x14ac:dyDescent="0.3">
      <c r="A136" s="33"/>
      <c r="C136" t="e">
        <f>C135+0</f>
        <v>#REF!</v>
      </c>
      <c r="D136" t="s">
        <v>34</v>
      </c>
      <c r="E136" t="s">
        <v>33</v>
      </c>
      <c r="F136" t="s">
        <v>32</v>
      </c>
      <c r="K136" s="29"/>
    </row>
    <row r="137" spans="1:11" hidden="1" x14ac:dyDescent="0.3">
      <c r="A137" s="33"/>
      <c r="D137" t="e">
        <f>ISODD(D134)</f>
        <v>#REF!</v>
      </c>
      <c r="E137" t="e">
        <f>LEN(A132)</f>
        <v>#REF!</v>
      </c>
      <c r="F137" t="e">
        <f>LEN(E134)+1</f>
        <v>#REF!</v>
      </c>
      <c r="K137" s="29"/>
    </row>
    <row r="138" spans="1:11" hidden="1" x14ac:dyDescent="0.3">
      <c r="A138" s="33"/>
      <c r="K138" s="29"/>
    </row>
    <row r="139" spans="1:11" hidden="1" x14ac:dyDescent="0.3">
      <c r="A139" s="168" t="s">
        <v>46</v>
      </c>
      <c r="B139" s="169"/>
      <c r="C139" s="169"/>
      <c r="D139" s="169"/>
      <c r="E139" s="169"/>
      <c r="F139" s="169"/>
      <c r="G139" s="169"/>
      <c r="H139" s="169"/>
      <c r="I139" s="169"/>
      <c r="J139" s="169"/>
      <c r="K139" s="170"/>
    </row>
    <row r="140" spans="1:11" hidden="1" x14ac:dyDescent="0.3">
      <c r="A140" s="44" t="e">
        <f>K134</f>
        <v>#REF!</v>
      </c>
      <c r="C140" t="e">
        <f>FIXED(A132,4)</f>
        <v>#REF!</v>
      </c>
      <c r="D140" t="e">
        <f>RIGHT(C140,1)</f>
        <v>#REF!</v>
      </c>
      <c r="E140" t="e">
        <f>D140+0</f>
        <v>#REF!</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e">
        <f>RIGHT(A140,2)</f>
        <v>#REF!</v>
      </c>
      <c r="D142" t="e">
        <f>LEFT(C142,1)</f>
        <v>#REF!</v>
      </c>
      <c r="E142" s="38" t="e">
        <f>TRUNC(A140)</f>
        <v>#REF!</v>
      </c>
      <c r="F142" s="14" t="e">
        <f>FIXED(A140-E142,G142)</f>
        <v>#REF!</v>
      </c>
      <c r="G142" t="e">
        <f>ABS(E145-F145)</f>
        <v>#REF!</v>
      </c>
      <c r="H142" t="e">
        <f>RIGHT(A140,G142)</f>
        <v>#REF!</v>
      </c>
      <c r="I142">
        <v>5.0000000000000001E-3</v>
      </c>
      <c r="J142" s="2" t="e">
        <f>(A140-I142)</f>
        <v>#REF!</v>
      </c>
      <c r="K142" s="43" t="e">
        <f>IF(C144=5,IF(AND(E140=0,D145=FALSE),J142,J143),J143)</f>
        <v>#REF!</v>
      </c>
    </row>
    <row r="143" spans="1:11" ht="18" hidden="1" x14ac:dyDescent="0.35">
      <c r="A143" s="33"/>
      <c r="C143" t="e">
        <f>RIGHT(C142,1)</f>
        <v>#REF!</v>
      </c>
      <c r="D143" t="e">
        <f>D142+0</f>
        <v>#REF!</v>
      </c>
      <c r="J143" t="e">
        <f>FIXED(A140,2)</f>
        <v>#REF!</v>
      </c>
      <c r="K143" s="43"/>
    </row>
    <row r="144" spans="1:11" hidden="1" x14ac:dyDescent="0.3">
      <c r="A144" s="33"/>
      <c r="C144" t="e">
        <f>C143+0</f>
        <v>#REF!</v>
      </c>
      <c r="D144" t="s">
        <v>34</v>
      </c>
      <c r="E144" t="s">
        <v>33</v>
      </c>
      <c r="F144" t="s">
        <v>32</v>
      </c>
      <c r="K144" s="29"/>
    </row>
    <row r="145" spans="1:11" hidden="1" x14ac:dyDescent="0.3">
      <c r="A145" s="33"/>
      <c r="D145" t="e">
        <f>ISODD(D142)</f>
        <v>#REF!</v>
      </c>
      <c r="E145" t="e">
        <f>LEN(A140)</f>
        <v>#REF!</v>
      </c>
      <c r="F145" t="e">
        <f>LEN(E142)+1</f>
        <v>#REF!</v>
      </c>
      <c r="K145" s="29"/>
    </row>
    <row r="146" spans="1:11" hidden="1" x14ac:dyDescent="0.3">
      <c r="A146" s="33"/>
      <c r="K146" s="29"/>
    </row>
    <row r="147" spans="1:11" hidden="1" x14ac:dyDescent="0.3">
      <c r="A147" s="168" t="s">
        <v>45</v>
      </c>
      <c r="B147" s="169"/>
      <c r="C147" s="169"/>
      <c r="D147" s="169"/>
      <c r="E147" s="169"/>
      <c r="F147" s="169"/>
      <c r="G147" s="169"/>
      <c r="H147" s="169"/>
      <c r="I147" s="169"/>
      <c r="J147" s="169"/>
      <c r="K147" s="170"/>
    </row>
    <row r="148" spans="1:11" hidden="1" x14ac:dyDescent="0.3">
      <c r="A148" s="41" t="e">
        <f>K142</f>
        <v>#REF!</v>
      </c>
      <c r="C148" t="e">
        <f>FIXED(A140,3)</f>
        <v>#REF!</v>
      </c>
      <c r="D148" t="e">
        <f>RIGHT(C148,1)</f>
        <v>#REF!</v>
      </c>
      <c r="E148" t="e">
        <f>D148+0</f>
        <v>#REF!</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e">
        <f>RIGHT(A148,2)</f>
        <v>#REF!</v>
      </c>
      <c r="D150" t="e">
        <f>LEFT(C150,1)</f>
        <v>#REF!</v>
      </c>
      <c r="E150" s="38" t="e">
        <f>TRUNC(A148)</f>
        <v>#REF!</v>
      </c>
      <c r="F150" s="14" t="e">
        <f>FIXED(A148-E150,G150)</f>
        <v>#REF!</v>
      </c>
      <c r="G150" t="e">
        <f>ABS(E153-F153)</f>
        <v>#REF!</v>
      </c>
      <c r="H150" t="e">
        <f>RIGHT(A148,G150)</f>
        <v>#REF!</v>
      </c>
      <c r="I150">
        <v>0.05</v>
      </c>
      <c r="J150" s="2" t="e">
        <f>(A148-I150)</f>
        <v>#REF!</v>
      </c>
      <c r="K150" s="43" t="e">
        <f>IF(C152=5,IF(AND(E148=0,D153=FALSE),J150,J151),J151)</f>
        <v>#REF!</v>
      </c>
    </row>
    <row r="151" spans="1:11" hidden="1" x14ac:dyDescent="0.3">
      <c r="A151" s="33"/>
      <c r="C151" t="e">
        <f>RIGHT(C150,1)</f>
        <v>#REF!</v>
      </c>
      <c r="D151" t="e">
        <f>D150+0</f>
        <v>#REF!</v>
      </c>
      <c r="J151" t="e">
        <f>FIXED(A148,1)</f>
        <v>#REF!</v>
      </c>
      <c r="K151" s="42"/>
    </row>
    <row r="152" spans="1:11" hidden="1" x14ac:dyDescent="0.3">
      <c r="A152" s="33"/>
      <c r="C152" t="e">
        <f>C151+0</f>
        <v>#REF!</v>
      </c>
      <c r="D152" t="s">
        <v>34</v>
      </c>
      <c r="E152" t="s">
        <v>33</v>
      </c>
      <c r="F152" t="s">
        <v>32</v>
      </c>
      <c r="K152" s="29"/>
    </row>
    <row r="153" spans="1:11" hidden="1" x14ac:dyDescent="0.3">
      <c r="A153" s="33"/>
      <c r="D153" t="e">
        <f>ISODD(D150)</f>
        <v>#REF!</v>
      </c>
      <c r="E153" t="e">
        <f>LEN(A148)</f>
        <v>#REF!</v>
      </c>
      <c r="F153" t="e">
        <f>LEN(E150)+1</f>
        <v>#REF!</v>
      </c>
      <c r="K153" s="29"/>
    </row>
    <row r="154" spans="1:11" hidden="1" x14ac:dyDescent="0.3">
      <c r="A154" s="33"/>
      <c r="K154" s="29"/>
    </row>
    <row r="155" spans="1:11" hidden="1" x14ac:dyDescent="0.3">
      <c r="A155" s="168" t="s">
        <v>44</v>
      </c>
      <c r="B155" s="169"/>
      <c r="C155" s="169"/>
      <c r="D155" s="169"/>
      <c r="E155" s="169"/>
      <c r="F155" s="169"/>
      <c r="G155" s="169"/>
      <c r="H155" s="169"/>
      <c r="I155" s="169"/>
      <c r="J155" s="169"/>
      <c r="K155" s="170"/>
    </row>
    <row r="156" spans="1:11" hidden="1" x14ac:dyDescent="0.3">
      <c r="A156" s="41" t="e">
        <f>K150</f>
        <v>#REF!</v>
      </c>
      <c r="C156" t="e">
        <f>FIXED(A148,2)</f>
        <v>#REF!</v>
      </c>
      <c r="D156" t="e">
        <f>RIGHT(C156,1)</f>
        <v>#REF!</v>
      </c>
      <c r="E156" t="e">
        <f>D156+0</f>
        <v>#REF!</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e">
        <f>RIGHT(A156,2)</f>
        <v>#REF!</v>
      </c>
      <c r="D158" t="e">
        <f>RIGHT(E158,1)</f>
        <v>#REF!</v>
      </c>
      <c r="E158" s="38" t="e">
        <f>TRUNC(A156)</f>
        <v>#REF!</v>
      </c>
      <c r="F158" s="14" t="e">
        <f>FIXED(A156-E158,G158)</f>
        <v>#REF!</v>
      </c>
      <c r="G158" t="e">
        <f>ABS(E161-F161)</f>
        <v>#REF!</v>
      </c>
      <c r="H158" t="e">
        <f>RIGHT(A156,G158)</f>
        <v>#REF!</v>
      </c>
      <c r="I158">
        <v>0.5</v>
      </c>
      <c r="J158" s="12" t="e">
        <f>(A156-I158)</f>
        <v>#REF!</v>
      </c>
      <c r="K158" s="37" t="e">
        <f>IF(C160=5,IF(AND(E156=0,D161=FALSE),J158,J159),J159)</f>
        <v>#REF!</v>
      </c>
    </row>
    <row r="159" spans="1:11" hidden="1" x14ac:dyDescent="0.3">
      <c r="A159" s="33"/>
      <c r="C159" t="e">
        <f>RIGHT(C158,1)</f>
        <v>#REF!</v>
      </c>
      <c r="D159" t="e">
        <f>D158+0</f>
        <v>#REF!</v>
      </c>
      <c r="J159" t="e">
        <f>FIXED(A156,0)</f>
        <v>#REF!</v>
      </c>
      <c r="K159" s="36"/>
    </row>
    <row r="160" spans="1:11" hidden="1" x14ac:dyDescent="0.3">
      <c r="A160" s="33"/>
      <c r="C160" t="e">
        <f>C159+0</f>
        <v>#REF!</v>
      </c>
      <c r="D160" t="s">
        <v>34</v>
      </c>
      <c r="E160" t="s">
        <v>33</v>
      </c>
      <c r="F160" t="s">
        <v>32</v>
      </c>
      <c r="K160" s="29"/>
    </row>
    <row r="161" spans="1:11" ht="15" hidden="1" thickBot="1" x14ac:dyDescent="0.35">
      <c r="A161" s="35"/>
      <c r="B161" s="35"/>
      <c r="C161" s="35"/>
      <c r="D161" s="35" t="e">
        <f>ISODD(D158)</f>
        <v>#REF!</v>
      </c>
      <c r="E161" s="35" t="e">
        <f>LEN(A156)</f>
        <v>#REF!</v>
      </c>
      <c r="F161" s="35" t="e">
        <f>LEN(E158)+1</f>
        <v>#REF!</v>
      </c>
      <c r="G161" s="35"/>
      <c r="H161" s="35"/>
      <c r="I161" s="35"/>
      <c r="J161" s="35"/>
      <c r="K161" s="34"/>
    </row>
    <row r="162" spans="1:11" ht="15" thickBot="1" x14ac:dyDescent="0.35">
      <c r="A162" s="171" t="s">
        <v>53</v>
      </c>
      <c r="B162" s="172"/>
      <c r="C162" s="172"/>
      <c r="D162" s="172"/>
      <c r="E162" s="172"/>
      <c r="F162" s="172"/>
      <c r="G162" s="172"/>
      <c r="H162" s="172"/>
      <c r="I162" s="172"/>
      <c r="J162" s="172"/>
      <c r="K162" s="173"/>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47</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46</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45</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44</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53</v>
      </c>
      <c r="B202" s="172"/>
      <c r="C202" s="172"/>
      <c r="D202" s="172"/>
      <c r="E202" s="172"/>
      <c r="F202" s="172"/>
      <c r="G202" s="172"/>
      <c r="H202" s="172"/>
      <c r="I202" s="172"/>
      <c r="J202" s="172"/>
      <c r="K202" s="173"/>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68" t="s">
        <v>47</v>
      </c>
      <c r="B211" s="169"/>
      <c r="C211" s="169"/>
      <c r="D211" s="169"/>
      <c r="E211" s="169"/>
      <c r="F211" s="169"/>
      <c r="G211" s="169"/>
      <c r="H211" s="169"/>
      <c r="I211" s="169"/>
      <c r="J211" s="169"/>
      <c r="K211" s="170"/>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68" t="s">
        <v>46</v>
      </c>
      <c r="B219" s="169"/>
      <c r="C219" s="169"/>
      <c r="D219" s="169"/>
      <c r="E219" s="169"/>
      <c r="F219" s="169"/>
      <c r="G219" s="169"/>
      <c r="H219" s="169"/>
      <c r="I219" s="169"/>
      <c r="J219" s="169"/>
      <c r="K219" s="170"/>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68" t="s">
        <v>45</v>
      </c>
      <c r="B227" s="169"/>
      <c r="C227" s="169"/>
      <c r="D227" s="169"/>
      <c r="E227" s="169"/>
      <c r="F227" s="169"/>
      <c r="G227" s="169"/>
      <c r="H227" s="169"/>
      <c r="I227" s="169"/>
      <c r="J227" s="169"/>
      <c r="K227" s="170"/>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68" t="s">
        <v>44</v>
      </c>
      <c r="B235" s="169"/>
      <c r="C235" s="169"/>
      <c r="D235" s="169"/>
      <c r="E235" s="169"/>
      <c r="F235" s="169"/>
      <c r="G235" s="169"/>
      <c r="H235" s="169"/>
      <c r="I235" s="169"/>
      <c r="J235" s="169"/>
      <c r="K235" s="170"/>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71" t="s">
        <v>52</v>
      </c>
      <c r="B242" s="172"/>
      <c r="C242" s="172"/>
      <c r="D242" s="172"/>
      <c r="E242" s="172"/>
      <c r="F242" s="172"/>
      <c r="G242" s="172"/>
      <c r="H242" s="172"/>
      <c r="I242" s="172"/>
      <c r="J242" s="172"/>
      <c r="K242" s="173"/>
    </row>
    <row r="243" spans="1:11" ht="15" thickBot="1" x14ac:dyDescent="0.35">
      <c r="A243" s="33" t="s">
        <v>30</v>
      </c>
      <c r="B243" s="20" t="s">
        <v>29</v>
      </c>
      <c r="C243" t="e">
        <f>FIXED(A244,6)</f>
        <v>#REF!</v>
      </c>
      <c r="D243" t="e">
        <f>RIGHT(C243,1)</f>
        <v>#REF!</v>
      </c>
      <c r="E243" t="e">
        <f>D243/1000000</f>
        <v>#REF!</v>
      </c>
      <c r="F243" s="32" t="e">
        <f>A244-E243</f>
        <v>#REF!</v>
      </c>
      <c r="H243" t="e">
        <f>IF(C248=5,IF(AND(D244=0,D249=FALSE),J246,J247),J247)</f>
        <v>#REF!</v>
      </c>
      <c r="K243" s="29"/>
    </row>
    <row r="244" spans="1:11" ht="18.600000000000001" thickBot="1" x14ac:dyDescent="0.4">
      <c r="A244" s="31" t="e">
        <f>INCERTIDUMBRE!L12</f>
        <v>#REF!</v>
      </c>
      <c r="B244" s="30" t="e">
        <f>IF(A244&gt;=10,K278,IF(A244&gt;=1,K270,IF(A244&gt;=0.1,K262,IF(A244&gt;=0.01,K254,IF(A244&gt;=0.001,K246)))))</f>
        <v>#REF!</v>
      </c>
      <c r="C244" t="s">
        <v>28</v>
      </c>
      <c r="D244" t="e">
        <f>D243+0</f>
        <v>#REF!</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e">
        <f>RIGHT(F243,2)</f>
        <v>#REF!</v>
      </c>
      <c r="D246" t="e">
        <f>LEFT(C246,1)</f>
        <v>#REF!</v>
      </c>
      <c r="E246" s="32" t="e">
        <f>TRUNC(A244)</f>
        <v>#REF!</v>
      </c>
      <c r="F246" s="14" t="e">
        <f>FIXED(A244-E246,G246)</f>
        <v>#REF!</v>
      </c>
      <c r="G246" t="e">
        <f>ABS(E249-F249)</f>
        <v>#REF!</v>
      </c>
      <c r="H246" t="e">
        <f>RIGHT(A244,G246)</f>
        <v>#REF!</v>
      </c>
      <c r="I246">
        <v>5.0000000000000002E-5</v>
      </c>
      <c r="J246" s="14" t="e">
        <f>(A244-I246)</f>
        <v>#REF!</v>
      </c>
      <c r="K246" s="47" t="e">
        <f>IF(C248=5,IF(AND(D244=0,D249=FALSE),J246,J247),J247)</f>
        <v>#REF!</v>
      </c>
    </row>
    <row r="247" spans="1:11" hidden="1" x14ac:dyDescent="0.3">
      <c r="A247" s="33"/>
      <c r="C247" t="e">
        <f>RIGHT(C246,1)</f>
        <v>#REF!</v>
      </c>
      <c r="D247" t="e">
        <f>D246+0</f>
        <v>#REF!</v>
      </c>
      <c r="J247" t="e">
        <f>FIXED(A244,4)</f>
        <v>#REF!</v>
      </c>
      <c r="K247" s="29"/>
    </row>
    <row r="248" spans="1:11" hidden="1" x14ac:dyDescent="0.3">
      <c r="A248" s="33"/>
      <c r="C248" t="e">
        <f>C247+0</f>
        <v>#REF!</v>
      </c>
      <c r="D248" t="s">
        <v>34</v>
      </c>
      <c r="E248" t="s">
        <v>33</v>
      </c>
      <c r="F248" t="s">
        <v>32</v>
      </c>
      <c r="K248" s="29"/>
    </row>
    <row r="249" spans="1:11" hidden="1" x14ac:dyDescent="0.3">
      <c r="A249" s="33"/>
      <c r="D249" t="e">
        <f>ISODD(D246)</f>
        <v>#REF!</v>
      </c>
      <c r="E249" t="e">
        <f>LEN(A244)</f>
        <v>#REF!</v>
      </c>
      <c r="F249" t="e">
        <f>LEN(E246)+1</f>
        <v>#REF!</v>
      </c>
      <c r="K249" s="29"/>
    </row>
    <row r="250" spans="1:11" hidden="1" x14ac:dyDescent="0.3">
      <c r="A250" s="33"/>
      <c r="K250" s="29"/>
    </row>
    <row r="251" spans="1:11" hidden="1" x14ac:dyDescent="0.3">
      <c r="A251" s="168" t="s">
        <v>47</v>
      </c>
      <c r="B251" s="169"/>
      <c r="C251" s="169"/>
      <c r="D251" s="169"/>
      <c r="E251" s="169"/>
      <c r="F251" s="169"/>
      <c r="G251" s="169"/>
      <c r="H251" s="169"/>
      <c r="I251" s="169"/>
      <c r="J251" s="169"/>
      <c r="K251" s="170"/>
    </row>
    <row r="252" spans="1:11" hidden="1" x14ac:dyDescent="0.3">
      <c r="A252" s="44" t="e">
        <f>K246</f>
        <v>#REF!</v>
      </c>
      <c r="C252" t="e">
        <f>FIXED(A244,5)</f>
        <v>#REF!</v>
      </c>
      <c r="D252" t="e">
        <f>RIGHT(C252,1)</f>
        <v>#REF!</v>
      </c>
      <c r="E252" t="e">
        <f>D252+0</f>
        <v>#REF!</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e">
        <f>RIGHT(A252,2)</f>
        <v>#REF!</v>
      </c>
      <c r="D254" t="e">
        <f>LEFT(C254,1)</f>
        <v>#REF!</v>
      </c>
      <c r="E254" s="38" t="e">
        <f>TRUNC(A252)</f>
        <v>#REF!</v>
      </c>
      <c r="F254" s="14" t="e">
        <f>FIXED(A252-E254,G254)</f>
        <v>#REF!</v>
      </c>
      <c r="G254" t="e">
        <f>ABS(E257-F257)</f>
        <v>#REF!</v>
      </c>
      <c r="H254" t="e">
        <f>RIGHT(A252,G254)</f>
        <v>#REF!</v>
      </c>
      <c r="I254">
        <v>5.0000000000000001E-4</v>
      </c>
      <c r="J254" s="46" t="e">
        <f>(A252-I254)</f>
        <v>#REF!</v>
      </c>
      <c r="K254" s="45" t="e">
        <f>IF(C256=5,IF(AND(E252=0,D257=FALSE),J254,J255),J255)</f>
        <v>#REF!</v>
      </c>
    </row>
    <row r="255" spans="1:11" hidden="1" x14ac:dyDescent="0.3">
      <c r="A255" s="33"/>
      <c r="C255" t="e">
        <f>RIGHT(C254,1)</f>
        <v>#REF!</v>
      </c>
      <c r="D255" t="e">
        <f>D254+0</f>
        <v>#REF!</v>
      </c>
      <c r="J255" t="e">
        <f>FIXED(A252,3)</f>
        <v>#REF!</v>
      </c>
      <c r="K255" s="29"/>
    </row>
    <row r="256" spans="1:11" hidden="1" x14ac:dyDescent="0.3">
      <c r="A256" s="33"/>
      <c r="C256" t="e">
        <f>C255+0</f>
        <v>#REF!</v>
      </c>
      <c r="D256" t="s">
        <v>34</v>
      </c>
      <c r="E256" t="s">
        <v>33</v>
      </c>
      <c r="F256" t="s">
        <v>32</v>
      </c>
      <c r="K256" s="29"/>
    </row>
    <row r="257" spans="1:11" hidden="1" x14ac:dyDescent="0.3">
      <c r="A257" s="33"/>
      <c r="D257" t="e">
        <f>ISODD(D254)</f>
        <v>#REF!</v>
      </c>
      <c r="E257" t="e">
        <f>LEN(A252)</f>
        <v>#REF!</v>
      </c>
      <c r="F257" t="e">
        <f>LEN(E254)+1</f>
        <v>#REF!</v>
      </c>
      <c r="K257" s="29"/>
    </row>
    <row r="258" spans="1:11" hidden="1" x14ac:dyDescent="0.3">
      <c r="A258" s="33"/>
      <c r="K258" s="29"/>
    </row>
    <row r="259" spans="1:11" hidden="1" x14ac:dyDescent="0.3">
      <c r="A259" s="168" t="s">
        <v>46</v>
      </c>
      <c r="B259" s="169"/>
      <c r="C259" s="169"/>
      <c r="D259" s="169"/>
      <c r="E259" s="169"/>
      <c r="F259" s="169"/>
      <c r="G259" s="169"/>
      <c r="H259" s="169"/>
      <c r="I259" s="169"/>
      <c r="J259" s="169"/>
      <c r="K259" s="170"/>
    </row>
    <row r="260" spans="1:11" hidden="1" x14ac:dyDescent="0.3">
      <c r="A260" s="44" t="e">
        <f>K254</f>
        <v>#REF!</v>
      </c>
      <c r="C260" t="e">
        <f>FIXED(A252,4)</f>
        <v>#REF!</v>
      </c>
      <c r="D260" t="e">
        <f>RIGHT(C260,1)</f>
        <v>#REF!</v>
      </c>
      <c r="E260" t="e">
        <f>D260+0</f>
        <v>#REF!</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e">
        <f>RIGHT(A260,2)</f>
        <v>#REF!</v>
      </c>
      <c r="D262" t="e">
        <f>LEFT(C262,1)</f>
        <v>#REF!</v>
      </c>
      <c r="E262" s="38" t="e">
        <f>TRUNC(A260)</f>
        <v>#REF!</v>
      </c>
      <c r="F262" s="14" t="e">
        <f>FIXED(A260-E262,G262)</f>
        <v>#REF!</v>
      </c>
      <c r="G262" t="e">
        <f>ABS(E265-F265)</f>
        <v>#REF!</v>
      </c>
      <c r="H262" t="e">
        <f>RIGHT(A260,G262)</f>
        <v>#REF!</v>
      </c>
      <c r="I262">
        <v>5.0000000000000001E-3</v>
      </c>
      <c r="J262" s="2" t="e">
        <f>(A260-I262)</f>
        <v>#REF!</v>
      </c>
      <c r="K262" s="43" t="e">
        <f>IF(C264=5,IF(AND(E260=0,D265=FALSE),J262,J263),J263)</f>
        <v>#REF!</v>
      </c>
    </row>
    <row r="263" spans="1:11" ht="18" hidden="1" x14ac:dyDescent="0.35">
      <c r="A263" s="33"/>
      <c r="C263" t="e">
        <f>RIGHT(C262,1)</f>
        <v>#REF!</v>
      </c>
      <c r="D263" t="e">
        <f>D262+0</f>
        <v>#REF!</v>
      </c>
      <c r="J263" t="e">
        <f>FIXED(A260,2)</f>
        <v>#REF!</v>
      </c>
      <c r="K263" s="43"/>
    </row>
    <row r="264" spans="1:11" hidden="1" x14ac:dyDescent="0.3">
      <c r="A264" s="33"/>
      <c r="C264" t="e">
        <f>C263+0</f>
        <v>#REF!</v>
      </c>
      <c r="D264" t="s">
        <v>34</v>
      </c>
      <c r="E264" t="s">
        <v>33</v>
      </c>
      <c r="F264" t="s">
        <v>32</v>
      </c>
      <c r="K264" s="29"/>
    </row>
    <row r="265" spans="1:11" hidden="1" x14ac:dyDescent="0.3">
      <c r="A265" s="33"/>
      <c r="D265" t="e">
        <f>ISODD(D262)</f>
        <v>#REF!</v>
      </c>
      <c r="E265" t="e">
        <f>LEN(A260)</f>
        <v>#REF!</v>
      </c>
      <c r="F265" t="e">
        <f>LEN(E262)+1</f>
        <v>#REF!</v>
      </c>
      <c r="K265" s="29"/>
    </row>
    <row r="266" spans="1:11" hidden="1" x14ac:dyDescent="0.3">
      <c r="A266" s="33"/>
      <c r="K266" s="29"/>
    </row>
    <row r="267" spans="1:11" hidden="1" x14ac:dyDescent="0.3">
      <c r="A267" s="168" t="s">
        <v>45</v>
      </c>
      <c r="B267" s="169"/>
      <c r="C267" s="169"/>
      <c r="D267" s="169"/>
      <c r="E267" s="169"/>
      <c r="F267" s="169"/>
      <c r="G267" s="169"/>
      <c r="H267" s="169"/>
      <c r="I267" s="169"/>
      <c r="J267" s="169"/>
      <c r="K267" s="170"/>
    </row>
    <row r="268" spans="1:11" hidden="1" x14ac:dyDescent="0.3">
      <c r="A268" s="41" t="e">
        <f>K262</f>
        <v>#REF!</v>
      </c>
      <c r="C268" t="e">
        <f>FIXED(A260,3)</f>
        <v>#REF!</v>
      </c>
      <c r="D268" t="e">
        <f>RIGHT(C268,1)</f>
        <v>#REF!</v>
      </c>
      <c r="E268" t="e">
        <f>D268+0</f>
        <v>#REF!</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e">
        <f>RIGHT(A268,2)</f>
        <v>#REF!</v>
      </c>
      <c r="D270" t="e">
        <f>LEFT(C270,1)</f>
        <v>#REF!</v>
      </c>
      <c r="E270" s="38" t="e">
        <f>TRUNC(A268)</f>
        <v>#REF!</v>
      </c>
      <c r="F270" s="14" t="e">
        <f>FIXED(A268-E270,G270)</f>
        <v>#REF!</v>
      </c>
      <c r="G270" t="e">
        <f>ABS(E273-F273)</f>
        <v>#REF!</v>
      </c>
      <c r="H270" t="e">
        <f>RIGHT(A268,G270)</f>
        <v>#REF!</v>
      </c>
      <c r="I270">
        <v>0.05</v>
      </c>
      <c r="J270" s="2" t="e">
        <f>(A268-I270)</f>
        <v>#REF!</v>
      </c>
      <c r="K270" s="43" t="e">
        <f>IF(C272=5,IF(AND(E268=0,D273=FALSE),J270,J271),J271)</f>
        <v>#REF!</v>
      </c>
    </row>
    <row r="271" spans="1:11" hidden="1" x14ac:dyDescent="0.3">
      <c r="A271" s="33"/>
      <c r="C271" t="e">
        <f>RIGHT(C270,1)</f>
        <v>#REF!</v>
      </c>
      <c r="D271" t="e">
        <f>D270+0</f>
        <v>#REF!</v>
      </c>
      <c r="J271" t="e">
        <f>FIXED(A268,1)</f>
        <v>#REF!</v>
      </c>
      <c r="K271" s="42"/>
    </row>
    <row r="272" spans="1:11" hidden="1" x14ac:dyDescent="0.3">
      <c r="A272" s="33"/>
      <c r="C272" t="e">
        <f>C271+0</f>
        <v>#REF!</v>
      </c>
      <c r="D272" t="s">
        <v>34</v>
      </c>
      <c r="E272" t="s">
        <v>33</v>
      </c>
      <c r="F272" t="s">
        <v>32</v>
      </c>
      <c r="K272" s="29"/>
    </row>
    <row r="273" spans="1:11" hidden="1" x14ac:dyDescent="0.3">
      <c r="A273" s="33"/>
      <c r="D273" t="e">
        <f>ISODD(D270)</f>
        <v>#REF!</v>
      </c>
      <c r="E273" t="e">
        <f>LEN(A268)</f>
        <v>#REF!</v>
      </c>
      <c r="F273" t="e">
        <f>LEN(E270)+1</f>
        <v>#REF!</v>
      </c>
      <c r="K273" s="29"/>
    </row>
    <row r="274" spans="1:11" hidden="1" x14ac:dyDescent="0.3">
      <c r="A274" s="33"/>
      <c r="K274" s="29"/>
    </row>
    <row r="275" spans="1:11" hidden="1" x14ac:dyDescent="0.3">
      <c r="A275" s="168" t="s">
        <v>44</v>
      </c>
      <c r="B275" s="169"/>
      <c r="C275" s="169"/>
      <c r="D275" s="169"/>
      <c r="E275" s="169"/>
      <c r="F275" s="169"/>
      <c r="G275" s="169"/>
      <c r="H275" s="169"/>
      <c r="I275" s="169"/>
      <c r="J275" s="169"/>
      <c r="K275" s="170"/>
    </row>
    <row r="276" spans="1:11" hidden="1" x14ac:dyDescent="0.3">
      <c r="A276" s="41" t="e">
        <f>K270</f>
        <v>#REF!</v>
      </c>
      <c r="C276" t="e">
        <f>FIXED(A268,2)</f>
        <v>#REF!</v>
      </c>
      <c r="D276" t="e">
        <f>RIGHT(C276,1)</f>
        <v>#REF!</v>
      </c>
      <c r="E276" t="e">
        <f>D276+0</f>
        <v>#REF!</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e">
        <f>RIGHT(A276,2)</f>
        <v>#REF!</v>
      </c>
      <c r="D278" t="e">
        <f>RIGHT(E278,1)</f>
        <v>#REF!</v>
      </c>
      <c r="E278" s="38" t="e">
        <f>TRUNC(A276)</f>
        <v>#REF!</v>
      </c>
      <c r="F278" s="14" t="e">
        <f>FIXED(A276-E278,G278)</f>
        <v>#REF!</v>
      </c>
      <c r="G278" t="e">
        <f>ABS(E281-F281)</f>
        <v>#REF!</v>
      </c>
      <c r="H278" t="e">
        <f>RIGHT(A276,G278)</f>
        <v>#REF!</v>
      </c>
      <c r="I278">
        <v>0.5</v>
      </c>
      <c r="J278" s="12" t="e">
        <f>(A276-I278)</f>
        <v>#REF!</v>
      </c>
      <c r="K278" s="37" t="e">
        <f>IF(C280=5,IF(AND(E276=0,D281=FALSE),J278,J279),J279)</f>
        <v>#REF!</v>
      </c>
    </row>
    <row r="279" spans="1:11" hidden="1" x14ac:dyDescent="0.3">
      <c r="A279" s="33"/>
      <c r="C279" t="e">
        <f>RIGHT(C278,1)</f>
        <v>#REF!</v>
      </c>
      <c r="D279" t="e">
        <f>D278+0</f>
        <v>#REF!</v>
      </c>
      <c r="J279" t="e">
        <f>FIXED(A276,0)</f>
        <v>#REF!</v>
      </c>
      <c r="K279" s="36"/>
    </row>
    <row r="280" spans="1:11" hidden="1" x14ac:dyDescent="0.3">
      <c r="A280" s="33"/>
      <c r="C280" t="e">
        <f>C279+0</f>
        <v>#REF!</v>
      </c>
      <c r="D280" t="s">
        <v>34</v>
      </c>
      <c r="E280" t="s">
        <v>33</v>
      </c>
      <c r="F280" t="s">
        <v>32</v>
      </c>
      <c r="K280" s="29"/>
    </row>
    <row r="281" spans="1:11" ht="15" hidden="1" thickBot="1" x14ac:dyDescent="0.35">
      <c r="A281" s="35"/>
      <c r="B281" s="35"/>
      <c r="C281" s="35"/>
      <c r="D281" s="35" t="e">
        <f>ISODD(D278)</f>
        <v>#REF!</v>
      </c>
      <c r="E281" s="35" t="e">
        <f>LEN(A276)</f>
        <v>#REF!</v>
      </c>
      <c r="F281" s="35" t="e">
        <f>LEN(E278)+1</f>
        <v>#REF!</v>
      </c>
      <c r="G281" s="35"/>
      <c r="H281" s="35"/>
      <c r="I281" s="35"/>
      <c r="J281" s="35"/>
      <c r="K281" s="34"/>
    </row>
    <row r="282" spans="1:11" ht="15" thickBot="1" x14ac:dyDescent="0.35">
      <c r="A282" s="171" t="s">
        <v>51</v>
      </c>
      <c r="B282" s="172"/>
      <c r="C282" s="172"/>
      <c r="D282" s="172"/>
      <c r="E282" s="172"/>
      <c r="F282" s="172"/>
      <c r="G282" s="172"/>
      <c r="H282" s="172"/>
      <c r="I282" s="172"/>
      <c r="J282" s="172"/>
      <c r="K282" s="173"/>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68" t="s">
        <v>47</v>
      </c>
      <c r="B291" s="169"/>
      <c r="C291" s="169"/>
      <c r="D291" s="169"/>
      <c r="E291" s="169"/>
      <c r="F291" s="169"/>
      <c r="G291" s="169"/>
      <c r="H291" s="169"/>
      <c r="I291" s="169"/>
      <c r="J291" s="169"/>
      <c r="K291" s="170"/>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68" t="s">
        <v>46</v>
      </c>
      <c r="B299" s="169"/>
      <c r="C299" s="169"/>
      <c r="D299" s="169"/>
      <c r="E299" s="169"/>
      <c r="F299" s="169"/>
      <c r="G299" s="169"/>
      <c r="H299" s="169"/>
      <c r="I299" s="169"/>
      <c r="J299" s="169"/>
      <c r="K299" s="170"/>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68" t="s">
        <v>45</v>
      </c>
      <c r="B307" s="169"/>
      <c r="C307" s="169"/>
      <c r="D307" s="169"/>
      <c r="E307" s="169"/>
      <c r="F307" s="169"/>
      <c r="G307" s="169"/>
      <c r="H307" s="169"/>
      <c r="I307" s="169"/>
      <c r="J307" s="169"/>
      <c r="K307" s="170"/>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68" t="s">
        <v>44</v>
      </c>
      <c r="B315" s="169"/>
      <c r="C315" s="169"/>
      <c r="D315" s="169"/>
      <c r="E315" s="169"/>
      <c r="F315" s="169"/>
      <c r="G315" s="169"/>
      <c r="H315" s="169"/>
      <c r="I315" s="169"/>
      <c r="J315" s="169"/>
      <c r="K315" s="170"/>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71" t="s">
        <v>50</v>
      </c>
      <c r="B322" s="172"/>
      <c r="C322" s="172"/>
      <c r="D322" s="172"/>
      <c r="E322" s="172"/>
      <c r="F322" s="172"/>
      <c r="G322" s="172"/>
      <c r="H322" s="172"/>
      <c r="I322" s="172"/>
      <c r="J322" s="172"/>
      <c r="K322" s="173"/>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68" t="s">
        <v>47</v>
      </c>
      <c r="B331" s="169"/>
      <c r="C331" s="169"/>
      <c r="D331" s="169"/>
      <c r="E331" s="169"/>
      <c r="F331" s="169"/>
      <c r="G331" s="169"/>
      <c r="H331" s="169"/>
      <c r="I331" s="169"/>
      <c r="J331" s="169"/>
      <c r="K331" s="170"/>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68" t="s">
        <v>46</v>
      </c>
      <c r="B339" s="169"/>
      <c r="C339" s="169"/>
      <c r="D339" s="169"/>
      <c r="E339" s="169"/>
      <c r="F339" s="169"/>
      <c r="G339" s="169"/>
      <c r="H339" s="169"/>
      <c r="I339" s="169"/>
      <c r="J339" s="169"/>
      <c r="K339" s="170"/>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68" t="s">
        <v>45</v>
      </c>
      <c r="B347" s="169"/>
      <c r="C347" s="169"/>
      <c r="D347" s="169"/>
      <c r="E347" s="169"/>
      <c r="F347" s="169"/>
      <c r="G347" s="169"/>
      <c r="H347" s="169"/>
      <c r="I347" s="169"/>
      <c r="J347" s="169"/>
      <c r="K347" s="170"/>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68" t="s">
        <v>44</v>
      </c>
      <c r="B355" s="169"/>
      <c r="C355" s="169"/>
      <c r="D355" s="169"/>
      <c r="E355" s="169"/>
      <c r="F355" s="169"/>
      <c r="G355" s="169"/>
      <c r="H355" s="169"/>
      <c r="I355" s="169"/>
      <c r="J355" s="169"/>
      <c r="K355" s="170"/>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71" t="s">
        <v>49</v>
      </c>
      <c r="B362" s="172"/>
      <c r="C362" s="172"/>
      <c r="D362" s="172"/>
      <c r="E362" s="172"/>
      <c r="F362" s="172"/>
      <c r="G362" s="172"/>
      <c r="H362" s="172"/>
      <c r="I362" s="172"/>
      <c r="J362" s="172"/>
      <c r="K362" s="173"/>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68" t="s">
        <v>47</v>
      </c>
      <c r="B371" s="169"/>
      <c r="C371" s="169"/>
      <c r="D371" s="169"/>
      <c r="E371" s="169"/>
      <c r="F371" s="169"/>
      <c r="G371" s="169"/>
      <c r="H371" s="169"/>
      <c r="I371" s="169"/>
      <c r="J371" s="169"/>
      <c r="K371" s="170"/>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68" t="s">
        <v>46</v>
      </c>
      <c r="B379" s="169"/>
      <c r="C379" s="169"/>
      <c r="D379" s="169"/>
      <c r="E379" s="169"/>
      <c r="F379" s="169"/>
      <c r="G379" s="169"/>
      <c r="H379" s="169"/>
      <c r="I379" s="169"/>
      <c r="J379" s="169"/>
      <c r="K379" s="170"/>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68" t="s">
        <v>45</v>
      </c>
      <c r="B387" s="169"/>
      <c r="C387" s="169"/>
      <c r="D387" s="169"/>
      <c r="E387" s="169"/>
      <c r="F387" s="169"/>
      <c r="G387" s="169"/>
      <c r="H387" s="169"/>
      <c r="I387" s="169"/>
      <c r="J387" s="169"/>
      <c r="K387" s="170"/>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68" t="s">
        <v>44</v>
      </c>
      <c r="B395" s="169"/>
      <c r="C395" s="169"/>
      <c r="D395" s="169"/>
      <c r="E395" s="169"/>
      <c r="F395" s="169"/>
      <c r="G395" s="169"/>
      <c r="H395" s="169"/>
      <c r="I395" s="169"/>
      <c r="J395" s="169"/>
      <c r="K395" s="170"/>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71" t="s">
        <v>48</v>
      </c>
      <c r="B402" s="172"/>
      <c r="C402" s="172"/>
      <c r="D402" s="172"/>
      <c r="E402" s="172"/>
      <c r="F402" s="172"/>
      <c r="G402" s="172"/>
      <c r="H402" s="172"/>
      <c r="I402" s="172"/>
      <c r="J402" s="172"/>
      <c r="K402" s="173"/>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68" t="s">
        <v>47</v>
      </c>
      <c r="B411" s="169"/>
      <c r="C411" s="169"/>
      <c r="D411" s="169"/>
      <c r="E411" s="169"/>
      <c r="F411" s="169"/>
      <c r="G411" s="169"/>
      <c r="H411" s="169"/>
      <c r="I411" s="169"/>
      <c r="J411" s="169"/>
      <c r="K411" s="170"/>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68" t="s">
        <v>46</v>
      </c>
      <c r="B419" s="169"/>
      <c r="C419" s="169"/>
      <c r="D419" s="169"/>
      <c r="E419" s="169"/>
      <c r="F419" s="169"/>
      <c r="G419" s="169"/>
      <c r="H419" s="169"/>
      <c r="I419" s="169"/>
      <c r="J419" s="169"/>
      <c r="K419" s="170"/>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68" t="s">
        <v>45</v>
      </c>
      <c r="B427" s="169"/>
      <c r="C427" s="169"/>
      <c r="D427" s="169"/>
      <c r="E427" s="169"/>
      <c r="F427" s="169"/>
      <c r="G427" s="169"/>
      <c r="H427" s="169"/>
      <c r="I427" s="169"/>
      <c r="J427" s="169"/>
      <c r="K427" s="170"/>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68" t="s">
        <v>44</v>
      </c>
      <c r="B435" s="169"/>
      <c r="C435" s="169"/>
      <c r="D435" s="169"/>
      <c r="E435" s="169"/>
      <c r="F435" s="169"/>
      <c r="G435" s="169"/>
      <c r="H435" s="169"/>
      <c r="I435" s="169"/>
      <c r="J435" s="169"/>
      <c r="K435" s="170"/>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71" t="s">
        <v>31</v>
      </c>
      <c r="B442" s="172"/>
      <c r="C442" s="172"/>
      <c r="D442" s="172"/>
      <c r="E442" s="172"/>
      <c r="F442" s="172"/>
      <c r="G442" s="172"/>
      <c r="H442" s="172"/>
      <c r="I442" s="172"/>
      <c r="J442" s="172"/>
      <c r="K442" s="173"/>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68" t="s">
        <v>47</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68" t="s">
        <v>46</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68" t="s">
        <v>45</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68" t="s">
        <v>44</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15"/>
  <sheetViews>
    <sheetView zoomScaleNormal="100" workbookViewId="0">
      <selection activeCell="M12" sqref="M12"/>
    </sheetView>
  </sheetViews>
  <sheetFormatPr baseColWidth="10" defaultColWidth="11.44140625" defaultRowHeight="14.4" x14ac:dyDescent="0.3"/>
  <cols>
    <col min="1" max="16" width="5.77734375" style="16" customWidth="1"/>
    <col min="17" max="18" width="10.33203125" style="16" customWidth="1"/>
    <col min="19" max="19" width="6.44140625" style="16" customWidth="1"/>
    <col min="20" max="23" width="10.33203125" style="16" customWidth="1"/>
    <col min="24" max="16384" width="11.44140625" style="16"/>
  </cols>
  <sheetData>
    <row r="1" spans="1:16" x14ac:dyDescent="0.3">
      <c r="A1"/>
      <c r="B1"/>
      <c r="C1"/>
      <c r="D1"/>
      <c r="E1"/>
      <c r="F1"/>
      <c r="G1"/>
      <c r="H1"/>
      <c r="I1"/>
      <c r="J1"/>
      <c r="K1"/>
      <c r="L1"/>
      <c r="M1"/>
      <c r="N1"/>
    </row>
    <row r="2" spans="1:16" x14ac:dyDescent="0.3">
      <c r="A2"/>
      <c r="B2"/>
      <c r="C2"/>
      <c r="D2"/>
      <c r="E2"/>
      <c r="F2"/>
      <c r="G2"/>
      <c r="H2"/>
      <c r="I2"/>
      <c r="J2"/>
      <c r="K2"/>
      <c r="L2"/>
      <c r="M2"/>
      <c r="N2"/>
    </row>
    <row r="3" spans="1:16" x14ac:dyDescent="0.3">
      <c r="A3"/>
      <c r="B3"/>
      <c r="C3" s="175" t="s">
        <v>157</v>
      </c>
      <c r="D3" s="175"/>
      <c r="E3" s="175"/>
      <c r="F3" s="175"/>
      <c r="G3" s="175"/>
      <c r="H3" s="175"/>
      <c r="I3" s="175"/>
      <c r="J3" s="175"/>
      <c r="K3" s="175"/>
      <c r="L3" s="175"/>
      <c r="M3" s="175"/>
      <c r="N3" s="175"/>
      <c r="O3" s="175"/>
      <c r="P3" s="175"/>
    </row>
    <row r="4" spans="1:16" x14ac:dyDescent="0.3">
      <c r="A4"/>
      <c r="B4"/>
      <c r="C4"/>
      <c r="D4"/>
      <c r="E4" s="145" t="s">
        <v>98</v>
      </c>
      <c r="F4" s="145"/>
      <c r="G4" s="145"/>
      <c r="H4" s="145"/>
      <c r="I4" s="145"/>
      <c r="J4" s="145"/>
      <c r="K4" s="145"/>
      <c r="L4" s="145"/>
      <c r="M4" s="93"/>
      <c r="N4" s="94"/>
      <c r="O4" s="94"/>
      <c r="P4" s="94"/>
    </row>
    <row r="5" spans="1:16" ht="25.8" customHeight="1" x14ac:dyDescent="0.3">
      <c r="A5"/>
      <c r="B5"/>
      <c r="C5" s="119" t="s">
        <v>102</v>
      </c>
      <c r="D5" s="120"/>
      <c r="E5" s="124" t="s">
        <v>103</v>
      </c>
      <c r="F5" s="124"/>
      <c r="G5" s="124" t="s">
        <v>104</v>
      </c>
      <c r="H5" s="124"/>
      <c r="I5" s="124" t="s">
        <v>105</v>
      </c>
      <c r="J5" s="124"/>
      <c r="K5" s="124" t="s">
        <v>106</v>
      </c>
      <c r="L5" s="124"/>
      <c r="M5" s="123" t="s">
        <v>107</v>
      </c>
      <c r="N5" s="123"/>
      <c r="O5" s="123" t="s">
        <v>159</v>
      </c>
      <c r="P5" s="123"/>
    </row>
    <row r="6" spans="1:16" x14ac:dyDescent="0.3">
      <c r="A6"/>
      <c r="B6"/>
      <c r="C6" s="174">
        <v>30</v>
      </c>
      <c r="D6" s="174"/>
      <c r="E6" s="174">
        <v>30</v>
      </c>
      <c r="F6" s="174"/>
      <c r="G6" s="174">
        <f>E6</f>
        <v>30</v>
      </c>
      <c r="H6" s="174"/>
      <c r="I6" s="174">
        <f>E6</f>
        <v>30</v>
      </c>
      <c r="J6" s="174"/>
      <c r="K6" s="174">
        <f>E6</f>
        <v>30</v>
      </c>
      <c r="L6" s="174"/>
      <c r="M6" s="174">
        <f>AVERAGE(E6:L6)</f>
        <v>30</v>
      </c>
      <c r="N6" s="174"/>
      <c r="O6" s="174">
        <f>M6-C6</f>
        <v>0</v>
      </c>
      <c r="P6" s="174"/>
    </row>
    <row r="7" spans="1:16" x14ac:dyDescent="0.3">
      <c r="A7"/>
      <c r="B7"/>
      <c r="C7" s="174">
        <v>60</v>
      </c>
      <c r="D7" s="174"/>
      <c r="E7" s="174">
        <v>60</v>
      </c>
      <c r="F7" s="174"/>
      <c r="G7" s="174">
        <f t="shared" ref="G7:G9" si="0">E7</f>
        <v>60</v>
      </c>
      <c r="H7" s="174"/>
      <c r="I7" s="174">
        <f t="shared" ref="I7:I9" si="1">E7</f>
        <v>60</v>
      </c>
      <c r="J7" s="174"/>
      <c r="K7" s="174">
        <f t="shared" ref="K7:K9" si="2">E7</f>
        <v>60</v>
      </c>
      <c r="L7" s="174"/>
      <c r="M7" s="174">
        <f t="shared" ref="M7:M9" si="3">AVERAGE(E7:L7)</f>
        <v>60</v>
      </c>
      <c r="N7" s="174"/>
      <c r="O7" s="174">
        <f t="shared" ref="O7:O9" si="4">M7-C7</f>
        <v>0</v>
      </c>
      <c r="P7" s="174"/>
    </row>
    <row r="8" spans="1:16" x14ac:dyDescent="0.3">
      <c r="A8"/>
      <c r="B8"/>
      <c r="C8" s="174">
        <v>120</v>
      </c>
      <c r="D8" s="174"/>
      <c r="E8" s="174">
        <v>120</v>
      </c>
      <c r="F8" s="174"/>
      <c r="G8" s="174">
        <f t="shared" si="0"/>
        <v>120</v>
      </c>
      <c r="H8" s="174"/>
      <c r="I8" s="174">
        <f t="shared" si="1"/>
        <v>120</v>
      </c>
      <c r="J8" s="174"/>
      <c r="K8" s="174">
        <f t="shared" si="2"/>
        <v>120</v>
      </c>
      <c r="L8" s="174"/>
      <c r="M8" s="174">
        <f t="shared" si="3"/>
        <v>120</v>
      </c>
      <c r="N8" s="174"/>
      <c r="O8" s="174">
        <f t="shared" si="4"/>
        <v>0</v>
      </c>
      <c r="P8" s="174"/>
    </row>
    <row r="9" spans="1:16" x14ac:dyDescent="0.3">
      <c r="A9"/>
      <c r="B9"/>
      <c r="C9" s="174">
        <v>240</v>
      </c>
      <c r="D9" s="174"/>
      <c r="E9" s="174">
        <v>240</v>
      </c>
      <c r="F9" s="174"/>
      <c r="G9" s="174">
        <f t="shared" si="0"/>
        <v>240</v>
      </c>
      <c r="H9" s="174"/>
      <c r="I9" s="174">
        <f t="shared" si="1"/>
        <v>240</v>
      </c>
      <c r="J9" s="174"/>
      <c r="K9" s="174">
        <f t="shared" si="2"/>
        <v>240</v>
      </c>
      <c r="L9" s="174"/>
      <c r="M9" s="174">
        <f t="shared" si="3"/>
        <v>240</v>
      </c>
      <c r="N9" s="174"/>
      <c r="O9" s="174">
        <f t="shared" si="4"/>
        <v>0</v>
      </c>
      <c r="P9" s="174"/>
    </row>
    <row r="10" spans="1:16" x14ac:dyDescent="0.3">
      <c r="A10"/>
      <c r="B10"/>
      <c r="C10"/>
      <c r="D10"/>
      <c r="E10"/>
      <c r="F10"/>
      <c r="G10"/>
      <c r="H10"/>
      <c r="I10"/>
      <c r="J10"/>
      <c r="K10"/>
      <c r="L10"/>
      <c r="M10"/>
      <c r="N10"/>
      <c r="O10"/>
      <c r="P10"/>
    </row>
    <row r="11" spans="1:16" customFormat="1" x14ac:dyDescent="0.3"/>
    <row r="12" spans="1:16" customFormat="1" x14ac:dyDescent="0.3"/>
    <row r="13" spans="1:16" customFormat="1" x14ac:dyDescent="0.3"/>
    <row r="14" spans="1:16" customFormat="1" x14ac:dyDescent="0.3"/>
    <row r="15" spans="1:16" x14ac:dyDescent="0.3">
      <c r="B15"/>
      <c r="C15"/>
      <c r="D15"/>
      <c r="E15"/>
      <c r="F15"/>
      <c r="G15"/>
      <c r="H15"/>
      <c r="I15"/>
      <c r="J15"/>
      <c r="K15"/>
      <c r="L15"/>
      <c r="M15"/>
      <c r="N15"/>
      <c r="O15"/>
      <c r="P15"/>
    </row>
  </sheetData>
  <mergeCells count="37">
    <mergeCell ref="C3:P3"/>
    <mergeCell ref="E4:L4"/>
    <mergeCell ref="C5:D5"/>
    <mergeCell ref="C6:D6"/>
    <mergeCell ref="C7:D7"/>
    <mergeCell ref="O6:P6"/>
    <mergeCell ref="E7:F7"/>
    <mergeCell ref="G7:H7"/>
    <mergeCell ref="I7:J7"/>
    <mergeCell ref="K7:L7"/>
    <mergeCell ref="M7:N7"/>
    <mergeCell ref="O7:P7"/>
    <mergeCell ref="E5:F5"/>
    <mergeCell ref="G5:H5"/>
    <mergeCell ref="I5:J5"/>
    <mergeCell ref="K5:L5"/>
    <mergeCell ref="C8:D8"/>
    <mergeCell ref="C9:D9"/>
    <mergeCell ref="O8:P8"/>
    <mergeCell ref="E9:F9"/>
    <mergeCell ref="G9:H9"/>
    <mergeCell ref="I9:J9"/>
    <mergeCell ref="K9:L9"/>
    <mergeCell ref="M9:N9"/>
    <mergeCell ref="O9:P9"/>
    <mergeCell ref="E8:F8"/>
    <mergeCell ref="G8:H8"/>
    <mergeCell ref="I8:J8"/>
    <mergeCell ref="K8:L8"/>
    <mergeCell ref="M8:N8"/>
    <mergeCell ref="M5:N5"/>
    <mergeCell ref="O5:P5"/>
    <mergeCell ref="E6:F6"/>
    <mergeCell ref="G6:H6"/>
    <mergeCell ref="I6:J6"/>
    <mergeCell ref="K6:L6"/>
    <mergeCell ref="M6:N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194" t="s">
        <v>156</v>
      </c>
      <c r="D2" s="194"/>
      <c r="E2" s="194"/>
      <c r="F2" s="194"/>
      <c r="G2" s="194"/>
      <c r="H2" s="194"/>
      <c r="I2" s="194"/>
      <c r="J2" s="194"/>
      <c r="K2" s="194"/>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183" t="s">
        <v>13</v>
      </c>
      <c r="C34" s="183"/>
      <c r="D34" s="183"/>
      <c r="E34" s="183"/>
      <c r="F34" s="183"/>
      <c r="G34" s="183"/>
      <c r="H34" s="183"/>
      <c r="I34" s="183"/>
      <c r="J34" s="183"/>
      <c r="K34" s="183"/>
      <c r="L34" s="183"/>
      <c r="M34" s="183"/>
      <c r="N34" s="3"/>
      <c r="O34" s="3"/>
      <c r="P34" s="3"/>
      <c r="Q34" s="3"/>
    </row>
    <row r="35" spans="2:17" x14ac:dyDescent="0.3">
      <c r="B35" s="176" t="s">
        <v>12</v>
      </c>
      <c r="C35" s="176"/>
      <c r="D35" s="176"/>
      <c r="E35" s="176"/>
      <c r="F35" s="176"/>
      <c r="G35" s="178" t="s">
        <v>133</v>
      </c>
      <c r="H35" s="179"/>
      <c r="I35" s="179"/>
      <c r="J35" s="179"/>
      <c r="K35" s="179"/>
      <c r="L35" s="179"/>
      <c r="M35" s="180"/>
      <c r="N35" s="9"/>
      <c r="O35" s="9"/>
      <c r="P35" s="9"/>
      <c r="Q35" s="9"/>
    </row>
    <row r="36" spans="2:17" x14ac:dyDescent="0.3">
      <c r="B36" s="176" t="s">
        <v>7</v>
      </c>
      <c r="C36" s="176"/>
      <c r="D36" s="176"/>
      <c r="E36" s="176"/>
      <c r="F36" s="176"/>
      <c r="G36" s="178" t="s">
        <v>134</v>
      </c>
      <c r="H36" s="179"/>
      <c r="I36" s="179"/>
      <c r="J36" s="179"/>
      <c r="K36" s="179"/>
      <c r="L36" s="179"/>
      <c r="M36" s="180"/>
      <c r="N36" s="9"/>
      <c r="O36" s="9"/>
      <c r="P36" s="9"/>
      <c r="Q36" s="9"/>
    </row>
    <row r="37" spans="2:17" x14ac:dyDescent="0.3">
      <c r="B37" s="176" t="s">
        <v>6</v>
      </c>
      <c r="C37" s="176"/>
      <c r="D37" s="176"/>
      <c r="E37" s="176"/>
      <c r="F37" s="176"/>
      <c r="G37" s="178" t="s">
        <v>135</v>
      </c>
      <c r="H37" s="179"/>
      <c r="I37" s="179"/>
      <c r="J37" s="179"/>
      <c r="K37" s="179"/>
      <c r="L37" s="179"/>
      <c r="M37" s="180"/>
      <c r="N37" s="9"/>
      <c r="O37" s="9"/>
      <c r="P37" s="9"/>
      <c r="Q37" s="9"/>
    </row>
    <row r="38" spans="2:17" x14ac:dyDescent="0.3">
      <c r="B38" s="176" t="s">
        <v>4</v>
      </c>
      <c r="C38" s="176"/>
      <c r="D38" s="176"/>
      <c r="E38" s="176"/>
      <c r="F38" s="176"/>
      <c r="G38" s="178" t="s">
        <v>136</v>
      </c>
      <c r="H38" s="179"/>
      <c r="I38" s="179"/>
      <c r="J38" s="179"/>
      <c r="K38" s="179"/>
      <c r="L38" s="179"/>
      <c r="M38" s="180"/>
      <c r="N38" s="9"/>
      <c r="O38" s="9"/>
      <c r="P38" s="9"/>
      <c r="Q38" s="9"/>
    </row>
    <row r="39" spans="2:17" x14ac:dyDescent="0.3">
      <c r="B39" s="176" t="s">
        <v>11</v>
      </c>
      <c r="C39" s="176"/>
      <c r="D39" s="176"/>
      <c r="E39" s="176"/>
      <c r="F39" s="181"/>
      <c r="G39" s="184">
        <v>44971</v>
      </c>
      <c r="H39" s="184"/>
      <c r="I39" s="184"/>
      <c r="J39" s="184"/>
      <c r="K39" s="184"/>
      <c r="L39" s="184"/>
      <c r="M39" s="184"/>
      <c r="N39" s="10"/>
      <c r="O39" s="10"/>
      <c r="P39" s="10"/>
      <c r="Q39" s="10"/>
    </row>
    <row r="40" spans="2:17" x14ac:dyDescent="0.3">
      <c r="B40" s="176" t="s">
        <v>10</v>
      </c>
      <c r="C40" s="176"/>
      <c r="D40" s="176"/>
      <c r="E40" s="176"/>
      <c r="F40" s="176"/>
      <c r="G40" s="177" t="s">
        <v>146</v>
      </c>
      <c r="H40" s="177"/>
      <c r="I40" s="177"/>
      <c r="J40" s="177"/>
      <c r="K40" s="177"/>
      <c r="L40" s="177"/>
      <c r="M40" s="177"/>
      <c r="N40" s="9"/>
      <c r="O40" s="9"/>
      <c r="P40" s="9"/>
      <c r="Q40" s="9"/>
    </row>
    <row r="41" spans="2:17" x14ac:dyDescent="0.3">
      <c r="B41" s="176" t="s">
        <v>137</v>
      </c>
      <c r="C41" s="176"/>
      <c r="D41" s="176"/>
      <c r="E41" s="176"/>
      <c r="F41" s="176"/>
      <c r="G41" s="178">
        <v>0.11</v>
      </c>
      <c r="H41" s="179"/>
      <c r="I41" s="179"/>
      <c r="J41" s="179"/>
      <c r="K41" s="179"/>
      <c r="L41" s="179"/>
      <c r="M41" s="180"/>
      <c r="N41" s="4"/>
      <c r="O41" s="4"/>
      <c r="P41" s="4"/>
      <c r="Q41" s="4"/>
    </row>
    <row r="42" spans="2:17" x14ac:dyDescent="0.3">
      <c r="B42" s="176" t="s">
        <v>138</v>
      </c>
      <c r="C42" s="176"/>
      <c r="D42" s="176"/>
      <c r="E42" s="176"/>
      <c r="F42" s="176"/>
      <c r="G42" s="178">
        <v>0.48</v>
      </c>
      <c r="H42" s="179"/>
      <c r="I42" s="179"/>
      <c r="J42" s="179"/>
      <c r="K42" s="179"/>
      <c r="L42" s="179"/>
      <c r="M42" s="180"/>
      <c r="N42" s="4"/>
      <c r="O42" s="4"/>
      <c r="P42" s="4"/>
      <c r="Q42" s="4"/>
    </row>
    <row r="43" spans="2:17" x14ac:dyDescent="0.3">
      <c r="B43" s="176" t="s">
        <v>139</v>
      </c>
      <c r="C43" s="176"/>
      <c r="D43" s="176"/>
      <c r="E43" s="176"/>
      <c r="F43" s="181"/>
      <c r="G43" s="178">
        <v>0.5</v>
      </c>
      <c r="H43" s="179"/>
      <c r="I43" s="179"/>
      <c r="J43" s="179"/>
      <c r="K43" s="179"/>
      <c r="L43" s="179"/>
      <c r="M43" s="180"/>
      <c r="N43" s="4"/>
      <c r="O43" s="4"/>
      <c r="P43" s="4"/>
      <c r="Q43" s="4"/>
    </row>
    <row r="44" spans="2:17" x14ac:dyDescent="0.3">
      <c r="B44" s="176" t="s">
        <v>140</v>
      </c>
      <c r="C44" s="176"/>
      <c r="D44" s="176"/>
      <c r="E44" s="176"/>
      <c r="F44" s="181"/>
      <c r="G44" s="178">
        <v>0</v>
      </c>
      <c r="H44" s="179"/>
      <c r="I44" s="179"/>
      <c r="J44" s="179"/>
      <c r="K44" s="179"/>
      <c r="L44" s="179"/>
      <c r="M44" s="180"/>
    </row>
    <row r="45" spans="2:17" x14ac:dyDescent="0.3">
      <c r="B45" s="176" t="s">
        <v>141</v>
      </c>
      <c r="C45" s="176"/>
      <c r="D45" s="176"/>
      <c r="E45" s="176"/>
      <c r="F45" s="181"/>
      <c r="G45" s="178">
        <v>0.1</v>
      </c>
      <c r="H45" s="179"/>
      <c r="I45" s="179"/>
      <c r="J45" s="179"/>
      <c r="K45" s="179"/>
      <c r="L45" s="179"/>
      <c r="M45" s="180"/>
    </row>
    <row r="46" spans="2:17" x14ac:dyDescent="0.3">
      <c r="B46" s="176" t="s">
        <v>142</v>
      </c>
      <c r="C46" s="176"/>
      <c r="D46" s="176"/>
      <c r="E46" s="176"/>
      <c r="F46" s="181"/>
      <c r="G46" s="178">
        <v>1</v>
      </c>
      <c r="H46" s="179"/>
      <c r="I46" s="179"/>
      <c r="J46" s="179"/>
      <c r="K46" s="179"/>
      <c r="L46" s="179"/>
      <c r="M46" s="180"/>
    </row>
    <row r="47" spans="2:17" x14ac:dyDescent="0.3">
      <c r="B47" s="176" t="s">
        <v>9</v>
      </c>
      <c r="C47" s="176"/>
      <c r="D47" s="176"/>
      <c r="E47" s="176"/>
      <c r="F47" s="181"/>
      <c r="G47" s="178">
        <v>2</v>
      </c>
      <c r="H47" s="179"/>
      <c r="I47" s="179"/>
      <c r="J47" s="179"/>
      <c r="K47" s="179"/>
      <c r="L47" s="179"/>
      <c r="M47" s="180"/>
    </row>
    <row r="49" spans="2:13" x14ac:dyDescent="0.3">
      <c r="B49" s="183" t="s">
        <v>13</v>
      </c>
      <c r="C49" s="183"/>
      <c r="D49" s="183"/>
      <c r="E49" s="183"/>
      <c r="F49" s="183"/>
      <c r="G49" s="183"/>
      <c r="H49" s="183"/>
      <c r="I49" s="183"/>
      <c r="J49" s="183"/>
      <c r="K49" s="183"/>
      <c r="L49" s="183"/>
      <c r="M49" s="183"/>
    </row>
    <row r="50" spans="2:13" x14ac:dyDescent="0.3">
      <c r="B50" s="182" t="s">
        <v>12</v>
      </c>
      <c r="C50" s="182"/>
      <c r="D50" s="182"/>
      <c r="E50" s="182"/>
      <c r="F50" s="182"/>
      <c r="G50" s="178" t="s">
        <v>61</v>
      </c>
      <c r="H50" s="179"/>
      <c r="I50" s="179"/>
      <c r="J50" s="179"/>
      <c r="K50" s="179"/>
      <c r="L50" s="179"/>
      <c r="M50" s="180"/>
    </row>
    <row r="51" spans="2:13" x14ac:dyDescent="0.3">
      <c r="B51" s="182" t="s">
        <v>7</v>
      </c>
      <c r="C51" s="182"/>
      <c r="D51" s="182"/>
      <c r="E51" s="182"/>
      <c r="F51" s="182"/>
      <c r="G51" s="178" t="s">
        <v>148</v>
      </c>
      <c r="H51" s="179"/>
      <c r="I51" s="179"/>
      <c r="J51" s="179"/>
      <c r="K51" s="179"/>
      <c r="L51" s="179"/>
      <c r="M51" s="180"/>
    </row>
    <row r="52" spans="2:13" x14ac:dyDescent="0.3">
      <c r="B52" s="182" t="s">
        <v>6</v>
      </c>
      <c r="C52" s="182"/>
      <c r="D52" s="182"/>
      <c r="E52" s="182"/>
      <c r="F52" s="182"/>
      <c r="G52" s="178" t="s">
        <v>148</v>
      </c>
      <c r="H52" s="179"/>
      <c r="I52" s="179"/>
      <c r="J52" s="179"/>
      <c r="K52" s="179"/>
      <c r="L52" s="179"/>
      <c r="M52" s="180"/>
    </row>
    <row r="53" spans="2:13" x14ac:dyDescent="0.3">
      <c r="B53" s="182" t="s">
        <v>4</v>
      </c>
      <c r="C53" s="182"/>
      <c r="D53" s="182"/>
      <c r="E53" s="182"/>
      <c r="F53" s="182"/>
      <c r="G53" s="178" t="s">
        <v>148</v>
      </c>
      <c r="H53" s="179"/>
      <c r="I53" s="179"/>
      <c r="J53" s="179"/>
      <c r="K53" s="179"/>
      <c r="L53" s="179"/>
      <c r="M53" s="180"/>
    </row>
    <row r="54" spans="2:13" x14ac:dyDescent="0.3">
      <c r="B54" s="182" t="s">
        <v>11</v>
      </c>
      <c r="C54" s="182"/>
      <c r="D54" s="182"/>
      <c r="E54" s="182"/>
      <c r="F54" s="182"/>
      <c r="G54" s="189">
        <v>45048</v>
      </c>
      <c r="H54" s="179"/>
      <c r="I54" s="179"/>
      <c r="J54" s="179"/>
      <c r="K54" s="179"/>
      <c r="L54" s="179"/>
      <c r="M54" s="180"/>
    </row>
    <row r="55" spans="2:13" x14ac:dyDescent="0.3">
      <c r="B55" s="182" t="s">
        <v>10</v>
      </c>
      <c r="C55" s="182"/>
      <c r="D55" s="182"/>
      <c r="E55" s="182"/>
      <c r="F55" s="182"/>
      <c r="G55" s="177" t="s">
        <v>168</v>
      </c>
      <c r="H55" s="177"/>
      <c r="I55" s="177"/>
      <c r="J55" s="177"/>
      <c r="K55" s="177"/>
      <c r="L55" s="177"/>
      <c r="M55" s="177"/>
    </row>
    <row r="56" spans="2:13" x14ac:dyDescent="0.3">
      <c r="B56" s="182" t="s">
        <v>143</v>
      </c>
      <c r="C56" s="182"/>
      <c r="D56" s="182"/>
      <c r="E56" s="182"/>
      <c r="F56" s="182"/>
      <c r="G56" s="185">
        <v>0.52</v>
      </c>
      <c r="H56" s="185"/>
      <c r="I56" s="185"/>
      <c r="J56" s="185"/>
      <c r="K56" s="185"/>
      <c r="L56" s="185"/>
      <c r="M56" s="185"/>
    </row>
    <row r="57" spans="2:13" x14ac:dyDescent="0.3">
      <c r="B57" s="182" t="s">
        <v>152</v>
      </c>
      <c r="C57" s="182"/>
      <c r="D57" s="182"/>
      <c r="E57" s="182"/>
      <c r="F57" s="182"/>
      <c r="G57" s="195">
        <v>0.2</v>
      </c>
      <c r="H57" s="196"/>
      <c r="I57" s="196"/>
      <c r="J57" s="196"/>
      <c r="K57" s="196"/>
      <c r="L57" s="196"/>
      <c r="M57" s="197"/>
    </row>
    <row r="58" spans="2:13" x14ac:dyDescent="0.3">
      <c r="B58" s="182" t="s">
        <v>153</v>
      </c>
      <c r="C58" s="182"/>
      <c r="D58" s="182"/>
      <c r="E58" s="182"/>
      <c r="F58" s="182"/>
      <c r="G58" s="195">
        <v>0.1</v>
      </c>
      <c r="H58" s="196"/>
      <c r="I58" s="196"/>
      <c r="J58" s="196"/>
      <c r="K58" s="196"/>
      <c r="L58" s="196"/>
      <c r="M58" s="197"/>
    </row>
    <row r="59" spans="2:13" x14ac:dyDescent="0.3">
      <c r="B59" s="182" t="s">
        <v>9</v>
      </c>
      <c r="C59" s="182"/>
      <c r="D59" s="182"/>
      <c r="E59" s="182"/>
      <c r="F59" s="182"/>
      <c r="G59" s="185">
        <v>2</v>
      </c>
      <c r="H59" s="185"/>
      <c r="I59" s="185"/>
      <c r="J59" s="185"/>
      <c r="K59" s="185"/>
      <c r="L59" s="185"/>
      <c r="M59" s="185"/>
    </row>
    <row r="61" spans="2:13" x14ac:dyDescent="0.3">
      <c r="B61" s="183" t="s">
        <v>13</v>
      </c>
      <c r="C61" s="183"/>
      <c r="D61" s="183"/>
      <c r="E61" s="183"/>
      <c r="F61" s="183"/>
      <c r="G61" s="183"/>
      <c r="H61" s="183"/>
      <c r="I61" s="183"/>
      <c r="J61" s="183"/>
      <c r="K61" s="183"/>
      <c r="L61" s="183"/>
      <c r="M61" s="183"/>
    </row>
    <row r="62" spans="2:13" x14ac:dyDescent="0.3">
      <c r="B62" s="186" t="s">
        <v>12</v>
      </c>
      <c r="C62" s="186"/>
      <c r="D62" s="186"/>
      <c r="E62" s="186"/>
      <c r="F62" s="187"/>
      <c r="G62" s="178" t="s">
        <v>144</v>
      </c>
      <c r="H62" s="179"/>
      <c r="I62" s="179"/>
      <c r="J62" s="179"/>
      <c r="K62" s="179"/>
      <c r="L62" s="179"/>
      <c r="M62" s="180"/>
    </row>
    <row r="63" spans="2:13" x14ac:dyDescent="0.3">
      <c r="B63" s="182" t="s">
        <v>7</v>
      </c>
      <c r="C63" s="182"/>
      <c r="D63" s="182"/>
      <c r="E63" s="182"/>
      <c r="F63" s="188"/>
      <c r="G63" s="178" t="s">
        <v>134</v>
      </c>
      <c r="H63" s="179"/>
      <c r="I63" s="179"/>
      <c r="J63" s="179"/>
      <c r="K63" s="179"/>
      <c r="L63" s="179"/>
      <c r="M63" s="180"/>
    </row>
    <row r="64" spans="2:13" x14ac:dyDescent="0.3">
      <c r="B64" s="182" t="s">
        <v>6</v>
      </c>
      <c r="C64" s="182"/>
      <c r="D64" s="182"/>
      <c r="E64" s="182"/>
      <c r="F64" s="188"/>
      <c r="G64" s="178" t="s">
        <v>145</v>
      </c>
      <c r="H64" s="179"/>
      <c r="I64" s="179"/>
      <c r="J64" s="179"/>
      <c r="K64" s="179"/>
      <c r="L64" s="179"/>
      <c r="M64" s="180"/>
    </row>
    <row r="65" spans="2:13" x14ac:dyDescent="0.3">
      <c r="B65" s="182" t="s">
        <v>4</v>
      </c>
      <c r="C65" s="182"/>
      <c r="D65" s="182"/>
      <c r="E65" s="182"/>
      <c r="F65" s="188"/>
      <c r="G65" s="178">
        <v>73021035</v>
      </c>
      <c r="H65" s="179"/>
      <c r="I65" s="179"/>
      <c r="J65" s="179"/>
      <c r="K65" s="179"/>
      <c r="L65" s="179"/>
      <c r="M65" s="180"/>
    </row>
    <row r="66" spans="2:13" x14ac:dyDescent="0.3">
      <c r="B66" s="182" t="s">
        <v>11</v>
      </c>
      <c r="C66" s="182"/>
      <c r="D66" s="182"/>
      <c r="E66" s="182"/>
      <c r="F66" s="188"/>
      <c r="G66" s="189">
        <v>44970</v>
      </c>
      <c r="H66" s="179"/>
      <c r="I66" s="179"/>
      <c r="J66" s="179"/>
      <c r="K66" s="179"/>
      <c r="L66" s="179"/>
      <c r="M66" s="180"/>
    </row>
    <row r="67" spans="2:13" x14ac:dyDescent="0.3">
      <c r="B67" s="182" t="s">
        <v>10</v>
      </c>
      <c r="C67" s="182"/>
      <c r="D67" s="182"/>
      <c r="E67" s="182"/>
      <c r="F67" s="188"/>
      <c r="G67" s="177" t="s">
        <v>147</v>
      </c>
      <c r="H67" s="177"/>
      <c r="I67" s="177"/>
      <c r="J67" s="177"/>
      <c r="K67" s="177"/>
      <c r="L67" s="177"/>
      <c r="M67" s="177"/>
    </row>
    <row r="68" spans="2:13" x14ac:dyDescent="0.3">
      <c r="B68" s="182" t="s">
        <v>151</v>
      </c>
      <c r="C68" s="182"/>
      <c r="D68" s="182"/>
      <c r="E68" s="182"/>
      <c r="F68" s="188"/>
      <c r="G68" s="190">
        <v>2.2999999999999998</v>
      </c>
      <c r="H68" s="190"/>
      <c r="I68" s="190"/>
      <c r="J68" s="190"/>
      <c r="K68" s="190"/>
      <c r="L68" s="190"/>
      <c r="M68" s="190"/>
    </row>
    <row r="69" spans="2:13" x14ac:dyDescent="0.3">
      <c r="B69" s="182" t="s">
        <v>138</v>
      </c>
      <c r="C69" s="182"/>
      <c r="D69" s="182"/>
      <c r="E69" s="182"/>
      <c r="F69" s="188"/>
      <c r="G69" s="190">
        <v>1.7</v>
      </c>
      <c r="H69" s="190"/>
      <c r="I69" s="190"/>
      <c r="J69" s="190"/>
      <c r="K69" s="190"/>
      <c r="L69" s="190"/>
      <c r="M69" s="190"/>
    </row>
    <row r="70" spans="2:13" x14ac:dyDescent="0.3">
      <c r="B70" s="182" t="s">
        <v>149</v>
      </c>
      <c r="C70" s="182"/>
      <c r="D70" s="182"/>
      <c r="E70" s="182"/>
      <c r="F70" s="188"/>
      <c r="G70" s="190">
        <v>0.8</v>
      </c>
      <c r="H70" s="190"/>
      <c r="I70" s="190"/>
      <c r="J70" s="190"/>
      <c r="K70" s="190"/>
      <c r="L70" s="190"/>
      <c r="M70" s="190"/>
    </row>
    <row r="71" spans="2:13" x14ac:dyDescent="0.3">
      <c r="B71" s="182" t="s">
        <v>154</v>
      </c>
      <c r="C71" s="182"/>
      <c r="D71" s="182"/>
      <c r="E71" s="182"/>
      <c r="F71" s="188"/>
      <c r="G71" s="191">
        <v>1</v>
      </c>
      <c r="H71" s="192"/>
      <c r="I71" s="192"/>
      <c r="J71" s="192"/>
      <c r="K71" s="192"/>
      <c r="L71" s="192"/>
      <c r="M71" s="193"/>
    </row>
    <row r="72" spans="2:13" x14ac:dyDescent="0.3">
      <c r="B72" s="182" t="s">
        <v>155</v>
      </c>
      <c r="C72" s="182"/>
      <c r="D72" s="182"/>
      <c r="E72" s="182"/>
      <c r="F72" s="188"/>
      <c r="G72" s="190">
        <v>1</v>
      </c>
      <c r="H72" s="190"/>
      <c r="I72" s="190"/>
      <c r="J72" s="190"/>
      <c r="K72" s="190"/>
      <c r="L72" s="190"/>
      <c r="M72" s="190"/>
    </row>
    <row r="73" spans="2:13" x14ac:dyDescent="0.3">
      <c r="B73" s="182" t="s">
        <v>150</v>
      </c>
      <c r="C73" s="182"/>
      <c r="D73" s="182"/>
      <c r="E73" s="182"/>
      <c r="F73" s="188"/>
      <c r="G73" s="190">
        <v>1</v>
      </c>
      <c r="H73" s="190"/>
      <c r="I73" s="190"/>
      <c r="J73" s="190"/>
      <c r="K73" s="190"/>
      <c r="L73" s="190"/>
      <c r="M73" s="190"/>
    </row>
    <row r="74" spans="2:13" x14ac:dyDescent="0.3">
      <c r="B74" s="182" t="s">
        <v>9</v>
      </c>
      <c r="C74" s="182"/>
      <c r="D74" s="182"/>
      <c r="E74" s="182"/>
      <c r="F74" s="188"/>
      <c r="G74" s="190">
        <v>2</v>
      </c>
      <c r="H74" s="190"/>
      <c r="I74" s="190"/>
      <c r="J74" s="190"/>
      <c r="K74" s="190"/>
      <c r="L74" s="190"/>
      <c r="M74" s="190"/>
    </row>
    <row r="75" spans="2:13" x14ac:dyDescent="0.3">
      <c r="B75" s="17"/>
      <c r="C75" s="17"/>
      <c r="D75" s="17"/>
      <c r="E75" s="18"/>
      <c r="F75" s="19"/>
    </row>
    <row r="78" spans="2:13" x14ac:dyDescent="0.3">
      <c r="C78" s="128"/>
      <c r="D78" s="128"/>
      <c r="E78" s="128"/>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28"/>
      <c r="D95" s="128"/>
      <c r="E95" s="128"/>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 ref="B67:F67"/>
    <mergeCell ref="G67:M67"/>
    <mergeCell ref="B68:F68"/>
    <mergeCell ref="G68:M68"/>
    <mergeCell ref="B71:F71"/>
    <mergeCell ref="G74:M74"/>
    <mergeCell ref="B69:F69"/>
    <mergeCell ref="B70:F70"/>
    <mergeCell ref="G70:M70"/>
    <mergeCell ref="G73:M73"/>
    <mergeCell ref="G69:M69"/>
    <mergeCell ref="G72:M72"/>
    <mergeCell ref="G71:M71"/>
    <mergeCell ref="B72:F72"/>
    <mergeCell ref="B73:F73"/>
    <mergeCell ref="B74:F74"/>
    <mergeCell ref="B64:F64"/>
    <mergeCell ref="G64:M64"/>
    <mergeCell ref="B65:F65"/>
    <mergeCell ref="G65:M65"/>
    <mergeCell ref="G66:M66"/>
    <mergeCell ref="B66:F66"/>
    <mergeCell ref="B59:F59"/>
    <mergeCell ref="G59:M59"/>
    <mergeCell ref="B62:F62"/>
    <mergeCell ref="G62:M62"/>
    <mergeCell ref="B63:F63"/>
    <mergeCell ref="G63:M63"/>
    <mergeCell ref="B61:M61"/>
    <mergeCell ref="G53:M53"/>
    <mergeCell ref="B47:F47"/>
    <mergeCell ref="G47:M47"/>
    <mergeCell ref="B50:F50"/>
    <mergeCell ref="G50:M50"/>
    <mergeCell ref="B49:M49"/>
    <mergeCell ref="G37:M37"/>
    <mergeCell ref="G35:M35"/>
    <mergeCell ref="B34:M34"/>
    <mergeCell ref="G38:M38"/>
    <mergeCell ref="G39:M39"/>
    <mergeCell ref="G36:M36"/>
    <mergeCell ref="B35:F35"/>
    <mergeCell ref="B36:F36"/>
    <mergeCell ref="B37:F37"/>
    <mergeCell ref="B38:F38"/>
    <mergeCell ref="B39:F39"/>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O19" sqref="O19"/>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8" t="s">
        <v>160</v>
      </c>
      <c r="C2" s="199"/>
      <c r="D2" s="199"/>
      <c r="E2" s="199"/>
      <c r="F2" s="199"/>
      <c r="G2" s="199"/>
      <c r="H2" s="199"/>
      <c r="I2" s="199"/>
      <c r="J2" s="199"/>
      <c r="K2" s="199"/>
      <c r="L2" s="200"/>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t="e">
        <f>MEDIDA!#REF!</f>
        <v>#REF!</v>
      </c>
      <c r="C4" s="8">
        <f>0.11/2</f>
        <v>5.5E-2</v>
      </c>
      <c r="D4" s="8">
        <f>PATRON!G$43/SQRT(3)</f>
        <v>0.28867513459481292</v>
      </c>
      <c r="E4" s="8">
        <v>0</v>
      </c>
      <c r="F4" s="8">
        <f>1/SQRT(12)</f>
        <v>0.28867513459481292</v>
      </c>
      <c r="G4" s="97">
        <f>PATRON!G$45/SQRT(12)</f>
        <v>2.8867513459481291E-2</v>
      </c>
      <c r="H4" s="7" t="e">
        <f>STDEVA(MEDIDA!#REF!)/SQRT(4)</f>
        <v>#REF!</v>
      </c>
      <c r="I4" s="8" t="e">
        <f>SQRT(SUMSQ(C4:H4))</f>
        <v>#REF!</v>
      </c>
      <c r="J4" s="15" t="e">
        <f>I4^4/(C4^4/200+D4^4/200+E4^4/200+F4^4/200+G4^4/200+H4^4/3)</f>
        <v>#REF!</v>
      </c>
      <c r="K4" s="11" t="e">
        <f>TINV(0.0455,J4)</f>
        <v>#REF!</v>
      </c>
      <c r="L4" s="7" t="e">
        <f>I4*K4</f>
        <v>#REF!</v>
      </c>
    </row>
    <row r="5" spans="1:12" x14ac:dyDescent="0.3">
      <c r="A5" s="54"/>
      <c r="B5" s="6" t="e">
        <f>MEDIDA!#REF!</f>
        <v>#REF!</v>
      </c>
      <c r="C5" s="8">
        <f t="shared" ref="C5:C8" si="0">0.11/2</f>
        <v>5.5E-2</v>
      </c>
      <c r="D5" s="8">
        <f>PATRON!G$43/SQRT(3)</f>
        <v>0.28867513459481292</v>
      </c>
      <c r="E5" s="8">
        <v>0</v>
      </c>
      <c r="F5" s="8">
        <f t="shared" ref="F5:F8" si="1">1/SQRT(12)</f>
        <v>0.28867513459481292</v>
      </c>
      <c r="G5" s="97">
        <f>PATRON!G$45/SQRT(12)</f>
        <v>2.8867513459481291E-2</v>
      </c>
      <c r="H5" s="7" t="e">
        <f>STDEVA(MEDIDA!#REF!)/SQRT(4)</f>
        <v>#REF!</v>
      </c>
      <c r="I5" s="8" t="e">
        <f>SQRT(SUMSQ(C5:H5))</f>
        <v>#REF!</v>
      </c>
      <c r="J5" s="15" t="e">
        <f>I5^4/(C5^4/200+D5^4/200+E5^4/200+F5^4/200+G5^4/200+H5^4/3)</f>
        <v>#REF!</v>
      </c>
      <c r="K5" s="11" t="e">
        <f>TINV(0.0455,J5)</f>
        <v>#REF!</v>
      </c>
      <c r="L5" s="7" t="e">
        <f>I5*K5</f>
        <v>#REF!</v>
      </c>
    </row>
    <row r="6" spans="1:12" x14ac:dyDescent="0.3">
      <c r="A6" s="54"/>
      <c r="B6" s="6" t="e">
        <f>MEDIDA!#REF!</f>
        <v>#REF!</v>
      </c>
      <c r="C6" s="8">
        <f t="shared" si="0"/>
        <v>5.5E-2</v>
      </c>
      <c r="D6" s="8">
        <f>PATRON!G$43/SQRT(3)</f>
        <v>0.28867513459481292</v>
      </c>
      <c r="E6" s="8">
        <v>0</v>
      </c>
      <c r="F6" s="8">
        <f t="shared" si="1"/>
        <v>0.28867513459481292</v>
      </c>
      <c r="G6" s="97">
        <f>PATRON!G$45/SQRT(12)</f>
        <v>2.8867513459481291E-2</v>
      </c>
      <c r="H6" s="7" t="e">
        <f>STDEVA(MEDIDA!#REF!)/SQRT(4)</f>
        <v>#REF!</v>
      </c>
      <c r="I6" s="8" t="e">
        <f>SQRT(SUMSQ(C6:H6))</f>
        <v>#REF!</v>
      </c>
      <c r="J6" s="15" t="e">
        <f>I6^4/(C6^4/200+D6^4/200+E6^4/200+F6^4/200+G6^4/200+H6^4/3)</f>
        <v>#REF!</v>
      </c>
      <c r="K6" s="11" t="e">
        <f t="shared" ref="K6:K8" si="2">TINV(0.0455,J6)</f>
        <v>#REF!</v>
      </c>
      <c r="L6" s="7" t="e">
        <f t="shared" ref="L6:L8" si="3">I6*K6</f>
        <v>#REF!</v>
      </c>
    </row>
    <row r="7" spans="1:12" x14ac:dyDescent="0.3">
      <c r="A7" s="54"/>
      <c r="B7" s="6" t="e">
        <f>MEDIDA!#REF!</f>
        <v>#REF!</v>
      </c>
      <c r="C7" s="8">
        <f t="shared" si="0"/>
        <v>5.5E-2</v>
      </c>
      <c r="D7" s="8">
        <f>PATRON!G$43/SQRT(3)</f>
        <v>0.28867513459481292</v>
      </c>
      <c r="E7" s="8">
        <v>0</v>
      </c>
      <c r="F7" s="8">
        <f t="shared" si="1"/>
        <v>0.28867513459481292</v>
      </c>
      <c r="G7" s="97">
        <f>PATRON!G$45/SQRT(12)</f>
        <v>2.8867513459481291E-2</v>
      </c>
      <c r="H7" s="7" t="e">
        <f>STDEVA(MEDIDA!#REF!)/SQRT(4)</f>
        <v>#REF!</v>
      </c>
      <c r="I7" s="8" t="e">
        <f>SQRT(SUMSQ(C7:H7))</f>
        <v>#REF!</v>
      </c>
      <c r="J7" s="15" t="e">
        <f>I7^4/(C7^4/200+D7^4/200+E7^4/200+F7^4/200+G7^4/200+H7^4/3)</f>
        <v>#REF!</v>
      </c>
      <c r="K7" s="11" t="e">
        <f t="shared" si="2"/>
        <v>#REF!</v>
      </c>
      <c r="L7" s="7" t="e">
        <f t="shared" si="3"/>
        <v>#REF!</v>
      </c>
    </row>
    <row r="8" spans="1:12" x14ac:dyDescent="0.3">
      <c r="A8" s="54"/>
      <c r="B8" s="6" t="e">
        <f>MEDIDA!#REF!</f>
        <v>#REF!</v>
      </c>
      <c r="C8" s="8">
        <f t="shared" si="0"/>
        <v>5.5E-2</v>
      </c>
      <c r="D8" s="8">
        <f>PATRON!G$43/SQRT(3)</f>
        <v>0.28867513459481292</v>
      </c>
      <c r="E8" s="8">
        <v>0</v>
      </c>
      <c r="F8" s="8">
        <f t="shared" si="1"/>
        <v>0.28867513459481292</v>
      </c>
      <c r="G8" s="97">
        <f>PATRON!G$45/SQRT(12)</f>
        <v>2.8867513459481291E-2</v>
      </c>
      <c r="H8" s="7" t="e">
        <f>STDEVA(MEDIDA!#REF!)/SQRT(4)</f>
        <v>#REF!</v>
      </c>
      <c r="I8" s="8" t="e">
        <f>SQRT(SUMSQ(C8:H8))</f>
        <v>#REF!</v>
      </c>
      <c r="J8" s="15" t="e">
        <f>I8^4/(C8^4/200+D8^4/200+E8^4/200+F8^4/200+G8^4/200+H8^4/3)</f>
        <v>#REF!</v>
      </c>
      <c r="K8" s="11" t="e">
        <f t="shared" si="2"/>
        <v>#REF!</v>
      </c>
      <c r="L8" s="7" t="e">
        <f t="shared" si="3"/>
        <v>#REF!</v>
      </c>
    </row>
    <row r="10" spans="1:12" x14ac:dyDescent="0.3">
      <c r="B10" s="198" t="s">
        <v>161</v>
      </c>
      <c r="C10" s="199"/>
      <c r="D10" s="199"/>
      <c r="E10" s="199"/>
      <c r="F10" s="199"/>
      <c r="G10" s="199"/>
      <c r="H10" s="199"/>
      <c r="I10" s="199"/>
      <c r="J10" s="199"/>
      <c r="K10" s="199"/>
      <c r="L10" s="200"/>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t="e">
        <f>MEDIDA!#REF!</f>
        <v>#REF!</v>
      </c>
      <c r="C12" s="8">
        <f>0.11/2</f>
        <v>5.5E-2</v>
      </c>
      <c r="D12" s="8">
        <f>PATRON!G$43/SQRT(3)</f>
        <v>0.28867513459481292</v>
      </c>
      <c r="E12" s="8">
        <v>0</v>
      </c>
      <c r="F12" s="8">
        <f>1/SQRT(12)</f>
        <v>0.28867513459481292</v>
      </c>
      <c r="G12" s="97">
        <f>PATRON!G$45/SQRT(12)</f>
        <v>2.8867513459481291E-2</v>
      </c>
      <c r="H12" s="7" t="e">
        <f>STDEVA(MEDIDA!#REF!)/SQRT(4)</f>
        <v>#REF!</v>
      </c>
      <c r="I12" s="8" t="e">
        <f>SQRT(SUMSQ(C12:H12))</f>
        <v>#REF!</v>
      </c>
      <c r="J12" s="15" t="e">
        <f>I12^4/(C12^4/200+D12^4/200+E12^4/200+F12^4/200+G12^4/200+H12^4/3)</f>
        <v>#REF!</v>
      </c>
      <c r="K12" s="11" t="e">
        <f>TINV(0.0455,J12)</f>
        <v>#REF!</v>
      </c>
      <c r="L12" s="7" t="e">
        <f>I12*K12</f>
        <v>#REF!</v>
      </c>
    </row>
    <row r="13" spans="1:12" x14ac:dyDescent="0.3">
      <c r="B13" s="6" t="e">
        <f>MEDIDA!#REF!</f>
        <v>#REF!</v>
      </c>
      <c r="C13" s="8">
        <f t="shared" ref="C13:C16" si="4">0.11/2</f>
        <v>5.5E-2</v>
      </c>
      <c r="D13" s="8">
        <f>PATRON!G$43/SQRT(3)</f>
        <v>0.28867513459481292</v>
      </c>
      <c r="E13" s="8">
        <v>0</v>
      </c>
      <c r="F13" s="8">
        <f t="shared" ref="F13:F16" si="5">1/SQRT(12)</f>
        <v>0.28867513459481292</v>
      </c>
      <c r="G13" s="97">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t="e">
        <f>MEDIDA!#REF!</f>
        <v>#REF!</v>
      </c>
      <c r="C14" s="8">
        <f t="shared" si="4"/>
        <v>5.5E-2</v>
      </c>
      <c r="D14" s="8">
        <f>PATRON!G$43/SQRT(3)</f>
        <v>0.28867513459481292</v>
      </c>
      <c r="E14" s="8">
        <v>0</v>
      </c>
      <c r="F14" s="8">
        <f t="shared" si="5"/>
        <v>0.28867513459481292</v>
      </c>
      <c r="G14" s="97">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t="e">
        <f>MEDIDA!#REF!</f>
        <v>#REF!</v>
      </c>
      <c r="C15" s="8">
        <f t="shared" si="4"/>
        <v>5.5E-2</v>
      </c>
      <c r="D15" s="8">
        <f>PATRON!G$43/SQRT(3)</f>
        <v>0.28867513459481292</v>
      </c>
      <c r="E15" s="8">
        <v>0</v>
      </c>
      <c r="F15" s="8">
        <f t="shared" si="5"/>
        <v>0.28867513459481292</v>
      </c>
      <c r="G15" s="97">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t="e">
        <f>MEDIDA!#REF!</f>
        <v>#REF!</v>
      </c>
      <c r="C16" s="8">
        <f t="shared" si="4"/>
        <v>5.5E-2</v>
      </c>
      <c r="D16" s="8">
        <f>PATRON!G$43/SQRT(3)</f>
        <v>0.28867513459481292</v>
      </c>
      <c r="E16" s="8">
        <v>0</v>
      </c>
      <c r="F16" s="8">
        <f t="shared" si="5"/>
        <v>0.28867513459481292</v>
      </c>
      <c r="G16" s="97">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198" t="s">
        <v>162</v>
      </c>
      <c r="C18" s="199"/>
      <c r="D18" s="199"/>
      <c r="E18" s="199"/>
      <c r="F18" s="199"/>
      <c r="G18" s="199"/>
      <c r="H18" s="199"/>
      <c r="I18" s="199"/>
      <c r="J18" s="199"/>
      <c r="K18" s="199"/>
      <c r="L18" s="200"/>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7">
        <f>PATRON!G$45/SQRT(12)</f>
        <v>2.8867513459481291E-2</v>
      </c>
      <c r="H20" s="7" t="e">
        <f>STDEVA(MEDIDA!#REF!)/SQRT(4)</f>
        <v>#REF!</v>
      </c>
      <c r="I20" s="8" t="e">
        <f>SQRT(SUMSQ(C20:H20))</f>
        <v>#REF!</v>
      </c>
      <c r="J20" s="15" t="e">
        <f>I20^4/(C20^4/200+D20^4/200+E20^4/200+F20^4/200+G20^4/200+H20^4/3)</f>
        <v>#REF!</v>
      </c>
      <c r="K20" s="11" t="e">
        <f>TINV(0.0455,J20)</f>
        <v>#REF!</v>
      </c>
      <c r="L20" s="7" t="e">
        <f>I20*K20</f>
        <v>#REF!</v>
      </c>
    </row>
    <row r="21" spans="2:12" x14ac:dyDescent="0.3">
      <c r="B21" s="6" t="e">
        <f>MEDIDA!#REF!</f>
        <v>#REF!</v>
      </c>
      <c r="C21" s="8">
        <f t="shared" ref="C21:C24" si="8">0.11/2</f>
        <v>5.5E-2</v>
      </c>
      <c r="D21" s="8">
        <f>PATRON!G$43/SQRT(3)</f>
        <v>0.28867513459481292</v>
      </c>
      <c r="E21" s="8">
        <v>0</v>
      </c>
      <c r="F21" s="8">
        <f t="shared" ref="F21:F24" si="9">1/SQRT(12)</f>
        <v>0.28867513459481292</v>
      </c>
      <c r="G21" s="97">
        <f>PATRON!G$45/SQRT(12)</f>
        <v>2.8867513459481291E-2</v>
      </c>
      <c r="H21" s="7" t="e">
        <f>STDEVA(MEDIDA!#REF!)/SQRT(4)</f>
        <v>#REF!</v>
      </c>
      <c r="I21" s="8" t="e">
        <f>SQRT(SUMSQ(C21:H21))</f>
        <v>#REF!</v>
      </c>
      <c r="J21" s="15" t="e">
        <f>I21^4/(C21^4/200+D21^4/200+E21^4/200+F21^4/200+G21^4/200+H21^4/3)</f>
        <v>#REF!</v>
      </c>
      <c r="K21" s="11" t="e">
        <f>TINV(0.0455,J21)</f>
        <v>#REF!</v>
      </c>
      <c r="L21" s="7" t="e">
        <f>I21*K21</f>
        <v>#REF!</v>
      </c>
    </row>
    <row r="22" spans="2:12" x14ac:dyDescent="0.3">
      <c r="B22" s="6" t="e">
        <f>MEDIDA!#REF!</f>
        <v>#REF!</v>
      </c>
      <c r="C22" s="8">
        <f t="shared" si="8"/>
        <v>5.5E-2</v>
      </c>
      <c r="D22" s="8">
        <f>PATRON!G$43/SQRT(3)</f>
        <v>0.28867513459481292</v>
      </c>
      <c r="E22" s="8">
        <v>0</v>
      </c>
      <c r="F22" s="8">
        <f t="shared" si="9"/>
        <v>0.28867513459481292</v>
      </c>
      <c r="G22" s="97">
        <f>PATRON!G$45/SQRT(12)</f>
        <v>2.8867513459481291E-2</v>
      </c>
      <c r="H22" s="7" t="e">
        <f>STDEVA(MEDIDA!#REF!)/SQRT(4)</f>
        <v>#REF!</v>
      </c>
      <c r="I22" s="8" t="e">
        <f>SQRT(SUMSQ(C22:H22))</f>
        <v>#REF!</v>
      </c>
      <c r="J22" s="15" t="e">
        <f>I22^4/(C22^4/200+D22^4/200+E22^4/200+F22^4/200+G22^4/200+H22^4/3)</f>
        <v>#REF!</v>
      </c>
      <c r="K22" s="11" t="e">
        <f t="shared" ref="K22:K24" si="10">TINV(0.0455,J22)</f>
        <v>#REF!</v>
      </c>
      <c r="L22" s="7" t="e">
        <f t="shared" ref="L22:L24" si="11">I22*K22</f>
        <v>#REF!</v>
      </c>
    </row>
    <row r="23" spans="2:12" x14ac:dyDescent="0.3">
      <c r="B23" s="6" t="e">
        <f>MEDIDA!#REF!</f>
        <v>#REF!</v>
      </c>
      <c r="C23" s="8">
        <f t="shared" si="8"/>
        <v>5.5E-2</v>
      </c>
      <c r="D23" s="8">
        <f>PATRON!G$43/SQRT(3)</f>
        <v>0.28867513459481292</v>
      </c>
      <c r="E23" s="8">
        <v>0</v>
      </c>
      <c r="F23" s="8">
        <f t="shared" si="9"/>
        <v>0.28867513459481292</v>
      </c>
      <c r="G23" s="97">
        <f>PATRON!G$45/SQRT(12)</f>
        <v>2.8867513459481291E-2</v>
      </c>
      <c r="H23" s="7" t="e">
        <f>STDEVA(MEDIDA!#REF!)/SQRT(4)</f>
        <v>#REF!</v>
      </c>
      <c r="I23" s="8" t="e">
        <f>SQRT(SUMSQ(C23:H23))</f>
        <v>#REF!</v>
      </c>
      <c r="J23" s="15" t="e">
        <f>I23^4/(C23^4/200+D23^4/200+E23^4/200+F23^4/200+G23^4/200+H23^4/3)</f>
        <v>#REF!</v>
      </c>
      <c r="K23" s="11" t="e">
        <f t="shared" si="10"/>
        <v>#REF!</v>
      </c>
      <c r="L23" s="7" t="e">
        <f t="shared" si="11"/>
        <v>#REF!</v>
      </c>
    </row>
    <row r="24" spans="2:12" x14ac:dyDescent="0.3">
      <c r="B24" s="6" t="e">
        <f>MEDIDA!#REF!</f>
        <v>#REF!</v>
      </c>
      <c r="C24" s="8">
        <f t="shared" si="8"/>
        <v>5.5E-2</v>
      </c>
      <c r="D24" s="8">
        <f>PATRON!G$43/SQRT(3)</f>
        <v>0.28867513459481292</v>
      </c>
      <c r="E24" s="8">
        <v>0</v>
      </c>
      <c r="F24" s="8">
        <f t="shared" si="9"/>
        <v>0.28867513459481292</v>
      </c>
      <c r="G24" s="97">
        <f>PATRON!G$45/SQRT(12)</f>
        <v>2.8867513459481291E-2</v>
      </c>
      <c r="H24" s="7" t="e">
        <f>STDEVA(MEDIDA!#REF!)/SQRT(4)</f>
        <v>#REF!</v>
      </c>
      <c r="I24" s="8" t="e">
        <f>SQRT(SUMSQ(C24:H24))</f>
        <v>#REF!</v>
      </c>
      <c r="J24" s="15" t="e">
        <f>I24^4/(C24^4/200+D24^4/200+E24^4/200+F24^4/200+G24^4/200+H24^4/3)</f>
        <v>#REF!</v>
      </c>
      <c r="K24" s="11" t="e">
        <f t="shared" si="10"/>
        <v>#REF!</v>
      </c>
      <c r="L24" s="7" t="e">
        <f t="shared" si="11"/>
        <v>#REF!</v>
      </c>
    </row>
    <row r="26" spans="2:12" x14ac:dyDescent="0.3">
      <c r="B26" s="198" t="s">
        <v>163</v>
      </c>
      <c r="C26" s="199"/>
      <c r="D26" s="199"/>
      <c r="E26" s="199"/>
      <c r="F26" s="199"/>
      <c r="G26" s="199"/>
      <c r="H26" s="199"/>
      <c r="I26" s="199"/>
      <c r="J26" s="199"/>
      <c r="K26" s="199"/>
      <c r="L26" s="200"/>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f>MEDIDA!C6</f>
        <v>30</v>
      </c>
      <c r="C28" s="8">
        <f>PATRON!G$42/2</f>
        <v>0.24</v>
      </c>
      <c r="D28" s="7">
        <f>PATRON!G$44</f>
        <v>0</v>
      </c>
      <c r="E28" s="8">
        <v>0</v>
      </c>
      <c r="F28" s="8">
        <f>1/SQRT(12)</f>
        <v>0.28867513459481292</v>
      </c>
      <c r="G28" s="8">
        <f>1/SQRT(12)</f>
        <v>0.28867513459481292</v>
      </c>
      <c r="H28" s="7">
        <f>STDEVA(MEDIDA!E6:L6)/SQRT(4)</f>
        <v>0</v>
      </c>
      <c r="I28" s="8">
        <f>SQRT(SUMSQ(C28:H28))</f>
        <v>0.47356801693808115</v>
      </c>
      <c r="J28" s="15">
        <f>I28^4/(C28^4/200+D28^4/200+E28^4/200+F28^4/200+G28^4/200+H28^4/3)</f>
        <v>584.60584745535061</v>
      </c>
      <c r="K28" s="11">
        <f>TINV(0.0455,J28)</f>
        <v>2.0042922732980215</v>
      </c>
      <c r="L28" s="7">
        <f>I28*K28</f>
        <v>0.94916871723006258</v>
      </c>
    </row>
    <row r="29" spans="2:12" x14ac:dyDescent="0.3">
      <c r="B29" s="6">
        <f>MEDIDA!C7</f>
        <v>60</v>
      </c>
      <c r="C29" s="8">
        <f>PATRON!G$42/2</f>
        <v>0.24</v>
      </c>
      <c r="D29" s="7">
        <f>PATRON!G$44</f>
        <v>0</v>
      </c>
      <c r="E29" s="8">
        <v>0</v>
      </c>
      <c r="F29" s="8">
        <f t="shared" ref="F29:G31" si="12">1/SQRT(12)</f>
        <v>0.28867513459481292</v>
      </c>
      <c r="G29" s="8">
        <f t="shared" si="12"/>
        <v>0.28867513459481292</v>
      </c>
      <c r="H29" s="7">
        <f>STDEVA(MEDIDA!E7:L7)/SQRT(4)</f>
        <v>0</v>
      </c>
      <c r="I29" s="8">
        <f>SQRT(SUMSQ(C29:H29))</f>
        <v>0.47356801693808115</v>
      </c>
      <c r="J29" s="15">
        <f>I29^4/(C29^4/200+D29^4/200+E29^4/200+F29^4/200+G29^4/200+H29^4/3)</f>
        <v>584.60584745535061</v>
      </c>
      <c r="K29" s="11">
        <f>TINV(0.0455,J29)</f>
        <v>2.0042922732980215</v>
      </c>
      <c r="L29" s="7">
        <f>I29*K29</f>
        <v>0.94916871723006258</v>
      </c>
    </row>
    <row r="30" spans="2:12" x14ac:dyDescent="0.3">
      <c r="B30" s="6">
        <f>MEDIDA!C8</f>
        <v>120</v>
      </c>
      <c r="C30" s="8">
        <f>PATRON!G$42/2</f>
        <v>0.24</v>
      </c>
      <c r="D30" s="7">
        <f>PATRON!G$44</f>
        <v>0</v>
      </c>
      <c r="E30" s="8">
        <v>0</v>
      </c>
      <c r="F30" s="8">
        <f t="shared" si="12"/>
        <v>0.28867513459481292</v>
      </c>
      <c r="G30" s="8">
        <f t="shared" si="12"/>
        <v>0.28867513459481292</v>
      </c>
      <c r="H30" s="7">
        <f>STDEVA(MEDIDA!E8:L8)/SQRT(4)</f>
        <v>0</v>
      </c>
      <c r="I30" s="8">
        <f>SQRT(SUMSQ(C30:H30))</f>
        <v>0.47356801693808115</v>
      </c>
      <c r="J30" s="15">
        <f>I30^4/(C30^4/200+D30^4/200+E30^4/200+F30^4/200+G30^4/200+H30^4/3)</f>
        <v>584.60584745535061</v>
      </c>
      <c r="K30" s="11">
        <f t="shared" ref="K30:K31" si="13">TINV(0.0455,J30)</f>
        <v>2.0042922732980215</v>
      </c>
      <c r="L30" s="7">
        <f t="shared" ref="L30:L31" si="14">I30*K30</f>
        <v>0.94916871723006258</v>
      </c>
    </row>
    <row r="31" spans="2:12" x14ac:dyDescent="0.3">
      <c r="B31" s="6">
        <f>MEDIDA!C9</f>
        <v>240</v>
      </c>
      <c r="C31" s="8">
        <f>PATRON!G$42/2</f>
        <v>0.24</v>
      </c>
      <c r="D31" s="7">
        <f>PATRON!G$44</f>
        <v>0</v>
      </c>
      <c r="E31" s="8">
        <v>0</v>
      </c>
      <c r="F31" s="8">
        <f t="shared" si="12"/>
        <v>0.28867513459481292</v>
      </c>
      <c r="G31" s="8">
        <f t="shared" si="12"/>
        <v>0.28867513459481292</v>
      </c>
      <c r="H31" s="7">
        <f>STDEVA(MEDIDA!E9:L9)/SQRT(4)</f>
        <v>0</v>
      </c>
      <c r="I31" s="8">
        <f>SQRT(SUMSQ(C31:H31))</f>
        <v>0.47356801693808115</v>
      </c>
      <c r="J31" s="15">
        <f>I31^4/(C31^4/200+D31^4/200+E31^4/200+F31^4/200+G31^4/200+H31^4/3)</f>
        <v>584.60584745535061</v>
      </c>
      <c r="K31" s="11">
        <f t="shared" si="13"/>
        <v>2.0042922732980215</v>
      </c>
      <c r="L31" s="7">
        <f t="shared" si="14"/>
        <v>0.94916871723006258</v>
      </c>
    </row>
    <row r="33" spans="2:12" x14ac:dyDescent="0.3">
      <c r="B33" s="198" t="s">
        <v>164</v>
      </c>
      <c r="C33" s="199"/>
      <c r="D33" s="199"/>
      <c r="E33" s="199"/>
      <c r="F33" s="199"/>
      <c r="G33" s="199"/>
      <c r="H33" s="199"/>
      <c r="I33" s="199"/>
      <c r="J33" s="199"/>
      <c r="K33" s="199"/>
      <c r="L33" s="200"/>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t="e">
        <f>MEDIDA!#REF!</f>
        <v>#REF!</v>
      </c>
      <c r="C35" s="8">
        <f>PATRON!G$69/2</f>
        <v>0.85</v>
      </c>
      <c r="D35" s="8">
        <f>PATRON!G$71/SQRT(3)</f>
        <v>0.57735026918962584</v>
      </c>
      <c r="E35" s="8">
        <v>0</v>
      </c>
      <c r="F35" s="8">
        <f>1/SQRT(12)</f>
        <v>0.28867513459481292</v>
      </c>
      <c r="G35" s="8">
        <f>1/SQRT(12)</f>
        <v>0.28867513459481292</v>
      </c>
      <c r="H35" s="7" t="e">
        <f>STDEVA(MEDIDA!#REF!)/SQRT(4)</f>
        <v>#REF!</v>
      </c>
      <c r="I35" s="8" t="e">
        <f>SQRT(SUMSQ(C35:H35))</f>
        <v>#REF!</v>
      </c>
      <c r="J35" s="15" t="e">
        <f>I35^4/(C35^4/200+D35^4/200+E35^4/200+F35^4/200+G35^4/200+H35^4/3)</f>
        <v>#REF!</v>
      </c>
      <c r="K35" s="11" t="e">
        <f>TINV(0.0455,J35)</f>
        <v>#REF!</v>
      </c>
      <c r="L35" s="7" t="e">
        <f>I35*K35</f>
        <v>#REF!</v>
      </c>
    </row>
    <row r="36" spans="2:12" x14ac:dyDescent="0.3">
      <c r="B36" s="6" t="e">
        <f>MEDIDA!#REF!</f>
        <v>#REF!</v>
      </c>
      <c r="C36" s="8">
        <f>PATRON!G$69/2</f>
        <v>0.85</v>
      </c>
      <c r="D36" s="8">
        <f>PATRON!G$71/SQRT(3)</f>
        <v>0.57735026918962584</v>
      </c>
      <c r="E36" s="8">
        <v>0</v>
      </c>
      <c r="F36" s="8">
        <f t="shared" ref="F36:G38" si="15">1/SQRT(12)</f>
        <v>0.28867513459481292</v>
      </c>
      <c r="G36" s="8">
        <f t="shared" si="15"/>
        <v>0.28867513459481292</v>
      </c>
      <c r="H36" s="7" t="e">
        <f>STDEVA(MEDIDA!#REF!)/SQRT(4)</f>
        <v>#REF!</v>
      </c>
      <c r="I36" s="8" t="e">
        <f>SQRT(SUMSQ(C36:H36))</f>
        <v>#REF!</v>
      </c>
      <c r="J36" s="15" t="e">
        <f>I36^4/(C36^4/200+D36^4/200+E36^4/200+F36^4/200+G36^4/200+H36^4/3)</f>
        <v>#REF!</v>
      </c>
      <c r="K36" s="11" t="e">
        <f>TINV(0.0455,J36)</f>
        <v>#REF!</v>
      </c>
      <c r="L36" s="7" t="e">
        <f>I36*K36</f>
        <v>#REF!</v>
      </c>
    </row>
    <row r="37" spans="2:12" x14ac:dyDescent="0.3">
      <c r="B37" s="6" t="e">
        <f>MEDIDA!#REF!</f>
        <v>#REF!</v>
      </c>
      <c r="C37" s="8">
        <f>PATRON!G$69/2</f>
        <v>0.85</v>
      </c>
      <c r="D37" s="8">
        <f>PATRON!G$71/SQRT(3)</f>
        <v>0.57735026918962584</v>
      </c>
      <c r="E37" s="8">
        <v>0</v>
      </c>
      <c r="F37" s="8">
        <f t="shared" si="15"/>
        <v>0.28867513459481292</v>
      </c>
      <c r="G37" s="8">
        <f t="shared" si="15"/>
        <v>0.28867513459481292</v>
      </c>
      <c r="H37" s="7" t="e">
        <f>STDEVA(MEDIDA!#REF!)/SQRT(4)</f>
        <v>#REF!</v>
      </c>
      <c r="I37" s="8" t="e">
        <f>SQRT(SUMSQ(C37:H37))</f>
        <v>#REF!</v>
      </c>
      <c r="J37" s="15" t="e">
        <f>I37^4/(C37^4/200+D37^4/200+E37^4/200+F37^4/200+G37^4/200+H37^4/3)</f>
        <v>#REF!</v>
      </c>
      <c r="K37" s="11" t="e">
        <f t="shared" ref="K37:K38" si="16">TINV(0.0455,J37)</f>
        <v>#REF!</v>
      </c>
      <c r="L37" s="7" t="e">
        <f t="shared" ref="L37:L38" si="17">I37*K37</f>
        <v>#REF!</v>
      </c>
    </row>
    <row r="38" spans="2:12" x14ac:dyDescent="0.3">
      <c r="B38" s="6" t="e">
        <f>MEDIDA!#REF!</f>
        <v>#REF!</v>
      </c>
      <c r="C38" s="8">
        <f>PATRON!G$69/2</f>
        <v>0.85</v>
      </c>
      <c r="D38" s="8">
        <f>PATRON!G$71/SQRT(3)</f>
        <v>0.57735026918962584</v>
      </c>
      <c r="E38" s="8">
        <v>0</v>
      </c>
      <c r="F38" s="8">
        <f t="shared" si="15"/>
        <v>0.28867513459481292</v>
      </c>
      <c r="G38" s="8">
        <f t="shared" si="15"/>
        <v>0.28867513459481292</v>
      </c>
      <c r="H38" s="7" t="e">
        <f>STDEVA(MEDIDA!#REF!)/SQRT(4)</f>
        <v>#REF!</v>
      </c>
      <c r="I38" s="8" t="e">
        <f>SQRT(SUMSQ(C38:H38))</f>
        <v>#REF!</v>
      </c>
      <c r="J38" s="15" t="e">
        <f>I38^4/(C38^4/200+D38^4/200+E38^4/200+F38^4/200+G38^4/200+H38^4/3)</f>
        <v>#REF!</v>
      </c>
      <c r="K38" s="11" t="e">
        <f t="shared" si="16"/>
        <v>#REF!</v>
      </c>
      <c r="L38" s="7" t="e">
        <f t="shared" si="17"/>
        <v>#REF!</v>
      </c>
    </row>
    <row r="40" spans="2:12" x14ac:dyDescent="0.3">
      <c r="B40" s="198" t="s">
        <v>165</v>
      </c>
      <c r="C40" s="199"/>
      <c r="D40" s="199"/>
      <c r="E40" s="199"/>
      <c r="F40" s="199"/>
      <c r="G40" s="199"/>
      <c r="H40" s="199"/>
      <c r="I40" s="199"/>
      <c r="J40" s="199"/>
      <c r="K40" s="199"/>
      <c r="L40" s="200"/>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t="e">
        <f>MEDIDA!#REF!</f>
        <v>#REF!</v>
      </c>
      <c r="C42" s="7">
        <f>PATRON!G$68/2</f>
        <v>1.1499999999999999</v>
      </c>
      <c r="D42" s="8">
        <f>PATRON!G$70/SQRT(3)</f>
        <v>0.46188021535170065</v>
      </c>
      <c r="E42" s="8">
        <v>0</v>
      </c>
      <c r="F42" s="8">
        <f>1/SQRT(12)</f>
        <v>0.28867513459481292</v>
      </c>
      <c r="G42" s="8">
        <f>1/SQRT(12)</f>
        <v>0.28867513459481292</v>
      </c>
      <c r="H42" s="7" t="e">
        <f>STDEVA(MEDIDA!#REF!)/SQRT(4)</f>
        <v>#REF!</v>
      </c>
      <c r="I42" s="8" t="e">
        <f>SQRT(SUMSQ(C42:H42))</f>
        <v>#REF!</v>
      </c>
      <c r="J42" s="15" t="e">
        <f>I42^4/(C42^4/200+D42^4/200+E42^4/200+F42^4/200+G42^4/200+H42^4/3)</f>
        <v>#REF!</v>
      </c>
      <c r="K42" s="11" t="e">
        <f>TINV(0.0455,J42)</f>
        <v>#REF!</v>
      </c>
      <c r="L42" s="7" t="e">
        <f>I42*K42</f>
        <v>#REF!</v>
      </c>
    </row>
    <row r="43" spans="2:12" x14ac:dyDescent="0.3">
      <c r="B43" s="6" t="e">
        <f>MEDIDA!#REF!</f>
        <v>#REF!</v>
      </c>
      <c r="C43" s="7">
        <f>PATRON!G$68/2</f>
        <v>1.1499999999999999</v>
      </c>
      <c r="D43" s="8">
        <f>PATRON!G$70/SQRT(3)</f>
        <v>0.46188021535170065</v>
      </c>
      <c r="E43" s="8">
        <v>0</v>
      </c>
      <c r="F43" s="8">
        <f t="shared" ref="F43:G46" si="18">1/SQRT(12)</f>
        <v>0.28867513459481292</v>
      </c>
      <c r="G43" s="8">
        <f t="shared" si="18"/>
        <v>0.28867513459481292</v>
      </c>
      <c r="H43" s="7" t="e">
        <f>STDEVA(MEDIDA!#REF!)/SQRT(4)</f>
        <v>#REF!</v>
      </c>
      <c r="I43" s="8" t="e">
        <f t="shared" ref="I43:I46" si="19">SQRT(SUMSQ(C43:H43))</f>
        <v>#REF!</v>
      </c>
      <c r="J43" s="15" t="e">
        <f t="shared" ref="J43:J46" si="20">I43^4/(C43^4/200+D43^4/200+E43^4/200+F43^4/200+G43^4/200+H43^4/3)</f>
        <v>#REF!</v>
      </c>
      <c r="K43" s="11" t="e">
        <f t="shared" ref="K43:K46" si="21">TINV(0.0455,J43)</f>
        <v>#REF!</v>
      </c>
      <c r="L43" s="7" t="e">
        <f t="shared" ref="L43:L46" si="22">I43*K43</f>
        <v>#REF!</v>
      </c>
    </row>
    <row r="44" spans="2:12" x14ac:dyDescent="0.3">
      <c r="B44" s="6" t="e">
        <f>MEDIDA!#REF!</f>
        <v>#REF!</v>
      </c>
      <c r="C44" s="7">
        <f>PATRON!G$68/2</f>
        <v>1.1499999999999999</v>
      </c>
      <c r="D44" s="8">
        <f>PATRON!G$70/SQRT(3)</f>
        <v>0.46188021535170065</v>
      </c>
      <c r="E44" s="8">
        <v>0</v>
      </c>
      <c r="F44" s="8">
        <f t="shared" si="18"/>
        <v>0.28867513459481292</v>
      </c>
      <c r="G44" s="8">
        <f t="shared" si="18"/>
        <v>0.28867513459481292</v>
      </c>
      <c r="H44" s="7" t="e">
        <f>STDEVA(MEDIDA!#REF!)/SQRT(4)</f>
        <v>#REF!</v>
      </c>
      <c r="I44" s="8" t="e">
        <f t="shared" si="19"/>
        <v>#REF!</v>
      </c>
      <c r="J44" s="15" t="e">
        <f t="shared" si="20"/>
        <v>#REF!</v>
      </c>
      <c r="K44" s="11" t="e">
        <f t="shared" si="21"/>
        <v>#REF!</v>
      </c>
      <c r="L44" s="7" t="e">
        <f t="shared" si="22"/>
        <v>#REF!</v>
      </c>
    </row>
    <row r="45" spans="2:12" x14ac:dyDescent="0.3">
      <c r="B45" s="6" t="e">
        <f>MEDIDA!#REF!</f>
        <v>#REF!</v>
      </c>
      <c r="C45" s="7">
        <f>PATRON!G$68/2</f>
        <v>1.1499999999999999</v>
      </c>
      <c r="D45" s="8">
        <f>PATRON!G$70/SQRT(3)</f>
        <v>0.46188021535170065</v>
      </c>
      <c r="E45" s="8">
        <v>0</v>
      </c>
      <c r="F45" s="8">
        <f t="shared" si="18"/>
        <v>0.28867513459481292</v>
      </c>
      <c r="G45" s="8">
        <f t="shared" si="18"/>
        <v>0.28867513459481292</v>
      </c>
      <c r="H45" s="7" t="e">
        <f>STDEVA(MEDIDA!#REF!)/SQRT(4)</f>
        <v>#REF!</v>
      </c>
      <c r="I45" s="8" t="e">
        <f t="shared" si="19"/>
        <v>#REF!</v>
      </c>
      <c r="J45" s="15" t="e">
        <f t="shared" si="20"/>
        <v>#REF!</v>
      </c>
      <c r="K45" s="11" t="e">
        <f t="shared" si="21"/>
        <v>#REF!</v>
      </c>
      <c r="L45" s="7" t="e">
        <f t="shared" si="22"/>
        <v>#REF!</v>
      </c>
    </row>
    <row r="46" spans="2:12" x14ac:dyDescent="0.3">
      <c r="B46" s="6" t="e">
        <f>MEDIDA!#REF!</f>
        <v>#REF!</v>
      </c>
      <c r="C46" s="7">
        <f>PATRON!G$68/2</f>
        <v>1.1499999999999999</v>
      </c>
      <c r="D46" s="8">
        <f>PATRON!G$70/SQRT(3)</f>
        <v>0.46188021535170065</v>
      </c>
      <c r="E46" s="8">
        <v>0</v>
      </c>
      <c r="F46" s="8">
        <f t="shared" si="18"/>
        <v>0.28867513459481292</v>
      </c>
      <c r="G46" s="8">
        <f t="shared" si="18"/>
        <v>0.28867513459481292</v>
      </c>
      <c r="H46" s="7" t="e">
        <f>STDEVA(MEDIDA!#REF!)/SQRT(4)</f>
        <v>#REF!</v>
      </c>
      <c r="I46" s="8" t="e">
        <f t="shared" si="19"/>
        <v>#REF!</v>
      </c>
      <c r="J46" s="15" t="e">
        <f t="shared" si="20"/>
        <v>#REF!</v>
      </c>
      <c r="K46" s="11" t="e">
        <f t="shared" si="21"/>
        <v>#REF!</v>
      </c>
      <c r="L46" s="7" t="e">
        <f t="shared" si="22"/>
        <v>#REF!</v>
      </c>
    </row>
    <row r="48" spans="2:12" x14ac:dyDescent="0.3">
      <c r="B48" s="198" t="s">
        <v>166</v>
      </c>
      <c r="C48" s="199"/>
      <c r="D48" s="199"/>
      <c r="E48" s="199"/>
      <c r="F48" s="199"/>
      <c r="G48" s="199"/>
      <c r="H48" s="199"/>
      <c r="I48" s="199"/>
      <c r="J48" s="199"/>
      <c r="K48" s="199"/>
      <c r="L48" s="200"/>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7">
        <f>0.1/SQRT(12)</f>
        <v>2.8867513459481291E-2</v>
      </c>
      <c r="G50" s="97">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7">
        <f t="shared" ref="F51:G52" si="23">0.1/SQRT(12)</f>
        <v>2.8867513459481291E-2</v>
      </c>
      <c r="G51" s="97">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7">
        <f t="shared" si="23"/>
        <v>2.8867513459481291E-2</v>
      </c>
      <c r="G52" s="97">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198" t="s">
        <v>167</v>
      </c>
      <c r="C54" s="199"/>
      <c r="D54" s="199"/>
      <c r="E54" s="199"/>
      <c r="F54" s="199"/>
      <c r="G54" s="199"/>
      <c r="H54" s="199"/>
      <c r="I54" s="199"/>
      <c r="J54" s="199"/>
      <c r="K54" s="199"/>
      <c r="L54" s="200"/>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7">
        <f>0.1/SQRT(12)</f>
        <v>2.8867513459481291E-2</v>
      </c>
      <c r="G56" s="97">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7">
        <f t="shared" ref="F57:G58" si="28">0.1/SQRT(12)</f>
        <v>2.8867513459481291E-2</v>
      </c>
      <c r="G57" s="97">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7">
        <f t="shared" si="28"/>
        <v>2.8867513459481291E-2</v>
      </c>
      <c r="G58" s="97">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13"/>
  <sheetViews>
    <sheetView tabSelected="1" view="pageLayout" topLeftCell="A22" zoomScaleNormal="100" workbookViewId="0">
      <selection activeCell="I13" sqref="I13:R1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60"/>
      <c r="J1" s="160"/>
      <c r="K1" s="160"/>
      <c r="M1" s="65"/>
      <c r="O1" s="113" t="s">
        <v>80</v>
      </c>
      <c r="P1" s="113"/>
      <c r="Q1" s="113"/>
      <c r="R1" s="114">
        <f>INFORMACIÓN!G3</f>
        <v>0</v>
      </c>
      <c r="S1" s="114"/>
    </row>
    <row r="2" spans="1:27" ht="16.95" customHeight="1" x14ac:dyDescent="0.3">
      <c r="G2" s="162"/>
      <c r="H2" s="162"/>
      <c r="I2" s="162"/>
      <c r="J2" s="161"/>
      <c r="K2" s="161"/>
    </row>
    <row r="3" spans="1:27" ht="16.95" customHeight="1" x14ac:dyDescent="0.3">
      <c r="B3" s="84"/>
      <c r="C3" s="163" t="s">
        <v>71</v>
      </c>
      <c r="D3" s="163"/>
      <c r="E3" s="163"/>
      <c r="F3" s="163"/>
      <c r="G3" s="163"/>
      <c r="H3" s="163"/>
      <c r="I3" s="163"/>
      <c r="J3" s="163"/>
      <c r="K3" s="163"/>
      <c r="L3" s="163"/>
      <c r="M3" s="163"/>
      <c r="N3" s="163"/>
      <c r="O3" s="163"/>
      <c r="P3" s="163"/>
      <c r="Q3" s="163"/>
      <c r="R3" s="163"/>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13" t="s">
        <v>62</v>
      </c>
      <c r="D5" s="113"/>
      <c r="E5" s="113"/>
      <c r="F5" s="113"/>
      <c r="G5" s="113"/>
      <c r="H5" s="53"/>
      <c r="I5" s="152">
        <f>INFORMACIÓN!A3</f>
        <v>0</v>
      </c>
      <c r="J5" s="152"/>
      <c r="K5" s="152"/>
      <c r="L5" s="152"/>
      <c r="M5" s="152"/>
      <c r="N5" s="152"/>
      <c r="O5" s="152"/>
      <c r="P5" s="152"/>
      <c r="Q5" s="152"/>
      <c r="R5" s="152"/>
      <c r="S5"/>
      <c r="T5"/>
      <c r="U5"/>
      <c r="V5"/>
      <c r="W5"/>
      <c r="X5"/>
      <c r="Y5"/>
      <c r="Z5"/>
      <c r="AA5"/>
    </row>
    <row r="6" spans="1:27" s="55" customFormat="1" ht="16.95" customHeight="1" x14ac:dyDescent="0.3">
      <c r="B6" s="79"/>
      <c r="C6" s="113" t="s">
        <v>63</v>
      </c>
      <c r="D6" s="113"/>
      <c r="E6" s="113"/>
      <c r="F6" s="113"/>
      <c r="G6" s="113"/>
      <c r="H6" s="53"/>
      <c r="I6" s="152">
        <f>INFORMACIÓN!B3</f>
        <v>0</v>
      </c>
      <c r="J6" s="152"/>
      <c r="K6" s="152"/>
      <c r="L6" s="152"/>
      <c r="M6" s="152"/>
      <c r="N6" s="152"/>
      <c r="O6" s="152"/>
      <c r="P6" s="152"/>
      <c r="Q6" s="152"/>
      <c r="R6" s="152"/>
      <c r="S6"/>
      <c r="T6"/>
      <c r="U6"/>
      <c r="V6"/>
      <c r="W6"/>
      <c r="X6"/>
      <c r="Y6"/>
      <c r="Z6"/>
      <c r="AA6"/>
    </row>
    <row r="7" spans="1:27" s="55" customFormat="1" ht="16.95" customHeight="1" x14ac:dyDescent="0.3">
      <c r="B7" s="79"/>
      <c r="C7" s="113" t="s">
        <v>64</v>
      </c>
      <c r="D7" s="113"/>
      <c r="E7" s="113"/>
      <c r="F7" s="113"/>
      <c r="G7" s="113"/>
      <c r="H7" s="53"/>
      <c r="I7" s="152">
        <f>INFORMACIÓN!C3</f>
        <v>0</v>
      </c>
      <c r="J7" s="152"/>
      <c r="K7" s="152"/>
      <c r="L7" s="152"/>
      <c r="M7" s="152"/>
      <c r="N7" s="152"/>
      <c r="O7" s="152"/>
      <c r="P7" s="152"/>
      <c r="Q7" s="152"/>
      <c r="R7" s="152"/>
      <c r="S7"/>
      <c r="T7"/>
      <c r="U7"/>
      <c r="V7"/>
      <c r="W7"/>
      <c r="X7"/>
      <c r="Y7"/>
      <c r="Z7"/>
      <c r="AA7"/>
    </row>
    <row r="8" spans="1:27" s="55" customFormat="1" ht="16.95" customHeight="1" x14ac:dyDescent="0.3">
      <c r="B8" s="79"/>
      <c r="C8" s="113" t="s">
        <v>65</v>
      </c>
      <c r="D8" s="113"/>
      <c r="E8" s="113"/>
      <c r="F8" s="113"/>
      <c r="G8" s="113"/>
      <c r="H8" s="53"/>
      <c r="I8" s="153">
        <f>INFORMACIÓN!D3</f>
        <v>0</v>
      </c>
      <c r="J8" s="152"/>
      <c r="K8" s="152"/>
      <c r="L8" s="152"/>
      <c r="M8" s="152"/>
      <c r="N8" s="152"/>
      <c r="O8" s="152"/>
      <c r="P8" s="152"/>
      <c r="Q8" s="152"/>
      <c r="R8" s="152"/>
      <c r="S8"/>
      <c r="T8"/>
      <c r="U8"/>
      <c r="V8"/>
      <c r="W8"/>
      <c r="X8"/>
      <c r="Y8"/>
      <c r="Z8"/>
      <c r="AA8"/>
    </row>
    <row r="9" spans="1:27" s="55" customFormat="1" ht="16.95" customHeight="1" x14ac:dyDescent="0.3">
      <c r="B9" s="79"/>
      <c r="C9" s="113" t="s">
        <v>66</v>
      </c>
      <c r="D9" s="113"/>
      <c r="E9" s="113"/>
      <c r="F9" s="113"/>
      <c r="G9" s="113"/>
      <c r="H9" s="53"/>
      <c r="I9" s="153">
        <f>INFORMACIÓN!F3</f>
        <v>0</v>
      </c>
      <c r="J9" s="152"/>
      <c r="K9" s="152"/>
      <c r="L9" s="152"/>
      <c r="M9" s="152"/>
      <c r="N9" s="152"/>
      <c r="O9" s="152"/>
      <c r="P9" s="152"/>
      <c r="Q9" s="152"/>
      <c r="R9" s="152"/>
      <c r="S9"/>
      <c r="T9"/>
      <c r="U9"/>
      <c r="V9"/>
      <c r="W9"/>
      <c r="X9"/>
      <c r="Y9"/>
      <c r="Z9"/>
      <c r="AA9"/>
    </row>
    <row r="10" spans="1:27" s="55" customFormat="1" ht="16.95" customHeight="1" x14ac:dyDescent="0.3">
      <c r="B10" s="79"/>
      <c r="C10" s="113" t="s">
        <v>68</v>
      </c>
      <c r="D10" s="113"/>
      <c r="E10" s="113"/>
      <c r="F10" s="113"/>
      <c r="G10" s="113"/>
      <c r="H10" s="53"/>
      <c r="I10" s="151">
        <f>INFORMACIÓN!E3</f>
        <v>0</v>
      </c>
      <c r="J10" s="152"/>
      <c r="K10" s="152"/>
      <c r="L10" s="152"/>
      <c r="M10" s="152"/>
      <c r="N10" s="152"/>
      <c r="O10" s="152"/>
      <c r="P10" s="152"/>
      <c r="Q10" s="152"/>
      <c r="R10" s="152"/>
      <c r="S10"/>
      <c r="T10"/>
      <c r="U10"/>
      <c r="V10"/>
      <c r="W10"/>
      <c r="X10"/>
      <c r="Y10"/>
      <c r="Z10"/>
      <c r="AA10"/>
    </row>
    <row r="11" spans="1:27" s="55" customFormat="1" ht="16.95" customHeight="1" x14ac:dyDescent="0.3">
      <c r="B11" s="79"/>
      <c r="C11" s="113" t="s">
        <v>67</v>
      </c>
      <c r="D11" s="113"/>
      <c r="E11" s="113"/>
      <c r="F11" s="113"/>
      <c r="G11" s="113"/>
      <c r="H11" s="53"/>
      <c r="I11" s="152" t="str">
        <f>INFORMACIÓN!B8</f>
        <v>BUEN ESTADO</v>
      </c>
      <c r="J11" s="152"/>
      <c r="K11" s="152"/>
      <c r="L11" s="152"/>
      <c r="M11" s="152"/>
      <c r="N11" s="152"/>
      <c r="O11" s="152"/>
      <c r="P11" s="152"/>
      <c r="Q11" s="152"/>
      <c r="R11" s="152"/>
      <c r="S11"/>
      <c r="T11"/>
      <c r="U11"/>
      <c r="V11"/>
      <c r="W11"/>
      <c r="X11"/>
      <c r="Y11"/>
      <c r="Z11"/>
      <c r="AA11"/>
    </row>
    <row r="12" spans="1:27" s="55" customFormat="1" ht="16.95" customHeight="1" x14ac:dyDescent="0.3">
      <c r="B12" s="79"/>
      <c r="C12" s="113" t="s">
        <v>77</v>
      </c>
      <c r="D12" s="113"/>
      <c r="E12" s="113"/>
      <c r="F12" s="113"/>
      <c r="G12" s="113"/>
      <c r="H12" s="80"/>
      <c r="I12" s="154">
        <f>INFORMACIÓN!H3</f>
        <v>0</v>
      </c>
      <c r="J12" s="154"/>
      <c r="K12" s="154"/>
      <c r="L12" s="154"/>
      <c r="M12" s="154"/>
      <c r="N12" s="154"/>
      <c r="O12" s="154"/>
      <c r="P12" s="154"/>
      <c r="Q12" s="154"/>
      <c r="R12" s="154"/>
      <c r="S12"/>
      <c r="T12"/>
      <c r="U12"/>
      <c r="V12"/>
      <c r="W12"/>
      <c r="X12"/>
      <c r="Y12"/>
      <c r="Z12"/>
      <c r="AA12"/>
    </row>
    <row r="13" spans="1:27" s="55" customFormat="1" ht="16.95" customHeight="1" x14ac:dyDescent="0.3">
      <c r="B13" s="79"/>
      <c r="C13" s="113" t="s">
        <v>76</v>
      </c>
      <c r="D13" s="113"/>
      <c r="E13" s="113"/>
      <c r="F13" s="113"/>
      <c r="G13" s="113"/>
      <c r="H13" s="80"/>
      <c r="I13" s="154">
        <f>INFORMACIÓN!B9</f>
        <v>0</v>
      </c>
      <c r="J13" s="154"/>
      <c r="K13" s="154"/>
      <c r="L13" s="154"/>
      <c r="M13" s="154"/>
      <c r="N13" s="154"/>
      <c r="O13" s="154"/>
      <c r="P13" s="154"/>
      <c r="Q13" s="154"/>
      <c r="R13" s="154"/>
      <c r="S13"/>
      <c r="T13"/>
      <c r="U13"/>
      <c r="V13"/>
      <c r="W13"/>
      <c r="X13"/>
      <c r="Y13"/>
      <c r="Z13"/>
      <c r="AA13"/>
    </row>
    <row r="14" spans="1:27" ht="16.95" customHeight="1" x14ac:dyDescent="0.3"/>
    <row r="15" spans="1:27" ht="16.95" customHeight="1" x14ac:dyDescent="0.3">
      <c r="B15" s="65"/>
      <c r="C15" s="112" t="s">
        <v>70</v>
      </c>
      <c r="D15" s="112"/>
      <c r="E15" s="112"/>
      <c r="F15" s="112"/>
      <c r="G15" s="112"/>
      <c r="H15" s="112"/>
      <c r="I15" s="112"/>
      <c r="J15" s="112"/>
      <c r="K15" s="112"/>
      <c r="L15" s="112"/>
      <c r="M15" s="112"/>
      <c r="N15" s="112"/>
      <c r="O15" s="112"/>
      <c r="P15" s="112"/>
      <c r="Q15" s="112"/>
      <c r="R15" s="112"/>
    </row>
    <row r="16" spans="1:27" ht="12.6" customHeight="1" x14ac:dyDescent="0.3"/>
    <row r="17" spans="1:18" ht="25.2" customHeight="1" x14ac:dyDescent="0.3">
      <c r="B17" s="52"/>
      <c r="C17" s="127" t="s">
        <v>72</v>
      </c>
      <c r="D17" s="127"/>
      <c r="E17" s="127"/>
      <c r="F17" s="127"/>
      <c r="G17" s="127"/>
      <c r="H17" s="51"/>
      <c r="I17" s="201">
        <f>INFORMACIÓN!E7</f>
        <v>0</v>
      </c>
      <c r="J17" s="201"/>
      <c r="K17" s="201"/>
      <c r="L17" s="201"/>
      <c r="M17" s="201"/>
      <c r="N17" s="201"/>
      <c r="O17" s="201"/>
      <c r="P17" s="201"/>
      <c r="Q17" s="201"/>
      <c r="R17" s="201"/>
    </row>
    <row r="18" spans="1:18" ht="16.95" customHeight="1" x14ac:dyDescent="0.3">
      <c r="B18" s="52"/>
      <c r="C18" s="127" t="s">
        <v>73</v>
      </c>
      <c r="D18" s="127"/>
      <c r="E18" s="127"/>
      <c r="F18" s="127"/>
      <c r="G18" s="127"/>
      <c r="H18" s="51"/>
      <c r="I18" s="156">
        <f>INFORMACIÓN!E8</f>
        <v>0</v>
      </c>
      <c r="J18" s="156"/>
      <c r="K18" s="156"/>
      <c r="L18" s="156"/>
      <c r="M18" s="156"/>
      <c r="N18" s="156"/>
      <c r="O18" s="156"/>
      <c r="P18" s="156"/>
      <c r="Q18" s="156"/>
      <c r="R18" s="156"/>
    </row>
    <row r="19" spans="1:18" ht="16.95" customHeight="1" x14ac:dyDescent="0.3">
      <c r="B19" s="52"/>
      <c r="C19" s="127" t="s">
        <v>90</v>
      </c>
      <c r="D19" s="127"/>
      <c r="E19" s="127"/>
      <c r="F19" s="127"/>
      <c r="G19" s="127"/>
      <c r="H19" s="51"/>
      <c r="I19" s="156">
        <f>INFORMACIÓN!E9</f>
        <v>0</v>
      </c>
      <c r="J19" s="156"/>
      <c r="K19" s="156"/>
      <c r="L19" s="156"/>
      <c r="M19" s="156"/>
      <c r="N19" s="156"/>
      <c r="O19" s="156"/>
      <c r="P19" s="156"/>
      <c r="Q19" s="156"/>
      <c r="R19" s="156"/>
    </row>
    <row r="20" spans="1:18" ht="16.95" customHeight="1" x14ac:dyDescent="0.3">
      <c r="B20" s="52"/>
      <c r="C20" s="127" t="s">
        <v>74</v>
      </c>
      <c r="D20" s="127"/>
      <c r="E20" s="127"/>
      <c r="F20" s="127"/>
      <c r="G20" s="127"/>
      <c r="H20" s="51"/>
      <c r="I20" s="156">
        <f>INFORMACIÓN!E10</f>
        <v>0</v>
      </c>
      <c r="J20" s="156"/>
      <c r="K20" s="156"/>
      <c r="L20" s="156"/>
      <c r="M20" s="156"/>
      <c r="N20" s="156"/>
      <c r="O20" s="156"/>
      <c r="P20" s="156"/>
      <c r="Q20" s="156"/>
      <c r="R20" s="156"/>
    </row>
    <row r="21" spans="1:18" ht="16.95" customHeight="1" x14ac:dyDescent="0.3">
      <c r="B21" s="52"/>
      <c r="C21" s="127" t="s">
        <v>75</v>
      </c>
      <c r="D21" s="127"/>
      <c r="E21" s="127"/>
      <c r="F21" s="127"/>
      <c r="G21" s="127"/>
      <c r="H21" s="51"/>
      <c r="I21" s="156">
        <f>INFORMACIÓN!E11</f>
        <v>0</v>
      </c>
      <c r="J21" s="156"/>
      <c r="K21" s="156"/>
      <c r="L21" s="156"/>
      <c r="M21" s="156"/>
      <c r="N21" s="156"/>
      <c r="O21" s="156"/>
      <c r="P21" s="156"/>
      <c r="Q21" s="156"/>
      <c r="R21" s="156"/>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7" t="s">
        <v>180</v>
      </c>
      <c r="D23" s="157"/>
      <c r="E23" s="157"/>
      <c r="F23" s="157"/>
      <c r="G23" s="157"/>
      <c r="H23" s="157"/>
      <c r="I23" s="157"/>
      <c r="J23" s="157"/>
      <c r="K23" s="157"/>
      <c r="L23" s="157"/>
      <c r="M23" s="157"/>
      <c r="N23" s="157"/>
      <c r="O23" s="157"/>
      <c r="P23" s="157"/>
      <c r="Q23" s="157"/>
      <c r="R23" s="157"/>
    </row>
    <row r="24" spans="1:18" ht="16.95" customHeight="1" x14ac:dyDescent="0.3">
      <c r="A24" s="78"/>
      <c r="B24" s="78"/>
      <c r="C24" s="158"/>
      <c r="D24" s="158"/>
      <c r="E24" s="158"/>
      <c r="F24" s="158"/>
      <c r="G24" s="158"/>
      <c r="H24" s="158"/>
      <c r="I24" s="158"/>
      <c r="J24" s="158"/>
      <c r="K24" s="158"/>
      <c r="L24" s="158"/>
      <c r="M24" s="158"/>
      <c r="N24" s="158"/>
      <c r="O24" s="158"/>
      <c r="P24" s="158"/>
      <c r="Q24" s="158"/>
      <c r="R24" s="158"/>
    </row>
    <row r="25" spans="1:18" ht="16.95" customHeight="1" x14ac:dyDescent="0.3">
      <c r="A25" s="78"/>
      <c r="B25" s="78"/>
      <c r="C25" s="158"/>
      <c r="D25" s="158"/>
      <c r="E25" s="158"/>
      <c r="F25" s="158"/>
      <c r="G25" s="158"/>
      <c r="H25" s="158"/>
      <c r="I25" s="158"/>
      <c r="J25" s="158"/>
      <c r="K25" s="158"/>
      <c r="L25" s="158"/>
      <c r="M25" s="158"/>
      <c r="N25" s="158"/>
      <c r="O25" s="158"/>
      <c r="P25" s="158"/>
      <c r="Q25" s="158"/>
      <c r="R25" s="158"/>
    </row>
    <row r="26" spans="1:18" ht="16.95" customHeight="1" x14ac:dyDescent="0.3">
      <c r="A26" s="78"/>
      <c r="B26" s="78"/>
      <c r="C26" s="158"/>
      <c r="D26" s="158"/>
      <c r="E26" s="158"/>
      <c r="F26" s="158"/>
      <c r="G26" s="158"/>
      <c r="H26" s="158"/>
      <c r="I26" s="158"/>
      <c r="J26" s="158"/>
      <c r="K26" s="158"/>
      <c r="L26" s="158"/>
      <c r="M26" s="158"/>
      <c r="N26" s="158"/>
      <c r="O26" s="158"/>
      <c r="P26" s="158"/>
      <c r="Q26" s="158"/>
      <c r="R26" s="158"/>
    </row>
    <row r="27" spans="1:18" ht="16.95" customHeight="1" x14ac:dyDescent="0.3">
      <c r="A27" s="78"/>
      <c r="B27" s="78"/>
      <c r="C27" s="158"/>
      <c r="D27" s="158"/>
      <c r="E27" s="158"/>
      <c r="F27" s="158"/>
      <c r="G27" s="158"/>
      <c r="H27" s="158"/>
      <c r="I27" s="158"/>
      <c r="J27" s="158"/>
      <c r="K27" s="158"/>
      <c r="L27" s="158"/>
      <c r="M27" s="158"/>
      <c r="N27" s="158"/>
      <c r="O27" s="158"/>
      <c r="P27" s="158"/>
      <c r="Q27" s="158"/>
      <c r="R27" s="158"/>
    </row>
    <row r="28" spans="1:18" ht="16.95" customHeight="1" x14ac:dyDescent="0.3">
      <c r="A28" s="78"/>
      <c r="B28" s="78"/>
      <c r="C28" s="159"/>
      <c r="D28" s="159"/>
      <c r="E28" s="159"/>
      <c r="F28" s="159"/>
      <c r="G28" s="159"/>
      <c r="H28" s="159"/>
      <c r="I28" s="159"/>
      <c r="J28" s="159"/>
      <c r="K28" s="159"/>
      <c r="L28" s="159"/>
      <c r="M28" s="159"/>
      <c r="N28" s="159"/>
      <c r="O28" s="159"/>
      <c r="P28" s="159"/>
      <c r="Q28" s="159"/>
      <c r="R28" s="159"/>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27" t="s">
        <v>78</v>
      </c>
      <c r="J31" s="127"/>
      <c r="K31" s="127"/>
      <c r="L31" s="127"/>
      <c r="M31" s="156" t="str">
        <f>INFORMACIÓN!B15</f>
        <v>ING. GABRIEL DURÁN</v>
      </c>
      <c r="N31" s="156"/>
      <c r="O31" s="156"/>
      <c r="P31" s="156"/>
      <c r="Q31" s="156"/>
      <c r="R31" s="156"/>
    </row>
    <row r="32" spans="1:18" ht="16.95" customHeight="1" x14ac:dyDescent="0.3">
      <c r="F32" s="52"/>
      <c r="G32" s="52"/>
      <c r="H32" s="52"/>
      <c r="I32" s="127" t="s">
        <v>79</v>
      </c>
      <c r="J32" s="127"/>
      <c r="K32" s="127"/>
      <c r="L32" s="127"/>
      <c r="M32" s="144">
        <f>INFORMACIÓN!B10</f>
        <v>0</v>
      </c>
      <c r="N32" s="144"/>
      <c r="O32" s="144"/>
      <c r="P32" s="64"/>
      <c r="Q32" s="64"/>
      <c r="R32" s="52"/>
    </row>
    <row r="33" spans="1:19" ht="16.95" customHeight="1" x14ac:dyDescent="0.3">
      <c r="I33" s="127" t="s">
        <v>83</v>
      </c>
      <c r="J33" s="127"/>
      <c r="K33" s="127"/>
      <c r="L33" s="127"/>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7" t="str">
        <f>O1</f>
        <v>CERTIFICADO N°:</v>
      </c>
      <c r="P38" s="127"/>
      <c r="Q38" s="127"/>
      <c r="R38" s="155">
        <f>R1</f>
        <v>0</v>
      </c>
      <c r="S38" s="155"/>
    </row>
    <row r="39" spans="1:19" ht="16.95" customHeight="1" x14ac:dyDescent="0.3"/>
    <row r="40" spans="1:19" ht="16.95" customHeight="1" x14ac:dyDescent="0.3">
      <c r="B40" s="129" t="s">
        <v>84</v>
      </c>
      <c r="C40" s="129"/>
      <c r="D40" s="129"/>
      <c r="E40" s="129"/>
      <c r="F40" s="129"/>
      <c r="G40" s="129"/>
      <c r="H40" s="129"/>
      <c r="I40" s="129"/>
      <c r="J40" s="129"/>
      <c r="K40" s="129"/>
      <c r="L40" s="129"/>
      <c r="M40" s="129"/>
      <c r="N40" s="129"/>
      <c r="O40" s="129"/>
      <c r="P40" s="129"/>
      <c r="Q40" s="129"/>
      <c r="R40" s="129"/>
      <c r="S40" s="129"/>
    </row>
    <row r="41" spans="1:19" ht="16.95" customHeight="1" x14ac:dyDescent="0.3">
      <c r="B41" s="142" t="s">
        <v>181</v>
      </c>
      <c r="C41" s="142"/>
      <c r="D41" s="142"/>
      <c r="E41" s="142"/>
      <c r="F41" s="142"/>
      <c r="G41" s="142"/>
      <c r="H41" s="142"/>
      <c r="I41" s="142"/>
      <c r="J41" s="142"/>
      <c r="K41" s="142"/>
      <c r="L41" s="142"/>
      <c r="M41" s="142"/>
      <c r="N41" s="142"/>
      <c r="O41" s="142"/>
      <c r="P41" s="142"/>
      <c r="Q41" s="142"/>
      <c r="R41" s="142"/>
      <c r="S41" s="142"/>
    </row>
    <row r="42" spans="1:19" ht="16.95" customHeight="1" x14ac:dyDescent="0.3">
      <c r="A42" s="87"/>
      <c r="B42" s="143"/>
      <c r="C42" s="143"/>
      <c r="D42" s="143"/>
      <c r="E42" s="143"/>
      <c r="F42" s="143"/>
      <c r="G42" s="143"/>
      <c r="H42" s="143"/>
      <c r="I42" s="143"/>
      <c r="J42" s="143"/>
      <c r="K42" s="143"/>
      <c r="L42" s="143"/>
      <c r="M42" s="143"/>
      <c r="N42" s="143"/>
      <c r="O42" s="143"/>
      <c r="P42" s="143"/>
      <c r="Q42" s="143"/>
      <c r="R42" s="143"/>
      <c r="S42" s="143"/>
    </row>
    <row r="43" spans="1:19" ht="16.95" customHeight="1" x14ac:dyDescent="0.3">
      <c r="A43" s="87"/>
      <c r="B43" s="143"/>
      <c r="C43" s="143"/>
      <c r="D43" s="143"/>
      <c r="E43" s="143"/>
      <c r="F43" s="143"/>
      <c r="G43" s="143"/>
      <c r="H43" s="143"/>
      <c r="I43" s="143"/>
      <c r="J43" s="143"/>
      <c r="K43" s="143"/>
      <c r="L43" s="143"/>
      <c r="M43" s="143"/>
      <c r="N43" s="143"/>
      <c r="O43" s="143"/>
      <c r="P43" s="143"/>
      <c r="Q43" s="143"/>
      <c r="R43" s="143"/>
      <c r="S43" s="143"/>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0" t="s">
        <v>85</v>
      </c>
      <c r="G45" s="131"/>
      <c r="H45" s="131"/>
      <c r="I45" s="131"/>
      <c r="J45" s="132"/>
      <c r="K45" s="139" t="s">
        <v>86</v>
      </c>
      <c r="L45" s="140"/>
      <c r="M45" s="140"/>
      <c r="N45" s="140"/>
      <c r="O45" s="141"/>
    </row>
    <row r="46" spans="1:19" ht="16.95" customHeight="1" x14ac:dyDescent="0.3">
      <c r="E46" s="76"/>
      <c r="F46" s="134">
        <f>AVERAGE(INFORMACIÓN!B11:B12)</f>
        <v>24.3</v>
      </c>
      <c r="G46" s="135"/>
      <c r="H46" s="72" t="s">
        <v>87</v>
      </c>
      <c r="I46" s="73">
        <f>ABS(INFORMACIÓN!B11-INFORMACIÓN!B12)</f>
        <v>0.39999999999999858</v>
      </c>
      <c r="J46" s="77"/>
      <c r="K46" s="136">
        <f>AVERAGE(INFORMACIÓN!B13:B14)</f>
        <v>61.5</v>
      </c>
      <c r="L46" s="137"/>
      <c r="M46" s="72" t="s">
        <v>87</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33" t="s">
        <v>182</v>
      </c>
      <c r="G48" s="133"/>
      <c r="H48" s="133"/>
      <c r="I48" s="133"/>
      <c r="J48" s="133"/>
      <c r="K48" s="138" t="str">
        <f>INFORMACIÓN!H2</f>
        <v>Fecha de Recepción</v>
      </c>
      <c r="L48" s="138"/>
      <c r="M48" s="138"/>
      <c r="N48" s="138"/>
      <c r="O48" s="138"/>
      <c r="P48" s="138"/>
    </row>
    <row r="49" spans="1:19" ht="13.2" customHeight="1" x14ac:dyDescent="0.3"/>
    <row r="50" spans="1:19" ht="16.95" customHeight="1" x14ac:dyDescent="0.3">
      <c r="B50" s="128" t="s">
        <v>88</v>
      </c>
      <c r="C50" s="128"/>
      <c r="D50" s="128"/>
      <c r="E50" s="128"/>
      <c r="F50" s="128"/>
      <c r="G50" s="128"/>
      <c r="H50" s="128"/>
      <c r="I50" s="128"/>
      <c r="J50" s="128"/>
      <c r="K50" s="128"/>
      <c r="L50" s="128"/>
      <c r="M50" s="128"/>
      <c r="N50" s="128"/>
      <c r="O50" s="128"/>
      <c r="P50" s="128"/>
      <c r="Q50" s="128"/>
      <c r="R50" s="128"/>
      <c r="S50" s="128"/>
    </row>
    <row r="51" spans="1:19" ht="16.95" customHeight="1" x14ac:dyDescent="0.3">
      <c r="B51" s="142" t="s">
        <v>183</v>
      </c>
      <c r="C51" s="142"/>
      <c r="D51" s="142"/>
      <c r="E51" s="142"/>
      <c r="F51" s="142"/>
      <c r="G51" s="142"/>
      <c r="H51" s="142"/>
      <c r="I51" s="142"/>
      <c r="J51" s="142"/>
      <c r="K51" s="142"/>
      <c r="L51" s="142"/>
      <c r="M51" s="142"/>
      <c r="N51" s="142"/>
      <c r="O51" s="142"/>
      <c r="P51" s="142"/>
      <c r="Q51" s="142"/>
      <c r="R51" s="142"/>
      <c r="S51" s="142"/>
    </row>
    <row r="52" spans="1:19" ht="16.95" customHeight="1" x14ac:dyDescent="0.3">
      <c r="A52" s="87"/>
      <c r="B52" s="143"/>
      <c r="C52" s="143"/>
      <c r="D52" s="143"/>
      <c r="E52" s="143"/>
      <c r="F52" s="143"/>
      <c r="G52" s="143"/>
      <c r="H52" s="143"/>
      <c r="I52" s="143"/>
      <c r="J52" s="143"/>
      <c r="K52" s="143"/>
      <c r="L52" s="143"/>
      <c r="M52" s="143"/>
      <c r="N52" s="143"/>
      <c r="O52" s="143"/>
      <c r="P52" s="143"/>
      <c r="Q52" s="143"/>
      <c r="R52" s="143"/>
      <c r="S52" s="143"/>
    </row>
    <row r="53" spans="1:19" ht="16.95" customHeight="1" x14ac:dyDescent="0.3">
      <c r="A53" s="87"/>
      <c r="B53" s="143"/>
      <c r="C53" s="143"/>
      <c r="D53" s="143"/>
      <c r="E53" s="143"/>
      <c r="F53" s="143"/>
      <c r="G53" s="143"/>
      <c r="H53" s="143"/>
      <c r="I53" s="143"/>
      <c r="J53" s="143"/>
      <c r="K53" s="143"/>
      <c r="L53" s="143"/>
      <c r="M53" s="143"/>
      <c r="N53" s="143"/>
      <c r="O53" s="143"/>
      <c r="P53" s="143"/>
      <c r="Q53" s="143"/>
      <c r="R53" s="143"/>
      <c r="S53" s="143"/>
    </row>
    <row r="54" spans="1:19" ht="16.95" customHeight="1" x14ac:dyDescent="0.3">
      <c r="A54" s="87"/>
      <c r="B54" s="143"/>
      <c r="C54" s="143"/>
      <c r="D54" s="143"/>
      <c r="E54" s="143"/>
      <c r="F54" s="143"/>
      <c r="G54" s="143"/>
      <c r="H54" s="143"/>
      <c r="I54" s="143"/>
      <c r="J54" s="143"/>
      <c r="K54" s="143"/>
      <c r="L54" s="143"/>
      <c r="M54" s="143"/>
      <c r="N54" s="143"/>
      <c r="O54" s="143"/>
      <c r="P54" s="143"/>
      <c r="Q54" s="143"/>
      <c r="R54" s="143"/>
      <c r="S54" s="143"/>
    </row>
    <row r="55" spans="1:19" ht="16.95" customHeight="1" x14ac:dyDescent="0.3">
      <c r="A55" s="87"/>
      <c r="B55" s="143"/>
      <c r="C55" s="143"/>
      <c r="D55" s="143"/>
      <c r="E55" s="143"/>
      <c r="F55" s="143"/>
      <c r="G55" s="143"/>
      <c r="H55" s="143"/>
      <c r="I55" s="143"/>
      <c r="J55" s="143"/>
      <c r="K55" s="143"/>
      <c r="L55" s="143"/>
      <c r="M55" s="143"/>
      <c r="N55" s="143"/>
      <c r="O55" s="143"/>
      <c r="P55" s="143"/>
      <c r="Q55" s="143"/>
      <c r="R55" s="143"/>
      <c r="S55" s="143"/>
    </row>
    <row r="56" spans="1:19" ht="16.95" customHeight="1" x14ac:dyDescent="0.3">
      <c r="A56" s="87"/>
      <c r="B56" s="143"/>
      <c r="C56" s="143"/>
      <c r="D56" s="143"/>
      <c r="E56" s="143"/>
      <c r="F56" s="143"/>
      <c r="G56" s="143"/>
      <c r="H56" s="143"/>
      <c r="I56" s="143"/>
      <c r="J56" s="143"/>
      <c r="K56" s="143"/>
      <c r="L56" s="143"/>
      <c r="M56" s="143"/>
      <c r="N56" s="143"/>
      <c r="O56" s="143"/>
      <c r="P56" s="143"/>
      <c r="Q56" s="143"/>
      <c r="R56" s="143"/>
      <c r="S56" s="143"/>
    </row>
    <row r="57" spans="1:19" ht="16.95" customHeight="1" x14ac:dyDescent="0.3">
      <c r="A57" s="87"/>
      <c r="B57" s="143"/>
      <c r="C57" s="143"/>
      <c r="D57" s="143"/>
      <c r="E57" s="143"/>
      <c r="F57" s="143"/>
      <c r="G57" s="143"/>
      <c r="H57" s="143"/>
      <c r="I57" s="143"/>
      <c r="J57" s="143"/>
      <c r="K57" s="143"/>
      <c r="L57" s="143"/>
      <c r="M57" s="143"/>
      <c r="N57" s="143"/>
      <c r="O57" s="143"/>
      <c r="P57" s="143"/>
      <c r="Q57" s="143"/>
      <c r="R57" s="143"/>
      <c r="S57" s="143"/>
    </row>
    <row r="58" spans="1:19" ht="16.95" customHeight="1" x14ac:dyDescent="0.3">
      <c r="A58" s="87"/>
      <c r="B58" s="143"/>
      <c r="C58" s="143"/>
      <c r="D58" s="143"/>
      <c r="E58" s="143"/>
      <c r="F58" s="143"/>
      <c r="G58" s="143"/>
      <c r="H58" s="143"/>
      <c r="I58" s="143"/>
      <c r="J58" s="143"/>
      <c r="K58" s="143"/>
      <c r="L58" s="143"/>
      <c r="M58" s="143"/>
      <c r="N58" s="143"/>
      <c r="O58" s="143"/>
      <c r="P58" s="143"/>
      <c r="Q58" s="143"/>
      <c r="R58" s="143"/>
      <c r="S58" s="143"/>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9" t="s">
        <v>89</v>
      </c>
      <c r="C60" s="129"/>
      <c r="D60" s="129"/>
      <c r="E60" s="129"/>
      <c r="F60" s="129"/>
      <c r="G60" s="129"/>
      <c r="H60" s="129"/>
      <c r="I60" s="129"/>
      <c r="J60" s="129"/>
      <c r="K60" s="129"/>
      <c r="L60" s="129"/>
      <c r="M60" s="129"/>
      <c r="N60" s="129"/>
      <c r="O60" s="129"/>
      <c r="P60" s="129"/>
      <c r="Q60" s="129"/>
      <c r="R60" s="129"/>
      <c r="S60" s="129"/>
    </row>
    <row r="61" spans="1:19" ht="16.95" customHeight="1" x14ac:dyDescent="0.3">
      <c r="B61" s="142" t="s">
        <v>184</v>
      </c>
      <c r="C61" s="142"/>
      <c r="D61" s="142"/>
      <c r="E61" s="142"/>
      <c r="F61" s="142"/>
      <c r="G61" s="142"/>
      <c r="H61" s="142"/>
      <c r="I61" s="142"/>
      <c r="J61" s="142"/>
      <c r="K61" s="142"/>
      <c r="L61" s="142"/>
      <c r="M61" s="142"/>
      <c r="N61" s="142"/>
      <c r="O61" s="142"/>
      <c r="P61" s="142"/>
      <c r="Q61" s="142"/>
      <c r="R61" s="142"/>
      <c r="S61" s="142"/>
    </row>
    <row r="62" spans="1:19" ht="16.95" customHeight="1" x14ac:dyDescent="0.3">
      <c r="A62" s="87"/>
      <c r="B62" s="143"/>
      <c r="C62" s="143"/>
      <c r="D62" s="143"/>
      <c r="E62" s="143"/>
      <c r="F62" s="143"/>
      <c r="G62" s="143"/>
      <c r="H62" s="143"/>
      <c r="I62" s="143"/>
      <c r="J62" s="143"/>
      <c r="K62" s="143"/>
      <c r="L62" s="143"/>
      <c r="M62" s="143"/>
      <c r="N62" s="143"/>
      <c r="O62" s="143"/>
      <c r="P62" s="143"/>
      <c r="Q62" s="143"/>
      <c r="R62" s="143"/>
      <c r="S62" s="143"/>
    </row>
    <row r="63" spans="1:19" ht="13.8" customHeight="1" x14ac:dyDescent="0.3"/>
    <row r="64" spans="1:19" ht="15" customHeight="1" x14ac:dyDescent="0.3">
      <c r="B64" s="129" t="s">
        <v>95</v>
      </c>
      <c r="C64" s="129"/>
      <c r="D64" s="129"/>
      <c r="E64" s="129"/>
      <c r="F64" s="129"/>
      <c r="G64" s="129"/>
      <c r="H64" s="129"/>
      <c r="I64" s="129"/>
      <c r="J64" s="129"/>
      <c r="K64" s="129"/>
      <c r="L64" s="129"/>
      <c r="M64" s="129"/>
      <c r="N64" s="129"/>
      <c r="O64" s="129"/>
      <c r="P64" s="129"/>
      <c r="Q64" s="129"/>
      <c r="R64" s="129"/>
      <c r="S64" s="129"/>
    </row>
    <row r="65" spans="1:19" ht="19.2" customHeight="1" x14ac:dyDescent="0.3">
      <c r="B65" s="142" t="s">
        <v>185</v>
      </c>
      <c r="C65" s="142"/>
      <c r="D65" s="142"/>
      <c r="E65" s="142"/>
      <c r="F65" s="142"/>
      <c r="G65" s="142"/>
      <c r="H65" s="142"/>
      <c r="I65" s="142"/>
      <c r="J65" s="142"/>
      <c r="K65" s="142"/>
      <c r="L65" s="142"/>
      <c r="M65" s="142"/>
      <c r="N65" s="142"/>
      <c r="O65" s="142"/>
      <c r="P65" s="142"/>
      <c r="Q65" s="142"/>
      <c r="R65" s="142"/>
      <c r="S65" s="142"/>
    </row>
    <row r="66" spans="1:19" ht="16.95" customHeight="1" x14ac:dyDescent="0.3">
      <c r="A66" s="87"/>
      <c r="B66" s="143"/>
      <c r="C66" s="143"/>
      <c r="D66" s="143"/>
      <c r="E66" s="143"/>
      <c r="F66" s="143"/>
      <c r="G66" s="143"/>
      <c r="H66" s="143"/>
      <c r="I66" s="143"/>
      <c r="J66" s="143"/>
      <c r="K66" s="143"/>
      <c r="L66" s="143"/>
      <c r="M66" s="143"/>
      <c r="N66" s="143"/>
      <c r="O66" s="143"/>
      <c r="P66" s="143"/>
      <c r="Q66" s="143"/>
      <c r="R66" s="143"/>
      <c r="S66" s="143"/>
    </row>
    <row r="67" spans="1:19" ht="16.95" customHeight="1" x14ac:dyDescent="0.3">
      <c r="A67" s="87"/>
      <c r="B67" s="143"/>
      <c r="C67" s="143"/>
      <c r="D67" s="143"/>
      <c r="E67" s="143"/>
      <c r="F67" s="143"/>
      <c r="G67" s="143"/>
      <c r="H67" s="143"/>
      <c r="I67" s="143"/>
      <c r="J67" s="143"/>
      <c r="K67" s="143"/>
      <c r="L67" s="143"/>
      <c r="M67" s="143"/>
      <c r="N67" s="143"/>
      <c r="O67" s="143"/>
      <c r="P67" s="143"/>
      <c r="Q67" s="143"/>
      <c r="R67" s="143"/>
      <c r="S67" s="143"/>
    </row>
    <row r="68" spans="1:19" ht="16.95" customHeight="1" x14ac:dyDescent="0.3">
      <c r="A68" s="87"/>
      <c r="B68" s="143"/>
      <c r="C68" s="143"/>
      <c r="D68" s="143"/>
      <c r="E68" s="143"/>
      <c r="F68" s="143"/>
      <c r="G68" s="143"/>
      <c r="H68" s="143"/>
      <c r="I68" s="143"/>
      <c r="J68" s="143"/>
      <c r="K68" s="143"/>
      <c r="L68" s="143"/>
      <c r="M68" s="143"/>
      <c r="N68" s="143"/>
      <c r="O68" s="143"/>
      <c r="P68" s="143"/>
      <c r="Q68" s="143"/>
      <c r="R68" s="143"/>
      <c r="S68" s="143"/>
    </row>
    <row r="69" spans="1:19" ht="16.95" customHeight="1" x14ac:dyDescent="0.3"/>
    <row r="70" spans="1:19" ht="16.95" customHeight="1" x14ac:dyDescent="0.3">
      <c r="B70" s="146" t="s">
        <v>91</v>
      </c>
      <c r="C70" s="146"/>
      <c r="D70" s="146"/>
      <c r="E70" s="146"/>
      <c r="F70" s="146"/>
      <c r="G70" s="146"/>
      <c r="H70" s="146" t="s">
        <v>92</v>
      </c>
      <c r="I70" s="146"/>
      <c r="J70" s="146"/>
      <c r="K70" s="146"/>
      <c r="L70" s="146"/>
      <c r="M70" s="146" t="s">
        <v>93</v>
      </c>
      <c r="N70" s="146"/>
      <c r="O70" s="146"/>
      <c r="P70" s="146" t="s">
        <v>94</v>
      </c>
      <c r="Q70" s="146"/>
      <c r="R70" s="146"/>
      <c r="S70" s="146"/>
    </row>
    <row r="71" spans="1:19" ht="16.95" customHeight="1" x14ac:dyDescent="0.3">
      <c r="B71" s="147" t="s">
        <v>133</v>
      </c>
      <c r="C71" s="147"/>
      <c r="D71" s="147"/>
      <c r="E71" s="147"/>
      <c r="F71" s="147"/>
      <c r="G71" s="147"/>
      <c r="H71" s="149">
        <v>73581403</v>
      </c>
      <c r="I71" s="149"/>
      <c r="J71" s="149"/>
      <c r="K71" s="149"/>
      <c r="L71" s="149"/>
      <c r="M71" s="150">
        <v>46065</v>
      </c>
      <c r="N71" s="150"/>
      <c r="O71" s="150"/>
      <c r="P71" s="148" t="s">
        <v>179</v>
      </c>
      <c r="Q71" s="148"/>
      <c r="R71" s="148"/>
      <c r="S71" s="148"/>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7" t="str">
        <f>O1</f>
        <v>CERTIFICADO N°:</v>
      </c>
      <c r="P76" s="127"/>
      <c r="Q76" s="127"/>
      <c r="R76" s="155">
        <f>R1</f>
        <v>0</v>
      </c>
      <c r="S76" s="155"/>
    </row>
    <row r="77" spans="1:19" ht="16.95" customHeight="1" x14ac:dyDescent="0.3"/>
    <row r="78" spans="1:19" ht="16.95" customHeight="1" x14ac:dyDescent="0.3">
      <c r="B78" s="115" t="s">
        <v>96</v>
      </c>
      <c r="C78" s="115"/>
      <c r="D78" s="115"/>
      <c r="E78" s="115"/>
      <c r="F78" s="115"/>
      <c r="G78" s="115"/>
      <c r="H78" s="115"/>
      <c r="I78" s="115"/>
      <c r="J78" s="115"/>
      <c r="K78" s="115"/>
      <c r="L78" s="115"/>
      <c r="M78" s="115"/>
      <c r="N78" s="115"/>
      <c r="O78" s="115"/>
      <c r="P78" s="115"/>
      <c r="Q78" s="115"/>
      <c r="R78" s="115"/>
      <c r="S78" s="115"/>
    </row>
    <row r="79" spans="1:19" ht="16.95" customHeight="1" x14ac:dyDescent="0.3"/>
    <row r="80" spans="1:19" ht="16.95" customHeight="1" x14ac:dyDescent="0.3">
      <c r="B80" s="52" t="s">
        <v>99</v>
      </c>
      <c r="C80" s="52"/>
      <c r="D80" s="52"/>
      <c r="E80" s="52"/>
      <c r="F80" s="52"/>
      <c r="G80" s="52"/>
      <c r="H80" s="52"/>
      <c r="I80" s="118" t="s">
        <v>100</v>
      </c>
      <c r="J80" s="118"/>
      <c r="K80" s="118"/>
      <c r="L80" s="118"/>
      <c r="M80" s="118"/>
      <c r="N80" s="125" t="s">
        <v>158</v>
      </c>
      <c r="O80" s="125"/>
      <c r="P80" s="126" t="s">
        <v>101</v>
      </c>
      <c r="Q80" s="126"/>
      <c r="R80" s="126"/>
      <c r="S80" s="90">
        <v>1</v>
      </c>
    </row>
    <row r="81" spans="2:19" ht="16.649999999999999" customHeight="1" x14ac:dyDescent="0.3"/>
    <row r="82" spans="2:19" ht="16.95" customHeight="1" x14ac:dyDescent="0.3">
      <c r="D82" s="145" t="s">
        <v>98</v>
      </c>
      <c r="E82" s="145"/>
      <c r="F82" s="145"/>
      <c r="G82" s="145"/>
      <c r="H82" s="145"/>
      <c r="I82" s="145"/>
      <c r="J82" s="145"/>
      <c r="K82" s="145"/>
      <c r="L82" s="121" t="s">
        <v>108</v>
      </c>
      <c r="M82" s="122"/>
      <c r="N82" s="122"/>
      <c r="O82" s="122"/>
      <c r="P82" s="122"/>
      <c r="Q82" s="122"/>
      <c r="R82" s="122"/>
      <c r="S82" s="122"/>
    </row>
    <row r="83" spans="2:19" ht="24.45" customHeight="1" x14ac:dyDescent="0.3">
      <c r="B83" s="119" t="s">
        <v>102</v>
      </c>
      <c r="C83" s="120"/>
      <c r="D83" s="124" t="s">
        <v>103</v>
      </c>
      <c r="E83" s="124"/>
      <c r="F83" s="124" t="s">
        <v>104</v>
      </c>
      <c r="G83" s="124"/>
      <c r="H83" s="124" t="s">
        <v>105</v>
      </c>
      <c r="I83" s="124"/>
      <c r="J83" s="124" t="s">
        <v>106</v>
      </c>
      <c r="K83" s="124"/>
      <c r="L83" s="123" t="s">
        <v>107</v>
      </c>
      <c r="M83" s="123"/>
      <c r="N83" s="123" t="s">
        <v>109</v>
      </c>
      <c r="O83" s="123"/>
      <c r="P83" s="124" t="s">
        <v>97</v>
      </c>
      <c r="Q83" s="124"/>
      <c r="R83" s="124"/>
      <c r="S83" s="89" t="s">
        <v>14</v>
      </c>
    </row>
    <row r="84" spans="2:19" ht="16.649999999999999" customHeight="1" x14ac:dyDescent="0.3">
      <c r="B84" s="116">
        <f>MEDIDA!C6</f>
        <v>30</v>
      </c>
      <c r="C84" s="116"/>
      <c r="D84" s="116">
        <f>MEDIDA!E6</f>
        <v>30</v>
      </c>
      <c r="E84" s="116"/>
      <c r="F84" s="116">
        <f>MEDIDA!G6</f>
        <v>30</v>
      </c>
      <c r="G84" s="116"/>
      <c r="H84" s="116">
        <f>MEDIDA!I6</f>
        <v>30</v>
      </c>
      <c r="I84" s="116"/>
      <c r="J84" s="116">
        <f>MEDIDA!K6</f>
        <v>30</v>
      </c>
      <c r="K84" s="116"/>
      <c r="L84" s="116">
        <f>MEDIDA!M6</f>
        <v>30</v>
      </c>
      <c r="M84" s="116"/>
      <c r="N84" s="116">
        <f>MEDIDA!O6</f>
        <v>0</v>
      </c>
      <c r="O84" s="116"/>
      <c r="P84" s="117">
        <f>INCERTIDUMBRE!L28</f>
        <v>0.94916871723006258</v>
      </c>
      <c r="Q84" s="117"/>
      <c r="R84" s="117"/>
      <c r="S84" s="96">
        <f>INCERTIDUMBRE!K28</f>
        <v>2.0042922732980215</v>
      </c>
    </row>
    <row r="85" spans="2:19" ht="16.649999999999999" customHeight="1" x14ac:dyDescent="0.3">
      <c r="B85" s="116">
        <f>MEDIDA!C7</f>
        <v>60</v>
      </c>
      <c r="C85" s="116"/>
      <c r="D85" s="116">
        <f>MEDIDA!E7</f>
        <v>60</v>
      </c>
      <c r="E85" s="116"/>
      <c r="F85" s="116">
        <f>MEDIDA!G7</f>
        <v>60</v>
      </c>
      <c r="G85" s="116"/>
      <c r="H85" s="116">
        <f>MEDIDA!I7</f>
        <v>60</v>
      </c>
      <c r="I85" s="116"/>
      <c r="J85" s="116">
        <f>MEDIDA!K7</f>
        <v>60</v>
      </c>
      <c r="K85" s="116"/>
      <c r="L85" s="116">
        <f>MEDIDA!M7</f>
        <v>60</v>
      </c>
      <c r="M85" s="116"/>
      <c r="N85" s="116">
        <f>MEDIDA!O7</f>
        <v>0</v>
      </c>
      <c r="O85" s="116"/>
      <c r="P85" s="117">
        <f>INCERTIDUMBRE!L29</f>
        <v>0.94916871723006258</v>
      </c>
      <c r="Q85" s="117"/>
      <c r="R85" s="117"/>
      <c r="S85" s="96">
        <f>INCERTIDUMBRE!K29</f>
        <v>2.0042922732980215</v>
      </c>
    </row>
    <row r="86" spans="2:19" ht="16.649999999999999" customHeight="1" x14ac:dyDescent="0.3">
      <c r="B86" s="116">
        <f>MEDIDA!C8</f>
        <v>120</v>
      </c>
      <c r="C86" s="116"/>
      <c r="D86" s="116">
        <f>MEDIDA!E8</f>
        <v>120</v>
      </c>
      <c r="E86" s="116"/>
      <c r="F86" s="116">
        <f>MEDIDA!G8</f>
        <v>120</v>
      </c>
      <c r="G86" s="116"/>
      <c r="H86" s="116">
        <f>MEDIDA!I8</f>
        <v>120</v>
      </c>
      <c r="I86" s="116"/>
      <c r="J86" s="116">
        <f>MEDIDA!K8</f>
        <v>120</v>
      </c>
      <c r="K86" s="116"/>
      <c r="L86" s="116">
        <f>MEDIDA!M8</f>
        <v>120</v>
      </c>
      <c r="M86" s="116"/>
      <c r="N86" s="116">
        <f>MEDIDA!O8</f>
        <v>0</v>
      </c>
      <c r="O86" s="116"/>
      <c r="P86" s="117">
        <f>INCERTIDUMBRE!L30</f>
        <v>0.94916871723006258</v>
      </c>
      <c r="Q86" s="117"/>
      <c r="R86" s="117"/>
      <c r="S86" s="96">
        <f>INCERTIDUMBRE!K30</f>
        <v>2.0042922732980215</v>
      </c>
    </row>
    <row r="87" spans="2:19" ht="16.649999999999999" customHeight="1" x14ac:dyDescent="0.3">
      <c r="B87" s="116">
        <f>MEDIDA!C9</f>
        <v>240</v>
      </c>
      <c r="C87" s="116"/>
      <c r="D87" s="116">
        <f>MEDIDA!E9</f>
        <v>240</v>
      </c>
      <c r="E87" s="116"/>
      <c r="F87" s="116">
        <f>MEDIDA!G9</f>
        <v>240</v>
      </c>
      <c r="G87" s="116"/>
      <c r="H87" s="116">
        <f>MEDIDA!I9</f>
        <v>240</v>
      </c>
      <c r="I87" s="116"/>
      <c r="J87" s="116">
        <f>MEDIDA!K9</f>
        <v>240</v>
      </c>
      <c r="K87" s="116"/>
      <c r="L87" s="116">
        <f>MEDIDA!M9</f>
        <v>240</v>
      </c>
      <c r="M87" s="116"/>
      <c r="N87" s="116">
        <f>MEDIDA!O9</f>
        <v>0</v>
      </c>
      <c r="O87" s="116"/>
      <c r="P87" s="117">
        <f>INCERTIDUMBRE!L31</f>
        <v>0.94916871723006258</v>
      </c>
      <c r="Q87" s="117"/>
      <c r="R87" s="117"/>
      <c r="S87" s="96">
        <f>INCERTIDUMBRE!K31</f>
        <v>2.0042922732980215</v>
      </c>
    </row>
    <row r="88" spans="2:19" x14ac:dyDescent="0.3">
      <c r="B88" s="95"/>
      <c r="C88" s="95"/>
      <c r="D88" s="95"/>
      <c r="E88" s="95"/>
      <c r="F88" s="95"/>
      <c r="G88" s="95"/>
      <c r="H88" s="95"/>
      <c r="I88" s="95"/>
      <c r="J88" s="95"/>
      <c r="K88" s="95"/>
      <c r="L88" s="95"/>
      <c r="M88" s="95"/>
      <c r="N88" s="95"/>
      <c r="O88" s="95"/>
      <c r="P88" s="95"/>
      <c r="Q88" s="95"/>
      <c r="R88" s="95"/>
      <c r="S88" s="88"/>
    </row>
    <row r="89" spans="2:19" ht="24" customHeight="1" x14ac:dyDescent="0.3"/>
    <row r="90" spans="2:19" ht="16.649999999999999" customHeight="1" x14ac:dyDescent="0.3">
      <c r="B90" s="115" t="s">
        <v>110</v>
      </c>
      <c r="C90" s="115"/>
      <c r="D90" s="115"/>
      <c r="E90" s="115"/>
      <c r="F90" s="115"/>
      <c r="G90" s="115"/>
      <c r="H90" s="115"/>
      <c r="I90" s="115"/>
      <c r="J90" s="115"/>
      <c r="K90" s="115"/>
      <c r="L90" s="115"/>
      <c r="M90" s="115"/>
      <c r="N90" s="115"/>
      <c r="O90" s="115"/>
      <c r="P90" s="115"/>
      <c r="Q90" s="115"/>
      <c r="R90" s="115"/>
      <c r="S90" s="115"/>
    </row>
    <row r="92" spans="2:19" x14ac:dyDescent="0.3">
      <c r="B92" s="113" t="s">
        <v>111</v>
      </c>
      <c r="C92" s="113"/>
      <c r="D92" s="113"/>
      <c r="E92" s="113"/>
      <c r="F92" s="113"/>
      <c r="G92" s="113"/>
      <c r="I92" s="78" t="s">
        <v>112</v>
      </c>
      <c r="J92" s="78"/>
      <c r="K92" s="78"/>
      <c r="L92" s="78"/>
      <c r="M92" s="78"/>
      <c r="N92" s="78"/>
      <c r="O92" s="78"/>
      <c r="P92" s="78"/>
      <c r="Q92" s="78"/>
      <c r="R92" s="78"/>
      <c r="S92" s="78"/>
    </row>
    <row r="93" spans="2:19" x14ac:dyDescent="0.3">
      <c r="B93" s="114" t="s">
        <v>113</v>
      </c>
      <c r="C93" s="114"/>
      <c r="D93" s="114"/>
      <c r="E93" s="114"/>
      <c r="F93" s="114"/>
      <c r="G93" s="114"/>
      <c r="I93" s="78" t="s">
        <v>112</v>
      </c>
    </row>
    <row r="94" spans="2:19" x14ac:dyDescent="0.3">
      <c r="B94" s="113" t="s">
        <v>114</v>
      </c>
      <c r="C94" s="113"/>
      <c r="D94" s="113"/>
      <c r="E94" s="113"/>
      <c r="F94" s="113"/>
      <c r="G94" s="113"/>
      <c r="I94" s="78" t="s">
        <v>112</v>
      </c>
      <c r="J94" s="78"/>
      <c r="K94" s="78"/>
      <c r="L94" s="78"/>
      <c r="M94" s="78"/>
      <c r="N94" s="78"/>
      <c r="O94" s="78"/>
      <c r="P94" s="78"/>
      <c r="Q94" s="78"/>
      <c r="R94" s="78"/>
      <c r="S94" s="78"/>
    </row>
    <row r="95" spans="2:19" x14ac:dyDescent="0.3">
      <c r="B95" s="110" t="s">
        <v>115</v>
      </c>
      <c r="C95" s="110"/>
      <c r="D95" s="110"/>
      <c r="E95" s="110"/>
      <c r="F95" s="110"/>
      <c r="G95" s="110"/>
      <c r="I95" s="111" t="s">
        <v>112</v>
      </c>
      <c r="J95" s="111"/>
      <c r="K95" s="111"/>
      <c r="L95" s="111"/>
      <c r="M95" s="88"/>
      <c r="N95" s="88"/>
      <c r="O95" s="88"/>
      <c r="P95" s="88"/>
      <c r="Q95" s="88"/>
      <c r="R95" s="88"/>
      <c r="S95" s="88"/>
    </row>
    <row r="96" spans="2:19" ht="16.8" customHeight="1" x14ac:dyDescent="0.3"/>
    <row r="97" spans="2:20" ht="24" customHeight="1" x14ac:dyDescent="0.3"/>
    <row r="98" spans="2:20" x14ac:dyDescent="0.3">
      <c r="B98" s="112" t="s">
        <v>186</v>
      </c>
      <c r="C98" s="112"/>
      <c r="D98" s="112"/>
      <c r="E98" s="112"/>
      <c r="F98" s="112"/>
      <c r="G98" s="112"/>
      <c r="H98" s="112"/>
      <c r="I98" s="112"/>
      <c r="J98" s="112"/>
      <c r="K98" s="112"/>
      <c r="L98" s="112"/>
      <c r="M98" s="112"/>
      <c r="N98" s="112"/>
      <c r="O98" s="112"/>
      <c r="P98" s="112"/>
      <c r="Q98" s="112"/>
      <c r="R98" s="112"/>
      <c r="S98" s="112"/>
      <c r="T98" s="91"/>
    </row>
    <row r="102" spans="2:20" ht="24" customHeight="1" x14ac:dyDescent="0.3"/>
    <row r="103" spans="2:20" x14ac:dyDescent="0.3">
      <c r="T103" s="91"/>
    </row>
    <row r="104" spans="2:20" x14ac:dyDescent="0.3">
      <c r="T104" s="91"/>
    </row>
    <row r="113" spans="20:20" x14ac:dyDescent="0.3">
      <c r="T113" s="88"/>
    </row>
  </sheetData>
  <mergeCells count="120">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B65:S68"/>
    <mergeCell ref="I10:R10"/>
    <mergeCell ref="I7:R7"/>
    <mergeCell ref="I8:R8"/>
    <mergeCell ref="I13:R13"/>
    <mergeCell ref="R76:S76"/>
    <mergeCell ref="O76:Q76"/>
    <mergeCell ref="B78:S78"/>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N84:O84"/>
    <mergeCell ref="P84:R84"/>
    <mergeCell ref="D82:K82"/>
    <mergeCell ref="D83:E83"/>
    <mergeCell ref="F83:G83"/>
    <mergeCell ref="H83:I83"/>
    <mergeCell ref="J83:K83"/>
    <mergeCell ref="B70:G70"/>
    <mergeCell ref="B71:G71"/>
    <mergeCell ref="P71:S71"/>
    <mergeCell ref="H70:L70"/>
    <mergeCell ref="H71:L71"/>
    <mergeCell ref="M70:O70"/>
    <mergeCell ref="M71:O71"/>
    <mergeCell ref="P70:S70"/>
    <mergeCell ref="C15:R15"/>
    <mergeCell ref="C17:G17"/>
    <mergeCell ref="C18:G18"/>
    <mergeCell ref="B50:S50"/>
    <mergeCell ref="B60:S60"/>
    <mergeCell ref="B64:S64"/>
    <mergeCell ref="F45:J45"/>
    <mergeCell ref="F48:J48"/>
    <mergeCell ref="F46:G46"/>
    <mergeCell ref="K46:L46"/>
    <mergeCell ref="K48:P48"/>
    <mergeCell ref="K45:O45"/>
    <mergeCell ref="B51:S58"/>
    <mergeCell ref="B61:S62"/>
    <mergeCell ref="M32:O32"/>
    <mergeCell ref="I32:L32"/>
    <mergeCell ref="I33:L33"/>
    <mergeCell ref="B40:S40"/>
    <mergeCell ref="D85:E85"/>
    <mergeCell ref="F85:G85"/>
    <mergeCell ref="H85:I85"/>
    <mergeCell ref="J85:K85"/>
    <mergeCell ref="D84:E84"/>
    <mergeCell ref="F84:G84"/>
    <mergeCell ref="H84:I84"/>
    <mergeCell ref="J84:K84"/>
    <mergeCell ref="L84:M84"/>
    <mergeCell ref="B85:C85"/>
    <mergeCell ref="B87:C87"/>
    <mergeCell ref="D87:E87"/>
    <mergeCell ref="F87:G87"/>
    <mergeCell ref="H87:I87"/>
    <mergeCell ref="J87:K87"/>
    <mergeCell ref="I80:M80"/>
    <mergeCell ref="H86:I86"/>
    <mergeCell ref="J86:K86"/>
    <mergeCell ref="L86:M86"/>
    <mergeCell ref="B84:C84"/>
    <mergeCell ref="B83:C83"/>
    <mergeCell ref="L82:S82"/>
    <mergeCell ref="L83:M83"/>
    <mergeCell ref="N83:O83"/>
    <mergeCell ref="P83:R83"/>
    <mergeCell ref="N80:O80"/>
    <mergeCell ref="P80:R80"/>
    <mergeCell ref="L87:M87"/>
    <mergeCell ref="N87:O87"/>
    <mergeCell ref="P87:R87"/>
    <mergeCell ref="L85:M85"/>
    <mergeCell ref="N85:O85"/>
    <mergeCell ref="P85:R85"/>
    <mergeCell ref="B95:G95"/>
    <mergeCell ref="I95:L95"/>
    <mergeCell ref="B98:S98"/>
    <mergeCell ref="B92:G92"/>
    <mergeCell ref="B93:G93"/>
    <mergeCell ref="B94:G94"/>
    <mergeCell ref="B90:S90"/>
    <mergeCell ref="B86:C86"/>
    <mergeCell ref="D86:E86"/>
    <mergeCell ref="F86:G86"/>
    <mergeCell ref="N86:O86"/>
    <mergeCell ref="P86:R8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2023-07-26T17:55:41Z</cp:lastPrinted>
  <dcterms:created xsi:type="dcterms:W3CDTF">2012-07-25T22:15:54Z</dcterms:created>
  <dcterms:modified xsi:type="dcterms:W3CDTF">2026-08-28T17:09:31Z</dcterms:modified>
</cp:coreProperties>
</file>