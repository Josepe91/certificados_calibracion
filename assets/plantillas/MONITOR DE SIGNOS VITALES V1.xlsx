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D160922-99F3-48B0-887C-47C9CDE6BD9A}"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state="hidden" r:id="rId5"/>
    <sheet name="CERTIFICADO"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7" i="31" l="1"/>
  <c r="I10" i="31"/>
  <c r="I5" i="31"/>
  <c r="B72" i="31"/>
  <c r="D17" i="20"/>
  <c r="D16" i="20"/>
  <c r="D15" i="20"/>
  <c r="D14" i="20"/>
  <c r="D13" i="20"/>
  <c r="D4" i="20"/>
  <c r="J4" i="20" s="1"/>
  <c r="D5" i="20" l="1"/>
  <c r="H4" i="20"/>
  <c r="F4" i="20"/>
  <c r="J5" i="20" l="1"/>
  <c r="H5" i="20"/>
  <c r="F5" i="20"/>
  <c r="D6" i="20"/>
  <c r="J6" i="20" l="1"/>
  <c r="F6" i="20"/>
  <c r="H6" i="20"/>
  <c r="D7" i="20"/>
  <c r="F7" i="20" l="1"/>
  <c r="J7" i="20"/>
  <c r="H7" i="20"/>
  <c r="D8" i="20"/>
  <c r="J8" i="20" l="1"/>
  <c r="H8" i="20"/>
  <c r="F8" i="20"/>
  <c r="F14" i="20" l="1"/>
  <c r="H14" i="20"/>
  <c r="J14" i="20"/>
  <c r="F15" i="20"/>
  <c r="H15" i="20"/>
  <c r="J15" i="20"/>
  <c r="F16" i="20"/>
  <c r="H16" i="20"/>
  <c r="J16" i="20"/>
  <c r="F17" i="20"/>
  <c r="H17" i="20"/>
  <c r="J17" i="20"/>
  <c r="J13" i="20"/>
  <c r="H13" i="20"/>
  <c r="F13" i="20"/>
  <c r="V5" i="20"/>
  <c r="X5" i="20"/>
  <c r="Z5" i="20"/>
  <c r="V6" i="20"/>
  <c r="X6" i="20"/>
  <c r="Z6" i="20"/>
  <c r="V7" i="20"/>
  <c r="X7" i="20"/>
  <c r="Z7" i="20"/>
  <c r="Z4" i="20"/>
  <c r="X4" i="20"/>
  <c r="V4" i="20"/>
  <c r="I12" i="31"/>
  <c r="I11" i="31"/>
  <c r="I9" i="31"/>
  <c r="I8" i="31"/>
  <c r="I7" i="31"/>
  <c r="I6" i="31"/>
  <c r="R1" i="31"/>
  <c r="B10" i="23"/>
  <c r="M32" i="31" s="1"/>
  <c r="B9" i="23"/>
  <c r="I13" i="31" s="1"/>
  <c r="F88" i="31" l="1"/>
  <c r="H87" i="31"/>
  <c r="H7" i="21"/>
  <c r="I7" i="21" s="1"/>
  <c r="J7" i="21" s="1"/>
  <c r="K7" i="21" s="1"/>
  <c r="S87" i="31" s="1"/>
  <c r="J86" i="31"/>
  <c r="L6" i="20"/>
  <c r="N6" i="20" s="1"/>
  <c r="N86" i="31" s="1"/>
  <c r="J85" i="31"/>
  <c r="H85" i="31"/>
  <c r="H84" i="31"/>
  <c r="F84" i="31"/>
  <c r="R76" i="31"/>
  <c r="R112" i="31" s="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05"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H12" i="21"/>
  <c r="I12" i="21" s="1"/>
  <c r="H21" i="21"/>
  <c r="I21" i="21" s="1"/>
  <c r="J21" i="21" s="1"/>
  <c r="K21" i="21" s="1"/>
  <c r="H22" i="21"/>
  <c r="I22" i="21" s="1"/>
  <c r="H23" i="21"/>
  <c r="I23" i="21" s="1"/>
  <c r="J23" i="21" s="1"/>
  <c r="K23" i="21" s="1"/>
  <c r="L23" i="21" s="1"/>
  <c r="H24" i="21"/>
  <c r="I24" i="21" s="1"/>
  <c r="H20" i="21"/>
  <c r="I20" i="21" s="1"/>
  <c r="B43" i="21"/>
  <c r="B44" i="21"/>
  <c r="B45" i="21"/>
  <c r="B46" i="21"/>
  <c r="B42" i="21"/>
  <c r="B36" i="21"/>
  <c r="B37" i="21"/>
  <c r="B38" i="21"/>
  <c r="B35" i="21"/>
  <c r="B29" i="21"/>
  <c r="B30" i="21"/>
  <c r="B31" i="21"/>
  <c r="B28" i="21"/>
  <c r="B21" i="21"/>
  <c r="B22" i="21"/>
  <c r="B23" i="21"/>
  <c r="B24" i="21"/>
  <c r="B20" i="21"/>
  <c r="B13" i="21"/>
  <c r="B14" i="21"/>
  <c r="B15" i="21"/>
  <c r="B16" i="21"/>
  <c r="B12" i="21"/>
  <c r="B5" i="21"/>
  <c r="B6" i="21"/>
  <c r="B7" i="21"/>
  <c r="B8" i="21"/>
  <c r="B4" i="21"/>
  <c r="L16" i="20"/>
  <c r="N16" i="20" s="1"/>
  <c r="N108" i="31" s="1"/>
  <c r="L17" i="20"/>
  <c r="L109" i="31" s="1"/>
  <c r="J106" i="31"/>
  <c r="J107" i="31"/>
  <c r="J108" i="31"/>
  <c r="J109" i="31"/>
  <c r="J105" i="31"/>
  <c r="H106" i="31"/>
  <c r="H107" i="31"/>
  <c r="H108" i="31"/>
  <c r="H109" i="31"/>
  <c r="H105" i="31"/>
  <c r="F106" i="31"/>
  <c r="F107" i="31"/>
  <c r="F108" i="31"/>
  <c r="F109" i="31"/>
  <c r="F105" i="31"/>
  <c r="D106" i="31"/>
  <c r="D107" i="31"/>
  <c r="D108" i="31"/>
  <c r="D109" i="31"/>
  <c r="D105" i="31"/>
  <c r="B106" i="31"/>
  <c r="B107" i="31"/>
  <c r="B108" i="31"/>
  <c r="B109" i="31"/>
  <c r="B105" i="31"/>
  <c r="J96" i="31"/>
  <c r="J97" i="31"/>
  <c r="J98" i="31"/>
  <c r="J95" i="31"/>
  <c r="H96" i="31"/>
  <c r="H97" i="31"/>
  <c r="H98" i="31"/>
  <c r="H95" i="31"/>
  <c r="F96" i="31"/>
  <c r="F97" i="31"/>
  <c r="F98" i="31"/>
  <c r="F95" i="31"/>
  <c r="D96" i="31"/>
  <c r="D97" i="31"/>
  <c r="D98" i="31"/>
  <c r="D95" i="31"/>
  <c r="L14" i="20"/>
  <c r="L106" i="31" s="1"/>
  <c r="L15" i="20"/>
  <c r="N15" i="20" s="1"/>
  <c r="N107" i="31" s="1"/>
  <c r="L13" i="20"/>
  <c r="L105" i="31" s="1"/>
  <c r="AB7" i="20"/>
  <c r="L98" i="31" s="1"/>
  <c r="AB5" i="20"/>
  <c r="L96" i="31" s="1"/>
  <c r="AB6" i="20"/>
  <c r="L97" i="31" s="1"/>
  <c r="AB4" i="20"/>
  <c r="L95" i="31" s="1"/>
  <c r="L5" i="20"/>
  <c r="L85" i="31" s="1"/>
  <c r="J87" i="31"/>
  <c r="J84" i="31"/>
  <c r="H88" i="31"/>
  <c r="D85" i="31"/>
  <c r="D86" i="31"/>
  <c r="D87" i="31"/>
  <c r="D88" i="31"/>
  <c r="D84" i="31"/>
  <c r="B96" i="31"/>
  <c r="B97" i="31"/>
  <c r="B98" i="31"/>
  <c r="B95" i="31"/>
  <c r="L57" i="21"/>
  <c r="L50" i="21"/>
  <c r="L52" i="21"/>
  <c r="L56" i="21"/>
  <c r="J51" i="21"/>
  <c r="K51" i="21"/>
  <c r="B85" i="31"/>
  <c r="B86" i="31"/>
  <c r="B87" i="31"/>
  <c r="B88" i="31"/>
  <c r="B84" i="31"/>
  <c r="L51" i="21"/>
  <c r="N46" i="31"/>
  <c r="K46" i="31"/>
  <c r="I46" i="31"/>
  <c r="F46" i="31"/>
  <c r="M31" i="31"/>
  <c r="I18" i="31"/>
  <c r="I19" i="31"/>
  <c r="I20" i="31"/>
  <c r="I21" i="31"/>
  <c r="O76" i="31"/>
  <c r="O112" i="31" s="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H5" i="21" l="1"/>
  <c r="I5" i="21" s="1"/>
  <c r="J5" i="21" s="1"/>
  <c r="K5" i="21" s="1"/>
  <c r="S85" i="31" s="1"/>
  <c r="F85" i="31"/>
  <c r="L8" i="20"/>
  <c r="L88" i="31" s="1"/>
  <c r="F87" i="31"/>
  <c r="L7" i="20"/>
  <c r="N7" i="20" s="1"/>
  <c r="N87" i="31" s="1"/>
  <c r="L4" i="20"/>
  <c r="L84" i="31" s="1"/>
  <c r="H86" i="31"/>
  <c r="H4" i="21"/>
  <c r="I4" i="21" s="1"/>
  <c r="J4" i="21" s="1"/>
  <c r="K4" i="21" s="1"/>
  <c r="S84" i="31" s="1"/>
  <c r="H6" i="21"/>
  <c r="I6" i="21" s="1"/>
  <c r="J6" i="21" s="1"/>
  <c r="K6" i="21" s="1"/>
  <c r="S86" i="31" s="1"/>
  <c r="J88" i="31"/>
  <c r="F86" i="31"/>
  <c r="H8" i="21"/>
  <c r="I8" i="21" s="1"/>
  <c r="J8" i="21" s="1"/>
  <c r="K8" i="21" s="1"/>
  <c r="S88" i="31" s="1"/>
  <c r="AD5" i="20"/>
  <c r="N96" i="31" s="1"/>
  <c r="B50" i="21"/>
  <c r="L14" i="21"/>
  <c r="A324" i="29" s="1"/>
  <c r="E326" i="29" s="1"/>
  <c r="F329" i="29" s="1"/>
  <c r="N14" i="20"/>
  <c r="N106" i="31" s="1"/>
  <c r="N13" i="20"/>
  <c r="N105" i="31" s="1"/>
  <c r="L31" i="21"/>
  <c r="J12" i="21"/>
  <c r="K12" i="21" s="1"/>
  <c r="L12" i="21" s="1"/>
  <c r="A244" i="29" s="1"/>
  <c r="L21" i="21"/>
  <c r="J46" i="21"/>
  <c r="K46" i="21" s="1"/>
  <c r="S109" i="31" s="1"/>
  <c r="J36" i="21"/>
  <c r="K36" i="21" s="1"/>
  <c r="S96" i="31" s="1"/>
  <c r="J366" i="29"/>
  <c r="J367" i="29"/>
  <c r="E369" i="29"/>
  <c r="E366" i="29"/>
  <c r="F369" i="29" s="1"/>
  <c r="C372" i="29"/>
  <c r="D372" i="29" s="1"/>
  <c r="E372" i="29" s="1"/>
  <c r="B364" i="29"/>
  <c r="J43" i="21"/>
  <c r="K43" i="21" s="1"/>
  <c r="S106" i="31" s="1"/>
  <c r="J29" i="21"/>
  <c r="K29" i="21" s="1"/>
  <c r="C363" i="29"/>
  <c r="D363" i="29" s="1"/>
  <c r="J20" i="21"/>
  <c r="K20" i="21" s="1"/>
  <c r="L20" i="21" s="1"/>
  <c r="L13" i="21"/>
  <c r="A284" i="29" s="1"/>
  <c r="J28" i="21"/>
  <c r="K28" i="21" s="1"/>
  <c r="L16" i="21"/>
  <c r="A404" i="29" s="1"/>
  <c r="J30" i="21"/>
  <c r="K30" i="21" s="1"/>
  <c r="N17" i="20"/>
  <c r="N109" i="31" s="1"/>
  <c r="J24" i="21"/>
  <c r="K24" i="21" s="1"/>
  <c r="L24" i="21" s="1"/>
  <c r="J22" i="21"/>
  <c r="K22" i="21" s="1"/>
  <c r="L22" i="21" s="1"/>
  <c r="AD7" i="20"/>
  <c r="N98" i="31" s="1"/>
  <c r="J38" i="21"/>
  <c r="K38" i="21" s="1"/>
  <c r="S98" i="31" s="1"/>
  <c r="AD6" i="20"/>
  <c r="N97" i="31" s="1"/>
  <c r="J37" i="21"/>
  <c r="K37" i="21" s="1"/>
  <c r="S97" i="31" s="1"/>
  <c r="N5" i="20"/>
  <c r="N85" i="31" s="1"/>
  <c r="R38" i="31"/>
  <c r="L108" i="31"/>
  <c r="J45" i="21"/>
  <c r="K45" i="21" s="1"/>
  <c r="S108" i="31" s="1"/>
  <c r="J44" i="21"/>
  <c r="K44" i="21" s="1"/>
  <c r="S107" i="31" s="1"/>
  <c r="L107" i="31"/>
  <c r="S105" i="31"/>
  <c r="AD4" i="20"/>
  <c r="N95" i="31" s="1"/>
  <c r="J35" i="21"/>
  <c r="K35" i="21" s="1"/>
  <c r="S95" i="31" s="1"/>
  <c r="L7" i="21"/>
  <c r="L86" i="31"/>
  <c r="N8" i="20" l="1"/>
  <c r="N88" i="31" s="1"/>
  <c r="L5" i="21"/>
  <c r="L87" i="31"/>
  <c r="N4" i="20"/>
  <c r="N84" i="31" s="1"/>
  <c r="L8" i="21"/>
  <c r="A124" i="29" s="1"/>
  <c r="E329" i="29"/>
  <c r="J326" i="29"/>
  <c r="J327" i="29"/>
  <c r="C332" i="29"/>
  <c r="D332" i="29" s="1"/>
  <c r="E332" i="29" s="1"/>
  <c r="B324" i="29"/>
  <c r="C323" i="29"/>
  <c r="D323" i="29" s="1"/>
  <c r="D324" i="29" s="1"/>
  <c r="G326" i="29"/>
  <c r="H326" i="29" s="1"/>
  <c r="L29" i="21"/>
  <c r="G366" i="29"/>
  <c r="H366" i="29" s="1"/>
  <c r="J247" i="29"/>
  <c r="B244" i="29"/>
  <c r="E249" i="29"/>
  <c r="C252" i="29"/>
  <c r="D252" i="29" s="1"/>
  <c r="E252" i="29" s="1"/>
  <c r="E246" i="29"/>
  <c r="F249" i="29" s="1"/>
  <c r="J246" i="29"/>
  <c r="C243" i="29"/>
  <c r="D243" i="29" s="1"/>
  <c r="E243" i="29" s="1"/>
  <c r="F243" i="29" s="1"/>
  <c r="C246" i="29" s="1"/>
  <c r="B404" i="29"/>
  <c r="E406" i="29"/>
  <c r="F409" i="29" s="1"/>
  <c r="J406" i="29"/>
  <c r="C403" i="29"/>
  <c r="D403" i="29" s="1"/>
  <c r="E409" i="29"/>
  <c r="J407" i="29"/>
  <c r="C412" i="29"/>
  <c r="D412" i="29" s="1"/>
  <c r="E412" i="29" s="1"/>
  <c r="L46" i="21"/>
  <c r="P109" i="31" s="1"/>
  <c r="L30" i="21"/>
  <c r="E363" i="29"/>
  <c r="F363" i="29" s="1"/>
  <c r="C366" i="29" s="1"/>
  <c r="D364" i="29"/>
  <c r="C283" i="29"/>
  <c r="D283" i="29" s="1"/>
  <c r="J287" i="29"/>
  <c r="E286" i="29"/>
  <c r="F289" i="29" s="1"/>
  <c r="J286" i="29"/>
  <c r="E289" i="29"/>
  <c r="B284" i="29"/>
  <c r="C292" i="29"/>
  <c r="D292" i="29" s="1"/>
  <c r="E292" i="29" s="1"/>
  <c r="L36" i="21"/>
  <c r="P96" i="31" s="1"/>
  <c r="L28" i="21"/>
  <c r="L43" i="21"/>
  <c r="P106" i="31" s="1"/>
  <c r="L38" i="21"/>
  <c r="P98" i="31" s="1"/>
  <c r="L37" i="21"/>
  <c r="P97" i="31" s="1"/>
  <c r="L45" i="21"/>
  <c r="P108" i="31" s="1"/>
  <c r="L44" i="21"/>
  <c r="P107" i="31" s="1"/>
  <c r="L35" i="21"/>
  <c r="P95" i="31" s="1"/>
  <c r="P87" i="31"/>
  <c r="A83" i="29"/>
  <c r="L6" i="21"/>
  <c r="L4" i="21"/>
  <c r="P84" i="31" s="1"/>
  <c r="P85" i="31" l="1"/>
  <c r="A3" i="29"/>
  <c r="C2" i="29" s="1"/>
  <c r="D2" i="29" s="1"/>
  <c r="P88" i="31"/>
  <c r="E323" i="29"/>
  <c r="F323" i="29" s="1"/>
  <c r="C326" i="29" s="1"/>
  <c r="C327" i="29" s="1"/>
  <c r="C328" i="29" s="1"/>
  <c r="F326" i="29"/>
  <c r="F366" i="29"/>
  <c r="G406" i="29"/>
  <c r="F406" i="29" s="1"/>
  <c r="D244" i="29"/>
  <c r="G246" i="29"/>
  <c r="D326" i="29"/>
  <c r="C247" i="29"/>
  <c r="C248" i="29" s="1"/>
  <c r="D246" i="29"/>
  <c r="E283" i="29"/>
  <c r="F283" i="29" s="1"/>
  <c r="C286" i="29" s="1"/>
  <c r="D284" i="29"/>
  <c r="D404" i="29"/>
  <c r="E403" i="29"/>
  <c r="F403" i="29" s="1"/>
  <c r="C406" i="29" s="1"/>
  <c r="D366" i="29"/>
  <c r="C367" i="29"/>
  <c r="C368" i="29" s="1"/>
  <c r="G286" i="29"/>
  <c r="H286" i="29" s="1"/>
  <c r="E126" i="29"/>
  <c r="F129" i="29" s="1"/>
  <c r="J127" i="29"/>
  <c r="J126" i="29"/>
  <c r="C132" i="29"/>
  <c r="D132" i="29" s="1"/>
  <c r="E132" i="29" s="1"/>
  <c r="E129" i="29"/>
  <c r="C123" i="29"/>
  <c r="D123" i="29" s="1"/>
  <c r="E85" i="29"/>
  <c r="F88" i="29" s="1"/>
  <c r="E88" i="29"/>
  <c r="J85" i="29"/>
  <c r="J86" i="29"/>
  <c r="C91" i="29"/>
  <c r="D91" i="29" s="1"/>
  <c r="E91" i="29" s="1"/>
  <c r="C82" i="29"/>
  <c r="D82" i="29" s="1"/>
  <c r="A43" i="29"/>
  <c r="P86" i="31"/>
  <c r="C11" i="29"/>
  <c r="D11" i="29" s="1"/>
  <c r="E11" i="29" s="1"/>
  <c r="J6" i="29"/>
  <c r="E5" i="29"/>
  <c r="F8" i="29" s="1"/>
  <c r="J5" i="29"/>
  <c r="E8" i="29" l="1"/>
  <c r="G5" i="29" s="1"/>
  <c r="H5" i="29" s="1"/>
  <c r="H406" i="29"/>
  <c r="F246" i="29"/>
  <c r="H24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G126" i="29"/>
  <c r="F126" i="29" s="1"/>
  <c r="E123" i="29"/>
  <c r="F123" i="29" s="1"/>
  <c r="C126" i="29" s="1"/>
  <c r="D124" i="29"/>
  <c r="G85" i="29"/>
  <c r="H85" i="29" s="1"/>
  <c r="D83" i="29"/>
  <c r="E82" i="29"/>
  <c r="F82" i="29" s="1"/>
  <c r="C85" i="29" s="1"/>
  <c r="C42" i="29"/>
  <c r="D42" i="29" s="1"/>
  <c r="E45" i="29"/>
  <c r="F48" i="29" s="1"/>
  <c r="J45" i="29"/>
  <c r="C51" i="29"/>
  <c r="D51" i="29" s="1"/>
  <c r="E51" i="29" s="1"/>
  <c r="E48" i="29"/>
  <c r="J46" i="29"/>
  <c r="D3" i="29"/>
  <c r="E2" i="29"/>
  <c r="F2" i="29" s="1"/>
  <c r="C5" i="29" s="1"/>
  <c r="D407" i="29" l="1"/>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F5" i="29"/>
  <c r="H126" i="29"/>
  <c r="C127" i="29"/>
  <c r="C128" i="29" s="1"/>
  <c r="D126" i="29"/>
  <c r="C86" i="29"/>
  <c r="C87" i="29" s="1"/>
  <c r="D85" i="29"/>
  <c r="F85" i="29"/>
  <c r="G45" i="29"/>
  <c r="H45" i="29" s="1"/>
  <c r="E42" i="29"/>
  <c r="F42" i="29" s="1"/>
  <c r="C45" i="29" s="1"/>
  <c r="D43" i="29"/>
  <c r="C6" i="29"/>
  <c r="C7" i="29" s="1"/>
  <c r="D5" i="29"/>
  <c r="G254" i="29" l="1"/>
  <c r="C375" i="29"/>
  <c r="C376" i="29" s="1"/>
  <c r="K374" i="29" s="1"/>
  <c r="A380" i="29" s="1"/>
  <c r="D374" i="29"/>
  <c r="J414" i="29"/>
  <c r="E414" i="29"/>
  <c r="F417" i="29" s="1"/>
  <c r="J415" i="29"/>
  <c r="E417" i="29"/>
  <c r="G414" i="29" s="1"/>
  <c r="H414" i="29" s="1"/>
  <c r="C420" i="29"/>
  <c r="D420" i="29" s="1"/>
  <c r="E420" i="29" s="1"/>
  <c r="C414" i="29"/>
  <c r="C255" i="29"/>
  <c r="C256" i="29" s="1"/>
  <c r="K254" i="29" s="1"/>
  <c r="A260" i="29" s="1"/>
  <c r="D254" i="29"/>
  <c r="C300" i="29"/>
  <c r="D300" i="29" s="1"/>
  <c r="E300" i="29" s="1"/>
  <c r="J295" i="29"/>
  <c r="C294" i="29"/>
  <c r="E297" i="29"/>
  <c r="J294" i="29"/>
  <c r="E294" i="29"/>
  <c r="F297" i="29" s="1"/>
  <c r="G334" i="29"/>
  <c r="H334" i="29" s="1"/>
  <c r="D334" i="29"/>
  <c r="C335" i="29"/>
  <c r="C336" i="29" s="1"/>
  <c r="K334" i="29" s="1"/>
  <c r="A340" i="29" s="1"/>
  <c r="G374" i="29"/>
  <c r="H374" i="29" s="1"/>
  <c r="F45" i="29"/>
  <c r="D129" i="29"/>
  <c r="H123" i="29" s="1"/>
  <c r="D127" i="29"/>
  <c r="D86" i="29"/>
  <c r="D88" i="29"/>
  <c r="H82" i="29" s="1"/>
  <c r="D45" i="29"/>
  <c r="C46" i="29"/>
  <c r="C47" i="29" s="1"/>
  <c r="D8" i="29"/>
  <c r="H2" i="29" s="1"/>
  <c r="D6" i="29"/>
  <c r="G294" i="29" l="1"/>
  <c r="H294" i="29" s="1"/>
  <c r="F374" i="29"/>
  <c r="F254" i="29"/>
  <c r="H254" i="29"/>
  <c r="C262" i="29"/>
  <c r="E262" i="29"/>
  <c r="F265" i="29" s="1"/>
  <c r="J262" i="29"/>
  <c r="C268" i="29"/>
  <c r="D268" i="29" s="1"/>
  <c r="E268" i="29" s="1"/>
  <c r="J263" i="29"/>
  <c r="E265"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E382" i="29"/>
  <c r="F385" i="29" s="1"/>
  <c r="C382" i="29"/>
  <c r="J382" i="29"/>
  <c r="E385" i="29"/>
  <c r="J383" i="29"/>
  <c r="C388" i="29"/>
  <c r="D388" i="29" s="1"/>
  <c r="E388" i="29" s="1"/>
  <c r="F294" i="29"/>
  <c r="F414" i="29"/>
  <c r="F334" i="29"/>
  <c r="K126" i="29"/>
  <c r="A132" i="29" s="1"/>
  <c r="C140" i="29" s="1"/>
  <c r="D140" i="29" s="1"/>
  <c r="E140" i="29" s="1"/>
  <c r="K85" i="29"/>
  <c r="A91" i="29" s="1"/>
  <c r="C93" i="29" s="1"/>
  <c r="D48" i="29"/>
  <c r="K45" i="29" s="1"/>
  <c r="A51" i="29" s="1"/>
  <c r="D46" i="29"/>
  <c r="K5" i="29"/>
  <c r="A11" i="29" s="1"/>
  <c r="J14" i="29" s="1"/>
  <c r="G382" i="29" l="1"/>
  <c r="H382" i="29" s="1"/>
  <c r="G262" i="29"/>
  <c r="H262" i="29" s="1"/>
  <c r="C383" i="29"/>
  <c r="C384" i="29" s="1"/>
  <c r="K382" i="29" s="1"/>
  <c r="A388" i="29" s="1"/>
  <c r="D382" i="29"/>
  <c r="J423" i="29"/>
  <c r="E425" i="29"/>
  <c r="E422" i="29"/>
  <c r="F425" i="29" s="1"/>
  <c r="J422" i="29"/>
  <c r="C422" i="29"/>
  <c r="C428" i="29"/>
  <c r="D428" i="29" s="1"/>
  <c r="E428" i="29" s="1"/>
  <c r="D342" i="29"/>
  <c r="C343" i="29"/>
  <c r="C344" i="29" s="1"/>
  <c r="K342" i="29" s="1"/>
  <c r="A348" i="29" s="1"/>
  <c r="F262" i="29"/>
  <c r="F382" i="29"/>
  <c r="D415" i="29"/>
  <c r="D417" i="29"/>
  <c r="E302" i="29"/>
  <c r="F305" i="29" s="1"/>
  <c r="C302" i="29"/>
  <c r="C308" i="29"/>
  <c r="D308" i="29" s="1"/>
  <c r="E308" i="29" s="1"/>
  <c r="J303" i="29"/>
  <c r="E305" i="29"/>
  <c r="J302" i="29"/>
  <c r="G342" i="29"/>
  <c r="H342" i="29" s="1"/>
  <c r="D297" i="29"/>
  <c r="D295" i="29"/>
  <c r="D262" i="29"/>
  <c r="C263" i="29"/>
  <c r="C264" i="29" s="1"/>
  <c r="K262" i="29" s="1"/>
  <c r="A268" i="29" s="1"/>
  <c r="C13" i="29"/>
  <c r="C14" i="29" s="1"/>
  <c r="C15" i="29" s="1"/>
  <c r="K13" i="29" s="1"/>
  <c r="A19" i="29" s="1"/>
  <c r="C19" i="29"/>
  <c r="D19" i="29" s="1"/>
  <c r="E19" i="29" s="1"/>
  <c r="E13" i="29"/>
  <c r="F16" i="29" s="1"/>
  <c r="J13" i="29"/>
  <c r="J135" i="29"/>
  <c r="E137" i="29"/>
  <c r="C134" i="29"/>
  <c r="D134" i="29" s="1"/>
  <c r="E134" i="29"/>
  <c r="F137" i="29" s="1"/>
  <c r="J134" i="29"/>
  <c r="J93" i="29"/>
  <c r="E93" i="29"/>
  <c r="F96" i="29" s="1"/>
  <c r="E96" i="29"/>
  <c r="J94" i="29"/>
  <c r="C99" i="29"/>
  <c r="D99" i="29" s="1"/>
  <c r="E99" i="29" s="1"/>
  <c r="C94" i="29"/>
  <c r="C95" i="29" s="1"/>
  <c r="D93" i="29"/>
  <c r="H42" i="29"/>
  <c r="C59" i="29"/>
  <c r="D59" i="29" s="1"/>
  <c r="E59" i="29" s="1"/>
  <c r="E53" i="29"/>
  <c r="F56" i="29" s="1"/>
  <c r="C53" i="29"/>
  <c r="J53" i="29"/>
  <c r="E56" i="29"/>
  <c r="J54" i="29"/>
  <c r="E16" i="29"/>
  <c r="D13" i="29" l="1"/>
  <c r="G302" i="29"/>
  <c r="H302" i="29" s="1"/>
  <c r="F342" i="29"/>
  <c r="G93" i="29"/>
  <c r="H93" i="29" s="1"/>
  <c r="G13" i="29"/>
  <c r="F13" i="29" s="1"/>
  <c r="J270" i="29"/>
  <c r="E270" i="29"/>
  <c r="F273" i="29" s="1"/>
  <c r="E273" i="29"/>
  <c r="G270" i="29" s="1"/>
  <c r="H270" i="29" s="1"/>
  <c r="C276" i="29"/>
  <c r="D276" i="29" s="1"/>
  <c r="E276" i="29" s="1"/>
  <c r="J271" i="29"/>
  <c r="C270" i="29"/>
  <c r="D263" i="29"/>
  <c r="D265" i="29"/>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G134" i="29"/>
  <c r="H134" i="29" s="1"/>
  <c r="C135" i="29"/>
  <c r="C136" i="29" s="1"/>
  <c r="D135" i="29"/>
  <c r="D137" i="29"/>
  <c r="D96" i="29"/>
  <c r="K93" i="29" s="1"/>
  <c r="A99" i="29" s="1"/>
  <c r="D94" i="29"/>
  <c r="G53" i="29"/>
  <c r="H53" i="29" s="1"/>
  <c r="D53" i="29"/>
  <c r="C54" i="29"/>
  <c r="C55" i="29" s="1"/>
  <c r="D14" i="29"/>
  <c r="D16" i="29"/>
  <c r="J22" i="29"/>
  <c r="E24" i="29"/>
  <c r="C21" i="29"/>
  <c r="E21" i="29"/>
  <c r="F24" i="29" s="1"/>
  <c r="J21" i="29"/>
  <c r="C27" i="29"/>
  <c r="D27" i="29" s="1"/>
  <c r="E27" i="29" s="1"/>
  <c r="H13" i="29" l="1"/>
  <c r="F93" i="29"/>
  <c r="F302" i="29"/>
  <c r="F134" i="29"/>
  <c r="G390" i="29"/>
  <c r="F390" i="29" s="1"/>
  <c r="F270" i="29"/>
  <c r="D350" i="29"/>
  <c r="C351" i="29"/>
  <c r="C352" i="29" s="1"/>
  <c r="K350" i="29" s="1"/>
  <c r="A356" i="29" s="1"/>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C271" i="29"/>
  <c r="C272" i="29" s="1"/>
  <c r="K270" i="29" s="1"/>
  <c r="A276" i="29" s="1"/>
  <c r="D270" i="29"/>
  <c r="K134" i="29"/>
  <c r="A140" i="29" s="1"/>
  <c r="C148" i="29" s="1"/>
  <c r="D148" i="29" s="1"/>
  <c r="E148" i="29" s="1"/>
  <c r="F53" i="29"/>
  <c r="C107" i="29"/>
  <c r="D107" i="29" s="1"/>
  <c r="E107" i="29" s="1"/>
  <c r="J102" i="29"/>
  <c r="E104" i="29"/>
  <c r="E101" i="29"/>
  <c r="F104" i="29" s="1"/>
  <c r="C101" i="29"/>
  <c r="D101" i="29" s="1"/>
  <c r="J101" i="29"/>
  <c r="D54" i="29"/>
  <c r="D56" i="29"/>
  <c r="K53" i="29" s="1"/>
  <c r="A59" i="29" s="1"/>
  <c r="G21" i="29"/>
  <c r="H21" i="29" s="1"/>
  <c r="D21" i="29"/>
  <c r="C22" i="29"/>
  <c r="C23" i="29" s="1"/>
  <c r="H390" i="29" l="1"/>
  <c r="G310" i="29"/>
  <c r="H310" i="29" s="1"/>
  <c r="G101" i="29"/>
  <c r="H101" i="29" s="1"/>
  <c r="C311" i="29"/>
  <c r="C312" i="29" s="1"/>
  <c r="K310" i="29" s="1"/>
  <c r="A316" i="29" s="1"/>
  <c r="D310" i="29"/>
  <c r="D273" i="29"/>
  <c r="D271"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K278" i="29" s="1"/>
  <c r="J279" i="29"/>
  <c r="D430" i="29"/>
  <c r="C431" i="29"/>
  <c r="C432" i="29" s="1"/>
  <c r="K430" i="29" s="1"/>
  <c r="A436" i="29" s="1"/>
  <c r="F310" i="29"/>
  <c r="J142" i="29"/>
  <c r="F350" i="29"/>
  <c r="G430" i="29"/>
  <c r="D351" i="29"/>
  <c r="D353" i="29"/>
  <c r="J143" i="29"/>
  <c r="E145" i="29"/>
  <c r="C142" i="29"/>
  <c r="D142" i="29" s="1"/>
  <c r="D143" i="29" s="1"/>
  <c r="E142" i="29"/>
  <c r="F145" i="29" s="1"/>
  <c r="J61" i="29"/>
  <c r="E61" i="29"/>
  <c r="F64" i="29" s="1"/>
  <c r="J62" i="29"/>
  <c r="C67" i="29"/>
  <c r="D67" i="29" s="1"/>
  <c r="E67" i="29" s="1"/>
  <c r="E64" i="29"/>
  <c r="C61" i="29"/>
  <c r="D61" i="29" s="1"/>
  <c r="F21" i="29"/>
  <c r="C102" i="29"/>
  <c r="C103" i="29" s="1"/>
  <c r="K101" i="29" s="1"/>
  <c r="A107" i="29" s="1"/>
  <c r="D104" i="29"/>
  <c r="D102" i="29"/>
  <c r="D22" i="29"/>
  <c r="D24" i="29"/>
  <c r="K21" i="29" s="1"/>
  <c r="A27" i="29" s="1"/>
  <c r="F101" i="29" l="1"/>
  <c r="D145" i="29"/>
  <c r="G142" i="29"/>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C143" i="29"/>
  <c r="C144" i="29" s="1"/>
  <c r="K142" i="29" s="1"/>
  <c r="A148" i="29" s="1"/>
  <c r="E153" i="29" s="1"/>
  <c r="G61" i="29"/>
  <c r="H61" i="29" s="1"/>
  <c r="C62" i="29"/>
  <c r="C63" i="29" s="1"/>
  <c r="J109" i="29"/>
  <c r="C109" i="29"/>
  <c r="E109" i="29"/>
  <c r="F112" i="29" s="1"/>
  <c r="C115" i="29"/>
  <c r="D115" i="29" s="1"/>
  <c r="E115" i="29" s="1"/>
  <c r="J110" i="29"/>
  <c r="E112" i="29"/>
  <c r="D62" i="29"/>
  <c r="D64" i="29"/>
  <c r="C29" i="29"/>
  <c r="E29" i="29"/>
  <c r="F32" i="29" s="1"/>
  <c r="E32" i="29"/>
  <c r="J30" i="29"/>
  <c r="J29" i="29"/>
  <c r="C35" i="29"/>
  <c r="D35" i="29" s="1"/>
  <c r="E35" i="29" s="1"/>
  <c r="H142" i="29" l="1"/>
  <c r="F142" i="29"/>
  <c r="F61" i="29"/>
  <c r="F358" i="29"/>
  <c r="H278" i="29"/>
  <c r="F278" i="29"/>
  <c r="D399" i="29"/>
  <c r="D401" i="29"/>
  <c r="D279" i="29"/>
  <c r="D281" i="29"/>
  <c r="D318" i="29"/>
  <c r="F321" i="29"/>
  <c r="G318" i="29" s="1"/>
  <c r="H318" i="29" s="1"/>
  <c r="D359" i="29"/>
  <c r="D361" i="29"/>
  <c r="F441" i="29"/>
  <c r="G438" i="29" s="1"/>
  <c r="D438" i="29"/>
  <c r="F398" i="29"/>
  <c r="J150" i="29"/>
  <c r="J151" i="29"/>
  <c r="C150" i="29"/>
  <c r="C151" i="29" s="1"/>
  <c r="C152" i="29" s="1"/>
  <c r="C156" i="29"/>
  <c r="D156" i="29" s="1"/>
  <c r="E156" i="29" s="1"/>
  <c r="E150" i="29"/>
  <c r="F153" i="29" s="1"/>
  <c r="G150" i="29" s="1"/>
  <c r="H150" i="29" s="1"/>
  <c r="K61" i="29"/>
  <c r="A67" i="29" s="1"/>
  <c r="J70" i="29" s="1"/>
  <c r="G109" i="29"/>
  <c r="H109" i="29" s="1"/>
  <c r="C110" i="29"/>
  <c r="C111" i="29" s="1"/>
  <c r="K109" i="29" s="1"/>
  <c r="D109" i="29"/>
  <c r="G29" i="29"/>
  <c r="H29" i="29" s="1"/>
  <c r="C30" i="29"/>
  <c r="C31" i="29" s="1"/>
  <c r="K29" i="29" s="1"/>
  <c r="D29" i="29"/>
  <c r="F318" i="29" l="1"/>
  <c r="K150" i="29"/>
  <c r="A156" i="29" s="1"/>
  <c r="J159" i="29" s="1"/>
  <c r="H438" i="29"/>
  <c r="F438" i="29"/>
  <c r="D441" i="29"/>
  <c r="D439" i="29"/>
  <c r="D321" i="29"/>
  <c r="D319" i="29"/>
  <c r="F150" i="29"/>
  <c r="D150" i="29"/>
  <c r="D151" i="29" s="1"/>
  <c r="C69" i="29"/>
  <c r="D69" i="29" s="1"/>
  <c r="C75" i="29"/>
  <c r="D75" i="29" s="1"/>
  <c r="E75" i="29" s="1"/>
  <c r="J69" i="29"/>
  <c r="E72" i="29"/>
  <c r="E69" i="29"/>
  <c r="F72" i="29" s="1"/>
  <c r="B124" i="29"/>
  <c r="F109" i="29"/>
  <c r="A115" i="29"/>
  <c r="E117" i="29" s="1"/>
  <c r="B83" i="29"/>
  <c r="D110" i="29"/>
  <c r="D112" i="29"/>
  <c r="D30" i="29"/>
  <c r="D32" i="29"/>
  <c r="A35" i="29"/>
  <c r="F29" i="29"/>
  <c r="C70" i="29" l="1"/>
  <c r="C71" i="29" s="1"/>
  <c r="K69" i="29" s="1"/>
  <c r="A75" i="29" s="1"/>
  <c r="G69" i="29"/>
  <c r="H69" i="29" s="1"/>
  <c r="D153" i="29"/>
  <c r="E158" i="29"/>
  <c r="F161" i="29" s="1"/>
  <c r="E161" i="29"/>
  <c r="C158" i="29"/>
  <c r="C159" i="29" s="1"/>
  <c r="C160" i="29" s="1"/>
  <c r="K158" i="29" s="1"/>
  <c r="J158" i="29"/>
  <c r="E120" i="29"/>
  <c r="J117" i="29"/>
  <c r="C117" i="29"/>
  <c r="C118" i="29" s="1"/>
  <c r="C119" i="29" s="1"/>
  <c r="J118" i="29"/>
  <c r="D117" i="29"/>
  <c r="F120" i="29"/>
  <c r="D72" i="29"/>
  <c r="D70" i="29"/>
  <c r="B43" i="29"/>
  <c r="J37" i="29"/>
  <c r="C37" i="29"/>
  <c r="C38" i="29" s="1"/>
  <c r="C39" i="29" s="1"/>
  <c r="E37" i="29"/>
  <c r="J38" i="29"/>
  <c r="E40" i="29"/>
  <c r="F69" i="29" l="1"/>
  <c r="G158" i="29"/>
  <c r="H158" i="29" s="1"/>
  <c r="D158" i="29"/>
  <c r="D159" i="29" s="1"/>
  <c r="K117" i="29"/>
  <c r="G117" i="29"/>
  <c r="H117" i="29" s="1"/>
  <c r="D118" i="29"/>
  <c r="D120" i="29"/>
  <c r="J77" i="29"/>
  <c r="E80" i="29"/>
  <c r="J78" i="29"/>
  <c r="E77" i="29"/>
  <c r="C77" i="29"/>
  <c r="C78" i="29" s="1"/>
  <c r="C79" i="29" s="1"/>
  <c r="D37" i="29"/>
  <c r="F40" i="29"/>
  <c r="G37" i="29" s="1"/>
  <c r="D161" i="29" l="1"/>
  <c r="F158" i="29"/>
  <c r="F117" i="29"/>
  <c r="F80" i="29"/>
  <c r="G77" i="29" s="1"/>
  <c r="D77" i="29"/>
  <c r="H37" i="29"/>
  <c r="F37" i="29"/>
  <c r="D38" i="29"/>
  <c r="D40" i="29"/>
  <c r="K37" i="29" s="1"/>
  <c r="B3" i="29" s="1"/>
  <c r="H77" i="29" l="1"/>
  <c r="F77" i="29"/>
  <c r="D78" i="29"/>
  <c r="D80" i="29"/>
  <c r="K77" i="29" s="1"/>
</calcChain>
</file>

<file path=xl/sharedStrings.xml><?xml version="1.0" encoding="utf-8"?>
<sst xmlns="http://schemas.openxmlformats.org/spreadsheetml/2006/main" count="1138" uniqueCount="229">
  <si>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</si>
  <si>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</si>
  <si>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</si>
  <si>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</si>
  <si>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</si>
  <si>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</si>
  <si>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</si>
  <si>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</si>
  <si>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</si>
  <si>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</si>
  <si>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</si>
  <si>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</si>
  <si>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</si>
  <si>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</si>
  <si>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</si>
  <si>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</si>
  <si>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</si>
  <si>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</si>
  <si>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</si>
  <si>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</si>
  <si>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</si>
  <si>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</si>
  <si>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</si>
  <si>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</si>
  <si>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</si>
  <si>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</si>
  <si>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</si>
  <si>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</si>
  <si>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</si>
  <si>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</si>
  <si>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</si>
  <si>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</si>
  <si>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</si>
  <si>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</si>
  <si>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</si>
  <si>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</si>
  <si>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</si>
  <si>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</si>
  <si>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</si>
  <si>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</si>
  <si>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</si>
  <si>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</si>
  <si>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</si>
  <si>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</si>
  <si>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</si>
  <si>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</si>
  <si>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</si>
  <si>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</si>
  <si>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</si>
  <si>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</si>
  <si>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</si>
  <si>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</si>
  <si>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</si>
  <si>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</si>
  <si>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</si>
  <si>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</si>
  <si>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</si>
  <si>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</si>
  <si>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</si>
  <si>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</si>
  <si>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</si>
  <si>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</si>
  <si>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</si>
  <si>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</si>
  <si>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</si>
  <si>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</si>
  <si>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</si>
  <si>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</si>
  <si>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</si>
  <si>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</si>
  <si>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</si>
  <si>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</si>
  <si>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</si>
  <si>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</si>
  <si>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</si>
  <si>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</si>
  <si>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</si>
  <si>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</si>
  <si>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</si>
  <si>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</si>
  <si>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</si>
  <si>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</si>
  <si>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</si>
  <si>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</si>
  <si>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</si>
  <si>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</si>
  <si>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</si>
  <si>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</si>
  <si>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</si>
  <si>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</si>
  <si>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</si>
  <si>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</si>
  <si>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</si>
  <si>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</si>
  <si>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</si>
  <si>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</si>
  <si>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</si>
  <si>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</si>
  <si>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</si>
  <si>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</si>
  <si>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</si>
  <si>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</si>
  <si>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</si>
  <si>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</si>
  <si>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</si>
  <si>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</si>
  <si>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</si>
  <si>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</si>
  <si>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</si>
  <si>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</si>
  <si>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</si>
  <si>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</si>
  <si>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</si>
  <si>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</si>
  <si>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</si>
  <si>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</si>
  <si>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</si>
  <si>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</si>
  <si>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</si>
  <si>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</si>
  <si>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</si>
  <si>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</si>
  <si>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</si>
  <si>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</si>
  <si>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</si>
  <si>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</si>
  <si>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</si>
  <si>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</si>
  <si>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</si>
  <si>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</si>
  <si>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</si>
  <si>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</si>
  <si>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</si>
  <si>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</si>
  <si>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</si>
  <si>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</si>
  <si>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</si>
  <si>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</si>
  <si>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</si>
  <si>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</si>
  <si>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</si>
  <si>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</si>
  <si>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</si>
  <si>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</si>
  <si>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</si>
  <si>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</si>
  <si>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</si>
  <si>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</si>
  <si>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</si>
  <si>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</si>
  <si>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</si>
  <si>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</si>
  <si>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</si>
  <si>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</si>
  <si>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</si>
  <si>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</si>
  <si>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</si>
  <si>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</si>
  <si>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</si>
  <si>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</si>
  <si>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</si>
  <si>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</si>
  <si>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</si>
  <si>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</si>
  <si>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</si>
  <si>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</si>
  <si>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</si>
  <si>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</si>
  <si>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 (SPO2)</t>
  </si>
  <si>
    <t>SPO2</t>
  </si>
  <si>
    <t>Patrón               (%)</t>
  </si>
  <si>
    <t>Lectura 1           (%)</t>
  </si>
  <si>
    <t>Lectura 2          (%)</t>
  </si>
  <si>
    <t>Lectura 3          (%)</t>
  </si>
  <si>
    <t>Lectura 4          (%)</t>
  </si>
  <si>
    <t>Promedio        (%)</t>
  </si>
  <si>
    <t>Error                   (%)</t>
  </si>
  <si>
    <t>FUENTES DE INCERTIDUMBRE PRESIÓN NO INVASIVA</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</si>
  <si>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</si>
  <si>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</si>
  <si>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</si>
  <si>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</si>
  <si>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</si>
  <si>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</si>
  <si>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</si>
  <si>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</si>
  <si>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</si>
  <si>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</si>
  <si>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</si>
  <si>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</si>
  <si>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</si>
  <si>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</si>
  <si>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</si>
  <si>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</si>
  <si>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</si>
  <si>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</si>
  <si>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Inventario</t>
  </si>
  <si>
    <t>REGULAR ESTADO</t>
  </si>
  <si>
    <t>MAL ESTADO</t>
  </si>
  <si>
    <t>30 a 245</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</si>
  <si>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</si>
  <si>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</si>
  <si>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</si>
  <si>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</si>
  <si>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</si>
  <si>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</si>
  <si>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</si>
  <si>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</si>
  <si>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</si>
  <si>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</si>
  <si>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</si>
  <si>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</si>
  <si>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</si>
  <si>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</si>
  <si>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</si>
  <si>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</si>
  <si>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</si>
  <si>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</si>
  <si>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Lectura 3 (Lat/min)</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</si>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</sst>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21">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8" fillId="14"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30" xfId="0" applyBorder="1" applyAlignment="1">
      <alignment vertical="center"/>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164" fontId="11" fillId="0" borderId="5" xfId="0" applyNumberFormat="1"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164" fontId="16" fillId="0" borderId="0" xfId="0" applyNumberFormat="1" applyFont="1" applyAlignment="1">
      <alignment horizontal="center" vertical="center"/>
    </xf>
    <xf numFmtId="0" fontId="16" fillId="0" borderId="0" xfId="0" applyFont="1" applyAlignment="1">
      <alignment horizontal="center"/>
    </xf>
    <xf numFmtId="0" fontId="15" fillId="0" borderId="0" xfId="0" applyFont="1" applyAlignment="1">
      <alignment horizontal="right"/>
    </xf>
    <xf numFmtId="0" fontId="11" fillId="0" borderId="0" xfId="0" applyFont="1" applyAlignment="1">
      <alignment horizontal="left"/>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13" borderId="5" xfId="0" applyFont="1" applyFill="1" applyBorder="1" applyAlignment="1">
      <alignment horizontal="center"/>
    </xf>
    <xf numFmtId="164" fontId="27" fillId="13" borderId="5" xfId="0" applyNumberFormat="1" applyFont="1" applyFill="1" applyBorder="1" applyAlignment="1">
      <alignment horizontal="center"/>
    </xf>
    <xf numFmtId="164" fontId="27" fillId="0" borderId="5" xfId="0" applyNumberFormat="1" applyFont="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15" fillId="13" borderId="5" xfId="0" applyFont="1" applyFill="1" applyBorder="1" applyAlignment="1">
      <alignment horizontal="center" vertical="center" wrapText="1"/>
    </xf>
    <xf numFmtId="0" fontId="15" fillId="13" borderId="5" xfId="0" applyFont="1" applyFill="1" applyBorder="1" applyAlignment="1">
      <alignment horizontal="center" wrapText="1"/>
    </xf>
    <xf numFmtId="0" fontId="26" fillId="13" borderId="5" xfId="0" applyFont="1" applyFill="1" applyBorder="1" applyAlignment="1">
      <alignment horizontal="center"/>
    </xf>
    <xf numFmtId="1" fontId="26" fillId="0" borderId="5" xfId="0" applyNumberFormat="1" applyFont="1" applyBorder="1" applyAlignment="1">
      <alignment horizontal="center"/>
    </xf>
    <xf numFmtId="164" fontId="26" fillId="13" borderId="5" xfId="0" applyNumberFormat="1" applyFont="1" applyFill="1" applyBorder="1" applyAlignment="1">
      <alignment horizontal="center"/>
    </xf>
    <xf numFmtId="0" fontId="1" fillId="0" borderId="5" xfId="0" applyFont="1" applyBorder="1" applyAlignment="1">
      <alignment horizontal="center"/>
    </xf>
    <xf numFmtId="0" fontId="26" fillId="0" borderId="5" xfId="0" applyFont="1" applyBorder="1" applyAlignment="1">
      <alignment horizontal="center"/>
    </xf>
    <xf numFmtId="0" fontId="2" fillId="0" borderId="0" xfId="0" applyFont="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8" xfId="0" applyFont="1" applyBorder="1" applyAlignment="1">
      <alignment vertical="center"/>
    </xf>
    <xf numFmtId="0" fontId="2" fillId="0" borderId="0" xfId="0" applyFont="1" applyAlignment="1">
      <alignment horizontal="left"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0" fillId="0" borderId="5" xfId="0"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0" borderId="28" xfId="0" applyFont="1" applyBorder="1" applyAlignment="1">
      <alignment horizontal="left"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129540</xdr:colOff>
      <xdr:row>1</xdr:row>
      <xdr:rowOff>76200</xdr:rowOff>
    </xdr:from>
    <xdr:to>
      <xdr:col>19</xdr:col>
      <xdr:colOff>320040</xdr:colOff>
      <xdr:row>36</xdr:row>
      <xdr:rowOff>166914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64580" y="289560"/>
          <a:ext cx="502920" cy="7527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MONITOR%20DE%20SIGNOS%20VITALES%20%20IBP+2%20%20+%20TEMP%20V5.xlsx" TargetMode="External"/><Relationship Id="rId1" Type="http://schemas.openxmlformats.org/officeDocument/2006/relationships/externalLinkPath" Target="MONITOR%20DE%20SIGNOS%20VITALES%20%20IBP+2%20%20+%20TEMP%20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sheetNames>
    <sheetDataSet>
      <sheetData sheetId="0"/>
      <sheetData sheetId="1"/>
      <sheetData sheetId="2"/>
      <sheetData sheetId="3">
        <row r="62">
          <cell r="G62" t="str">
            <v>Simulador de SPO2</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B7" sqref="B7"/>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21875" style="1" customWidth="1"/>
    <col min="6" max="6" width="23.88671875" style="1" bestFit="1" customWidth="1"/>
    <col min="7" max="7" width="24.7773437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4" t="s">
        <v>130</v>
      </c>
      <c r="B1" s="175"/>
      <c r="C1" s="175"/>
      <c r="D1" s="175"/>
      <c r="E1" s="175"/>
      <c r="F1" s="175"/>
      <c r="G1" s="175"/>
      <c r="H1" s="176"/>
      <c r="I1"/>
      <c r="J1" s="105" t="s">
        <v>142</v>
      </c>
      <c r="K1" s="106"/>
      <c r="L1" s="106"/>
      <c r="M1" s="106"/>
      <c r="N1" s="106"/>
      <c r="O1" s="106"/>
      <c r="P1" s="106"/>
      <c r="Q1"/>
      <c r="R1"/>
      <c r="S1"/>
      <c r="T1"/>
      <c r="U1"/>
      <c r="V1"/>
      <c r="W1"/>
      <c r="X1"/>
      <c r="Y1"/>
      <c r="Z1"/>
      <c r="AA1"/>
      <c r="AB1"/>
      <c r="AC1"/>
    </row>
    <row r="2" spans="1:32" ht="14.4" x14ac:dyDescent="0.3">
      <c r="A2" s="104" t="s">
        <v>187</v>
      </c>
      <c r="B2" s="104" t="s">
        <v>188</v>
      </c>
      <c r="C2" s="104" t="s">
        <v>189</v>
      </c>
      <c r="D2" s="104" t="s">
        <v>190</v>
      </c>
      <c r="E2" s="104" t="s">
        <v>191</v>
      </c>
      <c r="F2" s="104" t="s">
        <v>196</v>
      </c>
      <c r="G2" s="104" t="s">
        <v>192</v>
      </c>
      <c r="H2" s="104" t="s">
        <v>194</v>
      </c>
      <c r="I2"/>
      <c r="J2" s="105" t="s">
        <v>143</v>
      </c>
      <c r="K2"/>
      <c r="L2"/>
      <c r="M2"/>
      <c r="N2"/>
      <c r="O2"/>
      <c r="P2"/>
      <c r="Q2"/>
      <c r="R2"/>
      <c r="S2"/>
      <c r="T2"/>
      <c r="U2"/>
      <c r="V2"/>
      <c r="W2"/>
      <c r="X2"/>
      <c r="Y2"/>
      <c r="Z2"/>
      <c r="AA2"/>
      <c r="AB2"/>
      <c r="AC2"/>
    </row>
    <row r="3" spans="1:32" ht="12.75" customHeight="1" x14ac:dyDescent="0.3">
      <c r="A3" s="111"/>
      <c r="B3" s="111"/>
      <c r="C3" s="112"/>
      <c r="D3" s="113"/>
      <c r="E3" s="112"/>
      <c r="F3" s="114"/>
      <c r="G3" s="115"/>
      <c r="H3" s="116"/>
      <c r="I3"/>
      <c r="J3" t="s">
        <v>68</v>
      </c>
      <c r="K3"/>
      <c r="L3"/>
      <c r="M3"/>
      <c r="N3"/>
      <c r="O3"/>
      <c r="P3"/>
      <c r="Q3"/>
      <c r="R3"/>
      <c r="S3"/>
      <c r="T3"/>
      <c r="U3"/>
      <c r="V3"/>
      <c r="W3"/>
      <c r="X3"/>
      <c r="Y3"/>
      <c r="Z3"/>
      <c r="AA3"/>
      <c r="AB3"/>
      <c r="AC3"/>
    </row>
    <row r="4" spans="1:32" ht="12.75" customHeight="1" x14ac:dyDescent="0.3">
      <c r="C4"/>
      <c r="D4"/>
      <c r="E4"/>
      <c r="F4"/>
      <c r="H4"/>
      <c r="I4"/>
      <c r="J4" t="s">
        <v>197</v>
      </c>
      <c r="K4"/>
      <c r="L4"/>
      <c r="M4"/>
      <c r="N4"/>
      <c r="O4"/>
      <c r="P4"/>
      <c r="Q4"/>
      <c r="R4"/>
      <c r="S4"/>
      <c r="T4"/>
      <c r="U4"/>
      <c r="V4"/>
      <c r="W4"/>
      <c r="X4"/>
      <c r="Y4"/>
      <c r="Z4"/>
      <c r="AA4"/>
      <c r="AB4"/>
      <c r="AC4"/>
      <c r="AD4"/>
      <c r="AE4"/>
      <c r="AF4"/>
    </row>
    <row r="5" spans="1:32" ht="12.75" customHeight="1" x14ac:dyDescent="0.3">
      <c r="A5"/>
      <c r="B5"/>
      <c r="C5"/>
      <c r="D5"/>
      <c r="E5"/>
      <c r="F5"/>
      <c r="H5"/>
      <c r="I5"/>
      <c r="J5" t="s">
        <v>198</v>
      </c>
      <c r="K5"/>
      <c r="L5"/>
      <c r="M5"/>
      <c r="N5"/>
      <c r="O5"/>
      <c r="P5"/>
      <c r="Q5"/>
      <c r="R5"/>
      <c r="S5"/>
      <c r="T5"/>
      <c r="U5"/>
      <c r="V5"/>
      <c r="W5"/>
      <c r="X5"/>
      <c r="Y5"/>
      <c r="Z5"/>
      <c r="AA5"/>
      <c r="AB5"/>
      <c r="AC5"/>
      <c r="AD5"/>
      <c r="AE5"/>
      <c r="AF5"/>
    </row>
    <row r="6" spans="1:32" ht="12.75" customHeight="1" x14ac:dyDescent="0.3">
      <c r="A6" s="173" t="s">
        <v>131</v>
      </c>
      <c r="B6" s="173"/>
      <c r="C6"/>
      <c r="D6" s="102" t="s">
        <v>129</v>
      </c>
      <c r="E6" s="102"/>
      <c r="H6"/>
      <c r="I6"/>
      <c r="J6"/>
      <c r="K6"/>
      <c r="L6"/>
      <c r="M6"/>
      <c r="N6"/>
      <c r="O6"/>
      <c r="P6"/>
      <c r="Q6"/>
      <c r="R6"/>
      <c r="S6"/>
      <c r="T6"/>
      <c r="U6"/>
      <c r="V6"/>
      <c r="W6"/>
      <c r="X6"/>
      <c r="Y6"/>
      <c r="Z6"/>
      <c r="AA6"/>
      <c r="AB6"/>
      <c r="AC6"/>
      <c r="AD6"/>
      <c r="AE6"/>
      <c r="AF6"/>
    </row>
    <row r="7" spans="1:32" ht="12.75" customHeight="1" x14ac:dyDescent="0.3">
      <c r="A7" s="22" t="s">
        <v>133</v>
      </c>
      <c r="B7" s="93" t="s">
        <v>142</v>
      </c>
      <c r="C7"/>
      <c r="D7" s="22" t="s">
        <v>132</v>
      </c>
      <c r="E7" s="117"/>
      <c r="H7"/>
      <c r="I7"/>
      <c r="J7"/>
      <c r="K7"/>
      <c r="L7"/>
      <c r="M7"/>
      <c r="N7"/>
      <c r="O7"/>
      <c r="P7"/>
      <c r="Q7"/>
      <c r="R7"/>
      <c r="S7"/>
      <c r="T7"/>
      <c r="U7"/>
      <c r="V7"/>
      <c r="W7"/>
      <c r="X7"/>
      <c r="Y7"/>
      <c r="Z7"/>
      <c r="AA7"/>
      <c r="AB7"/>
      <c r="AC7"/>
      <c r="AD7"/>
      <c r="AE7"/>
      <c r="AF7"/>
    </row>
    <row r="8" spans="1:32" ht="12.75" customHeight="1" x14ac:dyDescent="0.3">
      <c r="A8" s="22" t="s">
        <v>193</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135</v>
      </c>
      <c r="B9" s="94">
        <f>H3</f>
        <v>0</v>
      </c>
      <c r="C9"/>
      <c r="D9" s="22" t="s">
        <v>134</v>
      </c>
      <c r="E9" s="93"/>
      <c r="H9"/>
      <c r="I9"/>
      <c r="J9"/>
      <c r="K9"/>
      <c r="L9"/>
      <c r="M9"/>
      <c r="N9"/>
      <c r="O9"/>
      <c r="P9"/>
      <c r="Q9"/>
      <c r="R9"/>
      <c r="S9"/>
      <c r="T9"/>
      <c r="U9"/>
      <c r="V9"/>
      <c r="W9"/>
      <c r="X9"/>
      <c r="Y9"/>
      <c r="Z9"/>
      <c r="AA9"/>
      <c r="AB9"/>
      <c r="AC9"/>
      <c r="AD9"/>
      <c r="AE9"/>
      <c r="AF9"/>
    </row>
    <row r="10" spans="1:32" ht="12.75" customHeight="1" x14ac:dyDescent="0.3">
      <c r="A10" s="22" t="s">
        <v>136</v>
      </c>
      <c r="B10" s="94">
        <f>H3</f>
        <v>0</v>
      </c>
      <c r="C10"/>
      <c r="D10" s="22" t="s">
        <v>5</v>
      </c>
      <c r="E10" s="101"/>
      <c r="G10"/>
      <c r="H10"/>
      <c r="I10"/>
      <c r="J10"/>
      <c r="K10"/>
      <c r="L10"/>
      <c r="M10"/>
      <c r="N10"/>
      <c r="O10"/>
      <c r="P10"/>
      <c r="Q10"/>
      <c r="R10"/>
      <c r="S10"/>
      <c r="T10"/>
      <c r="U10"/>
      <c r="V10"/>
      <c r="W10"/>
      <c r="X10"/>
      <c r="Y10"/>
      <c r="Z10"/>
      <c r="AA10"/>
      <c r="AB10"/>
      <c r="AC10"/>
      <c r="AD10"/>
      <c r="AE10"/>
      <c r="AF10"/>
    </row>
    <row r="11" spans="1:32" ht="14.4" x14ac:dyDescent="0.3">
      <c r="A11" s="22" t="s">
        <v>137</v>
      </c>
      <c r="B11" s="93">
        <v>24.1</v>
      </c>
      <c r="C11"/>
      <c r="D11" s="22" t="s">
        <v>3</v>
      </c>
      <c r="E11" s="101"/>
      <c r="G11"/>
      <c r="H11"/>
      <c r="I11"/>
      <c r="J11"/>
      <c r="K11"/>
      <c r="L11"/>
      <c r="M11"/>
      <c r="N11"/>
      <c r="O11"/>
      <c r="P11"/>
      <c r="Q11"/>
      <c r="R11"/>
      <c r="S11"/>
      <c r="T11"/>
      <c r="U11"/>
      <c r="V11"/>
      <c r="W11"/>
      <c r="X11"/>
      <c r="Y11"/>
      <c r="Z11"/>
      <c r="AA11"/>
      <c r="AB11"/>
      <c r="AC11"/>
      <c r="AD11"/>
      <c r="AE11"/>
      <c r="AF11"/>
    </row>
    <row r="12" spans="1:32" ht="12.75" customHeight="1" x14ac:dyDescent="0.3">
      <c r="A12" s="22" t="s">
        <v>138</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139</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140</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141</v>
      </c>
      <c r="B15" s="93" t="s">
        <v>195</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8" xr:uid="{E6EE7AB8-83F3-41FD-BBA3-3955DE29A138}">
      <formula1>$J$3:$J$5</formula1>
    </dataValidation>
    <dataValidation type="list" allowBlank="1" showInputMessage="1" showErrorMessage="1" sqref="B7" xr:uid="{0DFA7606-AC97-45B9-B6EF-FA4098D65F04}">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0" t="s">
        <v>57</v>
      </c>
      <c r="B1" s="181"/>
      <c r="C1" s="181"/>
      <c r="D1" s="181"/>
      <c r="E1" s="181"/>
      <c r="F1" s="181"/>
      <c r="G1" s="181"/>
      <c r="H1" s="181"/>
      <c r="I1" s="181"/>
      <c r="J1" s="181"/>
      <c r="K1" s="182"/>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77" t="s">
        <v>47</v>
      </c>
      <c r="B10" s="178"/>
      <c r="C10" s="178"/>
      <c r="D10" s="178"/>
      <c r="E10" s="178"/>
      <c r="F10" s="178"/>
      <c r="G10" s="178"/>
      <c r="H10" s="178"/>
      <c r="I10" s="178"/>
      <c r="J10" s="178"/>
      <c r="K10" s="179"/>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77" t="s">
        <v>46</v>
      </c>
      <c r="B18" s="178"/>
      <c r="C18" s="178"/>
      <c r="D18" s="178"/>
      <c r="E18" s="178"/>
      <c r="F18" s="178"/>
      <c r="G18" s="178"/>
      <c r="H18" s="178"/>
      <c r="I18" s="178"/>
      <c r="J18" s="178"/>
      <c r="K18" s="179"/>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77" t="s">
        <v>45</v>
      </c>
      <c r="B26" s="178"/>
      <c r="C26" s="178"/>
      <c r="D26" s="178"/>
      <c r="E26" s="178"/>
      <c r="F26" s="178"/>
      <c r="G26" s="178"/>
      <c r="H26" s="178"/>
      <c r="I26" s="178"/>
      <c r="J26" s="178"/>
      <c r="K26" s="179"/>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77" t="s">
        <v>44</v>
      </c>
      <c r="B34" s="178"/>
      <c r="C34" s="178"/>
      <c r="D34" s="178"/>
      <c r="E34" s="178"/>
      <c r="F34" s="178"/>
      <c r="G34" s="178"/>
      <c r="H34" s="178"/>
      <c r="I34" s="178"/>
      <c r="J34" s="178"/>
      <c r="K34" s="179"/>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0" t="s">
        <v>56</v>
      </c>
      <c r="B41" s="181"/>
      <c r="C41" s="181"/>
      <c r="D41" s="181"/>
      <c r="E41" s="181"/>
      <c r="F41" s="181"/>
      <c r="G41" s="181"/>
      <c r="H41" s="181"/>
      <c r="I41" s="181"/>
      <c r="J41" s="181"/>
      <c r="K41" s="182"/>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77" t="s">
        <v>47</v>
      </c>
      <c r="B50" s="178"/>
      <c r="C50" s="178"/>
      <c r="D50" s="178"/>
      <c r="E50" s="178"/>
      <c r="F50" s="178"/>
      <c r="G50" s="178"/>
      <c r="H50" s="178"/>
      <c r="I50" s="178"/>
      <c r="J50" s="178"/>
      <c r="K50" s="179"/>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77" t="s">
        <v>46</v>
      </c>
      <c r="B58" s="178"/>
      <c r="C58" s="178"/>
      <c r="D58" s="178"/>
      <c r="E58" s="178"/>
      <c r="F58" s="178"/>
      <c r="G58" s="178"/>
      <c r="H58" s="178"/>
      <c r="I58" s="178"/>
      <c r="J58" s="178"/>
      <c r="K58" s="179"/>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7" t="s">
        <v>45</v>
      </c>
      <c r="B66" s="178"/>
      <c r="C66" s="178"/>
      <c r="D66" s="178"/>
      <c r="E66" s="178"/>
      <c r="F66" s="178"/>
      <c r="G66" s="178"/>
      <c r="H66" s="178"/>
      <c r="I66" s="178"/>
      <c r="J66" s="178"/>
      <c r="K66" s="179"/>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77" t="s">
        <v>44</v>
      </c>
      <c r="B74" s="178"/>
      <c r="C74" s="178"/>
      <c r="D74" s="178"/>
      <c r="E74" s="178"/>
      <c r="F74" s="178"/>
      <c r="G74" s="178"/>
      <c r="H74" s="178"/>
      <c r="I74" s="178"/>
      <c r="J74" s="178"/>
      <c r="K74" s="179"/>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0" t="s">
        <v>55</v>
      </c>
      <c r="B81" s="181"/>
      <c r="C81" s="181"/>
      <c r="D81" s="181"/>
      <c r="E81" s="181"/>
      <c r="F81" s="181"/>
      <c r="G81" s="181"/>
      <c r="H81" s="181"/>
      <c r="I81" s="181"/>
      <c r="J81" s="181"/>
      <c r="K81" s="182"/>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77" t="s">
        <v>47</v>
      </c>
      <c r="B90" s="178"/>
      <c r="C90" s="178"/>
      <c r="D90" s="178"/>
      <c r="E90" s="178"/>
      <c r="F90" s="178"/>
      <c r="G90" s="178"/>
      <c r="H90" s="178"/>
      <c r="I90" s="178"/>
      <c r="J90" s="178"/>
      <c r="K90" s="179"/>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77" t="s">
        <v>46</v>
      </c>
      <c r="B98" s="178"/>
      <c r="C98" s="178"/>
      <c r="D98" s="178"/>
      <c r="E98" s="178"/>
      <c r="F98" s="178"/>
      <c r="G98" s="178"/>
      <c r="H98" s="178"/>
      <c r="I98" s="178"/>
      <c r="J98" s="178"/>
      <c r="K98" s="179"/>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7" t="s">
        <v>45</v>
      </c>
      <c r="B106" s="178"/>
      <c r="C106" s="178"/>
      <c r="D106" s="178"/>
      <c r="E106" s="178"/>
      <c r="F106" s="178"/>
      <c r="G106" s="178"/>
      <c r="H106" s="178"/>
      <c r="I106" s="178"/>
      <c r="J106" s="178"/>
      <c r="K106" s="179"/>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77" t="s">
        <v>44</v>
      </c>
      <c r="B114" s="178"/>
      <c r="C114" s="178"/>
      <c r="D114" s="178"/>
      <c r="E114" s="178"/>
      <c r="F114" s="178"/>
      <c r="G114" s="178"/>
      <c r="H114" s="178"/>
      <c r="I114" s="178"/>
      <c r="J114" s="178"/>
      <c r="K114" s="179"/>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0" t="s">
        <v>54</v>
      </c>
      <c r="B122" s="181"/>
      <c r="C122" s="181"/>
      <c r="D122" s="181"/>
      <c r="E122" s="181"/>
      <c r="F122" s="181"/>
      <c r="G122" s="181"/>
      <c r="H122" s="181"/>
      <c r="I122" s="181"/>
      <c r="J122" s="181"/>
      <c r="K122" s="182"/>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77" t="s">
        <v>47</v>
      </c>
      <c r="B131" s="178"/>
      <c r="C131" s="178"/>
      <c r="D131" s="178"/>
      <c r="E131" s="178"/>
      <c r="F131" s="178"/>
      <c r="G131" s="178"/>
      <c r="H131" s="178"/>
      <c r="I131" s="178"/>
      <c r="J131" s="178"/>
      <c r="K131" s="179"/>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77" t="s">
        <v>46</v>
      </c>
      <c r="B139" s="178"/>
      <c r="C139" s="178"/>
      <c r="D139" s="178"/>
      <c r="E139" s="178"/>
      <c r="F139" s="178"/>
      <c r="G139" s="178"/>
      <c r="H139" s="178"/>
      <c r="I139" s="178"/>
      <c r="J139" s="178"/>
      <c r="K139" s="179"/>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7" t="s">
        <v>45</v>
      </c>
      <c r="B147" s="178"/>
      <c r="C147" s="178"/>
      <c r="D147" s="178"/>
      <c r="E147" s="178"/>
      <c r="F147" s="178"/>
      <c r="G147" s="178"/>
      <c r="H147" s="178"/>
      <c r="I147" s="178"/>
      <c r="J147" s="178"/>
      <c r="K147" s="179"/>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77" t="s">
        <v>44</v>
      </c>
      <c r="B155" s="178"/>
      <c r="C155" s="178"/>
      <c r="D155" s="178"/>
      <c r="E155" s="178"/>
      <c r="F155" s="178"/>
      <c r="G155" s="178"/>
      <c r="H155" s="178"/>
      <c r="I155" s="178"/>
      <c r="J155" s="178"/>
      <c r="K155" s="179"/>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0" t="s">
        <v>53</v>
      </c>
      <c r="B162" s="181"/>
      <c r="C162" s="181"/>
      <c r="D162" s="181"/>
      <c r="E162" s="181"/>
      <c r="F162" s="181"/>
      <c r="G162" s="181"/>
      <c r="H162" s="181"/>
      <c r="I162" s="181"/>
      <c r="J162" s="181"/>
      <c r="K162" s="182"/>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7" t="s">
        <v>47</v>
      </c>
      <c r="B171" s="178"/>
      <c r="C171" s="178"/>
      <c r="D171" s="178"/>
      <c r="E171" s="178"/>
      <c r="F171" s="178"/>
      <c r="G171" s="178"/>
      <c r="H171" s="178"/>
      <c r="I171" s="178"/>
      <c r="J171" s="178"/>
      <c r="K171" s="179"/>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7" t="s">
        <v>46</v>
      </c>
      <c r="B179" s="178"/>
      <c r="C179" s="178"/>
      <c r="D179" s="178"/>
      <c r="E179" s="178"/>
      <c r="F179" s="178"/>
      <c r="G179" s="178"/>
      <c r="H179" s="178"/>
      <c r="I179" s="178"/>
      <c r="J179" s="178"/>
      <c r="K179" s="179"/>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7" t="s">
        <v>45</v>
      </c>
      <c r="B187" s="178"/>
      <c r="C187" s="178"/>
      <c r="D187" s="178"/>
      <c r="E187" s="178"/>
      <c r="F187" s="178"/>
      <c r="G187" s="178"/>
      <c r="H187" s="178"/>
      <c r="I187" s="178"/>
      <c r="J187" s="178"/>
      <c r="K187" s="179"/>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7" t="s">
        <v>44</v>
      </c>
      <c r="B195" s="178"/>
      <c r="C195" s="178"/>
      <c r="D195" s="178"/>
      <c r="E195" s="178"/>
      <c r="F195" s="178"/>
      <c r="G195" s="178"/>
      <c r="H195" s="178"/>
      <c r="I195" s="178"/>
      <c r="J195" s="178"/>
      <c r="K195" s="179"/>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0" t="s">
        <v>53</v>
      </c>
      <c r="B202" s="181"/>
      <c r="C202" s="181"/>
      <c r="D202" s="181"/>
      <c r="E202" s="181"/>
      <c r="F202" s="181"/>
      <c r="G202" s="181"/>
      <c r="H202" s="181"/>
      <c r="I202" s="181"/>
      <c r="J202" s="181"/>
      <c r="K202" s="182"/>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77" t="s">
        <v>47</v>
      </c>
      <c r="B211" s="178"/>
      <c r="C211" s="178"/>
      <c r="D211" s="178"/>
      <c r="E211" s="178"/>
      <c r="F211" s="178"/>
      <c r="G211" s="178"/>
      <c r="H211" s="178"/>
      <c r="I211" s="178"/>
      <c r="J211" s="178"/>
      <c r="K211" s="179"/>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77" t="s">
        <v>46</v>
      </c>
      <c r="B219" s="178"/>
      <c r="C219" s="178"/>
      <c r="D219" s="178"/>
      <c r="E219" s="178"/>
      <c r="F219" s="178"/>
      <c r="G219" s="178"/>
      <c r="H219" s="178"/>
      <c r="I219" s="178"/>
      <c r="J219" s="178"/>
      <c r="K219" s="179"/>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77" t="s">
        <v>45</v>
      </c>
      <c r="B227" s="178"/>
      <c r="C227" s="178"/>
      <c r="D227" s="178"/>
      <c r="E227" s="178"/>
      <c r="F227" s="178"/>
      <c r="G227" s="178"/>
      <c r="H227" s="178"/>
      <c r="I227" s="178"/>
      <c r="J227" s="178"/>
      <c r="K227" s="179"/>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77" t="s">
        <v>44</v>
      </c>
      <c r="B235" s="178"/>
      <c r="C235" s="178"/>
      <c r="D235" s="178"/>
      <c r="E235" s="178"/>
      <c r="F235" s="178"/>
      <c r="G235" s="178"/>
      <c r="H235" s="178"/>
      <c r="I235" s="178"/>
      <c r="J235" s="178"/>
      <c r="K235" s="179"/>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0" t="s">
        <v>52</v>
      </c>
      <c r="B242" s="181"/>
      <c r="C242" s="181"/>
      <c r="D242" s="181"/>
      <c r="E242" s="181"/>
      <c r="F242" s="181"/>
      <c r="G242" s="181"/>
      <c r="H242" s="181"/>
      <c r="I242" s="181"/>
      <c r="J242" s="181"/>
      <c r="K242" s="182"/>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INCERTIDUMBRE!L12</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77" t="s">
        <v>47</v>
      </c>
      <c r="B251" s="178"/>
      <c r="C251" s="178"/>
      <c r="D251" s="178"/>
      <c r="E251" s="178"/>
      <c r="F251" s="178"/>
      <c r="G251" s="178"/>
      <c r="H251" s="178"/>
      <c r="I251" s="178"/>
      <c r="J251" s="178"/>
      <c r="K251" s="179"/>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77" t="s">
        <v>46</v>
      </c>
      <c r="B259" s="178"/>
      <c r="C259" s="178"/>
      <c r="D259" s="178"/>
      <c r="E259" s="178"/>
      <c r="F259" s="178"/>
      <c r="G259" s="178"/>
      <c r="H259" s="178"/>
      <c r="I259" s="178"/>
      <c r="J259" s="178"/>
      <c r="K259" s="179"/>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77" t="s">
        <v>45</v>
      </c>
      <c r="B267" s="178"/>
      <c r="C267" s="178"/>
      <c r="D267" s="178"/>
      <c r="E267" s="178"/>
      <c r="F267" s="178"/>
      <c r="G267" s="178"/>
      <c r="H267" s="178"/>
      <c r="I267" s="178"/>
      <c r="J267" s="178"/>
      <c r="K267" s="179"/>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77" t="s">
        <v>44</v>
      </c>
      <c r="B275" s="178"/>
      <c r="C275" s="178"/>
      <c r="D275" s="178"/>
      <c r="E275" s="178"/>
      <c r="F275" s="178"/>
      <c r="G275" s="178"/>
      <c r="H275" s="178"/>
      <c r="I275" s="178"/>
      <c r="J275" s="178"/>
      <c r="K275" s="179"/>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80" t="s">
        <v>51</v>
      </c>
      <c r="B282" s="181"/>
      <c r="C282" s="181"/>
      <c r="D282" s="181"/>
      <c r="E282" s="181"/>
      <c r="F282" s="181"/>
      <c r="G282" s="181"/>
      <c r="H282" s="181"/>
      <c r="I282" s="181"/>
      <c r="J282" s="181"/>
      <c r="K282" s="182"/>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77" t="s">
        <v>47</v>
      </c>
      <c r="B291" s="178"/>
      <c r="C291" s="178"/>
      <c r="D291" s="178"/>
      <c r="E291" s="178"/>
      <c r="F291" s="178"/>
      <c r="G291" s="178"/>
      <c r="H291" s="178"/>
      <c r="I291" s="178"/>
      <c r="J291" s="178"/>
      <c r="K291" s="179"/>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77" t="s">
        <v>46</v>
      </c>
      <c r="B299" s="178"/>
      <c r="C299" s="178"/>
      <c r="D299" s="178"/>
      <c r="E299" s="178"/>
      <c r="F299" s="178"/>
      <c r="G299" s="178"/>
      <c r="H299" s="178"/>
      <c r="I299" s="178"/>
      <c r="J299" s="178"/>
      <c r="K299" s="179"/>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77" t="s">
        <v>45</v>
      </c>
      <c r="B307" s="178"/>
      <c r="C307" s="178"/>
      <c r="D307" s="178"/>
      <c r="E307" s="178"/>
      <c r="F307" s="178"/>
      <c r="G307" s="178"/>
      <c r="H307" s="178"/>
      <c r="I307" s="178"/>
      <c r="J307" s="178"/>
      <c r="K307" s="179"/>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77" t="s">
        <v>44</v>
      </c>
      <c r="B315" s="178"/>
      <c r="C315" s="178"/>
      <c r="D315" s="178"/>
      <c r="E315" s="178"/>
      <c r="F315" s="178"/>
      <c r="G315" s="178"/>
      <c r="H315" s="178"/>
      <c r="I315" s="178"/>
      <c r="J315" s="178"/>
      <c r="K315" s="179"/>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0" t="s">
        <v>50</v>
      </c>
      <c r="B322" s="181"/>
      <c r="C322" s="181"/>
      <c r="D322" s="181"/>
      <c r="E322" s="181"/>
      <c r="F322" s="181"/>
      <c r="G322" s="181"/>
      <c r="H322" s="181"/>
      <c r="I322" s="181"/>
      <c r="J322" s="181"/>
      <c r="K322" s="182"/>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77" t="s">
        <v>47</v>
      </c>
      <c r="B331" s="178"/>
      <c r="C331" s="178"/>
      <c r="D331" s="178"/>
      <c r="E331" s="178"/>
      <c r="F331" s="178"/>
      <c r="G331" s="178"/>
      <c r="H331" s="178"/>
      <c r="I331" s="178"/>
      <c r="J331" s="178"/>
      <c r="K331" s="179"/>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77" t="s">
        <v>46</v>
      </c>
      <c r="B339" s="178"/>
      <c r="C339" s="178"/>
      <c r="D339" s="178"/>
      <c r="E339" s="178"/>
      <c r="F339" s="178"/>
      <c r="G339" s="178"/>
      <c r="H339" s="178"/>
      <c r="I339" s="178"/>
      <c r="J339" s="178"/>
      <c r="K339" s="179"/>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77" t="s">
        <v>45</v>
      </c>
      <c r="B347" s="178"/>
      <c r="C347" s="178"/>
      <c r="D347" s="178"/>
      <c r="E347" s="178"/>
      <c r="F347" s="178"/>
      <c r="G347" s="178"/>
      <c r="H347" s="178"/>
      <c r="I347" s="178"/>
      <c r="J347" s="178"/>
      <c r="K347" s="179"/>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77" t="s">
        <v>44</v>
      </c>
      <c r="B355" s="178"/>
      <c r="C355" s="178"/>
      <c r="D355" s="178"/>
      <c r="E355" s="178"/>
      <c r="F355" s="178"/>
      <c r="G355" s="178"/>
      <c r="H355" s="178"/>
      <c r="I355" s="178"/>
      <c r="J355" s="178"/>
      <c r="K355" s="179"/>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0" t="s">
        <v>49</v>
      </c>
      <c r="B362" s="181"/>
      <c r="C362" s="181"/>
      <c r="D362" s="181"/>
      <c r="E362" s="181"/>
      <c r="F362" s="181"/>
      <c r="G362" s="181"/>
      <c r="H362" s="181"/>
      <c r="I362" s="181"/>
      <c r="J362" s="181"/>
      <c r="K362" s="182"/>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77" t="s">
        <v>47</v>
      </c>
      <c r="B371" s="178"/>
      <c r="C371" s="178"/>
      <c r="D371" s="178"/>
      <c r="E371" s="178"/>
      <c r="F371" s="178"/>
      <c r="G371" s="178"/>
      <c r="H371" s="178"/>
      <c r="I371" s="178"/>
      <c r="J371" s="178"/>
      <c r="K371" s="179"/>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77" t="s">
        <v>46</v>
      </c>
      <c r="B379" s="178"/>
      <c r="C379" s="178"/>
      <c r="D379" s="178"/>
      <c r="E379" s="178"/>
      <c r="F379" s="178"/>
      <c r="G379" s="178"/>
      <c r="H379" s="178"/>
      <c r="I379" s="178"/>
      <c r="J379" s="178"/>
      <c r="K379" s="179"/>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77" t="s">
        <v>45</v>
      </c>
      <c r="B387" s="178"/>
      <c r="C387" s="178"/>
      <c r="D387" s="178"/>
      <c r="E387" s="178"/>
      <c r="F387" s="178"/>
      <c r="G387" s="178"/>
      <c r="H387" s="178"/>
      <c r="I387" s="178"/>
      <c r="J387" s="178"/>
      <c r="K387" s="179"/>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77" t="s">
        <v>44</v>
      </c>
      <c r="B395" s="178"/>
      <c r="C395" s="178"/>
      <c r="D395" s="178"/>
      <c r="E395" s="178"/>
      <c r="F395" s="178"/>
      <c r="G395" s="178"/>
      <c r="H395" s="178"/>
      <c r="I395" s="178"/>
      <c r="J395" s="178"/>
      <c r="K395" s="179"/>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0" t="s">
        <v>48</v>
      </c>
      <c r="B402" s="181"/>
      <c r="C402" s="181"/>
      <c r="D402" s="181"/>
      <c r="E402" s="181"/>
      <c r="F402" s="181"/>
      <c r="G402" s="181"/>
      <c r="H402" s="181"/>
      <c r="I402" s="181"/>
      <c r="J402" s="181"/>
      <c r="K402" s="182"/>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77" t="s">
        <v>47</v>
      </c>
      <c r="B411" s="178"/>
      <c r="C411" s="178"/>
      <c r="D411" s="178"/>
      <c r="E411" s="178"/>
      <c r="F411" s="178"/>
      <c r="G411" s="178"/>
      <c r="H411" s="178"/>
      <c r="I411" s="178"/>
      <c r="J411" s="178"/>
      <c r="K411" s="179"/>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77" t="s">
        <v>46</v>
      </c>
      <c r="B419" s="178"/>
      <c r="C419" s="178"/>
      <c r="D419" s="178"/>
      <c r="E419" s="178"/>
      <c r="F419" s="178"/>
      <c r="G419" s="178"/>
      <c r="H419" s="178"/>
      <c r="I419" s="178"/>
      <c r="J419" s="178"/>
      <c r="K419" s="179"/>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77" t="s">
        <v>45</v>
      </c>
      <c r="B427" s="178"/>
      <c r="C427" s="178"/>
      <c r="D427" s="178"/>
      <c r="E427" s="178"/>
      <c r="F427" s="178"/>
      <c r="G427" s="178"/>
      <c r="H427" s="178"/>
      <c r="I427" s="178"/>
      <c r="J427" s="178"/>
      <c r="K427" s="179"/>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77" t="s">
        <v>44</v>
      </c>
      <c r="B435" s="178"/>
      <c r="C435" s="178"/>
      <c r="D435" s="178"/>
      <c r="E435" s="178"/>
      <c r="F435" s="178"/>
      <c r="G435" s="178"/>
      <c r="H435" s="178"/>
      <c r="I435" s="178"/>
      <c r="J435" s="178"/>
      <c r="K435" s="179"/>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0" t="s">
        <v>31</v>
      </c>
      <c r="B442" s="181"/>
      <c r="C442" s="181"/>
      <c r="D442" s="181"/>
      <c r="E442" s="181"/>
      <c r="F442" s="181"/>
      <c r="G442" s="181"/>
      <c r="H442" s="181"/>
      <c r="I442" s="181"/>
      <c r="J442" s="181"/>
      <c r="K442" s="182"/>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77" t="s">
        <v>47</v>
      </c>
      <c r="D451" s="178"/>
      <c r="E451" s="178"/>
      <c r="F451" s="178"/>
      <c r="G451" s="178"/>
      <c r="H451" s="178"/>
      <c r="I451" s="178"/>
      <c r="J451" s="178"/>
      <c r="K451" s="178"/>
      <c r="L451" s="178"/>
      <c r="M451" s="179"/>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77" t="s">
        <v>46</v>
      </c>
      <c r="D459" s="178"/>
      <c r="E459" s="178"/>
      <c r="F459" s="178"/>
      <c r="G459" s="178"/>
      <c r="H459" s="178"/>
      <c r="I459" s="178"/>
      <c r="J459" s="178"/>
      <c r="K459" s="178"/>
      <c r="L459" s="178"/>
      <c r="M459" s="179"/>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77" t="s">
        <v>45</v>
      </c>
      <c r="D467" s="178"/>
      <c r="E467" s="178"/>
      <c r="F467" s="178"/>
      <c r="G467" s="178"/>
      <c r="H467" s="178"/>
      <c r="I467" s="178"/>
      <c r="J467" s="178"/>
      <c r="K467" s="178"/>
      <c r="L467" s="178"/>
      <c r="M467" s="179"/>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77" t="s">
        <v>44</v>
      </c>
      <c r="D475" s="178"/>
      <c r="E475" s="178"/>
      <c r="F475" s="178"/>
      <c r="G475" s="178"/>
      <c r="H475" s="178"/>
      <c r="I475" s="178"/>
      <c r="J475" s="178"/>
      <c r="K475" s="178"/>
      <c r="L475" s="178"/>
      <c r="M475" s="179"/>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7"/>
  <sheetViews>
    <sheetView zoomScaleNormal="100" workbookViewId="0">
      <selection activeCell="V13" sqref="V13"/>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2.109375" style="16" customWidth="1"/>
    <col min="12" max="12" width="5.77734375" style="16" customWidth="1"/>
    <col min="13" max="13" width="6.33203125" style="16" customWidth="1"/>
    <col min="14" max="14" width="6.44140625" style="16" customWidth="1"/>
    <col min="15" max="16" width="2.88671875" style="16" customWidth="1"/>
    <col min="17" max="31" width="5.7773437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186" t="s">
        <v>167</v>
      </c>
      <c r="C1" s="186"/>
      <c r="D1" s="186"/>
      <c r="E1" s="186"/>
      <c r="F1" s="186"/>
      <c r="G1" s="186"/>
      <c r="H1" s="186"/>
      <c r="I1" s="186"/>
      <c r="J1" s="186"/>
      <c r="K1" s="186"/>
      <c r="L1" s="186"/>
      <c r="M1" s="186"/>
      <c r="N1" s="186"/>
      <c r="O1" s="186"/>
      <c r="P1" s="103"/>
      <c r="Q1"/>
      <c r="R1" s="186" t="s">
        <v>168</v>
      </c>
      <c r="S1" s="186"/>
      <c r="T1" s="186"/>
      <c r="U1" s="186"/>
      <c r="V1" s="186"/>
      <c r="W1" s="186"/>
      <c r="X1" s="186"/>
      <c r="Y1" s="186"/>
      <c r="Z1" s="186"/>
      <c r="AA1" s="186"/>
      <c r="AB1" s="186"/>
      <c r="AC1" s="186"/>
      <c r="AD1" s="186"/>
      <c r="AE1" s="186"/>
    </row>
    <row r="2" spans="1:31" x14ac:dyDescent="0.3">
      <c r="A2"/>
      <c r="B2"/>
      <c r="C2"/>
      <c r="D2" s="187" t="s">
        <v>101</v>
      </c>
      <c r="E2" s="187"/>
      <c r="F2" s="187"/>
      <c r="G2" s="187"/>
      <c r="H2" s="187"/>
      <c r="I2" s="187"/>
      <c r="J2" s="187"/>
      <c r="K2" s="187"/>
      <c r="L2" s="95"/>
      <c r="M2" s="96"/>
      <c r="N2" s="96"/>
      <c r="O2" s="96"/>
      <c r="P2" s="107"/>
      <c r="Q2"/>
      <c r="R2"/>
      <c r="S2"/>
      <c r="T2" s="187" t="s">
        <v>101</v>
      </c>
      <c r="U2" s="187"/>
      <c r="V2" s="187"/>
      <c r="W2" s="187"/>
      <c r="X2" s="187"/>
      <c r="Y2" s="187"/>
      <c r="Z2" s="187"/>
      <c r="AA2" s="187"/>
      <c r="AB2" s="95"/>
      <c r="AC2" s="96"/>
      <c r="AD2" s="96"/>
      <c r="AE2" s="96"/>
    </row>
    <row r="3" spans="1:31" ht="25.8" customHeight="1" x14ac:dyDescent="0.3">
      <c r="A3"/>
      <c r="B3" s="188" t="s">
        <v>95</v>
      </c>
      <c r="C3" s="189"/>
      <c r="D3" s="190" t="s">
        <v>96</v>
      </c>
      <c r="E3" s="190"/>
      <c r="F3" s="190" t="s">
        <v>97</v>
      </c>
      <c r="G3" s="190"/>
      <c r="H3" s="190" t="s">
        <v>100</v>
      </c>
      <c r="I3" s="190"/>
      <c r="J3" s="190" t="s">
        <v>98</v>
      </c>
      <c r="K3" s="190"/>
      <c r="L3" s="191" t="s">
        <v>99</v>
      </c>
      <c r="M3" s="191"/>
      <c r="N3" s="191" t="s">
        <v>120</v>
      </c>
      <c r="O3" s="191"/>
      <c r="P3" s="108"/>
      <c r="Q3"/>
      <c r="R3" s="188" t="s">
        <v>106</v>
      </c>
      <c r="S3" s="189"/>
      <c r="T3" s="190" t="s">
        <v>107</v>
      </c>
      <c r="U3" s="190"/>
      <c r="V3" s="190" t="s">
        <v>108</v>
      </c>
      <c r="W3" s="190"/>
      <c r="X3" s="190" t="s">
        <v>109</v>
      </c>
      <c r="Y3" s="190"/>
      <c r="Z3" s="190" t="s">
        <v>110</v>
      </c>
      <c r="AA3" s="190"/>
      <c r="AB3" s="191" t="s">
        <v>111</v>
      </c>
      <c r="AC3" s="191"/>
      <c r="AD3" s="191" t="s">
        <v>178</v>
      </c>
      <c r="AE3" s="191"/>
    </row>
    <row r="4" spans="1:31" x14ac:dyDescent="0.3">
      <c r="A4"/>
      <c r="B4" s="192">
        <v>50</v>
      </c>
      <c r="C4" s="192"/>
      <c r="D4" s="193">
        <f ca="1">RANDBETWEEN(49, 50)</f>
        <v>50</v>
      </c>
      <c r="E4" s="193"/>
      <c r="F4" s="192">
        <f ca="1">D4</f>
        <v>50</v>
      </c>
      <c r="G4" s="192"/>
      <c r="H4" s="192">
        <f ca="1">D4</f>
        <v>50</v>
      </c>
      <c r="I4" s="192"/>
      <c r="J4" s="192">
        <f ca="1">D4</f>
        <v>50</v>
      </c>
      <c r="K4" s="192"/>
      <c r="L4" s="194">
        <f ca="1">AVERAGE(D4:K4)</f>
        <v>50</v>
      </c>
      <c r="M4" s="194"/>
      <c r="N4" s="194">
        <f ca="1">L4-B4</f>
        <v>0</v>
      </c>
      <c r="O4" s="194"/>
      <c r="P4" s="109"/>
      <c r="Q4"/>
      <c r="R4" s="192">
        <v>30</v>
      </c>
      <c r="S4" s="192"/>
      <c r="T4" s="196">
        <v>30</v>
      </c>
      <c r="U4" s="196"/>
      <c r="V4" s="192">
        <f>T4</f>
        <v>30</v>
      </c>
      <c r="W4" s="192"/>
      <c r="X4" s="192">
        <f>T4</f>
        <v>30</v>
      </c>
      <c r="Y4" s="192"/>
      <c r="Z4" s="192">
        <f>T4</f>
        <v>30</v>
      </c>
      <c r="AA4" s="192"/>
      <c r="AB4" s="192">
        <f>AVERAGE(T4:AA4)</f>
        <v>30</v>
      </c>
      <c r="AC4" s="192"/>
      <c r="AD4" s="192">
        <f>AB4-R4</f>
        <v>0</v>
      </c>
      <c r="AE4" s="192"/>
    </row>
    <row r="5" spans="1:31" x14ac:dyDescent="0.3">
      <c r="A5"/>
      <c r="B5" s="192">
        <v>100</v>
      </c>
      <c r="C5" s="192"/>
      <c r="D5" s="193">
        <f ca="1">IF((D4 - B4) = 0, IF(RAND() &lt; 0.5, B5, B5 - 1), IF((D4 - B4) = -1, B5 - 1, "Condición no especificada"))</f>
        <v>99</v>
      </c>
      <c r="E5" s="193"/>
      <c r="F5" s="192">
        <f ca="1">D5</f>
        <v>99</v>
      </c>
      <c r="G5" s="192"/>
      <c r="H5" s="192">
        <f ca="1">D5</f>
        <v>99</v>
      </c>
      <c r="I5" s="192"/>
      <c r="J5" s="192">
        <f ca="1">D5</f>
        <v>99</v>
      </c>
      <c r="K5" s="192"/>
      <c r="L5" s="194">
        <f t="shared" ref="L5:L8" ca="1" si="0">AVERAGE(D5:K5)</f>
        <v>99</v>
      </c>
      <c r="M5" s="194"/>
      <c r="N5" s="194">
        <f t="shared" ref="N5:N8" ca="1" si="1">L5-B5</f>
        <v>-1</v>
      </c>
      <c r="O5" s="194"/>
      <c r="P5" s="109"/>
      <c r="Q5"/>
      <c r="R5" s="192">
        <v>60</v>
      </c>
      <c r="S5" s="192"/>
      <c r="T5" s="196">
        <v>60</v>
      </c>
      <c r="U5" s="196"/>
      <c r="V5" s="192">
        <f t="shared" ref="V5:V7" si="2">T5</f>
        <v>60</v>
      </c>
      <c r="W5" s="192"/>
      <c r="X5" s="192">
        <f t="shared" ref="X5:X7" si="3">T5</f>
        <v>60</v>
      </c>
      <c r="Y5" s="192"/>
      <c r="Z5" s="192">
        <f t="shared" ref="Z5:Z7" si="4">T5</f>
        <v>60</v>
      </c>
      <c r="AA5" s="192"/>
      <c r="AB5" s="192">
        <f t="shared" ref="AB5:AB7" si="5">AVERAGE(T5:AA5)</f>
        <v>60</v>
      </c>
      <c r="AC5" s="192"/>
      <c r="AD5" s="192">
        <f t="shared" ref="AD5:AD7" si="6">AB5-R5</f>
        <v>0</v>
      </c>
      <c r="AE5" s="192"/>
    </row>
    <row r="6" spans="1:31" x14ac:dyDescent="0.3">
      <c r="A6"/>
      <c r="B6" s="192">
        <v>150</v>
      </c>
      <c r="C6" s="192"/>
      <c r="D6" s="193">
        <f ca="1">IF((D5 - B5) = 0, INT(IF(RAND() &lt; 0.5, B6, B6 - 1)), IF((D5 - B5) = -1, B6 - 1, "Condición no especificada"))</f>
        <v>149</v>
      </c>
      <c r="E6" s="193"/>
      <c r="F6" s="192">
        <f ca="1">D6</f>
        <v>149</v>
      </c>
      <c r="G6" s="192"/>
      <c r="H6" s="192">
        <f ca="1">D6</f>
        <v>149</v>
      </c>
      <c r="I6" s="192"/>
      <c r="J6" s="192">
        <f ca="1">D6</f>
        <v>149</v>
      </c>
      <c r="K6" s="192"/>
      <c r="L6" s="194">
        <f t="shared" ca="1" si="0"/>
        <v>149</v>
      </c>
      <c r="M6" s="194"/>
      <c r="N6" s="194">
        <f t="shared" ca="1" si="1"/>
        <v>-1</v>
      </c>
      <c r="O6" s="194"/>
      <c r="P6" s="109"/>
      <c r="Q6"/>
      <c r="R6" s="192">
        <v>120</v>
      </c>
      <c r="S6" s="192"/>
      <c r="T6" s="196">
        <v>120</v>
      </c>
      <c r="U6" s="196"/>
      <c r="V6" s="192">
        <f t="shared" si="2"/>
        <v>120</v>
      </c>
      <c r="W6" s="192"/>
      <c r="X6" s="192">
        <f t="shared" si="3"/>
        <v>120</v>
      </c>
      <c r="Y6" s="192"/>
      <c r="Z6" s="192">
        <f t="shared" si="4"/>
        <v>120</v>
      </c>
      <c r="AA6" s="192"/>
      <c r="AB6" s="192">
        <f t="shared" si="5"/>
        <v>120</v>
      </c>
      <c r="AC6" s="192"/>
      <c r="AD6" s="192">
        <f t="shared" si="6"/>
        <v>0</v>
      </c>
      <c r="AE6" s="192"/>
    </row>
    <row r="7" spans="1:31" x14ac:dyDescent="0.3">
      <c r="A7"/>
      <c r="B7" s="192">
        <v>200</v>
      </c>
      <c r="C7" s="192"/>
      <c r="D7" s="196">
        <f ca="1">IF((D6 - B6) = 0, INT(IF(RAND() &lt; 0.5, B7, B7 - 1)), IF((D6 - B6) = -1, INT(IF(RAND() &lt; 0.5, B7 - 1, B7 - 2)), B7))</f>
        <v>199</v>
      </c>
      <c r="E7" s="196"/>
      <c r="F7" s="192">
        <f ca="1">D7</f>
        <v>199</v>
      </c>
      <c r="G7" s="192"/>
      <c r="H7" s="192">
        <f ca="1">D7</f>
        <v>199</v>
      </c>
      <c r="I7" s="192"/>
      <c r="J7" s="192">
        <f ca="1">D7</f>
        <v>199</v>
      </c>
      <c r="K7" s="192"/>
      <c r="L7" s="194">
        <f t="shared" ca="1" si="0"/>
        <v>199</v>
      </c>
      <c r="M7" s="194"/>
      <c r="N7" s="194">
        <f t="shared" ca="1" si="1"/>
        <v>-1</v>
      </c>
      <c r="O7" s="194"/>
      <c r="P7" s="109"/>
      <c r="Q7"/>
      <c r="R7" s="192">
        <v>245</v>
      </c>
      <c r="S7" s="192"/>
      <c r="T7" s="196">
        <v>245</v>
      </c>
      <c r="U7" s="196"/>
      <c r="V7" s="192">
        <f t="shared" si="2"/>
        <v>245</v>
      </c>
      <c r="W7" s="192"/>
      <c r="X7" s="192">
        <f t="shared" si="3"/>
        <v>245</v>
      </c>
      <c r="Y7" s="192"/>
      <c r="Z7" s="192">
        <f t="shared" si="4"/>
        <v>245</v>
      </c>
      <c r="AA7" s="192"/>
      <c r="AB7" s="192">
        <f t="shared" si="5"/>
        <v>245</v>
      </c>
      <c r="AC7" s="192"/>
      <c r="AD7" s="192">
        <f t="shared" si="6"/>
        <v>0</v>
      </c>
      <c r="AE7" s="192"/>
    </row>
    <row r="8" spans="1:31" x14ac:dyDescent="0.3">
      <c r="A8"/>
      <c r="B8" s="192">
        <v>250</v>
      </c>
      <c r="C8" s="192"/>
      <c r="D8" s="195">
        <f ca="1">IF((D7 - B7) = 0, INT(IF(RAND() &lt; 0.5, B8, B8 - 1)), IF((D7 - B7) = -1, INT(IF(RAND() &lt; 0.5, B8 - 1, B8 - 2)), IF((D7 - B7) = -2, B8 - 2, "Condición no especificada")))</f>
        <v>249</v>
      </c>
      <c r="E8" s="195"/>
      <c r="F8" s="192">
        <f ca="1">D8</f>
        <v>249</v>
      </c>
      <c r="G8" s="192"/>
      <c r="H8" s="192">
        <f ca="1">D8</f>
        <v>249</v>
      </c>
      <c r="I8" s="192"/>
      <c r="J8" s="192">
        <f ca="1">D8</f>
        <v>249</v>
      </c>
      <c r="K8" s="192"/>
      <c r="L8" s="194">
        <f t="shared" ca="1" si="0"/>
        <v>249</v>
      </c>
      <c r="M8" s="194"/>
      <c r="N8" s="194">
        <f t="shared" ca="1" si="1"/>
        <v>-1</v>
      </c>
      <c r="O8" s="194"/>
      <c r="P8" s="109"/>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c r="AD9"/>
      <c r="AE9"/>
    </row>
    <row r="10" spans="1:31" x14ac:dyDescent="0.3">
      <c r="A10"/>
      <c r="B10" s="186" t="s">
        <v>169</v>
      </c>
      <c r="C10" s="186"/>
      <c r="D10" s="186"/>
      <c r="E10" s="186"/>
      <c r="F10" s="186"/>
      <c r="G10" s="186"/>
      <c r="H10" s="186"/>
      <c r="I10" s="186"/>
      <c r="J10" s="186"/>
      <c r="K10" s="186"/>
      <c r="L10" s="186"/>
      <c r="M10" s="186"/>
      <c r="N10" s="186"/>
      <c r="O10" s="186"/>
      <c r="P10" s="103"/>
      <c r="Q10"/>
      <c r="S10"/>
      <c r="T10"/>
      <c r="U10"/>
      <c r="V10"/>
      <c r="W10"/>
      <c r="X10"/>
      <c r="Y10"/>
      <c r="Z10"/>
      <c r="AA10"/>
      <c r="AB10"/>
    </row>
    <row r="11" spans="1:31" customFormat="1" x14ac:dyDescent="0.3">
      <c r="D11" s="187" t="s">
        <v>101</v>
      </c>
      <c r="E11" s="187"/>
      <c r="F11" s="187"/>
      <c r="G11" s="187"/>
      <c r="H11" s="187"/>
      <c r="I11" s="187"/>
      <c r="J11" s="187"/>
      <c r="K11" s="187"/>
      <c r="L11" s="95"/>
      <c r="M11" s="96"/>
      <c r="N11" s="96"/>
      <c r="O11" s="96"/>
      <c r="P11" s="107"/>
      <c r="R11" s="16"/>
      <c r="Z11" s="16"/>
      <c r="AA11" s="16"/>
      <c r="AB11" s="16"/>
      <c r="AC11" s="16"/>
    </row>
    <row r="12" spans="1:31" customFormat="1" ht="25.8" customHeight="1" x14ac:dyDescent="0.3">
      <c r="B12" s="188" t="s">
        <v>170</v>
      </c>
      <c r="C12" s="189"/>
      <c r="D12" s="190" t="s">
        <v>171</v>
      </c>
      <c r="E12" s="190"/>
      <c r="F12" s="190" t="s">
        <v>172</v>
      </c>
      <c r="G12" s="190"/>
      <c r="H12" s="190" t="s">
        <v>173</v>
      </c>
      <c r="I12" s="190"/>
      <c r="J12" s="190" t="s">
        <v>174</v>
      </c>
      <c r="K12" s="190"/>
      <c r="L12" s="191" t="s">
        <v>175</v>
      </c>
      <c r="M12" s="191"/>
      <c r="N12" s="191" t="s">
        <v>176</v>
      </c>
      <c r="O12" s="191"/>
      <c r="P12" s="108"/>
      <c r="R12" s="16"/>
      <c r="Z12" s="16"/>
      <c r="AA12" s="16"/>
      <c r="AB12" s="16"/>
      <c r="AC12" s="16"/>
    </row>
    <row r="13" spans="1:31" customFormat="1" x14ac:dyDescent="0.3">
      <c r="B13" s="183">
        <v>80</v>
      </c>
      <c r="C13" s="183"/>
      <c r="D13" s="185">
        <f ca="1">IF(RAND() &lt; 0.7, 80, IF(RAND() &lt; 0.5, 79.5, 80.5))</f>
        <v>80</v>
      </c>
      <c r="E13" s="185"/>
      <c r="F13" s="183">
        <f ca="1">D13</f>
        <v>80</v>
      </c>
      <c r="G13" s="183"/>
      <c r="H13" s="183">
        <f ca="1">D13</f>
        <v>80</v>
      </c>
      <c r="I13" s="183"/>
      <c r="J13" s="183">
        <f ca="1">D13</f>
        <v>80</v>
      </c>
      <c r="K13" s="183"/>
      <c r="L13" s="184">
        <f ca="1">AVERAGE(D13:K13)</f>
        <v>80</v>
      </c>
      <c r="M13" s="184"/>
      <c r="N13" s="184">
        <f ca="1">L13-B13</f>
        <v>0</v>
      </c>
      <c r="O13" s="184"/>
      <c r="P13" s="110"/>
      <c r="R13" s="16"/>
      <c r="Z13" s="16"/>
      <c r="AA13" s="16"/>
      <c r="AB13" s="16"/>
      <c r="AC13" s="16"/>
      <c r="AD13" s="16"/>
      <c r="AE13" s="16"/>
    </row>
    <row r="14" spans="1:31" customFormat="1" x14ac:dyDescent="0.3">
      <c r="B14" s="183">
        <v>85</v>
      </c>
      <c r="C14" s="183"/>
      <c r="D14" s="185">
        <f ca="1">IF(RAND() &lt; 0.7, 85, IF(RAND() &lt; 0.5, 84.5, 85.5))</f>
        <v>85.5</v>
      </c>
      <c r="E14" s="185"/>
      <c r="F14" s="183">
        <f t="shared" ref="F14:F17" ca="1" si="7">D14</f>
        <v>85.5</v>
      </c>
      <c r="G14" s="183"/>
      <c r="H14" s="183">
        <f t="shared" ref="H14:H17" ca="1" si="8">D14</f>
        <v>85.5</v>
      </c>
      <c r="I14" s="183"/>
      <c r="J14" s="183">
        <f t="shared" ref="J14:J17" ca="1" si="9">D14</f>
        <v>85.5</v>
      </c>
      <c r="K14" s="183"/>
      <c r="L14" s="184">
        <f t="shared" ref="L14:L16" ca="1" si="10">AVERAGE(D14:K14)</f>
        <v>85.5</v>
      </c>
      <c r="M14" s="184"/>
      <c r="N14" s="184">
        <f t="shared" ref="N14:N16" ca="1" si="11">L14-B14</f>
        <v>0.5</v>
      </c>
      <c r="O14" s="184"/>
      <c r="P14" s="110"/>
      <c r="R14" s="16"/>
      <c r="Z14" s="16"/>
      <c r="AA14" s="16"/>
      <c r="AB14" s="16"/>
      <c r="AC14" s="16"/>
    </row>
    <row r="15" spans="1:31" customFormat="1" x14ac:dyDescent="0.3">
      <c r="B15" s="183">
        <v>90</v>
      </c>
      <c r="C15" s="183"/>
      <c r="D15" s="185">
        <f ca="1">IF(RAND() &lt; 0.7, 90, IF(RAND() &lt; 0.5, 89.5, 90.5))</f>
        <v>90</v>
      </c>
      <c r="E15" s="185"/>
      <c r="F15" s="183">
        <f t="shared" ca="1" si="7"/>
        <v>90</v>
      </c>
      <c r="G15" s="183"/>
      <c r="H15" s="183">
        <f t="shared" ca="1" si="8"/>
        <v>90</v>
      </c>
      <c r="I15" s="183"/>
      <c r="J15" s="183">
        <f t="shared" ca="1" si="9"/>
        <v>90</v>
      </c>
      <c r="K15" s="183"/>
      <c r="L15" s="184">
        <f t="shared" ca="1" si="10"/>
        <v>90</v>
      </c>
      <c r="M15" s="184"/>
      <c r="N15" s="184">
        <f t="shared" ca="1" si="11"/>
        <v>0</v>
      </c>
      <c r="O15" s="184"/>
      <c r="P15" s="110"/>
      <c r="R15" s="16"/>
      <c r="S15" s="16"/>
      <c r="T15" s="16"/>
      <c r="U15" s="16"/>
      <c r="V15" s="16"/>
      <c r="W15" s="16"/>
      <c r="X15" s="16"/>
      <c r="Y15" s="16"/>
      <c r="Z15" s="16"/>
      <c r="AA15" s="16"/>
      <c r="AB15" s="16"/>
      <c r="AC15" s="16"/>
      <c r="AD15" s="16"/>
      <c r="AE15" s="16"/>
    </row>
    <row r="16" spans="1:31" customFormat="1" x14ac:dyDescent="0.3">
      <c r="B16" s="183">
        <v>95</v>
      </c>
      <c r="C16" s="183"/>
      <c r="D16" s="185">
        <f ca="1">IF(RAND() &lt; 0.7, 95, IF(RAND() &lt; 0.5, 94.5, 95.5))</f>
        <v>95</v>
      </c>
      <c r="E16" s="185"/>
      <c r="F16" s="183">
        <f t="shared" ca="1" si="7"/>
        <v>95</v>
      </c>
      <c r="G16" s="183"/>
      <c r="H16" s="183">
        <f t="shared" ca="1" si="8"/>
        <v>95</v>
      </c>
      <c r="I16" s="183"/>
      <c r="J16" s="183">
        <f t="shared" ca="1" si="9"/>
        <v>95</v>
      </c>
      <c r="K16" s="183"/>
      <c r="L16" s="184">
        <f t="shared" ca="1" si="10"/>
        <v>95</v>
      </c>
      <c r="M16" s="184"/>
      <c r="N16" s="184">
        <f t="shared" ca="1" si="11"/>
        <v>0</v>
      </c>
      <c r="O16" s="184"/>
      <c r="P16" s="110"/>
      <c r="R16" s="16"/>
      <c r="S16" s="16"/>
      <c r="T16" s="16"/>
      <c r="U16" s="16"/>
      <c r="V16" s="16"/>
      <c r="W16" s="16"/>
      <c r="X16" s="16"/>
      <c r="Y16" s="16"/>
      <c r="Z16" s="16"/>
      <c r="AA16" s="16"/>
      <c r="AB16" s="16"/>
      <c r="AC16" s="16"/>
      <c r="AD16" s="16"/>
      <c r="AE16" s="16"/>
    </row>
    <row r="17" spans="2:33" customFormat="1" x14ac:dyDescent="0.3">
      <c r="B17" s="183">
        <v>99</v>
      </c>
      <c r="C17" s="183"/>
      <c r="D17" s="185">
        <f ca="1">ROUNDUP(RANDBETWEEN(196, 200)/2, 1)</f>
        <v>100</v>
      </c>
      <c r="E17" s="185"/>
      <c r="F17" s="183">
        <f t="shared" ca="1" si="7"/>
        <v>100</v>
      </c>
      <c r="G17" s="183"/>
      <c r="H17" s="183">
        <f t="shared" ca="1" si="8"/>
        <v>100</v>
      </c>
      <c r="I17" s="183"/>
      <c r="J17" s="183">
        <f t="shared" ca="1" si="9"/>
        <v>100</v>
      </c>
      <c r="K17" s="183"/>
      <c r="L17" s="184">
        <f t="shared" ref="L17" ca="1" si="12">AVERAGE(D17:K17)</f>
        <v>100</v>
      </c>
      <c r="M17" s="184"/>
      <c r="N17" s="184">
        <f t="shared" ref="N17" ca="1" si="13">L17-B17</f>
        <v>1</v>
      </c>
      <c r="O17" s="184"/>
      <c r="P17" s="110"/>
    </row>
    <row r="18" spans="2:33" customFormat="1" x14ac:dyDescent="0.3"/>
    <row r="19" spans="2:33" customFormat="1" x14ac:dyDescent="0.3">
      <c r="L19" s="16"/>
      <c r="M19" s="16"/>
      <c r="N19" s="16"/>
      <c r="O19" s="16"/>
      <c r="P19" s="16"/>
      <c r="Q19" s="16"/>
      <c r="AF19" s="16"/>
      <c r="AG19" s="16"/>
    </row>
    <row r="20" spans="2:33" customFormat="1" ht="36.6" customHeight="1" x14ac:dyDescent="0.3">
      <c r="J20" s="16"/>
      <c r="K20" s="16"/>
      <c r="L20" s="16"/>
      <c r="M20" s="16"/>
      <c r="N20" s="16"/>
      <c r="O20" s="16"/>
      <c r="P20" s="16"/>
      <c r="Q20" s="16"/>
    </row>
    <row r="21" spans="2:33" customFormat="1" x14ac:dyDescent="0.3">
      <c r="J21" s="16"/>
      <c r="K21" s="16"/>
      <c r="L21" s="16"/>
      <c r="M21" s="16"/>
      <c r="N21" s="16"/>
      <c r="O21" s="16"/>
      <c r="P21" s="16"/>
      <c r="Q21" s="16"/>
      <c r="R21" s="16"/>
      <c r="S21" s="16"/>
      <c r="T21" s="16"/>
      <c r="U21" s="16"/>
      <c r="V21" s="16"/>
      <c r="W21" s="16"/>
      <c r="X21" s="16"/>
      <c r="Y21" s="16"/>
      <c r="Z21" s="16"/>
      <c r="AA21" s="16"/>
      <c r="AB21" s="16"/>
      <c r="AC21" s="16"/>
      <c r="AD21" s="16"/>
      <c r="AE21" s="16"/>
    </row>
    <row r="22" spans="2:33" x14ac:dyDescent="0.3">
      <c r="B22"/>
      <c r="C22"/>
      <c r="D22"/>
      <c r="E22"/>
      <c r="F22"/>
      <c r="G22"/>
      <c r="H22"/>
      <c r="I22"/>
    </row>
    <row r="23" spans="2:33" customFormat="1" x14ac:dyDescent="0.3">
      <c r="J23" s="16"/>
      <c r="K23" s="16"/>
      <c r="L23" s="16"/>
      <c r="M23" s="16"/>
      <c r="N23" s="16"/>
      <c r="O23" s="16"/>
      <c r="P23" s="16"/>
      <c r="Q23" s="16"/>
      <c r="R23" s="16"/>
      <c r="S23" s="16"/>
      <c r="T23" s="16"/>
      <c r="U23" s="16"/>
      <c r="V23" s="16"/>
      <c r="W23" s="16"/>
      <c r="X23" s="16"/>
      <c r="Y23" s="16"/>
      <c r="Z23" s="16"/>
      <c r="AA23" s="16"/>
      <c r="AB23" s="16"/>
      <c r="AC23" s="16"/>
      <c r="AD23" s="16"/>
      <c r="AE23" s="16"/>
    </row>
    <row r="24" spans="2:33" customFormat="1" x14ac:dyDescent="0.3"/>
    <row r="25" spans="2:33" customFormat="1" x14ac:dyDescent="0.3"/>
    <row r="26" spans="2:33" customFormat="1" x14ac:dyDescent="0.3"/>
    <row r="27" spans="2:33" customFormat="1" x14ac:dyDescent="0.3"/>
    <row r="28" spans="2:33" customFormat="1" ht="17.399999999999999" customHeight="1" x14ac:dyDescent="0.3"/>
    <row r="29" spans="2:33" customFormat="1" ht="23.4" customHeight="1" x14ac:dyDescent="0.3"/>
    <row r="30" spans="2:33" customFormat="1" x14ac:dyDescent="0.3">
      <c r="Q30" s="16"/>
    </row>
    <row r="31" spans="2:33" customFormat="1" x14ac:dyDescent="0.3">
      <c r="Q31" s="16"/>
    </row>
    <row r="32" spans="2:33" customFormat="1" x14ac:dyDescent="0.3">
      <c r="Q32" s="16"/>
    </row>
    <row r="33" spans="18:31" customFormat="1" x14ac:dyDescent="0.3"/>
    <row r="34" spans="18:31" customFormat="1" x14ac:dyDescent="0.3"/>
    <row r="35" spans="18:31" customFormat="1" x14ac:dyDescent="0.3"/>
    <row r="36" spans="18:31" customFormat="1" x14ac:dyDescent="0.3"/>
    <row r="37" spans="18:31" customFormat="1" x14ac:dyDescent="0.3"/>
    <row r="38" spans="18:31" customFormat="1" x14ac:dyDescent="0.3"/>
    <row r="39" spans="18:31" customFormat="1" x14ac:dyDescent="0.3"/>
    <row r="40" spans="18:31" customFormat="1" x14ac:dyDescent="0.3">
      <c r="R40" s="16"/>
      <c r="S40" s="16"/>
      <c r="T40" s="16"/>
      <c r="U40" s="16"/>
      <c r="V40" s="16"/>
      <c r="W40" s="16"/>
      <c r="X40" s="16"/>
      <c r="Y40" s="16"/>
      <c r="Z40" s="16"/>
      <c r="AA40" s="16"/>
      <c r="AB40" s="16"/>
      <c r="AC40" s="16"/>
      <c r="AD40" s="16"/>
      <c r="AE40" s="16"/>
    </row>
    <row r="41" spans="18:31" customFormat="1" ht="30" customHeight="1" x14ac:dyDescent="0.3">
      <c r="R41" s="16"/>
      <c r="S41" s="16"/>
      <c r="T41" s="16"/>
      <c r="U41" s="16"/>
      <c r="V41" s="16"/>
      <c r="W41" s="16"/>
      <c r="X41" s="16"/>
      <c r="Y41" s="16"/>
      <c r="Z41" s="16"/>
      <c r="AA41" s="16"/>
      <c r="AB41" s="16"/>
      <c r="AC41" s="16"/>
      <c r="AD41" s="16"/>
      <c r="AE41" s="16"/>
    </row>
    <row r="42" spans="18:31" customFormat="1" x14ac:dyDescent="0.3">
      <c r="R42" s="16"/>
      <c r="S42" s="16"/>
      <c r="T42" s="16"/>
      <c r="U42" s="16"/>
      <c r="V42" s="16"/>
      <c r="W42" s="16"/>
      <c r="X42" s="16"/>
      <c r="Y42" s="16"/>
      <c r="Z42" s="16"/>
      <c r="AA42" s="16"/>
      <c r="AB42" s="16"/>
      <c r="AC42" s="16"/>
      <c r="AD42" s="16"/>
      <c r="AE42" s="16"/>
    </row>
    <row r="43" spans="18:31" customFormat="1" x14ac:dyDescent="0.3">
      <c r="R43" s="16"/>
      <c r="S43" s="16"/>
      <c r="T43" s="16"/>
      <c r="U43" s="16"/>
      <c r="V43" s="16"/>
      <c r="W43" s="16"/>
      <c r="X43" s="16"/>
      <c r="Y43" s="16"/>
      <c r="Z43" s="16"/>
      <c r="AA43" s="16"/>
      <c r="AB43" s="16"/>
      <c r="AC43" s="16"/>
      <c r="AD43" s="16"/>
      <c r="AE43" s="16"/>
    </row>
    <row r="44" spans="18:31" customFormat="1" x14ac:dyDescent="0.3">
      <c r="R44" s="16"/>
      <c r="S44" s="16"/>
      <c r="T44" s="16"/>
      <c r="U44" s="16"/>
      <c r="V44" s="16"/>
      <c r="W44" s="16"/>
      <c r="X44" s="16"/>
      <c r="Y44" s="16"/>
      <c r="Z44" s="16"/>
      <c r="AA44" s="16"/>
      <c r="AB44" s="16"/>
      <c r="AC44" s="16"/>
      <c r="AD44" s="16"/>
      <c r="AE44" s="16"/>
    </row>
    <row r="45" spans="18:31" customFormat="1" x14ac:dyDescent="0.3">
      <c r="R45" s="16"/>
      <c r="S45" s="16"/>
      <c r="T45" s="16"/>
      <c r="U45" s="16"/>
      <c r="V45" s="16"/>
      <c r="W45" s="16"/>
      <c r="X45" s="16"/>
      <c r="Y45" s="16"/>
      <c r="Z45" s="16"/>
      <c r="AA45" s="16"/>
      <c r="AB45" s="16"/>
      <c r="AC45" s="16"/>
      <c r="AD45" s="16"/>
      <c r="AE45" s="16"/>
    </row>
    <row r="46" spans="18:31" customFormat="1" x14ac:dyDescent="0.3">
      <c r="R46" s="16"/>
      <c r="S46" s="16"/>
      <c r="T46" s="16"/>
      <c r="U46" s="16"/>
      <c r="V46" s="16"/>
      <c r="W46" s="16"/>
      <c r="X46" s="16"/>
      <c r="Y46" s="16"/>
      <c r="Z46" s="16"/>
      <c r="AA46" s="16"/>
      <c r="AB46" s="16"/>
      <c r="AC46" s="16"/>
      <c r="AD46" s="16"/>
      <c r="AE46" s="16"/>
    </row>
    <row r="47" spans="18:31" customFormat="1" x14ac:dyDescent="0.3">
      <c r="R47" s="16"/>
      <c r="S47" s="16"/>
      <c r="T47" s="16"/>
      <c r="U47" s="16"/>
      <c r="V47" s="16"/>
      <c r="W47" s="16"/>
      <c r="X47" s="16"/>
      <c r="Y47" s="16"/>
      <c r="Z47" s="16"/>
      <c r="AA47" s="16"/>
      <c r="AB47" s="16"/>
      <c r="AC47" s="16"/>
      <c r="AD47" s="16"/>
      <c r="AE47" s="16"/>
    </row>
  </sheetData>
  <mergeCells count="125">
    <mergeCell ref="AB6:AC6"/>
    <mergeCell ref="AD6:AE6"/>
    <mergeCell ref="R7:S7"/>
    <mergeCell ref="T7:U7"/>
    <mergeCell ref="AB7:AC7"/>
    <mergeCell ref="AD7:AE7"/>
    <mergeCell ref="R6:S6"/>
    <mergeCell ref="T6:U6"/>
    <mergeCell ref="AB4:AC4"/>
    <mergeCell ref="AD4:AE4"/>
    <mergeCell ref="R5:S5"/>
    <mergeCell ref="T5:U5"/>
    <mergeCell ref="AB5:AC5"/>
    <mergeCell ref="AD5:AE5"/>
    <mergeCell ref="R4:S4"/>
    <mergeCell ref="T4:U4"/>
    <mergeCell ref="V4:W4"/>
    <mergeCell ref="X4:Y4"/>
    <mergeCell ref="Z4:AA4"/>
    <mergeCell ref="V7:W7"/>
    <mergeCell ref="X7:Y7"/>
    <mergeCell ref="Z7:AA7"/>
    <mergeCell ref="V6:W6"/>
    <mergeCell ref="X6:Y6"/>
    <mergeCell ref="R1:AE1"/>
    <mergeCell ref="T2:AA2"/>
    <mergeCell ref="R3:S3"/>
    <mergeCell ref="T3:U3"/>
    <mergeCell ref="V3:W3"/>
    <mergeCell ref="X3:Y3"/>
    <mergeCell ref="Z3:AA3"/>
    <mergeCell ref="AB3:AC3"/>
    <mergeCell ref="AD3:AE3"/>
    <mergeCell ref="Z6:AA6"/>
    <mergeCell ref="V5:W5"/>
    <mergeCell ref="X5:Y5"/>
    <mergeCell ref="Z5:AA5"/>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J17:K17"/>
    <mergeCell ref="L17:M17"/>
    <mergeCell ref="N17:O17"/>
    <mergeCell ref="B17:C17"/>
    <mergeCell ref="D17:E17"/>
    <mergeCell ref="F17:G17"/>
    <mergeCell ref="H17:I17"/>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214" t="s">
        <v>167</v>
      </c>
      <c r="D2" s="214"/>
      <c r="E2" s="214"/>
      <c r="F2" s="214"/>
      <c r="G2" s="214"/>
      <c r="H2" s="214"/>
      <c r="I2" s="214"/>
      <c r="J2" s="214"/>
      <c r="K2" s="214"/>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04" t="s">
        <v>13</v>
      </c>
      <c r="C34" s="204"/>
      <c r="D34" s="204"/>
      <c r="E34" s="204"/>
      <c r="F34" s="204"/>
      <c r="G34" s="204"/>
      <c r="H34" s="204"/>
      <c r="I34" s="204"/>
      <c r="J34" s="204"/>
      <c r="K34" s="204"/>
      <c r="L34" s="204"/>
      <c r="M34" s="204"/>
      <c r="N34" s="3"/>
      <c r="O34" s="3"/>
      <c r="P34" s="3"/>
      <c r="Q34" s="3"/>
    </row>
    <row r="35" spans="2:17" x14ac:dyDescent="0.3">
      <c r="B35" s="197" t="s">
        <v>12</v>
      </c>
      <c r="C35" s="197"/>
      <c r="D35" s="197"/>
      <c r="E35" s="197"/>
      <c r="F35" s="197"/>
      <c r="G35" s="199" t="s">
        <v>144</v>
      </c>
      <c r="H35" s="200"/>
      <c r="I35" s="200"/>
      <c r="J35" s="200"/>
      <c r="K35" s="200"/>
      <c r="L35" s="200"/>
      <c r="M35" s="201"/>
      <c r="N35" s="9"/>
      <c r="O35" s="9"/>
      <c r="P35" s="9"/>
      <c r="Q35" s="9"/>
    </row>
    <row r="36" spans="2:17" x14ac:dyDescent="0.3">
      <c r="B36" s="197" t="s">
        <v>7</v>
      </c>
      <c r="C36" s="197"/>
      <c r="D36" s="197"/>
      <c r="E36" s="197"/>
      <c r="F36" s="197"/>
      <c r="G36" s="199" t="s">
        <v>145</v>
      </c>
      <c r="H36" s="200"/>
      <c r="I36" s="200"/>
      <c r="J36" s="200"/>
      <c r="K36" s="200"/>
      <c r="L36" s="200"/>
      <c r="M36" s="201"/>
      <c r="N36" s="9"/>
      <c r="O36" s="9"/>
      <c r="P36" s="9"/>
      <c r="Q36" s="9"/>
    </row>
    <row r="37" spans="2:17" x14ac:dyDescent="0.3">
      <c r="B37" s="197" t="s">
        <v>6</v>
      </c>
      <c r="C37" s="197"/>
      <c r="D37" s="197"/>
      <c r="E37" s="197"/>
      <c r="F37" s="197"/>
      <c r="G37" s="199" t="s">
        <v>146</v>
      </c>
      <c r="H37" s="200"/>
      <c r="I37" s="200"/>
      <c r="J37" s="200"/>
      <c r="K37" s="200"/>
      <c r="L37" s="200"/>
      <c r="M37" s="201"/>
      <c r="N37" s="9"/>
      <c r="O37" s="9"/>
      <c r="P37" s="9"/>
      <c r="Q37" s="9"/>
    </row>
    <row r="38" spans="2:17" x14ac:dyDescent="0.3">
      <c r="B38" s="197" t="s">
        <v>4</v>
      </c>
      <c r="C38" s="197"/>
      <c r="D38" s="197"/>
      <c r="E38" s="197"/>
      <c r="F38" s="197"/>
      <c r="G38" s="199" t="s">
        <v>147</v>
      </c>
      <c r="H38" s="200"/>
      <c r="I38" s="200"/>
      <c r="J38" s="200"/>
      <c r="K38" s="200"/>
      <c r="L38" s="200"/>
      <c r="M38" s="201"/>
      <c r="N38" s="9"/>
      <c r="O38" s="9"/>
      <c r="P38" s="9"/>
      <c r="Q38" s="9"/>
    </row>
    <row r="39" spans="2:17" x14ac:dyDescent="0.3">
      <c r="B39" s="197" t="s">
        <v>11</v>
      </c>
      <c r="C39" s="197"/>
      <c r="D39" s="197"/>
      <c r="E39" s="197"/>
      <c r="F39" s="202"/>
      <c r="G39" s="205">
        <v>44971</v>
      </c>
      <c r="H39" s="205"/>
      <c r="I39" s="205"/>
      <c r="J39" s="205"/>
      <c r="K39" s="205"/>
      <c r="L39" s="205"/>
      <c r="M39" s="205"/>
      <c r="N39" s="10"/>
      <c r="O39" s="10"/>
      <c r="P39" s="10"/>
      <c r="Q39" s="10"/>
    </row>
    <row r="40" spans="2:17" x14ac:dyDescent="0.3">
      <c r="B40" s="197" t="s">
        <v>10</v>
      </c>
      <c r="C40" s="197"/>
      <c r="D40" s="197"/>
      <c r="E40" s="197"/>
      <c r="F40" s="197"/>
      <c r="G40" s="198" t="s">
        <v>157</v>
      </c>
      <c r="H40" s="198"/>
      <c r="I40" s="198"/>
      <c r="J40" s="198"/>
      <c r="K40" s="198"/>
      <c r="L40" s="198"/>
      <c r="M40" s="198"/>
      <c r="N40" s="9"/>
      <c r="O40" s="9"/>
      <c r="P40" s="9"/>
      <c r="Q40" s="9"/>
    </row>
    <row r="41" spans="2:17" x14ac:dyDescent="0.3">
      <c r="B41" s="197" t="s">
        <v>148</v>
      </c>
      <c r="C41" s="197"/>
      <c r="D41" s="197"/>
      <c r="E41" s="197"/>
      <c r="F41" s="197"/>
      <c r="G41" s="199">
        <v>0.11</v>
      </c>
      <c r="H41" s="200"/>
      <c r="I41" s="200"/>
      <c r="J41" s="200"/>
      <c r="K41" s="200"/>
      <c r="L41" s="200"/>
      <c r="M41" s="201"/>
      <c r="N41" s="4"/>
      <c r="O41" s="4"/>
      <c r="P41" s="4"/>
      <c r="Q41" s="4"/>
    </row>
    <row r="42" spans="2:17" x14ac:dyDescent="0.3">
      <c r="B42" s="197" t="s">
        <v>149</v>
      </c>
      <c r="C42" s="197"/>
      <c r="D42" s="197"/>
      <c r="E42" s="197"/>
      <c r="F42" s="197"/>
      <c r="G42" s="199">
        <v>0.48</v>
      </c>
      <c r="H42" s="200"/>
      <c r="I42" s="200"/>
      <c r="J42" s="200"/>
      <c r="K42" s="200"/>
      <c r="L42" s="200"/>
      <c r="M42" s="201"/>
      <c r="N42" s="4"/>
      <c r="O42" s="4"/>
      <c r="P42" s="4"/>
      <c r="Q42" s="4"/>
    </row>
    <row r="43" spans="2:17" x14ac:dyDescent="0.3">
      <c r="B43" s="197" t="s">
        <v>150</v>
      </c>
      <c r="C43" s="197"/>
      <c r="D43" s="197"/>
      <c r="E43" s="197"/>
      <c r="F43" s="202"/>
      <c r="G43" s="199">
        <v>0.5</v>
      </c>
      <c r="H43" s="200"/>
      <c r="I43" s="200"/>
      <c r="J43" s="200"/>
      <c r="K43" s="200"/>
      <c r="L43" s="200"/>
      <c r="M43" s="201"/>
      <c r="N43" s="4"/>
      <c r="O43" s="4"/>
      <c r="P43" s="4"/>
      <c r="Q43" s="4"/>
    </row>
    <row r="44" spans="2:17" x14ac:dyDescent="0.3">
      <c r="B44" s="197" t="s">
        <v>151</v>
      </c>
      <c r="C44" s="197"/>
      <c r="D44" s="197"/>
      <c r="E44" s="197"/>
      <c r="F44" s="202"/>
      <c r="G44" s="199">
        <v>0</v>
      </c>
      <c r="H44" s="200"/>
      <c r="I44" s="200"/>
      <c r="J44" s="200"/>
      <c r="K44" s="200"/>
      <c r="L44" s="200"/>
      <c r="M44" s="201"/>
    </row>
    <row r="45" spans="2:17" x14ac:dyDescent="0.3">
      <c r="B45" s="197" t="s">
        <v>152</v>
      </c>
      <c r="C45" s="197"/>
      <c r="D45" s="197"/>
      <c r="E45" s="197"/>
      <c r="F45" s="202"/>
      <c r="G45" s="199">
        <v>0.1</v>
      </c>
      <c r="H45" s="200"/>
      <c r="I45" s="200"/>
      <c r="J45" s="200"/>
      <c r="K45" s="200"/>
      <c r="L45" s="200"/>
      <c r="M45" s="201"/>
    </row>
    <row r="46" spans="2:17" x14ac:dyDescent="0.3">
      <c r="B46" s="197" t="s">
        <v>153</v>
      </c>
      <c r="C46" s="197"/>
      <c r="D46" s="197"/>
      <c r="E46" s="197"/>
      <c r="F46" s="202"/>
      <c r="G46" s="199">
        <v>1</v>
      </c>
      <c r="H46" s="200"/>
      <c r="I46" s="200"/>
      <c r="J46" s="200"/>
      <c r="K46" s="200"/>
      <c r="L46" s="200"/>
      <c r="M46" s="201"/>
    </row>
    <row r="47" spans="2:17" x14ac:dyDescent="0.3">
      <c r="B47" s="197" t="s">
        <v>9</v>
      </c>
      <c r="C47" s="197"/>
      <c r="D47" s="197"/>
      <c r="E47" s="197"/>
      <c r="F47" s="202"/>
      <c r="G47" s="199">
        <v>2</v>
      </c>
      <c r="H47" s="200"/>
      <c r="I47" s="200"/>
      <c r="J47" s="200"/>
      <c r="K47" s="200"/>
      <c r="L47" s="200"/>
      <c r="M47" s="201"/>
    </row>
    <row r="49" spans="2:13" x14ac:dyDescent="0.3">
      <c r="B49" s="204" t="s">
        <v>13</v>
      </c>
      <c r="C49" s="204"/>
      <c r="D49" s="204"/>
      <c r="E49" s="204"/>
      <c r="F49" s="204"/>
      <c r="G49" s="204"/>
      <c r="H49" s="204"/>
      <c r="I49" s="204"/>
      <c r="J49" s="204"/>
      <c r="K49" s="204"/>
      <c r="L49" s="204"/>
      <c r="M49" s="204"/>
    </row>
    <row r="50" spans="2:13" x14ac:dyDescent="0.3">
      <c r="B50" s="203" t="s">
        <v>12</v>
      </c>
      <c r="C50" s="203"/>
      <c r="D50" s="203"/>
      <c r="E50" s="203"/>
      <c r="F50" s="203"/>
      <c r="G50" s="199" t="s">
        <v>61</v>
      </c>
      <c r="H50" s="200"/>
      <c r="I50" s="200"/>
      <c r="J50" s="200"/>
      <c r="K50" s="200"/>
      <c r="L50" s="200"/>
      <c r="M50" s="201"/>
    </row>
    <row r="51" spans="2:13" x14ac:dyDescent="0.3">
      <c r="B51" s="203" t="s">
        <v>7</v>
      </c>
      <c r="C51" s="203"/>
      <c r="D51" s="203"/>
      <c r="E51" s="203"/>
      <c r="F51" s="203"/>
      <c r="G51" s="199" t="s">
        <v>159</v>
      </c>
      <c r="H51" s="200"/>
      <c r="I51" s="200"/>
      <c r="J51" s="200"/>
      <c r="K51" s="200"/>
      <c r="L51" s="200"/>
      <c r="M51" s="201"/>
    </row>
    <row r="52" spans="2:13" x14ac:dyDescent="0.3">
      <c r="B52" s="203" t="s">
        <v>6</v>
      </c>
      <c r="C52" s="203"/>
      <c r="D52" s="203"/>
      <c r="E52" s="203"/>
      <c r="F52" s="203"/>
      <c r="G52" s="199" t="s">
        <v>159</v>
      </c>
      <c r="H52" s="200"/>
      <c r="I52" s="200"/>
      <c r="J52" s="200"/>
      <c r="K52" s="200"/>
      <c r="L52" s="200"/>
      <c r="M52" s="201"/>
    </row>
    <row r="53" spans="2:13" x14ac:dyDescent="0.3">
      <c r="B53" s="203" t="s">
        <v>4</v>
      </c>
      <c r="C53" s="203"/>
      <c r="D53" s="203"/>
      <c r="E53" s="203"/>
      <c r="F53" s="203"/>
      <c r="G53" s="199" t="s">
        <v>159</v>
      </c>
      <c r="H53" s="200"/>
      <c r="I53" s="200"/>
      <c r="J53" s="200"/>
      <c r="K53" s="200"/>
      <c r="L53" s="200"/>
      <c r="M53" s="201"/>
    </row>
    <row r="54" spans="2:13" x14ac:dyDescent="0.3">
      <c r="B54" s="203" t="s">
        <v>11</v>
      </c>
      <c r="C54" s="203"/>
      <c r="D54" s="203"/>
      <c r="E54" s="203"/>
      <c r="F54" s="203"/>
      <c r="G54" s="210">
        <v>45048</v>
      </c>
      <c r="H54" s="200"/>
      <c r="I54" s="200"/>
      <c r="J54" s="200"/>
      <c r="K54" s="200"/>
      <c r="L54" s="200"/>
      <c r="M54" s="201"/>
    </row>
    <row r="55" spans="2:13" x14ac:dyDescent="0.3">
      <c r="B55" s="203" t="s">
        <v>10</v>
      </c>
      <c r="C55" s="203"/>
      <c r="D55" s="203"/>
      <c r="E55" s="203"/>
      <c r="F55" s="203"/>
      <c r="G55" s="198" t="s">
        <v>186</v>
      </c>
      <c r="H55" s="198"/>
      <c r="I55" s="198"/>
      <c r="J55" s="198"/>
      <c r="K55" s="198"/>
      <c r="L55" s="198"/>
      <c r="M55" s="198"/>
    </row>
    <row r="56" spans="2:13" x14ac:dyDescent="0.3">
      <c r="B56" s="203" t="s">
        <v>154</v>
      </c>
      <c r="C56" s="203"/>
      <c r="D56" s="203"/>
      <c r="E56" s="203"/>
      <c r="F56" s="203"/>
      <c r="G56" s="206">
        <v>0.52</v>
      </c>
      <c r="H56" s="206"/>
      <c r="I56" s="206"/>
      <c r="J56" s="206"/>
      <c r="K56" s="206"/>
      <c r="L56" s="206"/>
      <c r="M56" s="206"/>
    </row>
    <row r="57" spans="2:13" x14ac:dyDescent="0.3">
      <c r="B57" s="203" t="s">
        <v>163</v>
      </c>
      <c r="C57" s="203"/>
      <c r="D57" s="203"/>
      <c r="E57" s="203"/>
      <c r="F57" s="203"/>
      <c r="G57" s="215">
        <v>0.2</v>
      </c>
      <c r="H57" s="216"/>
      <c r="I57" s="216"/>
      <c r="J57" s="216"/>
      <c r="K57" s="216"/>
      <c r="L57" s="216"/>
      <c r="M57" s="217"/>
    </row>
    <row r="58" spans="2:13" x14ac:dyDescent="0.3">
      <c r="B58" s="203" t="s">
        <v>164</v>
      </c>
      <c r="C58" s="203"/>
      <c r="D58" s="203"/>
      <c r="E58" s="203"/>
      <c r="F58" s="203"/>
      <c r="G58" s="215">
        <v>0.1</v>
      </c>
      <c r="H58" s="216"/>
      <c r="I58" s="216"/>
      <c r="J58" s="216"/>
      <c r="K58" s="216"/>
      <c r="L58" s="216"/>
      <c r="M58" s="217"/>
    </row>
    <row r="59" spans="2:13" x14ac:dyDescent="0.3">
      <c r="B59" s="203" t="s">
        <v>9</v>
      </c>
      <c r="C59" s="203"/>
      <c r="D59" s="203"/>
      <c r="E59" s="203"/>
      <c r="F59" s="203"/>
      <c r="G59" s="206">
        <v>2</v>
      </c>
      <c r="H59" s="206"/>
      <c r="I59" s="206"/>
      <c r="J59" s="206"/>
      <c r="K59" s="206"/>
      <c r="L59" s="206"/>
      <c r="M59" s="206"/>
    </row>
    <row r="61" spans="2:13" x14ac:dyDescent="0.3">
      <c r="B61" s="204" t="s">
        <v>13</v>
      </c>
      <c r="C61" s="204"/>
      <c r="D61" s="204"/>
      <c r="E61" s="204"/>
      <c r="F61" s="204"/>
      <c r="G61" s="204"/>
      <c r="H61" s="204"/>
      <c r="I61" s="204"/>
      <c r="J61" s="204"/>
      <c r="K61" s="204"/>
      <c r="L61" s="204"/>
      <c r="M61" s="204"/>
    </row>
    <row r="62" spans="2:13" x14ac:dyDescent="0.3">
      <c r="B62" s="207" t="s">
        <v>12</v>
      </c>
      <c r="C62" s="207"/>
      <c r="D62" s="207"/>
      <c r="E62" s="207"/>
      <c r="F62" s="208"/>
      <c r="G62" s="199" t="s">
        <v>155</v>
      </c>
      <c r="H62" s="200"/>
      <c r="I62" s="200"/>
      <c r="J62" s="200"/>
      <c r="K62" s="200"/>
      <c r="L62" s="200"/>
      <c r="M62" s="201"/>
    </row>
    <row r="63" spans="2:13" x14ac:dyDescent="0.3">
      <c r="B63" s="203" t="s">
        <v>7</v>
      </c>
      <c r="C63" s="203"/>
      <c r="D63" s="203"/>
      <c r="E63" s="203"/>
      <c r="F63" s="209"/>
      <c r="G63" s="199" t="s">
        <v>145</v>
      </c>
      <c r="H63" s="200"/>
      <c r="I63" s="200"/>
      <c r="J63" s="200"/>
      <c r="K63" s="200"/>
      <c r="L63" s="200"/>
      <c r="M63" s="201"/>
    </row>
    <row r="64" spans="2:13" x14ac:dyDescent="0.3">
      <c r="B64" s="203" t="s">
        <v>6</v>
      </c>
      <c r="C64" s="203"/>
      <c r="D64" s="203"/>
      <c r="E64" s="203"/>
      <c r="F64" s="209"/>
      <c r="G64" s="199" t="s">
        <v>156</v>
      </c>
      <c r="H64" s="200"/>
      <c r="I64" s="200"/>
      <c r="J64" s="200"/>
      <c r="K64" s="200"/>
      <c r="L64" s="200"/>
      <c r="M64" s="201"/>
    </row>
    <row r="65" spans="2:13" x14ac:dyDescent="0.3">
      <c r="B65" s="203" t="s">
        <v>4</v>
      </c>
      <c r="C65" s="203"/>
      <c r="D65" s="203"/>
      <c r="E65" s="203"/>
      <c r="F65" s="209"/>
      <c r="G65" s="199">
        <v>73021035</v>
      </c>
      <c r="H65" s="200"/>
      <c r="I65" s="200"/>
      <c r="J65" s="200"/>
      <c r="K65" s="200"/>
      <c r="L65" s="200"/>
      <c r="M65" s="201"/>
    </row>
    <row r="66" spans="2:13" x14ac:dyDescent="0.3">
      <c r="B66" s="203" t="s">
        <v>11</v>
      </c>
      <c r="C66" s="203"/>
      <c r="D66" s="203"/>
      <c r="E66" s="203"/>
      <c r="F66" s="209"/>
      <c r="G66" s="210">
        <v>44970</v>
      </c>
      <c r="H66" s="200"/>
      <c r="I66" s="200"/>
      <c r="J66" s="200"/>
      <c r="K66" s="200"/>
      <c r="L66" s="200"/>
      <c r="M66" s="201"/>
    </row>
    <row r="67" spans="2:13" x14ac:dyDescent="0.3">
      <c r="B67" s="203" t="s">
        <v>10</v>
      </c>
      <c r="C67" s="203"/>
      <c r="D67" s="203"/>
      <c r="E67" s="203"/>
      <c r="F67" s="209"/>
      <c r="G67" s="198" t="s">
        <v>158</v>
      </c>
      <c r="H67" s="198"/>
      <c r="I67" s="198"/>
      <c r="J67" s="198"/>
      <c r="K67" s="198"/>
      <c r="L67" s="198"/>
      <c r="M67" s="198"/>
    </row>
    <row r="68" spans="2:13" x14ac:dyDescent="0.3">
      <c r="B68" s="203" t="s">
        <v>162</v>
      </c>
      <c r="C68" s="203"/>
      <c r="D68" s="203"/>
      <c r="E68" s="203"/>
      <c r="F68" s="209"/>
      <c r="G68" s="195">
        <v>2.2999999999999998</v>
      </c>
      <c r="H68" s="195"/>
      <c r="I68" s="195"/>
      <c r="J68" s="195"/>
      <c r="K68" s="195"/>
      <c r="L68" s="195"/>
      <c r="M68" s="195"/>
    </row>
    <row r="69" spans="2:13" x14ac:dyDescent="0.3">
      <c r="B69" s="203" t="s">
        <v>149</v>
      </c>
      <c r="C69" s="203"/>
      <c r="D69" s="203"/>
      <c r="E69" s="203"/>
      <c r="F69" s="209"/>
      <c r="G69" s="195">
        <v>1.7</v>
      </c>
      <c r="H69" s="195"/>
      <c r="I69" s="195"/>
      <c r="J69" s="195"/>
      <c r="K69" s="195"/>
      <c r="L69" s="195"/>
      <c r="M69" s="195"/>
    </row>
    <row r="70" spans="2:13" x14ac:dyDescent="0.3">
      <c r="B70" s="203" t="s">
        <v>160</v>
      </c>
      <c r="C70" s="203"/>
      <c r="D70" s="203"/>
      <c r="E70" s="203"/>
      <c r="F70" s="209"/>
      <c r="G70" s="195">
        <v>0.8</v>
      </c>
      <c r="H70" s="195"/>
      <c r="I70" s="195"/>
      <c r="J70" s="195"/>
      <c r="K70" s="195"/>
      <c r="L70" s="195"/>
      <c r="M70" s="195"/>
    </row>
    <row r="71" spans="2:13" x14ac:dyDescent="0.3">
      <c r="B71" s="203" t="s">
        <v>165</v>
      </c>
      <c r="C71" s="203"/>
      <c r="D71" s="203"/>
      <c r="E71" s="203"/>
      <c r="F71" s="209"/>
      <c r="G71" s="211">
        <v>1</v>
      </c>
      <c r="H71" s="212"/>
      <c r="I71" s="212"/>
      <c r="J71" s="212"/>
      <c r="K71" s="212"/>
      <c r="L71" s="212"/>
      <c r="M71" s="213"/>
    </row>
    <row r="72" spans="2:13" x14ac:dyDescent="0.3">
      <c r="B72" s="203" t="s">
        <v>166</v>
      </c>
      <c r="C72" s="203"/>
      <c r="D72" s="203"/>
      <c r="E72" s="203"/>
      <c r="F72" s="209"/>
      <c r="G72" s="195">
        <v>1</v>
      </c>
      <c r="H72" s="195"/>
      <c r="I72" s="195"/>
      <c r="J72" s="195"/>
      <c r="K72" s="195"/>
      <c r="L72" s="195"/>
      <c r="M72" s="195"/>
    </row>
    <row r="73" spans="2:13" x14ac:dyDescent="0.3">
      <c r="B73" s="203" t="s">
        <v>161</v>
      </c>
      <c r="C73" s="203"/>
      <c r="D73" s="203"/>
      <c r="E73" s="203"/>
      <c r="F73" s="209"/>
      <c r="G73" s="195">
        <v>1</v>
      </c>
      <c r="H73" s="195"/>
      <c r="I73" s="195"/>
      <c r="J73" s="195"/>
      <c r="K73" s="195"/>
      <c r="L73" s="195"/>
      <c r="M73" s="195"/>
    </row>
    <row r="74" spans="2:13" x14ac:dyDescent="0.3">
      <c r="B74" s="203" t="s">
        <v>9</v>
      </c>
      <c r="C74" s="203"/>
      <c r="D74" s="203"/>
      <c r="E74" s="203"/>
      <c r="F74" s="209"/>
      <c r="G74" s="195">
        <v>2</v>
      </c>
      <c r="H74" s="195"/>
      <c r="I74" s="195"/>
      <c r="J74" s="195"/>
      <c r="K74" s="195"/>
      <c r="L74" s="195"/>
      <c r="M74" s="195"/>
    </row>
    <row r="75" spans="2:13" x14ac:dyDescent="0.3">
      <c r="B75" s="17"/>
      <c r="C75" s="17"/>
      <c r="D75" s="17"/>
      <c r="E75" s="18"/>
      <c r="F75" s="19"/>
    </row>
    <row r="78" spans="2:13" x14ac:dyDescent="0.3">
      <c r="C78" s="157"/>
      <c r="D78" s="157"/>
      <c r="E78" s="157"/>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57"/>
      <c r="D95" s="157"/>
      <c r="E95" s="157"/>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 ref="B67:F67"/>
    <mergeCell ref="G67:M67"/>
    <mergeCell ref="B68:F68"/>
    <mergeCell ref="G68:M68"/>
    <mergeCell ref="B71:F71"/>
    <mergeCell ref="G74:M74"/>
    <mergeCell ref="B69:F69"/>
    <mergeCell ref="B70:F70"/>
    <mergeCell ref="G70:M70"/>
    <mergeCell ref="G73:M73"/>
    <mergeCell ref="G69:M69"/>
    <mergeCell ref="G72:M72"/>
    <mergeCell ref="G71:M71"/>
    <mergeCell ref="B72:F72"/>
    <mergeCell ref="B73:F73"/>
    <mergeCell ref="B74:F74"/>
    <mergeCell ref="B64:F64"/>
    <mergeCell ref="G64:M64"/>
    <mergeCell ref="B65:F65"/>
    <mergeCell ref="G65:M65"/>
    <mergeCell ref="G66:M66"/>
    <mergeCell ref="B66:F66"/>
    <mergeCell ref="B59:F59"/>
    <mergeCell ref="G59:M59"/>
    <mergeCell ref="B62:F62"/>
    <mergeCell ref="G62:M62"/>
    <mergeCell ref="B63:F63"/>
    <mergeCell ref="G63:M63"/>
    <mergeCell ref="B61:M61"/>
    <mergeCell ref="G53:M53"/>
    <mergeCell ref="B47:F47"/>
    <mergeCell ref="G47:M47"/>
    <mergeCell ref="B50:F50"/>
    <mergeCell ref="G50:M50"/>
    <mergeCell ref="B49:M49"/>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O19" sqref="O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18" t="s">
        <v>177</v>
      </c>
      <c r="C2" s="219"/>
      <c r="D2" s="219"/>
      <c r="E2" s="219"/>
      <c r="F2" s="219"/>
      <c r="G2" s="219"/>
      <c r="H2" s="219"/>
      <c r="I2" s="219"/>
      <c r="J2" s="219"/>
      <c r="K2" s="219"/>
      <c r="L2" s="220"/>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8">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8">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8">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8">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8">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18" t="s">
        <v>179</v>
      </c>
      <c r="C10" s="219"/>
      <c r="D10" s="219"/>
      <c r="E10" s="219"/>
      <c r="F10" s="219"/>
      <c r="G10" s="219"/>
      <c r="H10" s="219"/>
      <c r="I10" s="219"/>
      <c r="J10" s="219"/>
      <c r="K10" s="219"/>
      <c r="L10" s="220"/>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t="e">
        <f>MEDIDA!#REF!</f>
        <v>#REF!</v>
      </c>
      <c r="C12" s="8">
        <f>0.11/2</f>
        <v>5.5E-2</v>
      </c>
      <c r="D12" s="8">
        <f>PATRON!G$43/SQRT(3)</f>
        <v>0.28867513459481292</v>
      </c>
      <c r="E12" s="8">
        <v>0</v>
      </c>
      <c r="F12" s="8">
        <f>1/SQRT(12)</f>
        <v>0.28867513459481292</v>
      </c>
      <c r="G12" s="98">
        <f>PATRON!G$45/SQRT(12)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ref="C13:C16" si="4">0.11/2</f>
        <v>5.5E-2</v>
      </c>
      <c r="D13" s="8">
        <f>PATRON!G$43/SQRT(3)</f>
        <v>0.28867513459481292</v>
      </c>
      <c r="E13" s="8">
        <v>0</v>
      </c>
      <c r="F13" s="8">
        <f t="shared" ref="F13:F16" si="5">1/SQRT(12)</f>
        <v>0.28867513459481292</v>
      </c>
      <c r="G13" s="98">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t="e">
        <f>MEDIDA!#REF!</f>
        <v>#REF!</v>
      </c>
      <c r="C14" s="8">
        <f t="shared" si="4"/>
        <v>5.5E-2</v>
      </c>
      <c r="D14" s="8">
        <f>PATRON!G$43/SQRT(3)</f>
        <v>0.28867513459481292</v>
      </c>
      <c r="E14" s="8">
        <v>0</v>
      </c>
      <c r="F14" s="8">
        <f t="shared" si="5"/>
        <v>0.28867513459481292</v>
      </c>
      <c r="G14" s="98">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t="e">
        <f>MEDIDA!#REF!</f>
        <v>#REF!</v>
      </c>
      <c r="C15" s="8">
        <f t="shared" si="4"/>
        <v>5.5E-2</v>
      </c>
      <c r="D15" s="8">
        <f>PATRON!G$43/SQRT(3)</f>
        <v>0.28867513459481292</v>
      </c>
      <c r="E15" s="8">
        <v>0</v>
      </c>
      <c r="F15" s="8">
        <f t="shared" si="5"/>
        <v>0.28867513459481292</v>
      </c>
      <c r="G15" s="98">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t="e">
        <f>MEDIDA!#REF!</f>
        <v>#REF!</v>
      </c>
      <c r="C16" s="8">
        <f t="shared" si="4"/>
        <v>5.5E-2</v>
      </c>
      <c r="D16" s="8">
        <f>PATRON!G$43/SQRT(3)</f>
        <v>0.28867513459481292</v>
      </c>
      <c r="E16" s="8">
        <v>0</v>
      </c>
      <c r="F16" s="8">
        <f t="shared" si="5"/>
        <v>0.28867513459481292</v>
      </c>
      <c r="G16" s="98">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18" t="s">
        <v>180</v>
      </c>
      <c r="C18" s="219"/>
      <c r="D18" s="219"/>
      <c r="E18" s="219"/>
      <c r="F18" s="219"/>
      <c r="G18" s="219"/>
      <c r="H18" s="219"/>
      <c r="I18" s="219"/>
      <c r="J18" s="219"/>
      <c r="K18" s="219"/>
      <c r="L18" s="220"/>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8">
        <f>PATRON!G$45/SQRT(12)</f>
        <v>2.8867513459481291E-2</v>
      </c>
      <c r="H20" s="7" t="e">
        <f>STDEVA(MEDIDA!#REF!)/SQRT(4)</f>
        <v>#REF!</v>
      </c>
      <c r="I20" s="8" t="e">
        <f>SQRT(SUMSQ(C20:H20))</f>
        <v>#REF!</v>
      </c>
      <c r="J20" s="15" t="e">
        <f>I20^4/(C20^4/200+D20^4/200+E20^4/200+F20^4/200+G20^4/200+H20^4/3)</f>
        <v>#REF!</v>
      </c>
      <c r="K20" s="11" t="e">
        <f>TINV(0.0455,J20)</f>
        <v>#REF!</v>
      </c>
      <c r="L20" s="7" t="e">
        <f>I20*K20</f>
        <v>#REF!</v>
      </c>
    </row>
    <row r="21" spans="2:12" x14ac:dyDescent="0.3">
      <c r="B21" s="6" t="e">
        <f>MEDIDA!#REF!</f>
        <v>#REF!</v>
      </c>
      <c r="C21" s="8">
        <f t="shared" ref="C21:C24" si="8">0.11/2</f>
        <v>5.5E-2</v>
      </c>
      <c r="D21" s="8">
        <f>PATRON!G$43/SQRT(3)</f>
        <v>0.28867513459481292</v>
      </c>
      <c r="E21" s="8">
        <v>0</v>
      </c>
      <c r="F21" s="8">
        <f t="shared" ref="F21:F24" si="9">1/SQRT(12)</f>
        <v>0.28867513459481292</v>
      </c>
      <c r="G21" s="98">
        <f>PATRON!G$45/SQRT(12)</f>
        <v>2.8867513459481291E-2</v>
      </c>
      <c r="H21" s="7" t="e">
        <f>STDEVA(MEDIDA!#REF!)/SQRT(4)</f>
        <v>#REF!</v>
      </c>
      <c r="I21" s="8" t="e">
        <f>SQRT(SUMSQ(C21:H21))</f>
        <v>#REF!</v>
      </c>
      <c r="J21" s="15" t="e">
        <f>I21^4/(C21^4/200+D21^4/200+E21^4/200+F21^4/200+G21^4/200+H21^4/3)</f>
        <v>#REF!</v>
      </c>
      <c r="K21" s="11" t="e">
        <f>TINV(0.0455,J21)</f>
        <v>#REF!</v>
      </c>
      <c r="L21" s="7" t="e">
        <f>I21*K21</f>
        <v>#REF!</v>
      </c>
    </row>
    <row r="22" spans="2:12" x14ac:dyDescent="0.3">
      <c r="B22" s="6">
        <f>MEDIDA!B24</f>
        <v>0</v>
      </c>
      <c r="C22" s="8">
        <f t="shared" si="8"/>
        <v>5.5E-2</v>
      </c>
      <c r="D22" s="8">
        <f>PATRON!G$43/SQRT(3)</f>
        <v>0.28867513459481292</v>
      </c>
      <c r="E22" s="8">
        <v>0</v>
      </c>
      <c r="F22" s="8">
        <f t="shared" si="9"/>
        <v>0.28867513459481292</v>
      </c>
      <c r="G22" s="98">
        <f>PATRON!G$45/SQRT(12)</f>
        <v>2.8867513459481291E-2</v>
      </c>
      <c r="H22" s="7" t="e">
        <f>STDEVA(MEDIDA!D24:K24)/SQRT(4)</f>
        <v>#DIV/0!</v>
      </c>
      <c r="I22" s="8" t="e">
        <f>SQRT(SUMSQ(C22:H22))</f>
        <v>#DIV/0!</v>
      </c>
      <c r="J22" s="15" t="e">
        <f>I22^4/(C22^4/200+D22^4/200+E22^4/200+F22^4/200+G22^4/200+H22^4/3)</f>
        <v>#DIV/0!</v>
      </c>
      <c r="K22" s="11" t="e">
        <f t="shared" ref="K22:K24" si="10">TINV(0.0455,J22)</f>
        <v>#DIV/0!</v>
      </c>
      <c r="L22" s="7" t="e">
        <f t="shared" ref="L22:L24" si="11">I22*K22</f>
        <v>#DIV/0!</v>
      </c>
    </row>
    <row r="23" spans="2:12" x14ac:dyDescent="0.3">
      <c r="B23" s="6">
        <f>MEDIDA!B25</f>
        <v>0</v>
      </c>
      <c r="C23" s="8">
        <f t="shared" si="8"/>
        <v>5.5E-2</v>
      </c>
      <c r="D23" s="8">
        <f>PATRON!G$43/SQRT(3)</f>
        <v>0.28867513459481292</v>
      </c>
      <c r="E23" s="8">
        <v>0</v>
      </c>
      <c r="F23" s="8">
        <f t="shared" si="9"/>
        <v>0.28867513459481292</v>
      </c>
      <c r="G23" s="98">
        <f>PATRON!G$45/SQRT(12)</f>
        <v>2.8867513459481291E-2</v>
      </c>
      <c r="H23" s="7" t="e">
        <f>STDEVA(MEDIDA!D25:K25)/SQRT(4)</f>
        <v>#DIV/0!</v>
      </c>
      <c r="I23" s="8" t="e">
        <f>SQRT(SUMSQ(C23:H23))</f>
        <v>#DIV/0!</v>
      </c>
      <c r="J23" s="15" t="e">
        <f>I23^4/(C23^4/200+D23^4/200+E23^4/200+F23^4/200+G23^4/200+H23^4/3)</f>
        <v>#DIV/0!</v>
      </c>
      <c r="K23" s="11" t="e">
        <f t="shared" si="10"/>
        <v>#DIV/0!</v>
      </c>
      <c r="L23" s="7" t="e">
        <f t="shared" si="11"/>
        <v>#DIV/0!</v>
      </c>
    </row>
    <row r="24" spans="2:12" x14ac:dyDescent="0.3">
      <c r="B24" s="6">
        <f>MEDIDA!B26</f>
        <v>0</v>
      </c>
      <c r="C24" s="8">
        <f t="shared" si="8"/>
        <v>5.5E-2</v>
      </c>
      <c r="D24" s="8">
        <f>PATRON!G$43/SQRT(3)</f>
        <v>0.28867513459481292</v>
      </c>
      <c r="E24" s="8">
        <v>0</v>
      </c>
      <c r="F24" s="8">
        <f t="shared" si="9"/>
        <v>0.28867513459481292</v>
      </c>
      <c r="G24" s="98">
        <f>PATRON!G$45/SQRT(12)</f>
        <v>2.8867513459481291E-2</v>
      </c>
      <c r="H24" s="7" t="e">
        <f>STDEVA(MEDIDA!D26:K26)/SQRT(4)</f>
        <v>#DIV/0!</v>
      </c>
      <c r="I24" s="8" t="e">
        <f>SQRT(SUMSQ(C24:H24))</f>
        <v>#DIV/0!</v>
      </c>
      <c r="J24" s="15" t="e">
        <f>I24^4/(C24^4/200+D24^4/200+E24^4/200+F24^4/200+G24^4/200+H24^4/3)</f>
        <v>#DIV/0!</v>
      </c>
      <c r="K24" s="11" t="e">
        <f t="shared" si="10"/>
        <v>#DIV/0!</v>
      </c>
      <c r="L24" s="7" t="e">
        <f t="shared" si="11"/>
        <v>#DIV/0!</v>
      </c>
    </row>
    <row r="26" spans="2:12" x14ac:dyDescent="0.3">
      <c r="B26" s="218" t="s">
        <v>181</v>
      </c>
      <c r="C26" s="219"/>
      <c r="D26" s="219"/>
      <c r="E26" s="219"/>
      <c r="F26" s="219"/>
      <c r="G26" s="219"/>
      <c r="H26" s="219"/>
      <c r="I26" s="219"/>
      <c r="J26" s="219"/>
      <c r="K26" s="219"/>
      <c r="L26" s="220"/>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t="e">
        <f>MEDIDA!#REF!</f>
        <v>#REF!</v>
      </c>
      <c r="C28" s="8">
        <f>PATRON!G$42/2</f>
        <v>0.24</v>
      </c>
      <c r="D28" s="7">
        <f>PATRON!G$44</f>
        <v>0</v>
      </c>
      <c r="E28" s="8">
        <v>0</v>
      </c>
      <c r="F28" s="8">
        <f>1/SQRT(12)</f>
        <v>0.28867513459481292</v>
      </c>
      <c r="G28" s="8">
        <f>1/SQRT(12)</f>
        <v>0.28867513459481292</v>
      </c>
      <c r="H28" s="7" t="e">
        <f>STDEVA(MEDIDA!#REF!)/SQRT(4)</f>
        <v>#REF!</v>
      </c>
      <c r="I28" s="8" t="e">
        <f>SQRT(SUMSQ(C28:H28))</f>
        <v>#REF!</v>
      </c>
      <c r="J28" s="15" t="e">
        <f>I28^4/(C28^4/200+D28^4/200+E28^4/200+F28^4/200+G28^4/200+H28^4/3)</f>
        <v>#REF!</v>
      </c>
      <c r="K28" s="11" t="e">
        <f>TINV(0.0455,J28)</f>
        <v>#REF!</v>
      </c>
      <c r="L28" s="7" t="e">
        <f>I28*K28</f>
        <v>#REF!</v>
      </c>
    </row>
    <row r="29" spans="2:12" x14ac:dyDescent="0.3">
      <c r="B29" s="6" t="e">
        <f>MEDIDA!#REF!</f>
        <v>#REF!</v>
      </c>
      <c r="C29" s="8">
        <f>PATRON!G$42/2</f>
        <v>0.24</v>
      </c>
      <c r="D29" s="7">
        <f>PATRON!G$44</f>
        <v>0</v>
      </c>
      <c r="E29" s="8">
        <v>0</v>
      </c>
      <c r="F29" s="8">
        <f t="shared" ref="F29:G31" si="12">1/SQRT(12)</f>
        <v>0.28867513459481292</v>
      </c>
      <c r="G29" s="8">
        <f t="shared" si="12"/>
        <v>0.28867513459481292</v>
      </c>
      <c r="H29" s="7" t="e">
        <f>STDEVA(MEDIDA!#REF!)/SQRT(4)</f>
        <v>#REF!</v>
      </c>
      <c r="I29" s="8" t="e">
        <f>SQRT(SUMSQ(C29:H29))</f>
        <v>#REF!</v>
      </c>
      <c r="J29" s="15" t="e">
        <f>I29^4/(C29^4/200+D29^4/200+E29^4/200+F29^4/200+G29^4/200+H29^4/3)</f>
        <v>#REF!</v>
      </c>
      <c r="K29" s="11" t="e">
        <f>TINV(0.0455,J29)</f>
        <v>#REF!</v>
      </c>
      <c r="L29" s="7" t="e">
        <f>I29*K29</f>
        <v>#REF!</v>
      </c>
    </row>
    <row r="30" spans="2:12" x14ac:dyDescent="0.3">
      <c r="B30" s="6" t="e">
        <f>MEDIDA!#REF!</f>
        <v>#REF!</v>
      </c>
      <c r="C30" s="8">
        <f>PATRON!G$42/2</f>
        <v>0.24</v>
      </c>
      <c r="D30" s="7">
        <f>PATRON!G$44</f>
        <v>0</v>
      </c>
      <c r="E30" s="8">
        <v>0</v>
      </c>
      <c r="F30" s="8">
        <f t="shared" si="12"/>
        <v>0.28867513459481292</v>
      </c>
      <c r="G30" s="8">
        <f t="shared" si="12"/>
        <v>0.28867513459481292</v>
      </c>
      <c r="H30" s="7" t="e">
        <f>STDEVA(MEDIDA!#REF!)/SQRT(4)</f>
        <v>#REF!</v>
      </c>
      <c r="I30" s="8" t="e">
        <f>SQRT(SUMSQ(C30:H30))</f>
        <v>#REF!</v>
      </c>
      <c r="J30" s="15" t="e">
        <f>I30^4/(C30^4/200+D30^4/200+E30^4/200+F30^4/200+G30^4/200+H30^4/3)</f>
        <v>#REF!</v>
      </c>
      <c r="K30" s="11" t="e">
        <f t="shared" ref="K30:K31" si="13">TINV(0.0455,J30)</f>
        <v>#REF!</v>
      </c>
      <c r="L30" s="7" t="e">
        <f t="shared" ref="L30:L31" si="14">I30*K30</f>
        <v>#REF!</v>
      </c>
    </row>
    <row r="31" spans="2:12" x14ac:dyDescent="0.3">
      <c r="B31" s="6" t="e">
        <f>MEDIDA!#REF!</f>
        <v>#REF!</v>
      </c>
      <c r="C31" s="8">
        <f>PATRON!G$42/2</f>
        <v>0.24</v>
      </c>
      <c r="D31" s="7">
        <f>PATRON!G$44</f>
        <v>0</v>
      </c>
      <c r="E31" s="8">
        <v>0</v>
      </c>
      <c r="F31" s="8">
        <f t="shared" si="12"/>
        <v>0.28867513459481292</v>
      </c>
      <c r="G31" s="8">
        <f t="shared" si="12"/>
        <v>0.28867513459481292</v>
      </c>
      <c r="H31" s="7" t="e">
        <f>STDEVA(MEDIDA!#REF!)/SQRT(4)</f>
        <v>#REF!</v>
      </c>
      <c r="I31" s="8" t="e">
        <f>SQRT(SUMSQ(C31:H31))</f>
        <v>#REF!</v>
      </c>
      <c r="J31" s="15" t="e">
        <f>I31^4/(C31^4/200+D31^4/200+E31^4/200+F31^4/200+G31^4/200+H31^4/3)</f>
        <v>#REF!</v>
      </c>
      <c r="K31" s="11" t="e">
        <f t="shared" si="13"/>
        <v>#REF!</v>
      </c>
      <c r="L31" s="7" t="e">
        <f t="shared" si="14"/>
        <v>#REF!</v>
      </c>
    </row>
    <row r="33" spans="2:12" x14ac:dyDescent="0.3">
      <c r="B33" s="218" t="s">
        <v>182</v>
      </c>
      <c r="C33" s="219"/>
      <c r="D33" s="219"/>
      <c r="E33" s="219"/>
      <c r="F33" s="219"/>
      <c r="G33" s="219"/>
      <c r="H33" s="219"/>
      <c r="I33" s="219"/>
      <c r="J33" s="219"/>
      <c r="K33" s="219"/>
      <c r="L33" s="220"/>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MEDIDA!R4</f>
        <v>30</v>
      </c>
      <c r="C35" s="8">
        <f>PATRON!G$69/2</f>
        <v>0.85</v>
      </c>
      <c r="D35" s="8">
        <f>PATRON!G$71/SQRT(3)</f>
        <v>0.57735026918962584</v>
      </c>
      <c r="E35" s="8">
        <v>0</v>
      </c>
      <c r="F35" s="8">
        <f>1/SQRT(12)</f>
        <v>0.28867513459481292</v>
      </c>
      <c r="G35" s="8">
        <f>1/SQRT(12)</f>
        <v>0.28867513459481292</v>
      </c>
      <c r="H35" s="7">
        <f>STDEVA(MEDIDA!T4:AA4)/SQRT(4)</f>
        <v>0</v>
      </c>
      <c r="I35" s="8">
        <f>SQRT(SUMSQ(C35:H35))</f>
        <v>1.1056672193747989</v>
      </c>
      <c r="J35" s="15">
        <f>I35^4/(C35^4/200+D35^4/200+E35^4/200+F35^4/200+G35^4/200+H35^4/3)</f>
        <v>461.97583099081322</v>
      </c>
      <c r="K35" s="11">
        <f>TINV(0.0455,J35)</f>
        <v>2.0054398942598022</v>
      </c>
      <c r="L35" s="7">
        <f>I35*K35</f>
        <v>2.2173491515095263</v>
      </c>
    </row>
    <row r="36" spans="2:12" x14ac:dyDescent="0.3">
      <c r="B36" s="6">
        <f>MEDIDA!R5</f>
        <v>60</v>
      </c>
      <c r="C36" s="8">
        <f>PATRON!G$69/2</f>
        <v>0.85</v>
      </c>
      <c r="D36" s="8">
        <f>PATRON!G$71/SQRT(3)</f>
        <v>0.57735026918962584</v>
      </c>
      <c r="E36" s="8">
        <v>0</v>
      </c>
      <c r="F36" s="8">
        <f t="shared" ref="F36:G38" si="15">1/SQRT(12)</f>
        <v>0.28867513459481292</v>
      </c>
      <c r="G36" s="8">
        <f t="shared" si="15"/>
        <v>0.28867513459481292</v>
      </c>
      <c r="H36" s="7">
        <f>STDEVA(MEDIDA!T5:AA5)/SQRT(4)</f>
        <v>0</v>
      </c>
      <c r="I36" s="8">
        <f>SQRT(SUMSQ(C36:H36))</f>
        <v>1.1056672193747989</v>
      </c>
      <c r="J36" s="15">
        <f>I36^4/(C36^4/200+D36^4/200+E36^4/200+F36^4/200+G36^4/200+H36^4/3)</f>
        <v>461.97583099081322</v>
      </c>
      <c r="K36" s="11">
        <f>TINV(0.0455,J36)</f>
        <v>2.0054398942598022</v>
      </c>
      <c r="L36" s="7">
        <f>I36*K36</f>
        <v>2.2173491515095263</v>
      </c>
    </row>
    <row r="37" spans="2:12" x14ac:dyDescent="0.3">
      <c r="B37" s="6">
        <f>MEDIDA!R6</f>
        <v>120</v>
      </c>
      <c r="C37" s="8">
        <f>PATRON!G$69/2</f>
        <v>0.85</v>
      </c>
      <c r="D37" s="8">
        <f>PATRON!G$71/SQRT(3)</f>
        <v>0.57735026918962584</v>
      </c>
      <c r="E37" s="8">
        <v>0</v>
      </c>
      <c r="F37" s="8">
        <f t="shared" si="15"/>
        <v>0.28867513459481292</v>
      </c>
      <c r="G37" s="8">
        <f t="shared" si="15"/>
        <v>0.28867513459481292</v>
      </c>
      <c r="H37" s="7">
        <f>STDEVA(MEDIDA!T6:AA6)/SQRT(4)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MEDIDA!R7</f>
        <v>245</v>
      </c>
      <c r="C38" s="8">
        <f>PATRON!G$69/2</f>
        <v>0.85</v>
      </c>
      <c r="D38" s="8">
        <f>PATRON!G$71/SQRT(3)</f>
        <v>0.57735026918962584</v>
      </c>
      <c r="E38" s="8">
        <v>0</v>
      </c>
      <c r="F38" s="8">
        <f t="shared" si="15"/>
        <v>0.28867513459481292</v>
      </c>
      <c r="G38" s="8">
        <f t="shared" si="15"/>
        <v>0.28867513459481292</v>
      </c>
      <c r="H38" s="7">
        <f>STDEVA(MEDIDA!T7:AA7)/SQRT(4)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18" t="s">
        <v>183</v>
      </c>
      <c r="C40" s="219"/>
      <c r="D40" s="219"/>
      <c r="E40" s="219"/>
      <c r="F40" s="219"/>
      <c r="G40" s="219"/>
      <c r="H40" s="219"/>
      <c r="I40" s="219"/>
      <c r="J40" s="219"/>
      <c r="K40" s="219"/>
      <c r="L40" s="220"/>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MEDIDA!B13</f>
        <v>80</v>
      </c>
      <c r="C42" s="7">
        <f>PATRON!G$68/2</f>
        <v>1.1499999999999999</v>
      </c>
      <c r="D42" s="8">
        <f>PATRON!G$70/SQRT(3)</f>
        <v>0.46188021535170065</v>
      </c>
      <c r="E42" s="8">
        <v>0</v>
      </c>
      <c r="F42" s="8">
        <f>1/SQRT(12)</f>
        <v>0.28867513459481292</v>
      </c>
      <c r="G42" s="8">
        <f>1/SQRT(12)</f>
        <v>0.28867513459481292</v>
      </c>
      <c r="H42" s="7">
        <f ca="1">STDEVA(MEDIDA!D13:K13)/SQRT(4)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MEDIDA!B14</f>
        <v>85</v>
      </c>
      <c r="C43" s="7">
        <f>PATRON!G$68/2</f>
        <v>1.1499999999999999</v>
      </c>
      <c r="D43" s="8">
        <f>PATRON!G$70/SQRT(3)</f>
        <v>0.46188021535170065</v>
      </c>
      <c r="E43" s="8">
        <v>0</v>
      </c>
      <c r="F43" s="8">
        <f t="shared" ref="F43:G46" si="18">1/SQRT(12)</f>
        <v>0.28867513459481292</v>
      </c>
      <c r="G43" s="8">
        <f t="shared" si="18"/>
        <v>0.28867513459481292</v>
      </c>
      <c r="H43" s="7">
        <f ca="1">STDEVA(MEDIDA!D14:K14)/SQRT(4)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MEDIDA!B15</f>
        <v>90</v>
      </c>
      <c r="C44" s="7">
        <f>PATRON!G$68/2</f>
        <v>1.1499999999999999</v>
      </c>
      <c r="D44" s="8">
        <f>PATRON!G$70/SQRT(3)</f>
        <v>0.46188021535170065</v>
      </c>
      <c r="E44" s="8">
        <v>0</v>
      </c>
      <c r="F44" s="8">
        <f t="shared" si="18"/>
        <v>0.28867513459481292</v>
      </c>
      <c r="G44" s="8">
        <f t="shared" si="18"/>
        <v>0.28867513459481292</v>
      </c>
      <c r="H44" s="7">
        <f ca="1">STDEVA(MEDIDA!D15:K15)/SQRT(4)</f>
        <v>0</v>
      </c>
      <c r="I44" s="8">
        <f t="shared" ca="1" si="19"/>
        <v>1.3047988350699888</v>
      </c>
      <c r="J44" s="15">
        <f t="shared" ca="1" si="20"/>
        <v>320.55919404171499</v>
      </c>
      <c r="K44" s="11">
        <f t="shared" ca="1" si="21"/>
        <v>2.007844963532889</v>
      </c>
      <c r="L44" s="7">
        <f t="shared" ca="1" si="22"/>
        <v>2.6198337694188578</v>
      </c>
    </row>
    <row r="45" spans="2:12" x14ac:dyDescent="0.3">
      <c r="B45" s="6">
        <f>MEDIDA!B16</f>
        <v>95</v>
      </c>
      <c r="C45" s="7">
        <f>PATRON!G$68/2</f>
        <v>1.1499999999999999</v>
      </c>
      <c r="D45" s="8">
        <f>PATRON!G$70/SQRT(3)</f>
        <v>0.46188021535170065</v>
      </c>
      <c r="E45" s="8">
        <v>0</v>
      </c>
      <c r="F45" s="8">
        <f t="shared" si="18"/>
        <v>0.28867513459481292</v>
      </c>
      <c r="G45" s="8">
        <f t="shared" si="18"/>
        <v>0.28867513459481292</v>
      </c>
      <c r="H45" s="7">
        <f ca="1">STDEVA(MEDIDA!D16:K16)/SQRT(4)</f>
        <v>0</v>
      </c>
      <c r="I45" s="8">
        <f t="shared" ca="1" si="19"/>
        <v>1.3047988350699888</v>
      </c>
      <c r="J45" s="15">
        <f t="shared" ca="1" si="20"/>
        <v>320.55919404171499</v>
      </c>
      <c r="K45" s="11">
        <f t="shared" ca="1" si="21"/>
        <v>2.007844963532889</v>
      </c>
      <c r="L45" s="7">
        <f t="shared" ca="1" si="22"/>
        <v>2.6198337694188578</v>
      </c>
    </row>
    <row r="46" spans="2:12" x14ac:dyDescent="0.3">
      <c r="B46" s="6">
        <f>MEDIDA!B17</f>
        <v>99</v>
      </c>
      <c r="C46" s="7">
        <f>PATRON!G$68/2</f>
        <v>1.1499999999999999</v>
      </c>
      <c r="D46" s="8">
        <f>PATRON!G$70/SQRT(3)</f>
        <v>0.46188021535170065</v>
      </c>
      <c r="E46" s="8">
        <v>0</v>
      </c>
      <c r="F46" s="8">
        <f t="shared" si="18"/>
        <v>0.28867513459481292</v>
      </c>
      <c r="G46" s="8">
        <f t="shared" si="18"/>
        <v>0.28867513459481292</v>
      </c>
      <c r="H46" s="7">
        <f ca="1">STDEVA(MEDIDA!D17:K17)/SQRT(4)</f>
        <v>0</v>
      </c>
      <c r="I46" s="8">
        <f t="shared" ca="1" si="19"/>
        <v>1.3047988350699888</v>
      </c>
      <c r="J46" s="15">
        <f t="shared" ca="1" si="20"/>
        <v>320.55919404171499</v>
      </c>
      <c r="K46" s="11">
        <f t="shared" ca="1" si="21"/>
        <v>2.007844963532889</v>
      </c>
      <c r="L46" s="7">
        <f t="shared" ca="1" si="22"/>
        <v>2.6198337694188578</v>
      </c>
    </row>
    <row r="48" spans="2:12" x14ac:dyDescent="0.3">
      <c r="B48" s="218" t="s">
        <v>184</v>
      </c>
      <c r="C48" s="219"/>
      <c r="D48" s="219"/>
      <c r="E48" s="219"/>
      <c r="F48" s="219"/>
      <c r="G48" s="219"/>
      <c r="H48" s="219"/>
      <c r="I48" s="219"/>
      <c r="J48" s="219"/>
      <c r="K48" s="219"/>
      <c r="L48" s="220"/>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8">
        <f>0.1/SQRT(12)</f>
        <v>2.8867513459481291E-2</v>
      </c>
      <c r="G50" s="98">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8">
        <f t="shared" ref="F51:G52" si="23">0.1/SQRT(12)</f>
        <v>2.8867513459481291E-2</v>
      </c>
      <c r="G51" s="98">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8">
        <f t="shared" si="23"/>
        <v>2.8867513459481291E-2</v>
      </c>
      <c r="G52" s="98">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18" t="s">
        <v>185</v>
      </c>
      <c r="C54" s="219"/>
      <c r="D54" s="219"/>
      <c r="E54" s="219"/>
      <c r="F54" s="219"/>
      <c r="G54" s="219"/>
      <c r="H54" s="219"/>
      <c r="I54" s="219"/>
      <c r="J54" s="219"/>
      <c r="K54" s="219"/>
      <c r="L54" s="220"/>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8">
        <f>0.1/SQRT(12)</f>
        <v>2.8867513459481291E-2</v>
      </c>
      <c r="G56" s="98">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8">
        <f t="shared" ref="F57:G58" si="28">0.1/SQRT(12)</f>
        <v>2.8867513459481291E-2</v>
      </c>
      <c r="G57" s="98">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8">
        <f t="shared" si="28"/>
        <v>2.8867513459481291E-2</v>
      </c>
      <c r="G58" s="98">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8"/>
  <sheetViews>
    <sheetView tabSelected="1" view="pageLayout" zoomScaleNormal="100" workbookViewId="0">
      <selection activeCell="I21" sqref="I21:R2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9"/>
      <c r="J1" s="149"/>
      <c r="K1" s="149"/>
      <c r="M1" s="65"/>
      <c r="O1" s="119" t="s">
        <v>79</v>
      </c>
      <c r="P1" s="119"/>
      <c r="Q1" s="119"/>
      <c r="R1" s="120">
        <f>INFORMACIÓN!G3</f>
        <v>0</v>
      </c>
      <c r="S1" s="120"/>
    </row>
    <row r="2" spans="1:27" ht="16.95" customHeight="1" x14ac:dyDescent="0.3">
      <c r="G2" s="151"/>
      <c r="H2" s="151"/>
      <c r="I2" s="151"/>
      <c r="J2" s="150"/>
      <c r="K2" s="150"/>
    </row>
    <row r="3" spans="1:27" ht="16.95" customHeight="1" x14ac:dyDescent="0.3">
      <c r="B3" s="84"/>
      <c r="C3" s="152" t="s">
        <v>70</v>
      </c>
      <c r="D3" s="152"/>
      <c r="E3" s="152"/>
      <c r="F3" s="152"/>
      <c r="G3" s="152"/>
      <c r="H3" s="152"/>
      <c r="I3" s="152"/>
      <c r="J3" s="152"/>
      <c r="K3" s="152"/>
      <c r="L3" s="152"/>
      <c r="M3" s="152"/>
      <c r="N3" s="152"/>
      <c r="O3" s="152"/>
      <c r="P3" s="152"/>
      <c r="Q3" s="152"/>
      <c r="R3" s="152"/>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19" t="s">
        <v>62</v>
      </c>
      <c r="D5" s="119"/>
      <c r="E5" s="119"/>
      <c r="F5" s="119"/>
      <c r="G5" s="119"/>
      <c r="H5" s="53"/>
      <c r="I5" s="140">
        <f>INFORMACIÓN!A3</f>
        <v>0</v>
      </c>
      <c r="J5" s="140"/>
      <c r="K5" s="140"/>
      <c r="L5" s="140"/>
      <c r="M5" s="140"/>
      <c r="N5" s="140"/>
      <c r="O5" s="140"/>
      <c r="P5" s="140"/>
      <c r="Q5" s="140"/>
      <c r="R5" s="140"/>
      <c r="S5"/>
      <c r="T5"/>
      <c r="U5"/>
      <c r="V5"/>
      <c r="W5"/>
      <c r="X5"/>
      <c r="Y5"/>
      <c r="Z5"/>
      <c r="AA5"/>
    </row>
    <row r="6" spans="1:27" s="55" customFormat="1" ht="16.95" customHeight="1" x14ac:dyDescent="0.3">
      <c r="B6" s="79"/>
      <c r="C6" s="119" t="s">
        <v>63</v>
      </c>
      <c r="D6" s="119"/>
      <c r="E6" s="119"/>
      <c r="F6" s="119"/>
      <c r="G6" s="119"/>
      <c r="H6" s="53"/>
      <c r="I6" s="140">
        <f>INFORMACIÓN!B3</f>
        <v>0</v>
      </c>
      <c r="J6" s="140"/>
      <c r="K6" s="140"/>
      <c r="L6" s="140"/>
      <c r="M6" s="140"/>
      <c r="N6" s="140"/>
      <c r="O6" s="140"/>
      <c r="P6" s="140"/>
      <c r="Q6" s="140"/>
      <c r="R6" s="140"/>
      <c r="S6"/>
      <c r="T6"/>
      <c r="U6"/>
      <c r="V6"/>
      <c r="W6"/>
      <c r="X6"/>
      <c r="Y6"/>
      <c r="Z6"/>
      <c r="AA6"/>
    </row>
    <row r="7" spans="1:27" s="55" customFormat="1" ht="16.95" customHeight="1" x14ac:dyDescent="0.3">
      <c r="B7" s="79"/>
      <c r="C7" s="119" t="s">
        <v>64</v>
      </c>
      <c r="D7" s="119"/>
      <c r="E7" s="119"/>
      <c r="F7" s="119"/>
      <c r="G7" s="119"/>
      <c r="H7" s="53"/>
      <c r="I7" s="140">
        <f>INFORMACIÓN!C3</f>
        <v>0</v>
      </c>
      <c r="J7" s="140"/>
      <c r="K7" s="140"/>
      <c r="L7" s="140"/>
      <c r="M7" s="140"/>
      <c r="N7" s="140"/>
      <c r="O7" s="140"/>
      <c r="P7" s="140"/>
      <c r="Q7" s="140"/>
      <c r="R7" s="140"/>
      <c r="S7"/>
      <c r="T7"/>
      <c r="U7"/>
      <c r="V7"/>
      <c r="W7"/>
      <c r="X7"/>
      <c r="Y7"/>
      <c r="Z7"/>
      <c r="AA7"/>
    </row>
    <row r="8" spans="1:27" s="55" customFormat="1" ht="16.95" customHeight="1" x14ac:dyDescent="0.3">
      <c r="B8" s="79"/>
      <c r="C8" s="119" t="s">
        <v>209</v>
      </c>
      <c r="D8" s="119"/>
      <c r="E8" s="119"/>
      <c r="F8" s="119"/>
      <c r="G8" s="119"/>
      <c r="H8" s="53"/>
      <c r="I8" s="141">
        <f>INFORMACIÓN!D3</f>
        <v>0</v>
      </c>
      <c r="J8" s="140"/>
      <c r="K8" s="140"/>
      <c r="L8" s="140"/>
      <c r="M8" s="140"/>
      <c r="N8" s="140"/>
      <c r="O8" s="140"/>
      <c r="P8" s="140"/>
      <c r="Q8" s="140"/>
      <c r="R8" s="140"/>
      <c r="S8"/>
      <c r="T8"/>
      <c r="U8"/>
      <c r="V8"/>
      <c r="W8"/>
      <c r="X8"/>
      <c r="Y8"/>
      <c r="Z8"/>
      <c r="AA8"/>
    </row>
    <row r="9" spans="1:27" s="55" customFormat="1" ht="16.95" customHeight="1" x14ac:dyDescent="0.3">
      <c r="B9" s="79"/>
      <c r="C9" s="119" t="s">
        <v>65</v>
      </c>
      <c r="D9" s="119"/>
      <c r="E9" s="119"/>
      <c r="F9" s="119"/>
      <c r="G9" s="119"/>
      <c r="H9" s="53"/>
      <c r="I9" s="141">
        <f>INFORMACIÓN!F3</f>
        <v>0</v>
      </c>
      <c r="J9" s="140"/>
      <c r="K9" s="140"/>
      <c r="L9" s="140"/>
      <c r="M9" s="140"/>
      <c r="N9" s="140"/>
      <c r="O9" s="140"/>
      <c r="P9" s="140"/>
      <c r="Q9" s="140"/>
      <c r="R9" s="140"/>
      <c r="S9"/>
      <c r="T9"/>
      <c r="U9"/>
      <c r="V9"/>
      <c r="W9"/>
      <c r="X9"/>
      <c r="Y9"/>
      <c r="Z9"/>
      <c r="AA9"/>
    </row>
    <row r="10" spans="1:27" s="55" customFormat="1" ht="16.95" customHeight="1" x14ac:dyDescent="0.3">
      <c r="B10" s="79"/>
      <c r="C10" s="119" t="s">
        <v>67</v>
      </c>
      <c r="D10" s="119"/>
      <c r="E10" s="119"/>
      <c r="F10" s="119"/>
      <c r="G10" s="119"/>
      <c r="H10" s="53"/>
      <c r="I10" s="140">
        <f>INFORMACIÓN!E3</f>
        <v>0</v>
      </c>
      <c r="J10" s="140"/>
      <c r="K10" s="140"/>
      <c r="L10" s="140"/>
      <c r="M10" s="140"/>
      <c r="N10" s="140"/>
      <c r="O10" s="140"/>
      <c r="P10" s="140"/>
      <c r="Q10" s="140"/>
      <c r="R10" s="140"/>
      <c r="S10"/>
      <c r="T10"/>
      <c r="U10"/>
      <c r="V10"/>
      <c r="W10"/>
      <c r="X10"/>
      <c r="Y10"/>
      <c r="Z10"/>
      <c r="AA10"/>
    </row>
    <row r="11" spans="1:27" s="55" customFormat="1" ht="16.95" customHeight="1" x14ac:dyDescent="0.3">
      <c r="B11" s="79"/>
      <c r="C11" s="119" t="s">
        <v>66</v>
      </c>
      <c r="D11" s="119"/>
      <c r="E11" s="119"/>
      <c r="F11" s="119"/>
      <c r="G11" s="119"/>
      <c r="H11" s="53"/>
      <c r="I11" s="140" t="str">
        <f>INFORMACIÓN!B8</f>
        <v>BUEN ESTADO</v>
      </c>
      <c r="J11" s="140"/>
      <c r="K11" s="140"/>
      <c r="L11" s="140"/>
      <c r="M11" s="140"/>
      <c r="N11" s="140"/>
      <c r="O11" s="140"/>
      <c r="P11" s="140"/>
      <c r="Q11" s="140"/>
      <c r="R11" s="140"/>
      <c r="S11"/>
      <c r="T11"/>
      <c r="U11"/>
      <c r="V11"/>
      <c r="W11"/>
      <c r="X11"/>
      <c r="Y11"/>
      <c r="Z11"/>
      <c r="AA11"/>
    </row>
    <row r="12" spans="1:27" s="55" customFormat="1" ht="16.95" customHeight="1" x14ac:dyDescent="0.3">
      <c r="B12" s="79"/>
      <c r="C12" s="119" t="s">
        <v>76</v>
      </c>
      <c r="D12" s="119"/>
      <c r="E12" s="119"/>
      <c r="F12" s="119"/>
      <c r="G12" s="119"/>
      <c r="H12" s="80"/>
      <c r="I12" s="143">
        <f>INFORMACIÓN!H3</f>
        <v>0</v>
      </c>
      <c r="J12" s="143"/>
      <c r="K12" s="143"/>
      <c r="L12" s="143"/>
      <c r="M12" s="143"/>
      <c r="N12" s="143"/>
      <c r="O12" s="143"/>
      <c r="P12" s="143"/>
      <c r="Q12" s="143"/>
      <c r="R12" s="143"/>
      <c r="S12"/>
      <c r="T12"/>
      <c r="U12"/>
      <c r="V12"/>
      <c r="W12"/>
      <c r="X12"/>
      <c r="Y12"/>
      <c r="Z12"/>
      <c r="AA12"/>
    </row>
    <row r="13" spans="1:27" s="55" customFormat="1" ht="16.95" customHeight="1" x14ac:dyDescent="0.3">
      <c r="B13" s="79"/>
      <c r="C13" s="119" t="s">
        <v>75</v>
      </c>
      <c r="D13" s="119"/>
      <c r="E13" s="119"/>
      <c r="F13" s="119"/>
      <c r="G13" s="119"/>
      <c r="H13" s="80"/>
      <c r="I13" s="143">
        <f>INFORMACIÓN!B9</f>
        <v>0</v>
      </c>
      <c r="J13" s="143"/>
      <c r="K13" s="143"/>
      <c r="L13" s="143"/>
      <c r="M13" s="143"/>
      <c r="N13" s="143"/>
      <c r="O13" s="143"/>
      <c r="P13" s="143"/>
      <c r="Q13" s="143"/>
      <c r="R13" s="143"/>
      <c r="S13"/>
      <c r="T13"/>
      <c r="U13"/>
      <c r="V13"/>
      <c r="W13"/>
      <c r="X13"/>
      <c r="Y13"/>
      <c r="Z13"/>
      <c r="AA13"/>
    </row>
    <row r="14" spans="1:27" ht="16.95" customHeight="1" x14ac:dyDescent="0.3"/>
    <row r="15" spans="1:27" ht="16.95" customHeight="1" x14ac:dyDescent="0.3">
      <c r="B15" s="65"/>
      <c r="C15" s="118" t="s">
        <v>69</v>
      </c>
      <c r="D15" s="118"/>
      <c r="E15" s="118"/>
      <c r="F15" s="118"/>
      <c r="G15" s="118"/>
      <c r="H15" s="118"/>
      <c r="I15" s="118"/>
      <c r="J15" s="118"/>
      <c r="K15" s="118"/>
      <c r="L15" s="118"/>
      <c r="M15" s="118"/>
      <c r="N15" s="118"/>
      <c r="O15" s="118"/>
      <c r="P15" s="118"/>
      <c r="Q15" s="118"/>
      <c r="R15" s="118"/>
    </row>
    <row r="16" spans="1:27" ht="16.95" customHeight="1" x14ac:dyDescent="0.3"/>
    <row r="17" spans="1:18" ht="16.95" customHeight="1" x14ac:dyDescent="0.3">
      <c r="B17" s="52"/>
      <c r="C17" s="142" t="s">
        <v>71</v>
      </c>
      <c r="D17" s="142"/>
      <c r="E17" s="142"/>
      <c r="F17" s="142"/>
      <c r="G17" s="142"/>
      <c r="H17" s="51"/>
      <c r="I17" s="145">
        <f>INFORMACIÓN!E7</f>
        <v>0</v>
      </c>
      <c r="J17" s="145"/>
      <c r="K17" s="145"/>
      <c r="L17" s="145"/>
      <c r="M17" s="145"/>
      <c r="N17" s="145"/>
      <c r="O17" s="145"/>
      <c r="P17" s="145"/>
      <c r="Q17" s="145"/>
      <c r="R17" s="145"/>
    </row>
    <row r="18" spans="1:18" ht="16.95" customHeight="1" x14ac:dyDescent="0.3">
      <c r="B18" s="52"/>
      <c r="C18" s="142" t="s">
        <v>72</v>
      </c>
      <c r="D18" s="142"/>
      <c r="E18" s="142"/>
      <c r="F18" s="142"/>
      <c r="G18" s="142"/>
      <c r="H18" s="51"/>
      <c r="I18" s="145">
        <f>INFORMACIÓN!E8</f>
        <v>0</v>
      </c>
      <c r="J18" s="145"/>
      <c r="K18" s="145"/>
      <c r="L18" s="145"/>
      <c r="M18" s="145"/>
      <c r="N18" s="145"/>
      <c r="O18" s="145"/>
      <c r="P18" s="145"/>
      <c r="Q18" s="145"/>
      <c r="R18" s="145"/>
    </row>
    <row r="19" spans="1:18" ht="16.95" customHeight="1" x14ac:dyDescent="0.3">
      <c r="B19" s="52"/>
      <c r="C19" s="142" t="s">
        <v>89</v>
      </c>
      <c r="D19" s="142"/>
      <c r="E19" s="142"/>
      <c r="F19" s="142"/>
      <c r="G19" s="142"/>
      <c r="H19" s="51"/>
      <c r="I19" s="145">
        <f>INFORMACIÓN!E9</f>
        <v>0</v>
      </c>
      <c r="J19" s="145"/>
      <c r="K19" s="145"/>
      <c r="L19" s="145"/>
      <c r="M19" s="145"/>
      <c r="N19" s="145"/>
      <c r="O19" s="145"/>
      <c r="P19" s="145"/>
      <c r="Q19" s="145"/>
      <c r="R19" s="145"/>
    </row>
    <row r="20" spans="1:18" ht="16.95" customHeight="1" x14ac:dyDescent="0.3">
      <c r="B20" s="52"/>
      <c r="C20" s="142" t="s">
        <v>73</v>
      </c>
      <c r="D20" s="142"/>
      <c r="E20" s="142"/>
      <c r="F20" s="142"/>
      <c r="G20" s="142"/>
      <c r="H20" s="51"/>
      <c r="I20" s="145">
        <f>INFORMACIÓN!E10</f>
        <v>0</v>
      </c>
      <c r="J20" s="145"/>
      <c r="K20" s="145"/>
      <c r="L20" s="145"/>
      <c r="M20" s="145"/>
      <c r="N20" s="145"/>
      <c r="O20" s="145"/>
      <c r="P20" s="145"/>
      <c r="Q20" s="145"/>
      <c r="R20" s="145"/>
    </row>
    <row r="21" spans="1:18" ht="16.95" customHeight="1" x14ac:dyDescent="0.3">
      <c r="B21" s="52"/>
      <c r="C21" s="142" t="s">
        <v>74</v>
      </c>
      <c r="D21" s="142"/>
      <c r="E21" s="142"/>
      <c r="F21" s="142"/>
      <c r="G21" s="142"/>
      <c r="H21" s="51"/>
      <c r="I21" s="145">
        <f>INFORMACIÓN!E11</f>
        <v>0</v>
      </c>
      <c r="J21" s="145"/>
      <c r="K21" s="145"/>
      <c r="L21" s="145"/>
      <c r="M21" s="145"/>
      <c r="N21" s="145"/>
      <c r="O21" s="145"/>
      <c r="P21" s="145"/>
      <c r="Q21" s="145"/>
      <c r="R21" s="145"/>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46" t="s">
        <v>202</v>
      </c>
      <c r="D23" s="146"/>
      <c r="E23" s="146"/>
      <c r="F23" s="146"/>
      <c r="G23" s="146"/>
      <c r="H23" s="146"/>
      <c r="I23" s="146"/>
      <c r="J23" s="146"/>
      <c r="K23" s="146"/>
      <c r="L23" s="146"/>
      <c r="M23" s="146"/>
      <c r="N23" s="146"/>
      <c r="O23" s="146"/>
      <c r="P23" s="146"/>
      <c r="Q23" s="146"/>
      <c r="R23" s="146"/>
    </row>
    <row r="24" spans="1:18" ht="16.95" customHeight="1" x14ac:dyDescent="0.3">
      <c r="A24" s="78"/>
      <c r="B24" s="78"/>
      <c r="C24" s="147"/>
      <c r="D24" s="147"/>
      <c r="E24" s="147"/>
      <c r="F24" s="147"/>
      <c r="G24" s="147"/>
      <c r="H24" s="147"/>
      <c r="I24" s="147"/>
      <c r="J24" s="147"/>
      <c r="K24" s="147"/>
      <c r="L24" s="147"/>
      <c r="M24" s="147"/>
      <c r="N24" s="147"/>
      <c r="O24" s="147"/>
      <c r="P24" s="147"/>
      <c r="Q24" s="147"/>
      <c r="R24" s="147"/>
    </row>
    <row r="25" spans="1:18" ht="16.95" customHeight="1" x14ac:dyDescent="0.3">
      <c r="A25" s="78"/>
      <c r="B25" s="78"/>
      <c r="C25" s="147"/>
      <c r="D25" s="147"/>
      <c r="E25" s="147"/>
      <c r="F25" s="147"/>
      <c r="G25" s="147"/>
      <c r="H25" s="147"/>
      <c r="I25" s="147"/>
      <c r="J25" s="147"/>
      <c r="K25" s="147"/>
      <c r="L25" s="147"/>
      <c r="M25" s="147"/>
      <c r="N25" s="147"/>
      <c r="O25" s="147"/>
      <c r="P25" s="147"/>
      <c r="Q25" s="147"/>
      <c r="R25" s="147"/>
    </row>
    <row r="26" spans="1:18" ht="16.95" customHeight="1" x14ac:dyDescent="0.3">
      <c r="A26" s="78"/>
      <c r="B26" s="78"/>
      <c r="C26" s="147"/>
      <c r="D26" s="147"/>
      <c r="E26" s="147"/>
      <c r="F26" s="147"/>
      <c r="G26" s="147"/>
      <c r="H26" s="147"/>
      <c r="I26" s="147"/>
      <c r="J26" s="147"/>
      <c r="K26" s="147"/>
      <c r="L26" s="147"/>
      <c r="M26" s="147"/>
      <c r="N26" s="147"/>
      <c r="O26" s="147"/>
      <c r="P26" s="147"/>
      <c r="Q26" s="147"/>
      <c r="R26" s="147"/>
    </row>
    <row r="27" spans="1:18" ht="16.95" customHeight="1" x14ac:dyDescent="0.3">
      <c r="A27" s="78"/>
      <c r="B27" s="78"/>
      <c r="C27" s="147"/>
      <c r="D27" s="147"/>
      <c r="E27" s="147"/>
      <c r="F27" s="147"/>
      <c r="G27" s="147"/>
      <c r="H27" s="147"/>
      <c r="I27" s="147"/>
      <c r="J27" s="147"/>
      <c r="K27" s="147"/>
      <c r="L27" s="147"/>
      <c r="M27" s="147"/>
      <c r="N27" s="147"/>
      <c r="O27" s="147"/>
      <c r="P27" s="147"/>
      <c r="Q27" s="147"/>
      <c r="R27" s="147"/>
    </row>
    <row r="28" spans="1:18" ht="16.95" customHeight="1" x14ac:dyDescent="0.3">
      <c r="A28" s="78"/>
      <c r="B28" s="78"/>
      <c r="C28" s="148"/>
      <c r="D28" s="148"/>
      <c r="E28" s="148"/>
      <c r="F28" s="148"/>
      <c r="G28" s="148"/>
      <c r="H28" s="148"/>
      <c r="I28" s="148"/>
      <c r="J28" s="148"/>
      <c r="K28" s="148"/>
      <c r="L28" s="148"/>
      <c r="M28" s="148"/>
      <c r="N28" s="148"/>
      <c r="O28" s="148"/>
      <c r="P28" s="148"/>
      <c r="Q28" s="148"/>
      <c r="R28" s="148"/>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42" t="s">
        <v>77</v>
      </c>
      <c r="J31" s="142"/>
      <c r="K31" s="142"/>
      <c r="L31" s="142"/>
      <c r="M31" s="145" t="str">
        <f>INFORMACIÓN!B15</f>
        <v>ING. GABRIEL DURÁN</v>
      </c>
      <c r="N31" s="145"/>
      <c r="O31" s="145"/>
      <c r="P31" s="145"/>
      <c r="Q31" s="145"/>
      <c r="R31" s="145"/>
    </row>
    <row r="32" spans="1:18" ht="16.95" customHeight="1" x14ac:dyDescent="0.3">
      <c r="F32" s="52"/>
      <c r="G32" s="52"/>
      <c r="H32" s="52"/>
      <c r="I32" s="142" t="s">
        <v>78</v>
      </c>
      <c r="J32" s="142"/>
      <c r="K32" s="142"/>
      <c r="L32" s="142"/>
      <c r="M32" s="156">
        <f>INFORMACIÓN!B10</f>
        <v>0</v>
      </c>
      <c r="N32" s="156"/>
      <c r="O32" s="156"/>
      <c r="P32" s="64"/>
      <c r="Q32" s="64"/>
      <c r="R32" s="52"/>
    </row>
    <row r="33" spans="1:19" ht="16.95" customHeight="1" x14ac:dyDescent="0.3">
      <c r="I33" s="142" t="s">
        <v>82</v>
      </c>
      <c r="J33" s="142"/>
      <c r="K33" s="142"/>
      <c r="L33" s="142"/>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2" t="str">
        <f>O1</f>
        <v>CERTIFICADO N°:</v>
      </c>
      <c r="P38" s="142"/>
      <c r="Q38" s="142"/>
      <c r="R38" s="144">
        <f>R1</f>
        <v>0</v>
      </c>
      <c r="S38" s="144"/>
    </row>
    <row r="39" spans="1:19" ht="16.95" customHeight="1" x14ac:dyDescent="0.3"/>
    <row r="40" spans="1:19" ht="16.95" customHeight="1" x14ac:dyDescent="0.3">
      <c r="B40" s="155" t="s">
        <v>83</v>
      </c>
      <c r="C40" s="155"/>
      <c r="D40" s="155"/>
      <c r="E40" s="155"/>
      <c r="F40" s="155"/>
      <c r="G40" s="155"/>
      <c r="H40" s="155"/>
      <c r="I40" s="155"/>
      <c r="J40" s="155"/>
      <c r="K40" s="155"/>
      <c r="L40" s="155"/>
      <c r="M40" s="155"/>
      <c r="N40" s="155"/>
      <c r="O40" s="155"/>
      <c r="P40" s="155"/>
      <c r="Q40" s="155"/>
      <c r="R40" s="155"/>
      <c r="S40" s="155"/>
    </row>
    <row r="41" spans="1:19" ht="16.95" customHeight="1" x14ac:dyDescent="0.3">
      <c r="B41" s="153" t="s">
        <v>203</v>
      </c>
      <c r="C41" s="153"/>
      <c r="D41" s="153"/>
      <c r="E41" s="153"/>
      <c r="F41" s="153"/>
      <c r="G41" s="153"/>
      <c r="H41" s="153"/>
      <c r="I41" s="153"/>
      <c r="J41" s="153"/>
      <c r="K41" s="153"/>
      <c r="L41" s="153"/>
      <c r="M41" s="153"/>
      <c r="N41" s="153"/>
      <c r="O41" s="153"/>
      <c r="P41" s="153"/>
      <c r="Q41" s="153"/>
      <c r="R41" s="153"/>
      <c r="S41" s="153"/>
    </row>
    <row r="42" spans="1:19" ht="16.95" customHeight="1" x14ac:dyDescent="0.3">
      <c r="A42" s="87"/>
      <c r="B42" s="154"/>
      <c r="C42" s="154"/>
      <c r="D42" s="154"/>
      <c r="E42" s="154"/>
      <c r="F42" s="154"/>
      <c r="G42" s="154"/>
      <c r="H42" s="154"/>
      <c r="I42" s="154"/>
      <c r="J42" s="154"/>
      <c r="K42" s="154"/>
      <c r="L42" s="154"/>
      <c r="M42" s="154"/>
      <c r="N42" s="154"/>
      <c r="O42" s="154"/>
      <c r="P42" s="154"/>
      <c r="Q42" s="154"/>
      <c r="R42" s="154"/>
      <c r="S42" s="154"/>
    </row>
    <row r="43" spans="1:19" ht="16.95" customHeight="1" x14ac:dyDescent="0.3">
      <c r="A43" s="87"/>
      <c r="B43" s="154"/>
      <c r="C43" s="154"/>
      <c r="D43" s="154"/>
      <c r="E43" s="154"/>
      <c r="F43" s="154"/>
      <c r="G43" s="154"/>
      <c r="H43" s="154"/>
      <c r="I43" s="154"/>
      <c r="J43" s="154"/>
      <c r="K43" s="154"/>
      <c r="L43" s="154"/>
      <c r="M43" s="154"/>
      <c r="N43" s="154"/>
      <c r="O43" s="154"/>
      <c r="P43" s="154"/>
      <c r="Q43" s="154"/>
      <c r="R43" s="154"/>
      <c r="S43" s="154"/>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8" t="s">
        <v>84</v>
      </c>
      <c r="G45" s="159"/>
      <c r="H45" s="159"/>
      <c r="I45" s="159"/>
      <c r="J45" s="160"/>
      <c r="K45" s="158" t="s">
        <v>85</v>
      </c>
      <c r="L45" s="159"/>
      <c r="M45" s="159"/>
      <c r="N45" s="159"/>
      <c r="O45" s="160"/>
    </row>
    <row r="46" spans="1:19" ht="16.95" customHeight="1" x14ac:dyDescent="0.3">
      <c r="E46" s="76"/>
      <c r="F46" s="162">
        <f>AVERAGE(INFORMACIÓN!B11:B12)</f>
        <v>24.3</v>
      </c>
      <c r="G46" s="163"/>
      <c r="H46" s="72" t="s">
        <v>86</v>
      </c>
      <c r="I46" s="73">
        <f>ABS(INFORMACIÓN!B11-INFORMACIÓN!B12)</f>
        <v>0.39999999999999858</v>
      </c>
      <c r="J46" s="77"/>
      <c r="K46" s="164">
        <f>AVERAGE(INFORMACIÓN!B13:B14)</f>
        <v>61.5</v>
      </c>
      <c r="L46" s="165"/>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61" t="s">
        <v>204</v>
      </c>
      <c r="G48" s="161"/>
      <c r="H48" s="161"/>
      <c r="I48" s="161"/>
      <c r="J48" s="161"/>
      <c r="K48" s="166" t="s">
        <v>205</v>
      </c>
      <c r="L48" s="166"/>
      <c r="M48" s="166"/>
      <c r="N48" s="166"/>
      <c r="O48" s="166"/>
      <c r="P48" s="166"/>
    </row>
    <row r="49" spans="1:19" ht="13.2" customHeight="1" x14ac:dyDescent="0.3"/>
    <row r="50" spans="1:19" ht="16.95" customHeight="1" x14ac:dyDescent="0.3">
      <c r="B50" s="157" t="s">
        <v>87</v>
      </c>
      <c r="C50" s="157"/>
      <c r="D50" s="157"/>
      <c r="E50" s="157"/>
      <c r="F50" s="157"/>
      <c r="G50" s="157"/>
      <c r="H50" s="157"/>
      <c r="I50" s="157"/>
      <c r="J50" s="157"/>
      <c r="K50" s="157"/>
      <c r="L50" s="157"/>
      <c r="M50" s="157"/>
      <c r="N50" s="157"/>
      <c r="O50" s="157"/>
      <c r="P50" s="157"/>
      <c r="Q50" s="157"/>
      <c r="R50" s="157"/>
      <c r="S50" s="157"/>
    </row>
    <row r="51" spans="1:19" ht="16.95" customHeight="1" x14ac:dyDescent="0.3">
      <c r="B51" s="153" t="s">
        <v>210</v>
      </c>
      <c r="C51" s="153"/>
      <c r="D51" s="153"/>
      <c r="E51" s="153"/>
      <c r="F51" s="153"/>
      <c r="G51" s="153"/>
      <c r="H51" s="153"/>
      <c r="I51" s="153"/>
      <c r="J51" s="153"/>
      <c r="K51" s="153"/>
      <c r="L51" s="153"/>
      <c r="M51" s="153"/>
      <c r="N51" s="153"/>
      <c r="O51" s="153"/>
      <c r="P51" s="153"/>
      <c r="Q51" s="153"/>
      <c r="R51" s="153"/>
      <c r="S51" s="153"/>
    </row>
    <row r="52" spans="1:19" ht="16.95" customHeight="1" x14ac:dyDescent="0.3">
      <c r="A52" s="87"/>
      <c r="B52" s="154"/>
      <c r="C52" s="154"/>
      <c r="D52" s="154"/>
      <c r="E52" s="154"/>
      <c r="F52" s="154"/>
      <c r="G52" s="154"/>
      <c r="H52" s="154"/>
      <c r="I52" s="154"/>
      <c r="J52" s="154"/>
      <c r="K52" s="154"/>
      <c r="L52" s="154"/>
      <c r="M52" s="154"/>
      <c r="N52" s="154"/>
      <c r="O52" s="154"/>
      <c r="P52" s="154"/>
      <c r="Q52" s="154"/>
      <c r="R52" s="154"/>
      <c r="S52" s="154"/>
    </row>
    <row r="53" spans="1:19" ht="16.95" customHeight="1" x14ac:dyDescent="0.3">
      <c r="A53" s="87"/>
      <c r="B53" s="154"/>
      <c r="C53" s="154"/>
      <c r="D53" s="154"/>
      <c r="E53" s="154"/>
      <c r="F53" s="154"/>
      <c r="G53" s="154"/>
      <c r="H53" s="154"/>
      <c r="I53" s="154"/>
      <c r="J53" s="154"/>
      <c r="K53" s="154"/>
      <c r="L53" s="154"/>
      <c r="M53" s="154"/>
      <c r="N53" s="154"/>
      <c r="O53" s="154"/>
      <c r="P53" s="154"/>
      <c r="Q53" s="154"/>
      <c r="R53" s="154"/>
      <c r="S53" s="154"/>
    </row>
    <row r="54" spans="1:19" ht="16.95" customHeight="1" x14ac:dyDescent="0.3">
      <c r="A54" s="87"/>
      <c r="B54" s="154"/>
      <c r="C54" s="154"/>
      <c r="D54" s="154"/>
      <c r="E54" s="154"/>
      <c r="F54" s="154"/>
      <c r="G54" s="154"/>
      <c r="H54" s="154"/>
      <c r="I54" s="154"/>
      <c r="J54" s="154"/>
      <c r="K54" s="154"/>
      <c r="L54" s="154"/>
      <c r="M54" s="154"/>
      <c r="N54" s="154"/>
      <c r="O54" s="154"/>
      <c r="P54" s="154"/>
      <c r="Q54" s="154"/>
      <c r="R54" s="154"/>
      <c r="S54" s="154"/>
    </row>
    <row r="55" spans="1:19" ht="16.95" customHeight="1" x14ac:dyDescent="0.3">
      <c r="A55" s="87"/>
      <c r="B55" s="154"/>
      <c r="C55" s="154"/>
      <c r="D55" s="154"/>
      <c r="E55" s="154"/>
      <c r="F55" s="154"/>
      <c r="G55" s="154"/>
      <c r="H55" s="154"/>
      <c r="I55" s="154"/>
      <c r="J55" s="154"/>
      <c r="K55" s="154"/>
      <c r="L55" s="154"/>
      <c r="M55" s="154"/>
      <c r="N55" s="154"/>
      <c r="O55" s="154"/>
      <c r="P55" s="154"/>
      <c r="Q55" s="154"/>
      <c r="R55" s="154"/>
      <c r="S55" s="154"/>
    </row>
    <row r="56" spans="1:19" ht="16.95" customHeight="1" x14ac:dyDescent="0.3">
      <c r="A56" s="87"/>
      <c r="B56" s="154"/>
      <c r="C56" s="154"/>
      <c r="D56" s="154"/>
      <c r="E56" s="154"/>
      <c r="F56" s="154"/>
      <c r="G56" s="154"/>
      <c r="H56" s="154"/>
      <c r="I56" s="154"/>
      <c r="J56" s="154"/>
      <c r="K56" s="154"/>
      <c r="L56" s="154"/>
      <c r="M56" s="154"/>
      <c r="N56" s="154"/>
      <c r="O56" s="154"/>
      <c r="P56" s="154"/>
      <c r="Q56" s="154"/>
      <c r="R56" s="154"/>
      <c r="S56" s="154"/>
    </row>
    <row r="57" spans="1:19" ht="16.95" customHeight="1" x14ac:dyDescent="0.3">
      <c r="A57" s="87"/>
      <c r="B57" s="154"/>
      <c r="C57" s="154"/>
      <c r="D57" s="154"/>
      <c r="E57" s="154"/>
      <c r="F57" s="154"/>
      <c r="G57" s="154"/>
      <c r="H57" s="154"/>
      <c r="I57" s="154"/>
      <c r="J57" s="154"/>
      <c r="K57" s="154"/>
      <c r="L57" s="154"/>
      <c r="M57" s="154"/>
      <c r="N57" s="154"/>
      <c r="O57" s="154"/>
      <c r="P57" s="154"/>
      <c r="Q57" s="154"/>
      <c r="R57" s="154"/>
      <c r="S57" s="154"/>
    </row>
    <row r="58" spans="1:19" ht="16.95" customHeight="1" x14ac:dyDescent="0.3">
      <c r="A58" s="87"/>
      <c r="B58" s="154"/>
      <c r="C58" s="154"/>
      <c r="D58" s="154"/>
      <c r="E58" s="154"/>
      <c r="F58" s="154"/>
      <c r="G58" s="154"/>
      <c r="H58" s="154"/>
      <c r="I58" s="154"/>
      <c r="J58" s="154"/>
      <c r="K58" s="154"/>
      <c r="L58" s="154"/>
      <c r="M58" s="154"/>
      <c r="N58" s="154"/>
      <c r="O58" s="154"/>
      <c r="P58" s="154"/>
      <c r="Q58" s="154"/>
      <c r="R58" s="154"/>
      <c r="S58" s="154"/>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5" t="s">
        <v>88</v>
      </c>
      <c r="C60" s="155"/>
      <c r="D60" s="155"/>
      <c r="E60" s="155"/>
      <c r="F60" s="155"/>
      <c r="G60" s="155"/>
      <c r="H60" s="155"/>
      <c r="I60" s="155"/>
      <c r="J60" s="155"/>
      <c r="K60" s="155"/>
      <c r="L60" s="155"/>
      <c r="M60" s="155"/>
      <c r="N60" s="155"/>
      <c r="O60" s="155"/>
      <c r="P60" s="155"/>
      <c r="Q60" s="155"/>
      <c r="R60" s="155"/>
      <c r="S60" s="155"/>
    </row>
    <row r="61" spans="1:19" ht="16.95" customHeight="1" x14ac:dyDescent="0.3">
      <c r="B61" s="153" t="s">
        <v>206</v>
      </c>
      <c r="C61" s="153"/>
      <c r="D61" s="153"/>
      <c r="E61" s="153"/>
      <c r="F61" s="153"/>
      <c r="G61" s="153"/>
      <c r="H61" s="153"/>
      <c r="I61" s="153"/>
      <c r="J61" s="153"/>
      <c r="K61" s="153"/>
      <c r="L61" s="153"/>
      <c r="M61" s="153"/>
      <c r="N61" s="153"/>
      <c r="O61" s="153"/>
      <c r="P61" s="153"/>
      <c r="Q61" s="153"/>
      <c r="R61" s="153"/>
      <c r="S61" s="153"/>
    </row>
    <row r="62" spans="1:19" ht="16.95" customHeight="1" x14ac:dyDescent="0.3">
      <c r="A62" s="87"/>
      <c r="B62" s="154"/>
      <c r="C62" s="154"/>
      <c r="D62" s="154"/>
      <c r="E62" s="154"/>
      <c r="F62" s="154"/>
      <c r="G62" s="154"/>
      <c r="H62" s="154"/>
      <c r="I62" s="154"/>
      <c r="J62" s="154"/>
      <c r="K62" s="154"/>
      <c r="L62" s="154"/>
      <c r="M62" s="154"/>
      <c r="N62" s="154"/>
      <c r="O62" s="154"/>
      <c r="P62" s="154"/>
      <c r="Q62" s="154"/>
      <c r="R62" s="154"/>
      <c r="S62" s="154"/>
    </row>
    <row r="63" spans="1:19" ht="13.8" customHeight="1" x14ac:dyDescent="0.3"/>
    <row r="64" spans="1:19" ht="15" customHeight="1" x14ac:dyDescent="0.3">
      <c r="B64" s="155" t="s">
        <v>211</v>
      </c>
      <c r="C64" s="155"/>
      <c r="D64" s="155"/>
      <c r="E64" s="155"/>
      <c r="F64" s="155"/>
      <c r="G64" s="155"/>
      <c r="H64" s="155"/>
      <c r="I64" s="155"/>
      <c r="J64" s="155"/>
      <c r="K64" s="155"/>
      <c r="L64" s="155"/>
      <c r="M64" s="155"/>
      <c r="N64" s="155"/>
      <c r="O64" s="155"/>
      <c r="P64" s="155"/>
      <c r="Q64" s="155"/>
      <c r="R64" s="155"/>
      <c r="S64" s="155"/>
    </row>
    <row r="65" spans="1:19" ht="19.2" customHeight="1" x14ac:dyDescent="0.3">
      <c r="B65" s="153" t="s">
        <v>207</v>
      </c>
      <c r="C65" s="153"/>
      <c r="D65" s="153"/>
      <c r="E65" s="153"/>
      <c r="F65" s="153"/>
      <c r="G65" s="153"/>
      <c r="H65" s="153"/>
      <c r="I65" s="153"/>
      <c r="J65" s="153"/>
      <c r="K65" s="153"/>
      <c r="L65" s="153"/>
      <c r="M65" s="153"/>
      <c r="N65" s="153"/>
      <c r="O65" s="153"/>
      <c r="P65" s="153"/>
      <c r="Q65" s="153"/>
      <c r="R65" s="153"/>
      <c r="S65" s="153"/>
    </row>
    <row r="66" spans="1:19" ht="16.95" customHeight="1" x14ac:dyDescent="0.3">
      <c r="A66" s="87"/>
      <c r="B66" s="154"/>
      <c r="C66" s="154"/>
      <c r="D66" s="154"/>
      <c r="E66" s="154"/>
      <c r="F66" s="154"/>
      <c r="G66" s="154"/>
      <c r="H66" s="154"/>
      <c r="I66" s="154"/>
      <c r="J66" s="154"/>
      <c r="K66" s="154"/>
      <c r="L66" s="154"/>
      <c r="M66" s="154"/>
      <c r="N66" s="154"/>
      <c r="O66" s="154"/>
      <c r="P66" s="154"/>
      <c r="Q66" s="154"/>
      <c r="R66" s="154"/>
      <c r="S66" s="154"/>
    </row>
    <row r="67" spans="1:19" ht="16.95" customHeight="1" x14ac:dyDescent="0.3">
      <c r="A67" s="87"/>
      <c r="B67" s="154"/>
      <c r="C67" s="154"/>
      <c r="D67" s="154"/>
      <c r="E67" s="154"/>
      <c r="F67" s="154"/>
      <c r="G67" s="154"/>
      <c r="H67" s="154"/>
      <c r="I67" s="154"/>
      <c r="J67" s="154"/>
      <c r="K67" s="154"/>
      <c r="L67" s="154"/>
      <c r="M67" s="154"/>
      <c r="N67" s="154"/>
      <c r="O67" s="154"/>
      <c r="P67" s="154"/>
      <c r="Q67" s="154"/>
      <c r="R67" s="154"/>
      <c r="S67" s="154"/>
    </row>
    <row r="68" spans="1:19" ht="16.95" customHeight="1" x14ac:dyDescent="0.3">
      <c r="A68" s="87"/>
      <c r="B68" s="154"/>
      <c r="C68" s="154"/>
      <c r="D68" s="154"/>
      <c r="E68" s="154"/>
      <c r="F68" s="154"/>
      <c r="G68" s="154"/>
      <c r="H68" s="154"/>
      <c r="I68" s="154"/>
      <c r="J68" s="154"/>
      <c r="K68" s="154"/>
      <c r="L68" s="154"/>
      <c r="M68" s="154"/>
      <c r="N68" s="154"/>
      <c r="O68" s="154"/>
      <c r="P68" s="154"/>
      <c r="Q68" s="154"/>
      <c r="R68" s="154"/>
      <c r="S68" s="154"/>
    </row>
    <row r="69" spans="1:19" ht="16.95" customHeight="1" x14ac:dyDescent="0.3"/>
    <row r="70" spans="1:19" ht="16.95" customHeight="1" x14ac:dyDescent="0.3">
      <c r="B70" s="167" t="s">
        <v>90</v>
      </c>
      <c r="C70" s="167"/>
      <c r="D70" s="167"/>
      <c r="E70" s="167"/>
      <c r="F70" s="167"/>
      <c r="G70" s="167"/>
      <c r="H70" s="167" t="s">
        <v>91</v>
      </c>
      <c r="I70" s="167"/>
      <c r="J70" s="167"/>
      <c r="K70" s="167"/>
      <c r="L70" s="167"/>
      <c r="M70" s="167" t="s">
        <v>92</v>
      </c>
      <c r="N70" s="167"/>
      <c r="O70" s="167"/>
      <c r="P70" s="167" t="s">
        <v>93</v>
      </c>
      <c r="Q70" s="167"/>
      <c r="R70" s="167"/>
      <c r="S70" s="167"/>
    </row>
    <row r="71" spans="1:19" ht="16.95" customHeight="1" x14ac:dyDescent="0.3">
      <c r="B71" s="168" t="s">
        <v>144</v>
      </c>
      <c r="C71" s="168"/>
      <c r="D71" s="168"/>
      <c r="E71" s="168"/>
      <c r="F71" s="168"/>
      <c r="G71" s="168"/>
      <c r="H71" s="169">
        <v>73581403</v>
      </c>
      <c r="I71" s="169"/>
      <c r="J71" s="169"/>
      <c r="K71" s="169"/>
      <c r="L71" s="169"/>
      <c r="M71" s="172">
        <v>46065</v>
      </c>
      <c r="N71" s="172"/>
      <c r="O71" s="172"/>
      <c r="P71" s="170" t="s">
        <v>200</v>
      </c>
      <c r="Q71" s="170"/>
      <c r="R71" s="170"/>
      <c r="S71" s="170"/>
    </row>
    <row r="72" spans="1:19" ht="16.95" customHeight="1" x14ac:dyDescent="0.3">
      <c r="B72" s="168" t="str">
        <f>[2]PATRON!G62</f>
        <v>Simulador de SPO2</v>
      </c>
      <c r="C72" s="168"/>
      <c r="D72" s="168"/>
      <c r="E72" s="168"/>
      <c r="F72" s="168"/>
      <c r="G72" s="168"/>
      <c r="H72" s="169">
        <v>73021035</v>
      </c>
      <c r="I72" s="169"/>
      <c r="J72" s="169"/>
      <c r="K72" s="169"/>
      <c r="L72" s="169"/>
      <c r="M72" s="172">
        <v>46064</v>
      </c>
      <c r="N72" s="172"/>
      <c r="O72" s="172"/>
      <c r="P72" s="170" t="s">
        <v>201</v>
      </c>
      <c r="Q72" s="170"/>
      <c r="R72" s="170"/>
      <c r="S72" s="170"/>
    </row>
    <row r="73" spans="1:19" ht="16.95" customHeight="1" x14ac:dyDescent="0.3">
      <c r="B73" s="169" t="s">
        <v>61</v>
      </c>
      <c r="C73" s="169"/>
      <c r="D73" s="169"/>
      <c r="E73" s="169"/>
      <c r="F73" s="169"/>
      <c r="G73" s="169"/>
      <c r="H73" s="169">
        <v>230310997</v>
      </c>
      <c r="I73" s="169"/>
      <c r="J73" s="169"/>
      <c r="K73" s="169"/>
      <c r="L73" s="169"/>
      <c r="M73" s="172">
        <v>46055</v>
      </c>
      <c r="N73" s="172"/>
      <c r="O73" s="172"/>
      <c r="P73" s="171" t="s">
        <v>212</v>
      </c>
      <c r="Q73" s="171"/>
      <c r="R73" s="171"/>
      <c r="S73" s="171"/>
    </row>
    <row r="74" spans="1:19" ht="16.95" customHeight="1" x14ac:dyDescent="0.3"/>
    <row r="75" spans="1:19" ht="16.95" customHeight="1" x14ac:dyDescent="0.3"/>
    <row r="76" spans="1:19" ht="16.95" customHeight="1" x14ac:dyDescent="0.3">
      <c r="O76" s="142" t="str">
        <f>O1</f>
        <v>CERTIFICADO N°:</v>
      </c>
      <c r="P76" s="142"/>
      <c r="Q76" s="142"/>
      <c r="R76" s="144">
        <f>R1</f>
        <v>0</v>
      </c>
      <c r="S76" s="144"/>
    </row>
    <row r="77" spans="1:19" ht="16.95" customHeight="1" x14ac:dyDescent="0.3"/>
    <row r="78" spans="1:19" ht="16.95" customHeight="1" x14ac:dyDescent="0.3">
      <c r="B78" s="121" t="s">
        <v>94</v>
      </c>
      <c r="C78" s="121"/>
      <c r="D78" s="121"/>
      <c r="E78" s="121"/>
      <c r="F78" s="121"/>
      <c r="G78" s="121"/>
      <c r="H78" s="121"/>
      <c r="I78" s="121"/>
      <c r="J78" s="121"/>
      <c r="K78" s="121"/>
      <c r="L78" s="121"/>
      <c r="M78" s="121"/>
      <c r="N78" s="121"/>
      <c r="O78" s="121"/>
      <c r="P78" s="121"/>
      <c r="Q78" s="121"/>
      <c r="R78" s="121"/>
      <c r="S78" s="121"/>
    </row>
    <row r="79" spans="1:19" ht="16.649999999999999" customHeight="1" x14ac:dyDescent="0.3"/>
    <row r="80" spans="1:19" ht="16.649999999999999" customHeight="1" x14ac:dyDescent="0.3">
      <c r="B80" s="52" t="s">
        <v>213</v>
      </c>
      <c r="C80" s="52"/>
      <c r="D80" s="52"/>
      <c r="E80" s="52"/>
      <c r="F80" s="52"/>
      <c r="G80" s="52"/>
      <c r="H80" s="52"/>
      <c r="I80" s="128" t="s">
        <v>102</v>
      </c>
      <c r="J80" s="128"/>
      <c r="K80" s="128"/>
      <c r="L80" s="128"/>
      <c r="M80" s="128"/>
      <c r="N80" s="129" t="s">
        <v>214</v>
      </c>
      <c r="O80" s="129"/>
      <c r="P80" s="128" t="s">
        <v>103</v>
      </c>
      <c r="Q80" s="128"/>
      <c r="R80" s="128"/>
      <c r="S80" s="90">
        <v>1</v>
      </c>
    </row>
    <row r="81" spans="2:20" ht="16.8" customHeight="1" x14ac:dyDescent="0.3"/>
    <row r="82" spans="2:20" x14ac:dyDescent="0.3">
      <c r="D82" s="130" t="s">
        <v>215</v>
      </c>
      <c r="E82" s="130"/>
      <c r="F82" s="130"/>
      <c r="G82" s="130"/>
      <c r="H82" s="130"/>
      <c r="I82" s="130"/>
      <c r="J82" s="130"/>
      <c r="K82" s="130"/>
      <c r="L82" s="138" t="s">
        <v>216</v>
      </c>
      <c r="M82" s="139"/>
      <c r="N82" s="139"/>
      <c r="O82" s="139"/>
      <c r="P82" s="139"/>
      <c r="Q82" s="139"/>
      <c r="R82" s="139"/>
      <c r="S82" s="139"/>
    </row>
    <row r="83" spans="2:20" ht="36" customHeight="1" x14ac:dyDescent="0.3">
      <c r="B83" s="133" t="s">
        <v>95</v>
      </c>
      <c r="C83" s="134"/>
      <c r="D83" s="135" t="s">
        <v>96</v>
      </c>
      <c r="E83" s="135"/>
      <c r="F83" s="135" t="s">
        <v>97</v>
      </c>
      <c r="G83" s="135"/>
      <c r="H83" s="135" t="s">
        <v>217</v>
      </c>
      <c r="I83" s="135"/>
      <c r="J83" s="135" t="s">
        <v>98</v>
      </c>
      <c r="K83" s="135"/>
      <c r="L83" s="135" t="s">
        <v>99</v>
      </c>
      <c r="M83" s="135"/>
      <c r="N83" s="135" t="s">
        <v>120</v>
      </c>
      <c r="O83" s="135"/>
      <c r="P83" s="135" t="s">
        <v>222</v>
      </c>
      <c r="Q83" s="135"/>
      <c r="R83" s="135"/>
      <c r="S83" s="89" t="s">
        <v>14</v>
      </c>
    </row>
    <row r="84" spans="2:20" x14ac:dyDescent="0.3">
      <c r="B84" s="123">
        <f>MEDIDA!B4</f>
        <v>50</v>
      </c>
      <c r="C84" s="123"/>
      <c r="D84" s="136">
        <f ca="1">MEDIDA!D4</f>
        <v>50</v>
      </c>
      <c r="E84" s="136"/>
      <c r="F84" s="136">
        <f ca="1">MEDIDA!F4</f>
        <v>50</v>
      </c>
      <c r="G84" s="136"/>
      <c r="H84" s="136">
        <f ca="1">MEDIDA!H4</f>
        <v>50</v>
      </c>
      <c r="I84" s="136"/>
      <c r="J84" s="136">
        <f ca="1">MEDIDA!J4</f>
        <v>50</v>
      </c>
      <c r="K84" s="136"/>
      <c r="L84" s="122">
        <f ca="1">MEDIDA!L4</f>
        <v>50</v>
      </c>
      <c r="M84" s="122"/>
      <c r="N84" s="122">
        <f ca="1">MEDIDA!N4</f>
        <v>0</v>
      </c>
      <c r="O84" s="122"/>
      <c r="P84" s="122">
        <f ca="1">INCERTIDUMBRE!L4</f>
        <v>0.82837150393658499</v>
      </c>
      <c r="Q84" s="122"/>
      <c r="R84" s="122"/>
      <c r="S84" s="97">
        <f ca="1">INCERTIDUMBRE!K4</f>
        <v>2.0060008910872194</v>
      </c>
    </row>
    <row r="85" spans="2:20" x14ac:dyDescent="0.3">
      <c r="B85" s="123">
        <f>MEDIDA!B5</f>
        <v>100</v>
      </c>
      <c r="C85" s="123"/>
      <c r="D85" s="136">
        <f ca="1">MEDIDA!D5</f>
        <v>99</v>
      </c>
      <c r="E85" s="136"/>
      <c r="F85" s="136">
        <f ca="1">MEDIDA!F5</f>
        <v>99</v>
      </c>
      <c r="G85" s="136"/>
      <c r="H85" s="136">
        <f ca="1">MEDIDA!H5</f>
        <v>99</v>
      </c>
      <c r="I85" s="136"/>
      <c r="J85" s="136">
        <f ca="1">MEDIDA!J5</f>
        <v>99</v>
      </c>
      <c r="K85" s="136"/>
      <c r="L85" s="122">
        <f ca="1">MEDIDA!L5</f>
        <v>99</v>
      </c>
      <c r="M85" s="122"/>
      <c r="N85" s="122">
        <f ca="1">MEDIDA!N5</f>
        <v>-1</v>
      </c>
      <c r="O85" s="122"/>
      <c r="P85" s="122">
        <f ca="1">INCERTIDUMBRE!L5</f>
        <v>0.82837150393658499</v>
      </c>
      <c r="Q85" s="122"/>
      <c r="R85" s="122"/>
      <c r="S85" s="97">
        <f ca="1">INCERTIDUMBRE!K5</f>
        <v>2.0060008910872194</v>
      </c>
    </row>
    <row r="86" spans="2:20" ht="16.8" customHeight="1" x14ac:dyDescent="0.3">
      <c r="B86" s="123">
        <f>MEDIDA!B6</f>
        <v>150</v>
      </c>
      <c r="C86" s="123"/>
      <c r="D86" s="136">
        <f ca="1">MEDIDA!D6</f>
        <v>149</v>
      </c>
      <c r="E86" s="136"/>
      <c r="F86" s="136">
        <f ca="1">MEDIDA!F6</f>
        <v>149</v>
      </c>
      <c r="G86" s="136"/>
      <c r="H86" s="136">
        <f ca="1">MEDIDA!H6</f>
        <v>149</v>
      </c>
      <c r="I86" s="136"/>
      <c r="J86" s="136">
        <f ca="1">MEDIDA!J6</f>
        <v>149</v>
      </c>
      <c r="K86" s="136"/>
      <c r="L86" s="122">
        <f ca="1">MEDIDA!L6</f>
        <v>149</v>
      </c>
      <c r="M86" s="122"/>
      <c r="N86" s="122">
        <f ca="1">MEDIDA!N6</f>
        <v>-1</v>
      </c>
      <c r="O86" s="122"/>
      <c r="P86" s="122">
        <f ca="1">INCERTIDUMBRE!L6</f>
        <v>0.82837150393658499</v>
      </c>
      <c r="Q86" s="122"/>
      <c r="R86" s="122"/>
      <c r="S86" s="97">
        <f ca="1">INCERTIDUMBRE!K6</f>
        <v>2.0060008910872194</v>
      </c>
    </row>
    <row r="87" spans="2:20" x14ac:dyDescent="0.3">
      <c r="B87" s="123">
        <f>MEDIDA!B7</f>
        <v>200</v>
      </c>
      <c r="C87" s="123"/>
      <c r="D87" s="136">
        <f ca="1">MEDIDA!D7</f>
        <v>199</v>
      </c>
      <c r="E87" s="136"/>
      <c r="F87" s="136">
        <f ca="1">MEDIDA!F7</f>
        <v>199</v>
      </c>
      <c r="G87" s="136"/>
      <c r="H87" s="136">
        <f ca="1">MEDIDA!H7</f>
        <v>199</v>
      </c>
      <c r="I87" s="136"/>
      <c r="J87" s="136">
        <f ca="1">MEDIDA!J7</f>
        <v>199</v>
      </c>
      <c r="K87" s="136"/>
      <c r="L87" s="122">
        <f ca="1">MEDIDA!L7</f>
        <v>199</v>
      </c>
      <c r="M87" s="122"/>
      <c r="N87" s="122">
        <f ca="1">MEDIDA!N7</f>
        <v>-1</v>
      </c>
      <c r="O87" s="122"/>
      <c r="P87" s="122">
        <f ca="1">INCERTIDUMBRE!L7</f>
        <v>0.82837150393658499</v>
      </c>
      <c r="Q87" s="122"/>
      <c r="R87" s="122"/>
      <c r="S87" s="97">
        <f ca="1">INCERTIDUMBRE!K7</f>
        <v>2.0060008910872194</v>
      </c>
      <c r="T87" s="91"/>
    </row>
    <row r="88" spans="2:20" x14ac:dyDescent="0.3">
      <c r="B88" s="123">
        <f>MEDIDA!B8</f>
        <v>250</v>
      </c>
      <c r="C88" s="123"/>
      <c r="D88" s="136">
        <f ca="1">MEDIDA!D8</f>
        <v>249</v>
      </c>
      <c r="E88" s="136"/>
      <c r="F88" s="136">
        <f ca="1">MEDIDA!F8</f>
        <v>249</v>
      </c>
      <c r="G88" s="136"/>
      <c r="H88" s="136">
        <f ca="1">MEDIDA!H8</f>
        <v>249</v>
      </c>
      <c r="I88" s="136"/>
      <c r="J88" s="136">
        <f ca="1">MEDIDA!J8</f>
        <v>249</v>
      </c>
      <c r="K88" s="136"/>
      <c r="L88" s="122">
        <f ca="1">MEDIDA!L8</f>
        <v>249</v>
      </c>
      <c r="M88" s="122"/>
      <c r="N88" s="122">
        <f ca="1">MEDIDA!N8</f>
        <v>-1</v>
      </c>
      <c r="O88" s="122"/>
      <c r="P88" s="122">
        <f ca="1">INCERTIDUMBRE!L8</f>
        <v>0.82837150393658499</v>
      </c>
      <c r="Q88" s="122"/>
      <c r="R88" s="122"/>
      <c r="S88" s="97">
        <f ca="1">INCERTIDUMBRE!K8</f>
        <v>2.0060008910872194</v>
      </c>
    </row>
    <row r="89" spans="2:20" ht="16.2" customHeight="1" x14ac:dyDescent="0.3"/>
    <row r="90" spans="2:20" ht="16.8" customHeight="1" x14ac:dyDescent="0.3"/>
    <row r="91" spans="2:20" ht="16.8" customHeight="1" x14ac:dyDescent="0.3">
      <c r="B91" s="52" t="s">
        <v>113</v>
      </c>
      <c r="C91" s="52"/>
      <c r="D91" s="52"/>
      <c r="E91" s="52"/>
      <c r="F91" s="52"/>
      <c r="G91" s="52"/>
      <c r="H91" s="52"/>
      <c r="I91" s="128" t="s">
        <v>104</v>
      </c>
      <c r="J91" s="128"/>
      <c r="K91" s="128"/>
      <c r="L91" s="128"/>
      <c r="M91" s="128"/>
      <c r="N91" s="129" t="s">
        <v>199</v>
      </c>
      <c r="O91" s="129"/>
      <c r="P91" s="137" t="s">
        <v>105</v>
      </c>
      <c r="Q91" s="137"/>
      <c r="R91" s="137"/>
      <c r="S91" s="90">
        <v>1</v>
      </c>
    </row>
    <row r="92" spans="2:20" ht="16.8" customHeight="1" x14ac:dyDescent="0.3"/>
    <row r="93" spans="2:20" x14ac:dyDescent="0.3">
      <c r="D93" s="130" t="s">
        <v>215</v>
      </c>
      <c r="E93" s="130"/>
      <c r="F93" s="130"/>
      <c r="G93" s="130"/>
      <c r="H93" s="130"/>
      <c r="I93" s="130"/>
      <c r="J93" s="130"/>
      <c r="K93" s="130"/>
      <c r="L93" s="131" t="s">
        <v>112</v>
      </c>
      <c r="M93" s="132"/>
      <c r="N93" s="132"/>
      <c r="O93" s="132"/>
      <c r="P93" s="132"/>
      <c r="Q93" s="132"/>
      <c r="R93" s="132"/>
      <c r="S93" s="132"/>
    </row>
    <row r="94" spans="2:20" ht="37.200000000000003" customHeight="1" x14ac:dyDescent="0.3">
      <c r="B94" s="133" t="s">
        <v>106</v>
      </c>
      <c r="C94" s="134"/>
      <c r="D94" s="135" t="s">
        <v>107</v>
      </c>
      <c r="E94" s="135"/>
      <c r="F94" s="135" t="s">
        <v>108</v>
      </c>
      <c r="G94" s="135"/>
      <c r="H94" s="135" t="s">
        <v>218</v>
      </c>
      <c r="I94" s="135"/>
      <c r="J94" s="135" t="s">
        <v>110</v>
      </c>
      <c r="K94" s="135"/>
      <c r="L94" s="135" t="s">
        <v>111</v>
      </c>
      <c r="M94" s="135"/>
      <c r="N94" s="135" t="s">
        <v>119</v>
      </c>
      <c r="O94" s="135"/>
      <c r="P94" s="135" t="s">
        <v>223</v>
      </c>
      <c r="Q94" s="135"/>
      <c r="R94" s="135"/>
      <c r="S94" s="89" t="s">
        <v>14</v>
      </c>
    </row>
    <row r="95" spans="2:20" x14ac:dyDescent="0.3">
      <c r="B95" s="123">
        <f>MEDIDA!R4</f>
        <v>30</v>
      </c>
      <c r="C95" s="123"/>
      <c r="D95" s="136">
        <f>MEDIDA!T4</f>
        <v>30</v>
      </c>
      <c r="E95" s="136"/>
      <c r="F95" s="136">
        <f>MEDIDA!V4</f>
        <v>30</v>
      </c>
      <c r="G95" s="136"/>
      <c r="H95" s="136">
        <f>MEDIDA!X4</f>
        <v>30</v>
      </c>
      <c r="I95" s="136"/>
      <c r="J95" s="136">
        <f>MEDIDA!Z4</f>
        <v>30</v>
      </c>
      <c r="K95" s="136"/>
      <c r="L95" s="122">
        <f>MEDIDA!AB4</f>
        <v>30</v>
      </c>
      <c r="M95" s="122"/>
      <c r="N95" s="122">
        <f>MEDIDA!AD4</f>
        <v>0</v>
      </c>
      <c r="O95" s="122"/>
      <c r="P95" s="122">
        <f>INCERTIDUMBRE!L35</f>
        <v>2.2173491515095263</v>
      </c>
      <c r="Q95" s="122"/>
      <c r="R95" s="122"/>
      <c r="S95" s="97">
        <f>INCERTIDUMBRE!K35</f>
        <v>2.0054398942598022</v>
      </c>
    </row>
    <row r="96" spans="2:20" x14ac:dyDescent="0.3">
      <c r="B96" s="123">
        <f>MEDIDA!R5</f>
        <v>60</v>
      </c>
      <c r="C96" s="123"/>
      <c r="D96" s="136">
        <f>MEDIDA!T5</f>
        <v>60</v>
      </c>
      <c r="E96" s="136"/>
      <c r="F96" s="136">
        <f>MEDIDA!V5</f>
        <v>60</v>
      </c>
      <c r="G96" s="136"/>
      <c r="H96" s="136">
        <f>MEDIDA!X5</f>
        <v>60</v>
      </c>
      <c r="I96" s="136"/>
      <c r="J96" s="136">
        <f>MEDIDA!Z5</f>
        <v>60</v>
      </c>
      <c r="K96" s="136"/>
      <c r="L96" s="122">
        <f>MEDIDA!AB5</f>
        <v>60</v>
      </c>
      <c r="M96" s="122"/>
      <c r="N96" s="122">
        <f>MEDIDA!AD5</f>
        <v>0</v>
      </c>
      <c r="O96" s="122"/>
      <c r="P96" s="122">
        <f>INCERTIDUMBRE!L36</f>
        <v>2.2173491515095263</v>
      </c>
      <c r="Q96" s="122"/>
      <c r="R96" s="122"/>
      <c r="S96" s="97">
        <f>INCERTIDUMBRE!K36</f>
        <v>2.0054398942598022</v>
      </c>
    </row>
    <row r="97" spans="2:19" x14ac:dyDescent="0.3">
      <c r="B97" s="123">
        <f>MEDIDA!R6</f>
        <v>120</v>
      </c>
      <c r="C97" s="123"/>
      <c r="D97" s="136">
        <f>MEDIDA!T6</f>
        <v>120</v>
      </c>
      <c r="E97" s="136"/>
      <c r="F97" s="136">
        <f>MEDIDA!V6</f>
        <v>120</v>
      </c>
      <c r="G97" s="136"/>
      <c r="H97" s="136">
        <f>MEDIDA!X6</f>
        <v>120</v>
      </c>
      <c r="I97" s="136"/>
      <c r="J97" s="136">
        <f>MEDIDA!Z6</f>
        <v>120</v>
      </c>
      <c r="K97" s="136"/>
      <c r="L97" s="122">
        <f>MEDIDA!AB6</f>
        <v>120</v>
      </c>
      <c r="M97" s="122"/>
      <c r="N97" s="122">
        <f>MEDIDA!AD6</f>
        <v>0</v>
      </c>
      <c r="O97" s="122"/>
      <c r="P97" s="122">
        <f>INCERTIDUMBRE!L37</f>
        <v>2.2173491515095263</v>
      </c>
      <c r="Q97" s="122"/>
      <c r="R97" s="122"/>
      <c r="S97" s="97">
        <f>INCERTIDUMBRE!K37</f>
        <v>2.0054398942598022</v>
      </c>
    </row>
    <row r="98" spans="2:19" x14ac:dyDescent="0.3">
      <c r="B98" s="123">
        <f>MEDIDA!R7</f>
        <v>245</v>
      </c>
      <c r="C98" s="123"/>
      <c r="D98" s="136">
        <f>MEDIDA!T7</f>
        <v>245</v>
      </c>
      <c r="E98" s="136"/>
      <c r="F98" s="136">
        <f>MEDIDA!V7</f>
        <v>245</v>
      </c>
      <c r="G98" s="136"/>
      <c r="H98" s="136">
        <f>MEDIDA!X7</f>
        <v>245</v>
      </c>
      <c r="I98" s="136"/>
      <c r="J98" s="136">
        <f>MEDIDA!Z7</f>
        <v>245</v>
      </c>
      <c r="K98" s="136"/>
      <c r="L98" s="122">
        <f>MEDIDA!AB7</f>
        <v>245</v>
      </c>
      <c r="M98" s="122"/>
      <c r="N98" s="122">
        <f>MEDIDA!AD7</f>
        <v>0</v>
      </c>
      <c r="O98" s="122"/>
      <c r="P98" s="122">
        <f>INCERTIDUMBRE!L38</f>
        <v>2.2173491515095263</v>
      </c>
      <c r="Q98" s="122"/>
      <c r="R98" s="122"/>
      <c r="S98" s="97">
        <f>INCERTIDUMBRE!K38</f>
        <v>2.0054398942598022</v>
      </c>
    </row>
    <row r="99" spans="2:19" x14ac:dyDescent="0.3">
      <c r="B99" s="19"/>
      <c r="C99" s="19"/>
      <c r="D99" s="19"/>
      <c r="E99" s="19"/>
      <c r="F99" s="19"/>
      <c r="G99" s="19"/>
      <c r="H99" s="19"/>
      <c r="I99" s="19"/>
      <c r="J99" s="19"/>
      <c r="K99" s="19"/>
      <c r="L99" s="19"/>
      <c r="M99" s="19"/>
      <c r="N99" s="19"/>
      <c r="O99" s="19"/>
      <c r="P99" s="19"/>
      <c r="Q99" s="19"/>
      <c r="R99" s="19"/>
    </row>
    <row r="100" spans="2:19" ht="16.649999999999999" customHeight="1" x14ac:dyDescent="0.3"/>
    <row r="101" spans="2:19" ht="16.8" customHeight="1" x14ac:dyDescent="0.3">
      <c r="B101" s="52" t="s">
        <v>114</v>
      </c>
      <c r="C101" s="52"/>
      <c r="D101" s="52"/>
      <c r="E101" s="52"/>
      <c r="F101" s="52"/>
      <c r="G101" s="52"/>
      <c r="H101" s="52"/>
      <c r="I101" s="128" t="s">
        <v>115</v>
      </c>
      <c r="J101" s="128"/>
      <c r="K101" s="128"/>
      <c r="L101" s="128"/>
      <c r="M101" s="128"/>
      <c r="N101" s="129" t="s">
        <v>117</v>
      </c>
      <c r="O101" s="129"/>
      <c r="P101" s="128" t="s">
        <v>116</v>
      </c>
      <c r="Q101" s="128"/>
      <c r="R101" s="128"/>
      <c r="S101" s="90">
        <v>1</v>
      </c>
    </row>
    <row r="102" spans="2:19" ht="16.8" customHeight="1" x14ac:dyDescent="0.3"/>
    <row r="103" spans="2:19" x14ac:dyDescent="0.3">
      <c r="D103" s="130" t="s">
        <v>215</v>
      </c>
      <c r="E103" s="130"/>
      <c r="F103" s="130"/>
      <c r="G103" s="130"/>
      <c r="H103" s="130"/>
      <c r="I103" s="130"/>
      <c r="J103" s="130"/>
      <c r="K103" s="130"/>
      <c r="L103" s="131" t="s">
        <v>128</v>
      </c>
      <c r="M103" s="132"/>
      <c r="N103" s="132"/>
      <c r="O103" s="132"/>
      <c r="P103" s="132"/>
      <c r="Q103" s="132"/>
      <c r="R103" s="132"/>
      <c r="S103" s="132"/>
    </row>
    <row r="104" spans="2:19" ht="37.799999999999997" customHeight="1" x14ac:dyDescent="0.3">
      <c r="B104" s="133" t="s">
        <v>118</v>
      </c>
      <c r="C104" s="134"/>
      <c r="D104" s="135" t="s">
        <v>224</v>
      </c>
      <c r="E104" s="135"/>
      <c r="F104" s="135" t="s">
        <v>225</v>
      </c>
      <c r="G104" s="135"/>
      <c r="H104" s="135" t="s">
        <v>226</v>
      </c>
      <c r="I104" s="135"/>
      <c r="J104" s="135" t="s">
        <v>227</v>
      </c>
      <c r="K104" s="135"/>
      <c r="L104" s="135" t="s">
        <v>121</v>
      </c>
      <c r="M104" s="135"/>
      <c r="N104" s="135" t="s">
        <v>122</v>
      </c>
      <c r="O104" s="135"/>
      <c r="P104" s="135" t="s">
        <v>228</v>
      </c>
      <c r="Q104" s="135"/>
      <c r="R104" s="135"/>
      <c r="S104" s="89" t="s">
        <v>14</v>
      </c>
    </row>
    <row r="105" spans="2:19" x14ac:dyDescent="0.3">
      <c r="B105" s="123">
        <f>MEDIDA!B13</f>
        <v>80</v>
      </c>
      <c r="C105" s="123"/>
      <c r="D105" s="123">
        <f ca="1">MEDIDA!D13</f>
        <v>80</v>
      </c>
      <c r="E105" s="123"/>
      <c r="F105" s="123">
        <f ca="1">MEDIDA!F13</f>
        <v>80</v>
      </c>
      <c r="G105" s="123"/>
      <c r="H105" s="123">
        <f ca="1">MEDIDA!H13</f>
        <v>80</v>
      </c>
      <c r="I105" s="123"/>
      <c r="J105" s="123">
        <f ca="1">MEDIDA!J13</f>
        <v>80</v>
      </c>
      <c r="K105" s="123"/>
      <c r="L105" s="122">
        <f ca="1">MEDIDA!L13</f>
        <v>80</v>
      </c>
      <c r="M105" s="122"/>
      <c r="N105" s="122">
        <f ca="1">MEDIDA!N13</f>
        <v>0</v>
      </c>
      <c r="O105" s="122"/>
      <c r="P105" s="122">
        <f ca="1">INCERTIDUMBRE!L42</f>
        <v>2.6198337694188578</v>
      </c>
      <c r="Q105" s="122"/>
      <c r="R105" s="122"/>
      <c r="S105" s="97">
        <f ca="1">INCERTIDUMBRE!K42</f>
        <v>2.007844963532889</v>
      </c>
    </row>
    <row r="106" spans="2:19" x14ac:dyDescent="0.3">
      <c r="B106" s="123">
        <f>MEDIDA!B14</f>
        <v>85</v>
      </c>
      <c r="C106" s="123"/>
      <c r="D106" s="123">
        <f ca="1">MEDIDA!D14</f>
        <v>85.5</v>
      </c>
      <c r="E106" s="123"/>
      <c r="F106" s="123">
        <f ca="1">MEDIDA!F14</f>
        <v>85.5</v>
      </c>
      <c r="G106" s="123"/>
      <c r="H106" s="123">
        <f ca="1">MEDIDA!H14</f>
        <v>85.5</v>
      </c>
      <c r="I106" s="123"/>
      <c r="J106" s="123">
        <f ca="1">MEDIDA!J14</f>
        <v>85.5</v>
      </c>
      <c r="K106" s="123"/>
      <c r="L106" s="122">
        <f ca="1">MEDIDA!L14</f>
        <v>85.5</v>
      </c>
      <c r="M106" s="122"/>
      <c r="N106" s="122">
        <f ca="1">MEDIDA!N14</f>
        <v>0.5</v>
      </c>
      <c r="O106" s="122"/>
      <c r="P106" s="122">
        <f ca="1">INCERTIDUMBRE!L43</f>
        <v>2.6198337694188578</v>
      </c>
      <c r="Q106" s="122"/>
      <c r="R106" s="122"/>
      <c r="S106" s="97">
        <f ca="1">INCERTIDUMBRE!K43</f>
        <v>2.007844963532889</v>
      </c>
    </row>
    <row r="107" spans="2:19" x14ac:dyDescent="0.3">
      <c r="B107" s="123">
        <f>MEDIDA!B15</f>
        <v>90</v>
      </c>
      <c r="C107" s="123"/>
      <c r="D107" s="123">
        <f ca="1">MEDIDA!D15</f>
        <v>90</v>
      </c>
      <c r="E107" s="123"/>
      <c r="F107" s="123">
        <f ca="1">MEDIDA!F15</f>
        <v>90</v>
      </c>
      <c r="G107" s="123"/>
      <c r="H107" s="123">
        <f ca="1">MEDIDA!H15</f>
        <v>90</v>
      </c>
      <c r="I107" s="123"/>
      <c r="J107" s="123">
        <f ca="1">MEDIDA!J15</f>
        <v>90</v>
      </c>
      <c r="K107" s="123"/>
      <c r="L107" s="122">
        <f ca="1">MEDIDA!L15</f>
        <v>90</v>
      </c>
      <c r="M107" s="122"/>
      <c r="N107" s="122">
        <f ca="1">MEDIDA!N15</f>
        <v>0</v>
      </c>
      <c r="O107" s="122"/>
      <c r="P107" s="122">
        <f ca="1">INCERTIDUMBRE!L44</f>
        <v>2.6198337694188578</v>
      </c>
      <c r="Q107" s="122"/>
      <c r="R107" s="122"/>
      <c r="S107" s="97">
        <f ca="1">INCERTIDUMBRE!K44</f>
        <v>2.007844963532889</v>
      </c>
    </row>
    <row r="108" spans="2:19" x14ac:dyDescent="0.3">
      <c r="B108" s="123">
        <f>MEDIDA!B16</f>
        <v>95</v>
      </c>
      <c r="C108" s="123"/>
      <c r="D108" s="123">
        <f ca="1">MEDIDA!D16</f>
        <v>95</v>
      </c>
      <c r="E108" s="123"/>
      <c r="F108" s="123">
        <f ca="1">MEDIDA!F16</f>
        <v>95</v>
      </c>
      <c r="G108" s="123"/>
      <c r="H108" s="123">
        <f ca="1">MEDIDA!H16</f>
        <v>95</v>
      </c>
      <c r="I108" s="123"/>
      <c r="J108" s="123">
        <f ca="1">MEDIDA!J16</f>
        <v>95</v>
      </c>
      <c r="K108" s="123"/>
      <c r="L108" s="122">
        <f ca="1">MEDIDA!L16</f>
        <v>95</v>
      </c>
      <c r="M108" s="122"/>
      <c r="N108" s="122">
        <f ca="1">MEDIDA!N16</f>
        <v>0</v>
      </c>
      <c r="O108" s="122"/>
      <c r="P108" s="122">
        <f ca="1">INCERTIDUMBRE!L45</f>
        <v>2.6198337694188578</v>
      </c>
      <c r="Q108" s="122"/>
      <c r="R108" s="122"/>
      <c r="S108" s="97">
        <f ca="1">INCERTIDUMBRE!K45</f>
        <v>2.007844963532889</v>
      </c>
    </row>
    <row r="109" spans="2:19" x14ac:dyDescent="0.3">
      <c r="B109" s="123">
        <f>MEDIDA!B17</f>
        <v>99</v>
      </c>
      <c r="C109" s="123"/>
      <c r="D109" s="123">
        <f ca="1">MEDIDA!D17</f>
        <v>100</v>
      </c>
      <c r="E109" s="123"/>
      <c r="F109" s="123">
        <f ca="1">MEDIDA!F17</f>
        <v>100</v>
      </c>
      <c r="G109" s="123"/>
      <c r="H109" s="123">
        <f ca="1">MEDIDA!H17</f>
        <v>100</v>
      </c>
      <c r="I109" s="123"/>
      <c r="J109" s="123">
        <f ca="1">MEDIDA!J17</f>
        <v>100</v>
      </c>
      <c r="K109" s="123"/>
      <c r="L109" s="122">
        <f ca="1">MEDIDA!L17</f>
        <v>100</v>
      </c>
      <c r="M109" s="122"/>
      <c r="N109" s="122">
        <f ca="1">MEDIDA!N17</f>
        <v>1</v>
      </c>
      <c r="O109" s="122"/>
      <c r="P109" s="122">
        <f ca="1">INCERTIDUMBRE!L46</f>
        <v>2.6198337694188578</v>
      </c>
      <c r="Q109" s="122"/>
      <c r="R109" s="122"/>
      <c r="S109" s="97">
        <f ca="1">INCERTIDUMBRE!K46</f>
        <v>2.007844963532889</v>
      </c>
    </row>
    <row r="112" spans="2:19" x14ac:dyDescent="0.3">
      <c r="F112" s="99"/>
      <c r="G112" s="99"/>
      <c r="H112" s="99"/>
      <c r="I112" s="99"/>
      <c r="J112" s="99"/>
      <c r="K112" s="99"/>
      <c r="L112" s="100"/>
      <c r="M112" s="100"/>
      <c r="N112" s="100"/>
      <c r="O112" s="126" t="str">
        <f>O76</f>
        <v>CERTIFICADO N°:</v>
      </c>
      <c r="P112" s="126"/>
      <c r="Q112" s="126"/>
      <c r="R112" s="127">
        <f>R76</f>
        <v>0</v>
      </c>
      <c r="S112" s="127"/>
    </row>
    <row r="114" spans="2:20" x14ac:dyDescent="0.3">
      <c r="B114" s="121" t="s">
        <v>123</v>
      </c>
      <c r="C114" s="121"/>
      <c r="D114" s="121"/>
      <c r="E114" s="121"/>
      <c r="F114" s="121"/>
      <c r="G114" s="121"/>
      <c r="H114" s="121"/>
      <c r="I114" s="121"/>
      <c r="J114" s="121"/>
      <c r="K114" s="121"/>
      <c r="L114" s="121"/>
      <c r="M114" s="121"/>
      <c r="N114" s="121"/>
      <c r="O114" s="121"/>
      <c r="P114" s="121"/>
      <c r="Q114" s="121"/>
      <c r="R114" s="121"/>
      <c r="S114" s="121"/>
    </row>
    <row r="116" spans="2:20" x14ac:dyDescent="0.3">
      <c r="B116" s="119" t="s">
        <v>124</v>
      </c>
      <c r="C116" s="119"/>
      <c r="D116" s="119"/>
      <c r="E116" s="119"/>
      <c r="F116" s="119"/>
      <c r="G116" s="119"/>
      <c r="I116" s="78" t="s">
        <v>125</v>
      </c>
      <c r="J116" s="78"/>
      <c r="K116" s="78"/>
      <c r="L116" s="78"/>
      <c r="M116" s="78"/>
      <c r="N116" s="78"/>
      <c r="O116" s="78"/>
      <c r="P116" s="78"/>
      <c r="Q116" s="78"/>
      <c r="R116" s="78"/>
      <c r="S116" s="78"/>
    </row>
    <row r="117" spans="2:20" x14ac:dyDescent="0.3">
      <c r="B117" s="120" t="s">
        <v>219</v>
      </c>
      <c r="C117" s="120"/>
      <c r="D117" s="120"/>
      <c r="E117" s="120"/>
      <c r="F117" s="120"/>
      <c r="G117" s="120"/>
      <c r="I117" s="78" t="s">
        <v>125</v>
      </c>
    </row>
    <row r="118" spans="2:20" ht="16.8" customHeight="1" x14ac:dyDescent="0.3">
      <c r="B118" s="119" t="s">
        <v>220</v>
      </c>
      <c r="C118" s="119"/>
      <c r="D118" s="119"/>
      <c r="E118" s="119"/>
      <c r="F118" s="119"/>
      <c r="G118" s="119"/>
      <c r="I118" s="78" t="s">
        <v>125</v>
      </c>
      <c r="J118" s="78"/>
      <c r="K118" s="78"/>
      <c r="L118" s="78"/>
      <c r="M118" s="78"/>
      <c r="N118" s="78"/>
      <c r="O118" s="78"/>
      <c r="P118" s="78"/>
      <c r="Q118" s="78"/>
      <c r="R118" s="78"/>
      <c r="S118" s="78"/>
    </row>
    <row r="119" spans="2:20" x14ac:dyDescent="0.3">
      <c r="B119" s="124" t="s">
        <v>126</v>
      </c>
      <c r="C119" s="124"/>
      <c r="D119" s="124"/>
      <c r="E119" s="124"/>
      <c r="F119" s="124"/>
      <c r="G119" s="124"/>
      <c r="I119" s="125" t="s">
        <v>221</v>
      </c>
      <c r="J119" s="125"/>
      <c r="K119" s="125"/>
      <c r="L119" s="125"/>
      <c r="M119" s="88" t="s">
        <v>127</v>
      </c>
      <c r="N119" s="88"/>
      <c r="O119" s="88"/>
      <c r="P119" s="88"/>
      <c r="Q119" s="88"/>
      <c r="R119" s="88"/>
      <c r="S119" s="88"/>
    </row>
    <row r="120" spans="2:20" x14ac:dyDescent="0.3">
      <c r="T120" s="92"/>
    </row>
    <row r="121" spans="2:20" x14ac:dyDescent="0.3">
      <c r="T121" s="92"/>
    </row>
    <row r="122" spans="2:20" x14ac:dyDescent="0.3">
      <c r="T122" s="92"/>
    </row>
    <row r="123" spans="2:20" x14ac:dyDescent="0.3">
      <c r="T123" s="92"/>
    </row>
    <row r="125" spans="2:20" x14ac:dyDescent="0.3">
      <c r="B125" s="118" t="s">
        <v>208</v>
      </c>
      <c r="C125" s="118"/>
      <c r="D125" s="118"/>
      <c r="E125" s="118"/>
      <c r="F125" s="118"/>
      <c r="G125" s="118"/>
      <c r="H125" s="118"/>
      <c r="I125" s="118"/>
      <c r="J125" s="118"/>
      <c r="K125" s="118"/>
      <c r="L125" s="118"/>
      <c r="M125" s="118"/>
      <c r="N125" s="118"/>
      <c r="O125" s="118"/>
      <c r="P125" s="118"/>
      <c r="Q125" s="118"/>
      <c r="R125" s="118"/>
      <c r="S125" s="118"/>
    </row>
    <row r="127" spans="2:20" ht="24" customHeight="1" x14ac:dyDescent="0.3"/>
    <row r="128" spans="2:20" x14ac:dyDescent="0.3">
      <c r="T128" s="92"/>
    </row>
    <row r="129" spans="20:20" x14ac:dyDescent="0.3">
      <c r="T129" s="92"/>
    </row>
    <row r="138" spans="20:20" x14ac:dyDescent="0.3">
      <c r="T138" s="88"/>
    </row>
  </sheetData>
  <mergeCells count="236">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I11:R11"/>
    <mergeCell ref="I12:R12"/>
    <mergeCell ref="C19:G19"/>
    <mergeCell ref="C20:G20"/>
    <mergeCell ref="C21:G21"/>
    <mergeCell ref="I17:R17"/>
    <mergeCell ref="I18:R18"/>
    <mergeCell ref="I19:R19"/>
    <mergeCell ref="I20:R20"/>
    <mergeCell ref="I21:R21"/>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B86:C86"/>
    <mergeCell ref="D86:E86"/>
    <mergeCell ref="F86:G86"/>
    <mergeCell ref="H86:I86"/>
    <mergeCell ref="J86:K86"/>
    <mergeCell ref="L86:M86"/>
    <mergeCell ref="N86:O86"/>
    <mergeCell ref="P86:R86"/>
    <mergeCell ref="B85:C85"/>
    <mergeCell ref="D85:E85"/>
    <mergeCell ref="F85:G85"/>
    <mergeCell ref="H85:I85"/>
    <mergeCell ref="J85:K85"/>
    <mergeCell ref="B88:C88"/>
    <mergeCell ref="D88:E88"/>
    <mergeCell ref="F88:G88"/>
    <mergeCell ref="H88:I88"/>
    <mergeCell ref="J88:K88"/>
    <mergeCell ref="L88:M88"/>
    <mergeCell ref="N88:O88"/>
    <mergeCell ref="P88:R88"/>
    <mergeCell ref="D87:E87"/>
    <mergeCell ref="F87:G87"/>
    <mergeCell ref="H87:I87"/>
    <mergeCell ref="J87:K87"/>
    <mergeCell ref="B87:C87"/>
    <mergeCell ref="I91:M91"/>
    <mergeCell ref="N91:O91"/>
    <mergeCell ref="P91:R91"/>
    <mergeCell ref="N80:O80"/>
    <mergeCell ref="P80:R80"/>
    <mergeCell ref="I80:M80"/>
    <mergeCell ref="L82:S82"/>
    <mergeCell ref="L87:M87"/>
    <mergeCell ref="N87:O87"/>
    <mergeCell ref="P87:R87"/>
    <mergeCell ref="L85:M85"/>
    <mergeCell ref="N85:O85"/>
    <mergeCell ref="P85:R85"/>
    <mergeCell ref="N83:O83"/>
    <mergeCell ref="P83:R83"/>
    <mergeCell ref="B94:C94"/>
    <mergeCell ref="D94:E94"/>
    <mergeCell ref="F94:G94"/>
    <mergeCell ref="H94:I94"/>
    <mergeCell ref="J94:K94"/>
    <mergeCell ref="L94:M94"/>
    <mergeCell ref="N94:O94"/>
    <mergeCell ref="P94:R94"/>
    <mergeCell ref="D93:K93"/>
    <mergeCell ref="L93:S93"/>
    <mergeCell ref="L95:M95"/>
    <mergeCell ref="N95:O95"/>
    <mergeCell ref="P95:R95"/>
    <mergeCell ref="B96:C96"/>
    <mergeCell ref="D96:E96"/>
    <mergeCell ref="F96:G96"/>
    <mergeCell ref="H96:I96"/>
    <mergeCell ref="J96:K96"/>
    <mergeCell ref="L96:M96"/>
    <mergeCell ref="N96:O96"/>
    <mergeCell ref="P96:R96"/>
    <mergeCell ref="B95:C95"/>
    <mergeCell ref="D95:E95"/>
    <mergeCell ref="F95:G95"/>
    <mergeCell ref="H95:I95"/>
    <mergeCell ref="J95:K95"/>
    <mergeCell ref="L97:M97"/>
    <mergeCell ref="N97:O97"/>
    <mergeCell ref="P97:R97"/>
    <mergeCell ref="B98:C98"/>
    <mergeCell ref="D98:E98"/>
    <mergeCell ref="F98:G98"/>
    <mergeCell ref="H98:I98"/>
    <mergeCell ref="J98:K98"/>
    <mergeCell ref="L98:M98"/>
    <mergeCell ref="N98:O98"/>
    <mergeCell ref="P98:R98"/>
    <mergeCell ref="B97:C97"/>
    <mergeCell ref="D97:E97"/>
    <mergeCell ref="F97:G97"/>
    <mergeCell ref="H97:I97"/>
    <mergeCell ref="J97:K97"/>
    <mergeCell ref="I101:M101"/>
    <mergeCell ref="N101:O101"/>
    <mergeCell ref="P101:R101"/>
    <mergeCell ref="D103:K103"/>
    <mergeCell ref="L103:S103"/>
    <mergeCell ref="B104:C104"/>
    <mergeCell ref="D104:E104"/>
    <mergeCell ref="F104:G104"/>
    <mergeCell ref="H104:I104"/>
    <mergeCell ref="J104:K104"/>
    <mergeCell ref="L104:M104"/>
    <mergeCell ref="N104:O104"/>
    <mergeCell ref="P104:R104"/>
    <mergeCell ref="L105:M105"/>
    <mergeCell ref="N105:O105"/>
    <mergeCell ref="P105:R105"/>
    <mergeCell ref="B106:C106"/>
    <mergeCell ref="D106:E106"/>
    <mergeCell ref="F106:G106"/>
    <mergeCell ref="H106:I106"/>
    <mergeCell ref="J106:K106"/>
    <mergeCell ref="L106:M106"/>
    <mergeCell ref="N106:O106"/>
    <mergeCell ref="P106:R106"/>
    <mergeCell ref="B105:C105"/>
    <mergeCell ref="D105:E105"/>
    <mergeCell ref="F105:G105"/>
    <mergeCell ref="H105:I105"/>
    <mergeCell ref="J105:K105"/>
    <mergeCell ref="L107:M107"/>
    <mergeCell ref="N107:O107"/>
    <mergeCell ref="P107:R107"/>
    <mergeCell ref="B108:C108"/>
    <mergeCell ref="D108:E108"/>
    <mergeCell ref="F108:G108"/>
    <mergeCell ref="H108:I108"/>
    <mergeCell ref="J108:K108"/>
    <mergeCell ref="L108:M108"/>
    <mergeCell ref="N108:O108"/>
    <mergeCell ref="P108:R108"/>
    <mergeCell ref="B107:C107"/>
    <mergeCell ref="D107:E107"/>
    <mergeCell ref="F107:G107"/>
    <mergeCell ref="H107:I107"/>
    <mergeCell ref="J107:K107"/>
    <mergeCell ref="B125:S125"/>
    <mergeCell ref="B116:G116"/>
    <mergeCell ref="B117:G117"/>
    <mergeCell ref="B118:G118"/>
    <mergeCell ref="B114:S114"/>
    <mergeCell ref="L109:M109"/>
    <mergeCell ref="N109:O109"/>
    <mergeCell ref="P109:R109"/>
    <mergeCell ref="B109:C109"/>
    <mergeCell ref="D109:E109"/>
    <mergeCell ref="F109:G109"/>
    <mergeCell ref="H109:I109"/>
    <mergeCell ref="J109:K109"/>
    <mergeCell ref="B119:G119"/>
    <mergeCell ref="I119:L119"/>
    <mergeCell ref="O112:Q112"/>
    <mergeCell ref="R112:S11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2023-07-24T14:37:41Z</cp:lastPrinted>
  <dcterms:created xsi:type="dcterms:W3CDTF">2012-07-25T22:15:54Z</dcterms:created>
  <dcterms:modified xsi:type="dcterms:W3CDTF">2026-05-05T17:15:41Z</dcterms:modified>
</cp:coreProperties>
</file>