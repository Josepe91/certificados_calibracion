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G:\.shortcut-targets-by-id\1XGU14x--xzsxWMOuPO8xVIt64iQx_Ulk\BTMC\Plantillas 2026\"/>
    </mc:Choice>
  </mc:AlternateContent>
  <xr:revisionPtr revIDLastSave="0" documentId="13_ncr:1_{DAEAA8B2-1A21-47CF-A67D-A91A468A601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1" i="31" l="1"/>
  <c r="C13" i="21"/>
  <c r="C14" i="21"/>
  <c r="C12" i="21"/>
  <c r="F16" i="20"/>
  <c r="F17" i="20"/>
  <c r="F15" i="20"/>
  <c r="F5" i="20"/>
  <c r="F6" i="20"/>
  <c r="F4" i="20"/>
  <c r="O113" i="31" l="1"/>
  <c r="P101" i="31"/>
  <c r="P102" i="31"/>
  <c r="P100" i="31"/>
  <c r="I101" i="31"/>
  <c r="I102" i="31"/>
  <c r="I100" i="31"/>
  <c r="G101" i="31"/>
  <c r="G102" i="31"/>
  <c r="G100" i="31"/>
  <c r="E101" i="31"/>
  <c r="E102" i="31"/>
  <c r="E100" i="31"/>
  <c r="Q16" i="20"/>
  <c r="Q17" i="20"/>
  <c r="Q15" i="20"/>
  <c r="Q5" i="20"/>
  <c r="Q6" i="20"/>
  <c r="Q4" i="20"/>
  <c r="S4" i="20"/>
  <c r="S5" i="20"/>
  <c r="S6" i="20"/>
  <c r="S15" i="20"/>
  <c r="S16" i="20"/>
  <c r="S17" i="20"/>
  <c r="O4" i="20"/>
  <c r="O5" i="20"/>
  <c r="O6" i="20"/>
  <c r="O15" i="20"/>
  <c r="O16" i="20"/>
  <c r="O17" i="20"/>
  <c r="N46" i="31"/>
  <c r="K46" i="31"/>
  <c r="I46" i="31"/>
  <c r="F46" i="31"/>
  <c r="M32" i="31"/>
  <c r="M31" i="31"/>
  <c r="I18" i="31"/>
  <c r="I19" i="31"/>
  <c r="I20" i="31"/>
  <c r="I21" i="31"/>
  <c r="I17" i="31"/>
  <c r="I13" i="31"/>
  <c r="I12" i="31"/>
  <c r="I11" i="31"/>
  <c r="I10" i="31"/>
  <c r="I9" i="31"/>
  <c r="I8" i="31"/>
  <c r="I7" i="31"/>
  <c r="I6" i="31"/>
  <c r="I5" i="31"/>
  <c r="R1" i="31"/>
  <c r="F21" i="21"/>
  <c r="F22" i="21"/>
  <c r="F20" i="21"/>
  <c r="F13" i="21"/>
  <c r="F14" i="21"/>
  <c r="F12" i="21"/>
  <c r="F5" i="21"/>
  <c r="F6" i="21"/>
  <c r="F4" i="21"/>
  <c r="B10" i="23"/>
  <c r="B9" i="23"/>
  <c r="U5" i="20" l="1"/>
  <c r="U6" i="20"/>
  <c r="U15" i="20"/>
  <c r="K100" i="31" s="1"/>
  <c r="U16" i="20"/>
  <c r="K101" i="31" s="1"/>
  <c r="U17" i="20"/>
  <c r="K102" i="31" s="1"/>
  <c r="U4" i="20"/>
  <c r="R76" i="31" l="1"/>
  <c r="R113" i="31" s="1"/>
  <c r="O76" i="31"/>
  <c r="D21" i="21"/>
  <c r="I21" i="21"/>
  <c r="D22" i="21"/>
  <c r="D20" i="21"/>
  <c r="AD5" i="25"/>
  <c r="AD6" i="25"/>
  <c r="AD7" i="25"/>
  <c r="AD8" i="25"/>
  <c r="AC5" i="25"/>
  <c r="AC6" i="25"/>
  <c r="AC7" i="25"/>
  <c r="AC8" i="25"/>
  <c r="AC4" i="25"/>
  <c r="Z5" i="25"/>
  <c r="Z6" i="25"/>
  <c r="Z7" i="25"/>
  <c r="Z8" i="25"/>
  <c r="Z4" i="25"/>
  <c r="AD4" i="25"/>
  <c r="AE4" i="25"/>
  <c r="AF4" i="25"/>
  <c r="D5" i="21"/>
  <c r="D6" i="21"/>
  <c r="D4" i="21"/>
  <c r="I84" i="31"/>
  <c r="I85" i="31"/>
  <c r="G83" i="31"/>
  <c r="E84" i="31"/>
  <c r="E85" i="31"/>
  <c r="E83"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J4" i="21" l="1"/>
  <c r="K4" i="21" s="1"/>
  <c r="P83" i="31" s="1"/>
  <c r="J12" i="21"/>
  <c r="K12" i="21" s="1"/>
  <c r="J20" i="21"/>
  <c r="K20" i="21" s="1"/>
  <c r="J5" i="21"/>
  <c r="K5" i="21" s="1"/>
  <c r="P84" i="31" s="1"/>
  <c r="J22" i="21"/>
  <c r="K22" i="21" s="1"/>
  <c r="J13" i="21"/>
  <c r="K13" i="21" s="1"/>
  <c r="J6" i="21"/>
  <c r="K6" i="21" s="1"/>
  <c r="P85" i="31" s="1"/>
  <c r="J14" i="21"/>
  <c r="K14" i="21" s="1"/>
  <c r="J21" i="21"/>
  <c r="K21" i="21" s="1"/>
  <c r="K83" i="31"/>
  <c r="I83" i="31"/>
  <c r="R38" i="31"/>
  <c r="K85" i="31"/>
  <c r="K84" i="31"/>
  <c r="G85" i="31"/>
  <c r="G84"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H45" i="29"/>
  <c r="F45" i="29"/>
  <c r="D324" i="29"/>
  <c r="E323" i="29"/>
  <c r="F323" i="29" s="1"/>
  <c r="C326" i="29" s="1"/>
  <c r="G286" i="29"/>
  <c r="H286" i="29" l="1"/>
  <c r="F286" i="29"/>
  <c r="D286" i="29"/>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E270" i="29" s="1"/>
  <c r="F273" i="29" s="1"/>
  <c r="B244" i="29"/>
  <c r="A67" i="29"/>
  <c r="B43" i="29"/>
  <c r="G21" i="29"/>
  <c r="C22" i="29"/>
  <c r="C23" i="29" s="1"/>
  <c r="K21" i="29" s="1"/>
  <c r="H302" i="29"/>
  <c r="F302" i="29"/>
  <c r="D22" i="29"/>
  <c r="D24" i="29"/>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<sst xmlns="http://schemas.openxmlformats.org/spreadsheetml/2006/main" count="1036" uniqueCount="187">
  <si>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</si>
  <si>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</si>
  <si>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</si>
  <si>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</si>
  <si>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</si>
  <si>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</si>
  <si>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</si>
  <si>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</si>
  <si>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</si>
  <si>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</si>
  <si>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</si>
  <si>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</si>
  <si>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</si>
  <si>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</si>
  <si>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</si>
  <si>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</si>
  <si>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</si>
  <si>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</si>
  <si>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</si>
  <si>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</si>
  <si>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</si>
  <si>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</si>
  <si>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</si>
  <si>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</si>
  <si>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</si>
  <si>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</si>
  <si>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</si>
  <si>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</si>
  <si>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</si>
  <si>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</si>
  <si>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</si>
  <si>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</si>
  <si>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</si>
  <si>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</si>
  <si>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</si>
  <si>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</si>
  <si>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</si>
  <si>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</si>
  <si>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</si>
  <si>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</si>
  <si>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</si>
  <si>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</si>
  <si>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</si>
  <si>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</si>
  <si>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</si>
  <si>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</si>
  <si>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</si>
  <si>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</si>
  <si>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</si>
  <si>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</si>
  <si>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</si>
  <si>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</si>
  <si>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</si>
  <si>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</si>
  <si>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</si>
  <si>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</si>
  <si>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</si>
  <si>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</si>
  <si>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</si>
  <si>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</si>
  <si>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</si>
  <si>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</si>
  <si>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</si>
  <si>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</si>
  <si>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</si>
  <si>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</si>
  <si>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</si>
  <si>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</si>
  <si>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</si>
  <si>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</si>
  <si>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</si>
  <si>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</si>
  <si>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</si>
  <si>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</si>
  <si>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</si>
  <si>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</si>
  <si>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</si>
  <si>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</si>
  <si>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</si>
  <si>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</si>
  <si>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</si>
  <si>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</si>
  <si>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</si>
  <si>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</si>
  <si>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</si>
  <si>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</si>
  <si>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</si>
  <si>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</si>
  <si>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</si>
  <si>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</si>
  <si>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</si>
  <si>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</si>
  <si>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</si>
  <si>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</si>
  <si>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</si>
  <si>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</si>
  <si>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</si>
  <si>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</si>
  <si>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</si>
  <si>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</si>
  <si>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</si>
  <si>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</si>
  <si>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</si>
  <si>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</si>
  <si>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</si>
  <si>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</si>
  <si>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</si>
  <si>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</si>
  <si>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</si>
  <si>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</si>
  <si>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</si>
  <si>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</si>
  <si>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</si>
  <si>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</si>
  <si>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</si>
  <si>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</si>
  <si>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</si>
  <si>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</si>
  <si>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</si>
  <si>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</si>
  <si>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</si>
  <si>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</si>
  <si>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</si>
  <si>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</si>
  <si>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</si>
  <si>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</si>
  <si>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</si>
  <si>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</si>
  <si>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</si>
  <si>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</si>
  <si>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</si>
  <si>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</si>
  <si>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Intervalo de medición (°C):</t>
  </si>
  <si>
    <t>Resolución (°C):</t>
  </si>
  <si>
    <t>Incertidumbre Expandida ±</t>
  </si>
  <si>
    <t>Error             (°C)</t>
  </si>
  <si>
    <t>Patrón          (°C)</t>
  </si>
  <si>
    <t>Temperatura (°C)</t>
  </si>
  <si>
    <t>Patrón          (%hr)</t>
  </si>
  <si>
    <t>Error             (%hr)</t>
  </si>
  <si>
    <t>Humedad (%hr)</t>
  </si>
  <si>
    <t>Kelvin= °C+ 273,15</t>
  </si>
  <si>
    <t>EBP                   (°C)</t>
  </si>
  <si>
    <t>EBP                   (%hr)</t>
  </si>
  <si>
    <t>CALIBRACIÓN DE HUMEDAD</t>
  </si>
  <si>
    <t>FUENTES DE INCERTIDUMBRE TEMPERATURA AMBIENTE</t>
  </si>
  <si>
    <t>Equipo bajo prueba               (°C)</t>
  </si>
  <si>
    <t>TEMPERATURA AMBIENTE</t>
  </si>
  <si>
    <t>Termómetro</t>
  </si>
  <si>
    <t>Temperatura sonda</t>
  </si>
  <si>
    <t>FUENTES DE INCERTIDUMBRE TEMPERATURA SONDA</t>
  </si>
  <si>
    <t>Equipo bajo prueba               (%hr)</t>
  </si>
  <si>
    <t>Intrumento</t>
  </si>
  <si>
    <t>Marca</t>
  </si>
  <si>
    <t>Modelo</t>
  </si>
  <si>
    <t>Serie</t>
  </si>
  <si>
    <t>Ubicación</t>
  </si>
  <si>
    <t>Inventario</t>
  </si>
  <si>
    <t>Número de Certificado</t>
  </si>
  <si>
    <t>Fecha de Recepción</t>
  </si>
  <si>
    <t>Estado Físico:</t>
  </si>
  <si>
    <t>ING. GABRIEL DURÁN</t>
  </si>
  <si>
    <t>Calibración de Humedad</t>
  </si>
  <si>
    <t>Intervalo de medición (%):</t>
  </si>
  <si>
    <t>Resolución (%):</t>
  </si>
  <si>
    <t>TERMOHIGRÓMETRO</t>
  </si>
  <si>
    <t>HTC</t>
  </si>
  <si>
    <t>HTC-2</t>
  </si>
  <si>
    <t>NO REGISTRA</t>
  </si>
  <si>
    <t>EN SITIO</t>
  </si>
  <si>
    <t>JD6576-25</t>
  </si>
  <si>
    <t>ECOOTRANSVIAS LTDA</t>
  </si>
  <si>
    <t>900300213-4</t>
  </si>
  <si>
    <t>CR 18 # 13-62, BRR LAS AMERICAS</t>
  </si>
  <si>
    <t>PUERTO ASIS</t>
  </si>
  <si>
    <t xml:space="preserve">319239_A     319239_B    </t>
  </si>
  <si>
    <t>H12F-J164747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</si>
  <si>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</si>
  <si>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</si>
  <si>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</si>
  <si>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</si>
  <si>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</si>
  <si>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termohigrómetros BTM-P-014.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</si>
  <si>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</si>
  <si>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</si>
  <si>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50 a 65</t>
  </si>
  <si>
    <t>15 a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</si>
</sst>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7"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92D050"/>
      </left>
      <right style="thin">
        <color rgb="FF92D050"/>
      </right>
      <top style="thin">
        <color rgb="FF92D05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1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6" fillId="13" borderId="29" xfId="0" applyFont="1" applyFill="1" applyBorder="1" applyAlignment="1">
      <alignment horizontal="center" vertical="center" wrapText="1"/>
    </xf>
    <xf numFmtId="0" fontId="26" fillId="2" borderId="29" xfId="0" applyFont="1" applyFill="1" applyBorder="1" applyAlignment="1">
      <alignment horizontal="center" vertical="center" wrapText="1"/>
    </xf>
    <xf numFmtId="49" fontId="26" fillId="2" borderId="29" xfId="0" applyNumberFormat="1" applyFont="1" applyFill="1" applyBorder="1" applyAlignment="1">
      <alignment horizontal="center" vertical="center" wrapText="1"/>
    </xf>
    <xf numFmtId="1" fontId="26" fillId="2" borderId="29" xfId="0" applyNumberFormat="1" applyFont="1" applyFill="1" applyBorder="1" applyAlignment="1">
      <alignment horizontal="center" vertical="center" shrinkToFit="1"/>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164" fontId="11" fillId="0" borderId="5" xfId="0" applyNumberFormat="1" applyFont="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1" fillId="0" borderId="30" xfId="0" applyFont="1" applyBorder="1" applyAlignment="1">
      <alignment horizontal="center" vertical="center"/>
    </xf>
    <xf numFmtId="0" fontId="16" fillId="0" borderId="19" xfId="0" applyFont="1" applyBorder="1" applyAlignment="1">
      <alignment horizontal="center" vertical="center"/>
    </xf>
    <xf numFmtId="165" fontId="15" fillId="0" borderId="30"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30"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5" fillId="0" borderId="30" xfId="0" applyFont="1" applyBorder="1" applyAlignment="1">
      <alignment horizontal="center" vertical="center"/>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 fontId="11" fillId="0" borderId="5" xfId="0" applyNumberFormat="1" applyFont="1" applyBorder="1" applyAlignment="1">
      <alignment horizontal="center"/>
    </xf>
    <xf numFmtId="0" fontId="15" fillId="0" borderId="5" xfId="0" applyFont="1" applyBorder="1" applyAlignment="1">
      <alignment horizontal="center" vertical="center" wrapText="1"/>
    </xf>
    <xf numFmtId="0" fontId="6" fillId="0" borderId="0" xfId="0" applyFont="1" applyAlignment="1">
      <alignment horizontal="left"/>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2" fontId="11" fillId="0" borderId="5" xfId="0" applyNumberFormat="1" applyFont="1" applyBorder="1" applyAlignment="1">
      <alignment horizontal="center"/>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64" fontId="11" fillId="12" borderId="1" xfId="0" applyNumberFormat="1" applyFont="1" applyFill="1" applyBorder="1" applyAlignment="1">
      <alignment horizontal="center"/>
    </xf>
    <xf numFmtId="164" fontId="11" fillId="12" borderId="3" xfId="0" applyNumberFormat="1" applyFont="1" applyFill="1" applyBorder="1" applyAlignment="1">
      <alignment horizontal="center"/>
    </xf>
    <xf numFmtId="1" fontId="11" fillId="12" borderId="1" xfId="0" applyNumberFormat="1" applyFont="1" applyFill="1" applyBorder="1" applyAlignment="1">
      <alignment horizontal="center"/>
    </xf>
    <xf numFmtId="1" fontId="11" fillId="12" borderId="3" xfId="0" applyNumberFormat="1" applyFont="1" applyFill="1" applyBorder="1" applyAlignment="1">
      <alignment horizontal="center"/>
    </xf>
    <xf numFmtId="0" fontId="11" fillId="12" borderId="1" xfId="0" applyFont="1" applyFill="1" applyBorder="1" applyAlignment="1">
      <alignment horizontal="center"/>
    </xf>
    <xf numFmtId="0" fontId="11" fillId="12" borderId="3" xfId="0" applyFont="1" applyFill="1" applyBorder="1" applyAlignment="1">
      <alignment horizontal="center"/>
    </xf>
    <xf numFmtId="0" fontId="6" fillId="12" borderId="1" xfId="0" applyFont="1" applyFill="1" applyBorder="1" applyAlignment="1">
      <alignment horizontal="center"/>
    </xf>
    <xf numFmtId="0" fontId="6" fillId="12" borderId="2" xfId="0" applyFont="1" applyFill="1" applyBorder="1" applyAlignment="1">
      <alignment horizontal="center"/>
    </xf>
    <xf numFmtId="0" fontId="6" fillId="12" borderId="3" xfId="0" applyFont="1" applyFill="1" applyBorder="1" applyAlignment="1">
      <alignment horizontal="center"/>
    </xf>
    <xf numFmtId="0" fontId="15" fillId="12" borderId="1" xfId="0" applyFont="1" applyFill="1" applyBorder="1" applyAlignment="1">
      <alignment horizontal="center" vertical="center" wrapText="1"/>
    </xf>
    <xf numFmtId="0" fontId="15" fillId="12" borderId="3" xfId="0" applyFont="1" applyFill="1" applyBorder="1" applyAlignment="1">
      <alignment horizontal="center" vertical="center" wrapText="1"/>
    </xf>
    <xf numFmtId="0" fontId="6" fillId="0" borderId="5"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12" borderId="1" xfId="0" applyNumberFormat="1" applyFont="1" applyFill="1" applyBorder="1" applyAlignment="1">
      <alignment horizontal="center"/>
    </xf>
    <xf numFmtId="2" fontId="11" fillId="12" borderId="3" xfId="0" applyNumberFormat="1" applyFont="1" applyFill="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06156276643764"/>
          <c:y val="8.6887835703001584E-2"/>
          <c:w val="0.82280204624103515"/>
          <c:h val="0.78684803025214267"/>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15</c:v>
                </c:pt>
                <c:pt idx="1">
                  <c:v>23</c:v>
                </c:pt>
                <c:pt idx="2">
                  <c:v>31</c:v>
                </c:pt>
              </c:numCache>
            </c:numRef>
          </c:xVal>
          <c:yVal>
            <c:numRef>
              <c:f>MEDIDA!$P$4:$P$6</c:f>
              <c:numCache>
                <c:formatCode>General</c:formatCode>
                <c:ptCount val="3"/>
              </c:numCache>
            </c:numRef>
          </c:yVal>
          <c:smooth val="0"/>
          <c:extLst>
            <c:ext xmlns:c16="http://schemas.microsoft.com/office/drawing/2014/chart" uri="{C3380CC4-5D6E-409C-BE32-E72D297353CC}">
              <c16:uniqueId val="{00000000-AD21-4605-8210-AE8582B29136}"/>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tx1">
                    <a:lumMod val="65000"/>
                    <a:lumOff val="35000"/>
                  </a:schemeClr>
                </a:solidFill>
                <a:round/>
              </a:ln>
              <a:effectLst/>
            </c:spPr>
          </c:errBars>
          <c:xVal>
            <c:numRef>
              <c:f>MEDIDA!$O$4:$O$6</c:f>
              <c:numCache>
                <c:formatCode>General</c:formatCode>
                <c:ptCount val="3"/>
                <c:pt idx="0">
                  <c:v>15</c:v>
                </c:pt>
                <c:pt idx="1">
                  <c:v>23</c:v>
                </c:pt>
                <c:pt idx="2">
                  <c:v>31</c:v>
                </c:pt>
              </c:numCache>
            </c:numRef>
          </c:xVal>
          <c:yVal>
            <c:numRef>
              <c:f>MEDIDA!$U$4:$U$6</c:f>
              <c:numCache>
                <c:formatCode>0.0</c:formatCode>
                <c:ptCount val="3"/>
                <c:pt idx="0">
                  <c:v>-0.38541411234318268</c:v>
                </c:pt>
                <c:pt idx="1">
                  <c:v>0.48213822529158179</c:v>
                </c:pt>
                <c:pt idx="2">
                  <c:v>-0.4050761853975331</c:v>
                </c:pt>
              </c:numCache>
            </c:numRef>
          </c:yVal>
          <c:smooth val="0"/>
          <c:extLst>
            <c:ext xmlns:c16="http://schemas.microsoft.com/office/drawing/2014/chart" uri="{C3380CC4-5D6E-409C-BE32-E72D297353CC}">
              <c16:uniqueId val="{00000001-AD21-4605-8210-AE8582B29136}"/>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MEDIDA!$O$4:$O$6</c:f>
              <c:numCache>
                <c:formatCode>General</c:formatCode>
                <c:ptCount val="3"/>
                <c:pt idx="0">
                  <c:v>15</c:v>
                </c:pt>
                <c:pt idx="1">
                  <c:v>23</c:v>
                </c:pt>
                <c:pt idx="2">
                  <c:v>31</c:v>
                </c:pt>
              </c:numCache>
            </c:numRef>
          </c:xVal>
          <c:yVal>
            <c:numRef>
              <c:f>MEDIDA!$V$4:$V$6</c:f>
              <c:numCache>
                <c:formatCode>0.0</c:formatCode>
                <c:ptCount val="3"/>
              </c:numCache>
            </c:numRef>
          </c:yVal>
          <c:smooth val="0"/>
          <c:extLst>
            <c:ext xmlns:c16="http://schemas.microsoft.com/office/drawing/2014/chart" uri="{C3380CC4-5D6E-409C-BE32-E72D297353CC}">
              <c16:uniqueId val="{00000002-AD21-4605-8210-AE8582B29136}"/>
            </c:ext>
          </c:extLst>
        </c:ser>
        <c:dLbls>
          <c:showLegendKey val="0"/>
          <c:showVal val="0"/>
          <c:showCatName val="0"/>
          <c:showSerName val="0"/>
          <c:showPercent val="0"/>
          <c:showBubbleSize val="0"/>
        </c:dLbls>
        <c:axId val="1795555503"/>
        <c:axId val="1795557903"/>
      </c:scatterChart>
      <c:valAx>
        <c:axId val="1795555503"/>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7903"/>
        <c:crosses val="autoZero"/>
        <c:crossBetween val="midCat"/>
        <c:majorUnit val="1"/>
      </c:valAx>
      <c:valAx>
        <c:axId val="179555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a:t>Error</a:t>
                </a:r>
                <a:r>
                  <a:rPr lang="es-CO" sz="900" baseline="0"/>
                  <a:t> ± Incertidumbre (°C)</a:t>
                </a:r>
                <a:endParaRPr lang="es-CO" sz="900"/>
              </a:p>
            </c:rich>
          </c:tx>
          <c:layout>
            <c:manualLayout>
              <c:xMode val="edge"/>
              <c:yMode val="edge"/>
              <c:x val="1.2626165631735058E-2"/>
              <c:y val="8.6850393700787398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9555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MEDIDA!$O$15:$O$17</c:f>
              <c:numCache>
                <c:formatCode>General</c:formatCode>
                <c:ptCount val="3"/>
                <c:pt idx="0">
                  <c:v>50</c:v>
                </c:pt>
                <c:pt idx="1">
                  <c:v>58</c:v>
                </c:pt>
                <c:pt idx="2">
                  <c:v>65</c:v>
                </c:pt>
              </c:numCache>
            </c:numRef>
          </c:xVal>
          <c:yVal>
            <c:numRef>
              <c:f>MEDIDA!$P$15:$P$17</c:f>
              <c:numCache>
                <c:formatCode>General</c:formatCode>
                <c:ptCount val="3"/>
              </c:numCache>
            </c:numRef>
          </c:yVal>
          <c:smooth val="0"/>
          <c:extLst>
            <c:ext xmlns:c16="http://schemas.microsoft.com/office/drawing/2014/chart" uri="{C3380CC4-5D6E-409C-BE32-E72D297353CC}">
              <c16:uniqueId val="{00000000-6E57-47E8-BFD7-C822D9C5A87A}"/>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INCERTIDUMBRE!$L$20:$L$22</c:f>
                <c:numCache>
                  <c:formatCode>General</c:formatCode>
                  <c:ptCount val="3"/>
                  <c:pt idx="0">
                    <c:v>2.3894984842685059</c:v>
                  </c:pt>
                  <c:pt idx="1">
                    <c:v>2.3894984842685059</c:v>
                  </c:pt>
                  <c:pt idx="2">
                    <c:v>2.3894984842685059</c:v>
                  </c:pt>
                </c:numCache>
              </c:numRef>
            </c:plus>
            <c:minus>
              <c:numRef>
                <c:f>INCERTIDUMBRE!$L$20:$L$22</c:f>
                <c:numCache>
                  <c:formatCode>General</c:formatCode>
                  <c:ptCount val="3"/>
                  <c:pt idx="0">
                    <c:v>2.3894984842685059</c:v>
                  </c:pt>
                  <c:pt idx="1">
                    <c:v>2.3894984842685059</c:v>
                  </c:pt>
                  <c:pt idx="2">
                    <c:v>2.3894984842685059</c:v>
                  </c:pt>
                </c:numCache>
              </c:numRef>
            </c:minus>
            <c:spPr>
              <a:noFill/>
              <a:ln w="9525" cap="flat" cmpd="sng" algn="ctr">
                <a:solidFill>
                  <a:schemeClr val="tx1">
                    <a:lumMod val="65000"/>
                    <a:lumOff val="35000"/>
                  </a:schemeClr>
                </a:solidFill>
                <a:round/>
              </a:ln>
              <a:effectLst/>
            </c:spPr>
          </c:errBars>
          <c:xVal>
            <c:numRef>
              <c:f>MEDIDA!$O$15:$O$17</c:f>
              <c:numCache>
                <c:formatCode>General</c:formatCode>
                <c:ptCount val="3"/>
                <c:pt idx="0">
                  <c:v>50</c:v>
                </c:pt>
                <c:pt idx="1">
                  <c:v>58</c:v>
                </c:pt>
                <c:pt idx="2">
                  <c:v>65</c:v>
                </c:pt>
              </c:numCache>
            </c:numRef>
          </c:xVal>
          <c:yVal>
            <c:numRef>
              <c:f>MEDIDA!$U$15:$U$17</c:f>
              <c:numCache>
                <c:formatCode>0.0</c:formatCode>
                <c:ptCount val="3"/>
                <c:pt idx="0">
                  <c:v>-0.70000000000000284</c:v>
                </c:pt>
                <c:pt idx="1">
                  <c:v>2.3999999999999986</c:v>
                </c:pt>
                <c:pt idx="2">
                  <c:v>0.70000000000000284</c:v>
                </c:pt>
              </c:numCache>
            </c:numRef>
          </c:yVal>
          <c:smooth val="0"/>
          <c:extLst>
            <c:ext xmlns:c16="http://schemas.microsoft.com/office/drawing/2014/chart" uri="{C3380CC4-5D6E-409C-BE32-E72D297353CC}">
              <c16:uniqueId val="{00000001-6E57-47E8-BFD7-C822D9C5A87A}"/>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MEDIDA!$O$15:$O$17</c:f>
              <c:numCache>
                <c:formatCode>General</c:formatCode>
                <c:ptCount val="3"/>
                <c:pt idx="0">
                  <c:v>50</c:v>
                </c:pt>
                <c:pt idx="1">
                  <c:v>58</c:v>
                </c:pt>
                <c:pt idx="2">
                  <c:v>65</c:v>
                </c:pt>
              </c:numCache>
            </c:numRef>
          </c:xVal>
          <c:yVal>
            <c:numRef>
              <c:f>MEDIDA!$V$15:$V$17</c:f>
              <c:numCache>
                <c:formatCode>0.0</c:formatCode>
                <c:ptCount val="3"/>
              </c:numCache>
            </c:numRef>
          </c:yVal>
          <c:smooth val="0"/>
          <c:extLst>
            <c:ext xmlns:c16="http://schemas.microsoft.com/office/drawing/2014/chart" uri="{C3380CC4-5D6E-409C-BE32-E72D297353CC}">
              <c16:uniqueId val="{00000002-6E57-47E8-BFD7-C822D9C5A87A}"/>
            </c:ext>
          </c:extLst>
        </c:ser>
        <c:dLbls>
          <c:showLegendKey val="0"/>
          <c:showVal val="0"/>
          <c:showCatName val="0"/>
          <c:showSerName val="0"/>
          <c:showPercent val="0"/>
          <c:showBubbleSize val="0"/>
        </c:dLbls>
        <c:axId val="1704996559"/>
        <c:axId val="1704997999"/>
      </c:scatterChart>
      <c:valAx>
        <c:axId val="1704996559"/>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 %hr)</a:t>
                </a:r>
              </a:p>
            </c:rich>
          </c:tx>
          <c:layout>
            <c:manualLayout>
              <c:xMode val="edge"/>
              <c:yMode val="edge"/>
              <c:x val="0.40767822711481461"/>
              <c:y val="0.84099632018359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7999"/>
        <c:crosses val="autoZero"/>
        <c:crossBetween val="midCat"/>
      </c:valAx>
      <c:valAx>
        <c:axId val="1704997999"/>
        <c:scaling>
          <c:orientation val="minMax"/>
          <c:min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Incertidumbrre(%hr)</a:t>
                </a:r>
              </a:p>
            </c:rich>
          </c:tx>
          <c:layout>
            <c:manualLayout>
              <c:xMode val="edge"/>
              <c:yMode val="edge"/>
              <c:x val="1.6181314029294725E-2"/>
              <c:y val="0.2128777320976470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04996559"/>
        <c:crosses val="autoZero"/>
        <c:crossBetween val="midCat"/>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7620</xdr:colOff>
      <xdr:row>86</xdr:row>
      <xdr:rowOff>0</xdr:rowOff>
    </xdr:from>
    <xdr:to>
      <xdr:col>17</xdr:col>
      <xdr:colOff>0</xdr:colOff>
      <xdr:row>94</xdr:row>
      <xdr:rowOff>15240</xdr:rowOff>
    </xdr:to>
    <xdr:graphicFrame macro="">
      <xdr:nvGraphicFramePr>
        <xdr:cNvPr id="5" name="Gráfico 4">
          <a:extLst>
            <a:ext uri="{FF2B5EF4-FFF2-40B4-BE49-F238E27FC236}">
              <a16:creationId xmlns:a16="http://schemas.microsoft.com/office/drawing/2014/main" id="{6547429D-64F7-4FD9-AE66-A1E95895F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236220</xdr:colOff>
      <xdr:row>102</xdr:row>
      <xdr:rowOff>45720</xdr:rowOff>
    </xdr:from>
    <xdr:to>
      <xdr:col>16</xdr:col>
      <xdr:colOff>266700</xdr:colOff>
      <xdr:row>110</xdr:row>
      <xdr:rowOff>175260</xdr:rowOff>
    </xdr:to>
    <xdr:graphicFrame macro="">
      <xdr:nvGraphicFramePr>
        <xdr:cNvPr id="7" name="Gráfico 6">
          <a:extLst>
            <a:ext uri="{FF2B5EF4-FFF2-40B4-BE49-F238E27FC236}">
              <a16:creationId xmlns:a16="http://schemas.microsoft.com/office/drawing/2014/main" id="{328FB624-C238-4819-A649-71CE18EF6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INCUBADORA.xlsx" TargetMode="External"/><Relationship Id="rId1" Type="http://schemas.openxmlformats.org/officeDocument/2006/relationships/externalLinkPath" Target="INCUBADO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Datalogger de Temperatura y Humedad</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885D19-78C0-49F0-9A6C-6ABC6F57827D}">
  <we:reference id="wa200010725" version="1.0.0.1" store="es-ES" storeType="OMEX"/>
  <we:alternateReferences>
    <we:reference id="WA200010725" version="1.0.0.1" store="" storeType="OMEX"/>
  </we:alternateReferences>
  <we:properties>
    <we:property name="claude.fileId" value="&quot;02c12a1c-e7d1-462c-aecf-e8e26b180ec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8" sqref="E18"/>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4" t="s">
        <v>104</v>
      </c>
      <c r="B1" s="175"/>
      <c r="C1" s="175"/>
      <c r="D1" s="175"/>
      <c r="E1" s="175"/>
      <c r="F1" s="175"/>
      <c r="G1" s="175"/>
      <c r="H1" s="176"/>
      <c r="I1"/>
      <c r="J1"/>
      <c r="K1"/>
      <c r="L1"/>
      <c r="M1"/>
      <c r="N1"/>
      <c r="O1" t="s">
        <v>116</v>
      </c>
      <c r="P1"/>
      <c r="Q1"/>
      <c r="R1"/>
      <c r="S1"/>
      <c r="T1"/>
      <c r="U1"/>
      <c r="V1"/>
      <c r="W1"/>
      <c r="X1"/>
      <c r="Y1"/>
      <c r="Z1"/>
      <c r="AA1"/>
      <c r="AB1"/>
      <c r="AC1"/>
      <c r="AD1"/>
      <c r="AE1"/>
    </row>
    <row r="2" spans="1:31" ht="14.4" x14ac:dyDescent="0.3">
      <c r="A2" s="107" t="s">
        <v>152</v>
      </c>
      <c r="B2" s="107" t="s">
        <v>153</v>
      </c>
      <c r="C2" s="107" t="s">
        <v>154</v>
      </c>
      <c r="D2" s="107" t="s">
        <v>155</v>
      </c>
      <c r="E2" s="107" t="s">
        <v>156</v>
      </c>
      <c r="F2" s="107" t="s">
        <v>157</v>
      </c>
      <c r="G2" s="107" t="s">
        <v>158</v>
      </c>
      <c r="H2" s="107" t="s">
        <v>159</v>
      </c>
      <c r="I2"/>
      <c r="J2"/>
      <c r="K2"/>
      <c r="L2"/>
      <c r="M2"/>
      <c r="N2"/>
      <c r="O2" t="s">
        <v>117</v>
      </c>
      <c r="P2"/>
      <c r="Q2"/>
      <c r="R2"/>
      <c r="S2"/>
      <c r="T2"/>
      <c r="U2"/>
      <c r="V2"/>
      <c r="W2"/>
      <c r="X2"/>
      <c r="Y2"/>
      <c r="Z2"/>
      <c r="AA2"/>
      <c r="AB2"/>
      <c r="AC2"/>
      <c r="AD2"/>
      <c r="AE2"/>
    </row>
    <row r="3" spans="1:31" ht="12.75" customHeight="1" x14ac:dyDescent="0.3">
      <c r="A3" s="108" t="s">
        <v>165</v>
      </c>
      <c r="B3" s="108" t="s">
        <v>166</v>
      </c>
      <c r="C3" s="109" t="s">
        <v>167</v>
      </c>
      <c r="D3" s="110" t="s">
        <v>168</v>
      </c>
      <c r="E3" s="111" t="s">
        <v>169</v>
      </c>
      <c r="F3" s="115" t="s">
        <v>168</v>
      </c>
      <c r="G3" s="116" t="s">
        <v>170</v>
      </c>
      <c r="H3" s="112">
        <v>45911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7" t="s">
        <v>105</v>
      </c>
      <c r="B6" s="177"/>
      <c r="C6"/>
      <c r="D6" s="106" t="s">
        <v>103</v>
      </c>
      <c r="E6" s="10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113" t="s">
        <v>171</v>
      </c>
      <c r="H7"/>
      <c r="I7"/>
      <c r="J7"/>
      <c r="K7"/>
      <c r="L7"/>
      <c r="M7"/>
      <c r="N7"/>
      <c r="O7"/>
      <c r="P7"/>
      <c r="Q7"/>
      <c r="R7"/>
      <c r="S7"/>
      <c r="T7"/>
      <c r="U7"/>
      <c r="V7"/>
      <c r="W7"/>
      <c r="X7"/>
      <c r="Y7"/>
      <c r="Z7"/>
      <c r="AA7"/>
      <c r="AB7"/>
      <c r="AC7"/>
      <c r="AD7"/>
      <c r="AE7"/>
    </row>
    <row r="8" spans="1:31" ht="12.75" customHeight="1" x14ac:dyDescent="0.3">
      <c r="A8" s="20" t="s">
        <v>160</v>
      </c>
      <c r="B8" s="89" t="s">
        <v>69</v>
      </c>
      <c r="C8"/>
      <c r="D8" s="20" t="s">
        <v>8</v>
      </c>
      <c r="E8" s="89" t="s">
        <v>172</v>
      </c>
      <c r="H8"/>
      <c r="I8"/>
      <c r="J8"/>
      <c r="K8"/>
      <c r="L8"/>
      <c r="M8"/>
      <c r="N8"/>
      <c r="O8"/>
      <c r="P8"/>
      <c r="Q8"/>
      <c r="R8"/>
      <c r="S8"/>
      <c r="T8"/>
      <c r="U8"/>
      <c r="V8"/>
      <c r="W8"/>
      <c r="X8"/>
      <c r="Y8"/>
      <c r="Z8"/>
      <c r="AA8"/>
      <c r="AB8"/>
      <c r="AC8"/>
      <c r="AD8"/>
      <c r="AE8"/>
    </row>
    <row r="9" spans="1:31" ht="12.75" customHeight="1" x14ac:dyDescent="0.3">
      <c r="A9" s="20" t="s">
        <v>109</v>
      </c>
      <c r="B9" s="90">
        <f>H3</f>
        <v>45911</v>
      </c>
      <c r="C9"/>
      <c r="D9" s="20" t="s">
        <v>108</v>
      </c>
      <c r="E9" s="89">
        <v>3138023656</v>
      </c>
      <c r="H9"/>
      <c r="I9"/>
      <c r="J9"/>
      <c r="K9"/>
      <c r="L9"/>
      <c r="M9"/>
      <c r="N9"/>
      <c r="O9"/>
      <c r="P9"/>
      <c r="Q9"/>
      <c r="R9"/>
      <c r="S9"/>
      <c r="T9"/>
      <c r="U9"/>
      <c r="V9"/>
      <c r="W9"/>
      <c r="X9"/>
      <c r="Y9"/>
      <c r="Z9"/>
      <c r="AA9"/>
      <c r="AB9"/>
      <c r="AC9"/>
      <c r="AD9"/>
      <c r="AE9"/>
    </row>
    <row r="10" spans="1:31" ht="12.75" customHeight="1" x14ac:dyDescent="0.3">
      <c r="A10" s="20" t="s">
        <v>110</v>
      </c>
      <c r="B10" s="90">
        <f>H3</f>
        <v>45911</v>
      </c>
      <c r="C10"/>
      <c r="D10" s="20" t="s">
        <v>5</v>
      </c>
      <c r="E10" s="114" t="s">
        <v>173</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114" t="s">
        <v>174</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58</v>
      </c>
      <c r="B1" s="182"/>
      <c r="C1" s="182"/>
      <c r="D1" s="182"/>
      <c r="E1" s="182"/>
      <c r="F1" s="182"/>
      <c r="G1" s="182"/>
      <c r="H1" s="182"/>
      <c r="I1" s="182"/>
      <c r="J1" s="182"/>
      <c r="K1" s="183"/>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8" t="s">
        <v>48</v>
      </c>
      <c r="B10" s="179"/>
      <c r="C10" s="179"/>
      <c r="D10" s="179"/>
      <c r="E10" s="179"/>
      <c r="F10" s="179"/>
      <c r="G10" s="179"/>
      <c r="H10" s="179"/>
      <c r="I10" s="179"/>
      <c r="J10" s="179"/>
      <c r="K10" s="180"/>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8" t="s">
        <v>47</v>
      </c>
      <c r="B18" s="179"/>
      <c r="C18" s="179"/>
      <c r="D18" s="179"/>
      <c r="E18" s="179"/>
      <c r="F18" s="179"/>
      <c r="G18" s="179"/>
      <c r="H18" s="179"/>
      <c r="I18" s="179"/>
      <c r="J18" s="179"/>
      <c r="K18" s="180"/>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8" t="s">
        <v>46</v>
      </c>
      <c r="B26" s="179"/>
      <c r="C26" s="179"/>
      <c r="D26" s="179"/>
      <c r="E26" s="179"/>
      <c r="F26" s="179"/>
      <c r="G26" s="179"/>
      <c r="H26" s="179"/>
      <c r="I26" s="179"/>
      <c r="J26" s="179"/>
      <c r="K26" s="180"/>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8" t="s">
        <v>45</v>
      </c>
      <c r="B34" s="179"/>
      <c r="C34" s="179"/>
      <c r="D34" s="179"/>
      <c r="E34" s="179"/>
      <c r="F34" s="179"/>
      <c r="G34" s="179"/>
      <c r="H34" s="179"/>
      <c r="I34" s="179"/>
      <c r="J34" s="179"/>
      <c r="K34" s="180"/>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1" t="s">
        <v>57</v>
      </c>
      <c r="B41" s="182"/>
      <c r="C41" s="182"/>
      <c r="D41" s="182"/>
      <c r="E41" s="182"/>
      <c r="F41" s="182"/>
      <c r="G41" s="182"/>
      <c r="H41" s="182"/>
      <c r="I41" s="182"/>
      <c r="J41" s="182"/>
      <c r="K41" s="183"/>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8" t="s">
        <v>48</v>
      </c>
      <c r="B50" s="179"/>
      <c r="C50" s="179"/>
      <c r="D50" s="179"/>
      <c r="E50" s="179"/>
      <c r="F50" s="179"/>
      <c r="G50" s="179"/>
      <c r="H50" s="179"/>
      <c r="I50" s="179"/>
      <c r="J50" s="179"/>
      <c r="K50" s="180"/>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8" t="s">
        <v>47</v>
      </c>
      <c r="B58" s="179"/>
      <c r="C58" s="179"/>
      <c r="D58" s="179"/>
      <c r="E58" s="179"/>
      <c r="F58" s="179"/>
      <c r="G58" s="179"/>
      <c r="H58" s="179"/>
      <c r="I58" s="179"/>
      <c r="J58" s="179"/>
      <c r="K58" s="180"/>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8" t="s">
        <v>46</v>
      </c>
      <c r="B66" s="179"/>
      <c r="C66" s="179"/>
      <c r="D66" s="179"/>
      <c r="E66" s="179"/>
      <c r="F66" s="179"/>
      <c r="G66" s="179"/>
      <c r="H66" s="179"/>
      <c r="I66" s="179"/>
      <c r="J66" s="179"/>
      <c r="K66" s="180"/>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8" t="s">
        <v>45</v>
      </c>
      <c r="B74" s="179"/>
      <c r="C74" s="179"/>
      <c r="D74" s="179"/>
      <c r="E74" s="179"/>
      <c r="F74" s="179"/>
      <c r="G74" s="179"/>
      <c r="H74" s="179"/>
      <c r="I74" s="179"/>
      <c r="J74" s="179"/>
      <c r="K74" s="180"/>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1" t="s">
        <v>56</v>
      </c>
      <c r="B81" s="182"/>
      <c r="C81" s="182"/>
      <c r="D81" s="182"/>
      <c r="E81" s="182"/>
      <c r="F81" s="182"/>
      <c r="G81" s="182"/>
      <c r="H81" s="182"/>
      <c r="I81" s="182"/>
      <c r="J81" s="182"/>
      <c r="K81" s="183"/>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8" t="s">
        <v>48</v>
      </c>
      <c r="B90" s="179"/>
      <c r="C90" s="179"/>
      <c r="D90" s="179"/>
      <c r="E90" s="179"/>
      <c r="F90" s="179"/>
      <c r="G90" s="179"/>
      <c r="H90" s="179"/>
      <c r="I90" s="179"/>
      <c r="J90" s="179"/>
      <c r="K90" s="180"/>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8" t="s">
        <v>47</v>
      </c>
      <c r="B98" s="179"/>
      <c r="C98" s="179"/>
      <c r="D98" s="179"/>
      <c r="E98" s="179"/>
      <c r="F98" s="179"/>
      <c r="G98" s="179"/>
      <c r="H98" s="179"/>
      <c r="I98" s="179"/>
      <c r="J98" s="179"/>
      <c r="K98" s="180"/>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8" t="s">
        <v>46</v>
      </c>
      <c r="B106" s="179"/>
      <c r="C106" s="179"/>
      <c r="D106" s="179"/>
      <c r="E106" s="179"/>
      <c r="F106" s="179"/>
      <c r="G106" s="179"/>
      <c r="H106" s="179"/>
      <c r="I106" s="179"/>
      <c r="J106" s="179"/>
      <c r="K106" s="180"/>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8" t="s">
        <v>45</v>
      </c>
      <c r="B114" s="179"/>
      <c r="C114" s="179"/>
      <c r="D114" s="179"/>
      <c r="E114" s="179"/>
      <c r="F114" s="179"/>
      <c r="G114" s="179"/>
      <c r="H114" s="179"/>
      <c r="I114" s="179"/>
      <c r="J114" s="179"/>
      <c r="K114" s="180"/>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1" t="s">
        <v>55</v>
      </c>
      <c r="B122" s="182"/>
      <c r="C122" s="182"/>
      <c r="D122" s="182"/>
      <c r="E122" s="182"/>
      <c r="F122" s="182"/>
      <c r="G122" s="182"/>
      <c r="H122" s="182"/>
      <c r="I122" s="182"/>
      <c r="J122" s="182"/>
      <c r="K122" s="183"/>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8" t="s">
        <v>48</v>
      </c>
      <c r="B131" s="179"/>
      <c r="C131" s="179"/>
      <c r="D131" s="179"/>
      <c r="E131" s="179"/>
      <c r="F131" s="179"/>
      <c r="G131" s="179"/>
      <c r="H131" s="179"/>
      <c r="I131" s="179"/>
      <c r="J131" s="179"/>
      <c r="K131" s="180"/>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8" t="s">
        <v>47</v>
      </c>
      <c r="B139" s="179"/>
      <c r="C139" s="179"/>
      <c r="D139" s="179"/>
      <c r="E139" s="179"/>
      <c r="F139" s="179"/>
      <c r="G139" s="179"/>
      <c r="H139" s="179"/>
      <c r="I139" s="179"/>
      <c r="J139" s="179"/>
      <c r="K139" s="180"/>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8" t="s">
        <v>46</v>
      </c>
      <c r="B147" s="179"/>
      <c r="C147" s="179"/>
      <c r="D147" s="179"/>
      <c r="E147" s="179"/>
      <c r="F147" s="179"/>
      <c r="G147" s="179"/>
      <c r="H147" s="179"/>
      <c r="I147" s="179"/>
      <c r="J147" s="179"/>
      <c r="K147" s="180"/>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8" t="s">
        <v>45</v>
      </c>
      <c r="B155" s="179"/>
      <c r="C155" s="179"/>
      <c r="D155" s="179"/>
      <c r="E155" s="179"/>
      <c r="F155" s="179"/>
      <c r="G155" s="179"/>
      <c r="H155" s="179"/>
      <c r="I155" s="179"/>
      <c r="J155" s="179"/>
      <c r="K155" s="180"/>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1" t="s">
        <v>54</v>
      </c>
      <c r="B162" s="182"/>
      <c r="C162" s="182"/>
      <c r="D162" s="182"/>
      <c r="E162" s="182"/>
      <c r="F162" s="182"/>
      <c r="G162" s="182"/>
      <c r="H162" s="182"/>
      <c r="I162" s="182"/>
      <c r="J162" s="182"/>
      <c r="K162" s="183"/>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8" t="s">
        <v>48</v>
      </c>
      <c r="B171" s="179"/>
      <c r="C171" s="179"/>
      <c r="D171" s="179"/>
      <c r="E171" s="179"/>
      <c r="F171" s="179"/>
      <c r="G171" s="179"/>
      <c r="H171" s="179"/>
      <c r="I171" s="179"/>
      <c r="J171" s="179"/>
      <c r="K171" s="180"/>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8" t="s">
        <v>47</v>
      </c>
      <c r="B179" s="179"/>
      <c r="C179" s="179"/>
      <c r="D179" s="179"/>
      <c r="E179" s="179"/>
      <c r="F179" s="179"/>
      <c r="G179" s="179"/>
      <c r="H179" s="179"/>
      <c r="I179" s="179"/>
      <c r="J179" s="179"/>
      <c r="K179" s="180"/>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8" t="s">
        <v>46</v>
      </c>
      <c r="B187" s="179"/>
      <c r="C187" s="179"/>
      <c r="D187" s="179"/>
      <c r="E187" s="179"/>
      <c r="F187" s="179"/>
      <c r="G187" s="179"/>
      <c r="H187" s="179"/>
      <c r="I187" s="179"/>
      <c r="J187" s="179"/>
      <c r="K187" s="180"/>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8" t="s">
        <v>45</v>
      </c>
      <c r="B195" s="179"/>
      <c r="C195" s="179"/>
      <c r="D195" s="179"/>
      <c r="E195" s="179"/>
      <c r="F195" s="179"/>
      <c r="G195" s="179"/>
      <c r="H195" s="179"/>
      <c r="I195" s="179"/>
      <c r="J195" s="179"/>
      <c r="K195" s="180"/>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1" t="s">
        <v>54</v>
      </c>
      <c r="B202" s="182"/>
      <c r="C202" s="182"/>
      <c r="D202" s="182"/>
      <c r="E202" s="182"/>
      <c r="F202" s="182"/>
      <c r="G202" s="182"/>
      <c r="H202" s="182"/>
      <c r="I202" s="182"/>
      <c r="J202" s="182"/>
      <c r="K202" s="183"/>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8" t="s">
        <v>48</v>
      </c>
      <c r="B211" s="179"/>
      <c r="C211" s="179"/>
      <c r="D211" s="179"/>
      <c r="E211" s="179"/>
      <c r="F211" s="179"/>
      <c r="G211" s="179"/>
      <c r="H211" s="179"/>
      <c r="I211" s="179"/>
      <c r="J211" s="179"/>
      <c r="K211" s="180"/>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8" t="s">
        <v>47</v>
      </c>
      <c r="B219" s="179"/>
      <c r="C219" s="179"/>
      <c r="D219" s="179"/>
      <c r="E219" s="179"/>
      <c r="F219" s="179"/>
      <c r="G219" s="179"/>
      <c r="H219" s="179"/>
      <c r="I219" s="179"/>
      <c r="J219" s="179"/>
      <c r="K219" s="180"/>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8" t="s">
        <v>46</v>
      </c>
      <c r="B227" s="179"/>
      <c r="C227" s="179"/>
      <c r="D227" s="179"/>
      <c r="E227" s="179"/>
      <c r="F227" s="179"/>
      <c r="G227" s="179"/>
      <c r="H227" s="179"/>
      <c r="I227" s="179"/>
      <c r="J227" s="179"/>
      <c r="K227" s="180"/>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8" t="s">
        <v>45</v>
      </c>
      <c r="B235" s="179"/>
      <c r="C235" s="179"/>
      <c r="D235" s="179"/>
      <c r="E235" s="179"/>
      <c r="F235" s="179"/>
      <c r="G235" s="179"/>
      <c r="H235" s="179"/>
      <c r="I235" s="179"/>
      <c r="J235" s="179"/>
      <c r="K235" s="180"/>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1" t="s">
        <v>53</v>
      </c>
      <c r="B242" s="182"/>
      <c r="C242" s="182"/>
      <c r="D242" s="182"/>
      <c r="E242" s="182"/>
      <c r="F242" s="182"/>
      <c r="G242" s="182"/>
      <c r="H242" s="182"/>
      <c r="I242" s="182"/>
      <c r="J242" s="182"/>
      <c r="K242" s="183"/>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INCERTIDUMBRE!L12</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8" t="s">
        <v>48</v>
      </c>
      <c r="B251" s="179"/>
      <c r="C251" s="179"/>
      <c r="D251" s="179"/>
      <c r="E251" s="179"/>
      <c r="F251" s="179"/>
      <c r="G251" s="179"/>
      <c r="H251" s="179"/>
      <c r="I251" s="179"/>
      <c r="J251" s="179"/>
      <c r="K251" s="180"/>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8" t="s">
        <v>47</v>
      </c>
      <c r="B259" s="179"/>
      <c r="C259" s="179"/>
      <c r="D259" s="179"/>
      <c r="E259" s="179"/>
      <c r="F259" s="179"/>
      <c r="G259" s="179"/>
      <c r="H259" s="179"/>
      <c r="I259" s="179"/>
      <c r="J259" s="179"/>
      <c r="K259" s="180"/>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8" t="s">
        <v>46</v>
      </c>
      <c r="B267" s="179"/>
      <c r="C267" s="179"/>
      <c r="D267" s="179"/>
      <c r="E267" s="179"/>
      <c r="F267" s="179"/>
      <c r="G267" s="179"/>
      <c r="H267" s="179"/>
      <c r="I267" s="179"/>
      <c r="J267" s="179"/>
      <c r="K267" s="180"/>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8" t="s">
        <v>45</v>
      </c>
      <c r="B275" s="179"/>
      <c r="C275" s="179"/>
      <c r="D275" s="179"/>
      <c r="E275" s="179"/>
      <c r="F275" s="179"/>
      <c r="G275" s="179"/>
      <c r="H275" s="179"/>
      <c r="I275" s="179"/>
      <c r="J275" s="179"/>
      <c r="K275" s="180"/>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1" t="s">
        <v>52</v>
      </c>
      <c r="B282" s="182"/>
      <c r="C282" s="182"/>
      <c r="D282" s="182"/>
      <c r="E282" s="182"/>
      <c r="F282" s="182"/>
      <c r="G282" s="182"/>
      <c r="H282" s="182"/>
      <c r="I282" s="182"/>
      <c r="J282" s="182"/>
      <c r="K282" s="183"/>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INCERTIDUMBRE!L13</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8" t="s">
        <v>48</v>
      </c>
      <c r="B291" s="179"/>
      <c r="C291" s="179"/>
      <c r="D291" s="179"/>
      <c r="E291" s="179"/>
      <c r="F291" s="179"/>
      <c r="G291" s="179"/>
      <c r="H291" s="179"/>
      <c r="I291" s="179"/>
      <c r="J291" s="179"/>
      <c r="K291" s="180"/>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8" t="s">
        <v>47</v>
      </c>
      <c r="B299" s="179"/>
      <c r="C299" s="179"/>
      <c r="D299" s="179"/>
      <c r="E299" s="179"/>
      <c r="F299" s="179"/>
      <c r="G299" s="179"/>
      <c r="H299" s="179"/>
      <c r="I299" s="179"/>
      <c r="J299" s="179"/>
      <c r="K299" s="180"/>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8" t="s">
        <v>46</v>
      </c>
      <c r="B307" s="179"/>
      <c r="C307" s="179"/>
      <c r="D307" s="179"/>
      <c r="E307" s="179"/>
      <c r="F307" s="179"/>
      <c r="G307" s="179"/>
      <c r="H307" s="179"/>
      <c r="I307" s="179"/>
      <c r="J307" s="179"/>
      <c r="K307" s="180"/>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8" t="s">
        <v>45</v>
      </c>
      <c r="B315" s="179"/>
      <c r="C315" s="179"/>
      <c r="D315" s="179"/>
      <c r="E315" s="179"/>
      <c r="F315" s="179"/>
      <c r="G315" s="179"/>
      <c r="H315" s="179"/>
      <c r="I315" s="179"/>
      <c r="J315" s="179"/>
      <c r="K315" s="180"/>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1" t="s">
        <v>51</v>
      </c>
      <c r="B322" s="182"/>
      <c r="C322" s="182"/>
      <c r="D322" s="182"/>
      <c r="E322" s="182"/>
      <c r="F322" s="182"/>
      <c r="G322" s="182"/>
      <c r="H322" s="182"/>
      <c r="I322" s="182"/>
      <c r="J322" s="182"/>
      <c r="K322" s="183"/>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INCERTIDUMBRE!L14</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8" t="s">
        <v>48</v>
      </c>
      <c r="B331" s="179"/>
      <c r="C331" s="179"/>
      <c r="D331" s="179"/>
      <c r="E331" s="179"/>
      <c r="F331" s="179"/>
      <c r="G331" s="179"/>
      <c r="H331" s="179"/>
      <c r="I331" s="179"/>
      <c r="J331" s="179"/>
      <c r="K331" s="180"/>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8" t="s">
        <v>47</v>
      </c>
      <c r="B339" s="179"/>
      <c r="C339" s="179"/>
      <c r="D339" s="179"/>
      <c r="E339" s="179"/>
      <c r="F339" s="179"/>
      <c r="G339" s="179"/>
      <c r="H339" s="179"/>
      <c r="I339" s="179"/>
      <c r="J339" s="179"/>
      <c r="K339" s="180"/>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8" t="s">
        <v>46</v>
      </c>
      <c r="B347" s="179"/>
      <c r="C347" s="179"/>
      <c r="D347" s="179"/>
      <c r="E347" s="179"/>
      <c r="F347" s="179"/>
      <c r="G347" s="179"/>
      <c r="H347" s="179"/>
      <c r="I347" s="179"/>
      <c r="J347" s="179"/>
      <c r="K347" s="180"/>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8" t="s">
        <v>45</v>
      </c>
      <c r="B355" s="179"/>
      <c r="C355" s="179"/>
      <c r="D355" s="179"/>
      <c r="E355" s="179"/>
      <c r="F355" s="179"/>
      <c r="G355" s="179"/>
      <c r="H355" s="179"/>
      <c r="I355" s="179"/>
      <c r="J355" s="179"/>
      <c r="K355" s="180"/>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1" t="s">
        <v>50</v>
      </c>
      <c r="B362" s="182"/>
      <c r="C362" s="182"/>
      <c r="D362" s="182"/>
      <c r="E362" s="182"/>
      <c r="F362" s="182"/>
      <c r="G362" s="182"/>
      <c r="H362" s="182"/>
      <c r="I362" s="182"/>
      <c r="J362" s="182"/>
      <c r="K362" s="183"/>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8" t="s">
        <v>48</v>
      </c>
      <c r="B371" s="179"/>
      <c r="C371" s="179"/>
      <c r="D371" s="179"/>
      <c r="E371" s="179"/>
      <c r="F371" s="179"/>
      <c r="G371" s="179"/>
      <c r="H371" s="179"/>
      <c r="I371" s="179"/>
      <c r="J371" s="179"/>
      <c r="K371" s="180"/>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8" t="s">
        <v>47</v>
      </c>
      <c r="B379" s="179"/>
      <c r="C379" s="179"/>
      <c r="D379" s="179"/>
      <c r="E379" s="179"/>
      <c r="F379" s="179"/>
      <c r="G379" s="179"/>
      <c r="H379" s="179"/>
      <c r="I379" s="179"/>
      <c r="J379" s="179"/>
      <c r="K379" s="180"/>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8" t="s">
        <v>46</v>
      </c>
      <c r="B387" s="179"/>
      <c r="C387" s="179"/>
      <c r="D387" s="179"/>
      <c r="E387" s="179"/>
      <c r="F387" s="179"/>
      <c r="G387" s="179"/>
      <c r="H387" s="179"/>
      <c r="I387" s="179"/>
      <c r="J387" s="179"/>
      <c r="K387" s="180"/>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8" t="s">
        <v>45</v>
      </c>
      <c r="B395" s="179"/>
      <c r="C395" s="179"/>
      <c r="D395" s="179"/>
      <c r="E395" s="179"/>
      <c r="F395" s="179"/>
      <c r="G395" s="179"/>
      <c r="H395" s="179"/>
      <c r="I395" s="179"/>
      <c r="J395" s="179"/>
      <c r="K395" s="180"/>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1" t="s">
        <v>49</v>
      </c>
      <c r="B402" s="182"/>
      <c r="C402" s="182"/>
      <c r="D402" s="182"/>
      <c r="E402" s="182"/>
      <c r="F402" s="182"/>
      <c r="G402" s="182"/>
      <c r="H402" s="182"/>
      <c r="I402" s="182"/>
      <c r="J402" s="182"/>
      <c r="K402" s="183"/>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8" t="s">
        <v>48</v>
      </c>
      <c r="B411" s="179"/>
      <c r="C411" s="179"/>
      <c r="D411" s="179"/>
      <c r="E411" s="179"/>
      <c r="F411" s="179"/>
      <c r="G411" s="179"/>
      <c r="H411" s="179"/>
      <c r="I411" s="179"/>
      <c r="J411" s="179"/>
      <c r="K411" s="180"/>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8" t="s">
        <v>47</v>
      </c>
      <c r="B419" s="179"/>
      <c r="C419" s="179"/>
      <c r="D419" s="179"/>
      <c r="E419" s="179"/>
      <c r="F419" s="179"/>
      <c r="G419" s="179"/>
      <c r="H419" s="179"/>
      <c r="I419" s="179"/>
      <c r="J419" s="179"/>
      <c r="K419" s="180"/>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8" t="s">
        <v>46</v>
      </c>
      <c r="B427" s="179"/>
      <c r="C427" s="179"/>
      <c r="D427" s="179"/>
      <c r="E427" s="179"/>
      <c r="F427" s="179"/>
      <c r="G427" s="179"/>
      <c r="H427" s="179"/>
      <c r="I427" s="179"/>
      <c r="J427" s="179"/>
      <c r="K427" s="180"/>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8" t="s">
        <v>45</v>
      </c>
      <c r="B435" s="179"/>
      <c r="C435" s="179"/>
      <c r="D435" s="179"/>
      <c r="E435" s="179"/>
      <c r="F435" s="179"/>
      <c r="G435" s="179"/>
      <c r="H435" s="179"/>
      <c r="I435" s="179"/>
      <c r="J435" s="179"/>
      <c r="K435" s="180"/>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1" t="s">
        <v>32</v>
      </c>
      <c r="B442" s="182"/>
      <c r="C442" s="182"/>
      <c r="D442" s="182"/>
      <c r="E442" s="182"/>
      <c r="F442" s="182"/>
      <c r="G442" s="182"/>
      <c r="H442" s="182"/>
      <c r="I442" s="182"/>
      <c r="J442" s="182"/>
      <c r="K442" s="183"/>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8" t="s">
        <v>48</v>
      </c>
      <c r="D451" s="179"/>
      <c r="E451" s="179"/>
      <c r="F451" s="179"/>
      <c r="G451" s="179"/>
      <c r="H451" s="179"/>
      <c r="I451" s="179"/>
      <c r="J451" s="179"/>
      <c r="K451" s="179"/>
      <c r="L451" s="179"/>
      <c r="M451" s="180"/>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8" t="s">
        <v>47</v>
      </c>
      <c r="D459" s="179"/>
      <c r="E459" s="179"/>
      <c r="F459" s="179"/>
      <c r="G459" s="179"/>
      <c r="H459" s="179"/>
      <c r="I459" s="179"/>
      <c r="J459" s="179"/>
      <c r="K459" s="179"/>
      <c r="L459" s="179"/>
      <c r="M459" s="180"/>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8" t="s">
        <v>46</v>
      </c>
      <c r="D467" s="179"/>
      <c r="E467" s="179"/>
      <c r="F467" s="179"/>
      <c r="G467" s="179"/>
      <c r="H467" s="179"/>
      <c r="I467" s="179"/>
      <c r="J467" s="179"/>
      <c r="K467" s="179"/>
      <c r="L467" s="179"/>
      <c r="M467" s="180"/>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8" t="s">
        <v>45</v>
      </c>
      <c r="D475" s="179"/>
      <c r="E475" s="179"/>
      <c r="F475" s="179"/>
      <c r="G475" s="179"/>
      <c r="H475" s="179"/>
      <c r="I475" s="179"/>
      <c r="J475" s="179"/>
      <c r="K475" s="179"/>
      <c r="L475" s="179"/>
      <c r="M475" s="180"/>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9" t="s">
        <v>149</v>
      </c>
      <c r="Y2" s="189"/>
      <c r="Z2" s="189"/>
      <c r="AA2" s="189"/>
      <c r="AB2" s="189"/>
      <c r="AC2" s="189"/>
      <c r="AD2" s="189"/>
      <c r="AE2" s="189"/>
      <c r="AF2" s="189"/>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5">
        <v>24.713999999999999</v>
      </c>
      <c r="D4" s="95">
        <v>24.3</v>
      </c>
      <c r="E4" s="95">
        <f t="shared" ref="E4:E6" si="0">C4-D4</f>
        <v>0.41399999999999793</v>
      </c>
      <c r="F4" s="97">
        <v>0.28000000000000003</v>
      </c>
      <c r="G4" s="23">
        <v>2</v>
      </c>
      <c r="H4" s="6">
        <f>$K$9*D4^2-$K$10*D4+$K$11</f>
        <v>0.41399999999999626</v>
      </c>
      <c r="I4" s="6">
        <f>E4-H4</f>
        <v>1.6653345369377348E-15</v>
      </c>
      <c r="J4" s="6">
        <f>6-3-1</f>
        <v>2</v>
      </c>
      <c r="K4" s="6">
        <f>(SQRT(SUMSQ(I4:I14)/J4))</f>
        <v>1.7919013374855212E-15</v>
      </c>
      <c r="M4" s="95">
        <v>30.678999999999998</v>
      </c>
      <c r="N4" s="95">
        <v>42.2</v>
      </c>
      <c r="O4" s="95">
        <f t="shared" ref="O4:O6" si="1">M4-N4</f>
        <v>-11.521000000000004</v>
      </c>
      <c r="P4" s="97">
        <v>7.7000000000000002E-3</v>
      </c>
      <c r="Q4" s="23">
        <v>2</v>
      </c>
      <c r="R4" s="6">
        <f>$T$9*N4^2-$T$10*N4-$T$11</f>
        <v>-11.550976</v>
      </c>
      <c r="S4" s="6">
        <f>O4-R4</f>
        <v>2.9975999999996006E-2</v>
      </c>
      <c r="T4" s="6">
        <f>6-3-1</f>
        <v>2</v>
      </c>
      <c r="U4" s="6">
        <f>(SQRT(SUMSQ(S4:S14)/T4))</f>
        <v>9.8831104117076379E-2</v>
      </c>
      <c r="X4" s="95">
        <v>-24.99</v>
      </c>
      <c r="Y4" s="95">
        <v>-25.2</v>
      </c>
      <c r="Z4" s="95">
        <f t="shared" ref="Z4:Z8" si="2">X4-Y4</f>
        <v>0.21000000000000085</v>
      </c>
      <c r="AA4" s="97">
        <v>7.7000000000000002E-3</v>
      </c>
      <c r="AB4" s="23">
        <v>2</v>
      </c>
      <c r="AC4" s="6">
        <f>AD$11*Y4^4-AD$12*Y4^3+AD$13*Y4^2+AD$14*Y4-AD$15</f>
        <v>0.21068662358399992</v>
      </c>
      <c r="AD4" s="6">
        <f>Z4-AC4</f>
        <v>-6.8662358399906864E-4</v>
      </c>
      <c r="AE4" s="6">
        <f>6-3-1</f>
        <v>2</v>
      </c>
      <c r="AF4" s="6">
        <f>(SQRT(SUMSQ(AD4:AD14)/AE4))</f>
        <v>5.2653479179116787E-2</v>
      </c>
    </row>
    <row r="5" spans="1:32" x14ac:dyDescent="0.3">
      <c r="C5" s="95">
        <v>30.474</v>
      </c>
      <c r="D5" s="95">
        <v>29.9</v>
      </c>
      <c r="E5" s="95">
        <f t="shared" si="0"/>
        <v>0.57400000000000162</v>
      </c>
      <c r="F5" s="97">
        <v>0.28000000000000003</v>
      </c>
      <c r="G5" s="23">
        <v>2</v>
      </c>
      <c r="H5" s="6">
        <f t="shared" ref="H5:H6" si="3">$K$9*D5^2-$K$10*D5+$K$11</f>
        <v>0.57400000000000007</v>
      </c>
      <c r="I5" s="6">
        <f>E5-H5</f>
        <v>1.5543122344752192E-15</v>
      </c>
      <c r="J5" s="3"/>
      <c r="K5" s="3"/>
      <c r="M5" s="95">
        <v>50.405000000000001</v>
      </c>
      <c r="N5" s="95">
        <v>59.9</v>
      </c>
      <c r="O5" s="95">
        <f t="shared" si="1"/>
        <v>-9.4949999999999974</v>
      </c>
      <c r="P5" s="97">
        <v>7.7000000000000002E-3</v>
      </c>
      <c r="Q5" s="23">
        <v>2</v>
      </c>
      <c r="R5" s="6">
        <f t="shared" ref="R5:R6" si="4">$T$9*N5^2-$T$10*N5-$T$11</f>
        <v>-9.5560090000000013</v>
      </c>
      <c r="S5" s="6">
        <f>O5-R5</f>
        <v>6.1009000000003866E-2</v>
      </c>
      <c r="T5" s="3"/>
      <c r="U5" s="3"/>
      <c r="X5" s="95">
        <v>9.99</v>
      </c>
      <c r="Y5" s="95">
        <v>10.4</v>
      </c>
      <c r="Z5" s="95">
        <f t="shared" si="2"/>
        <v>-0.41000000000000014</v>
      </c>
      <c r="AA5" s="97">
        <v>7.7000000000000002E-3</v>
      </c>
      <c r="AB5" s="23">
        <v>2</v>
      </c>
      <c r="AC5" s="6">
        <f t="shared" ref="AC5:AC8" si="5">AD$11*Y5^4-AD$12*Y5^3+AD$13*Y5^2+AD$14*Y5-AD$15</f>
        <v>-0.40997719049600001</v>
      </c>
      <c r="AD5" s="6">
        <f t="shared" ref="AD5:AD8" si="6">Z5-AC5</f>
        <v>-2.280950400013193E-5</v>
      </c>
      <c r="AE5" s="3"/>
      <c r="AF5" s="3"/>
    </row>
    <row r="6" spans="1:32" x14ac:dyDescent="0.3">
      <c r="C6" s="95">
        <v>36.279000000000003</v>
      </c>
      <c r="D6" s="95">
        <v>35.5</v>
      </c>
      <c r="E6" s="95">
        <f t="shared" si="0"/>
        <v>0.77900000000000347</v>
      </c>
      <c r="F6" s="97">
        <v>0.3</v>
      </c>
      <c r="G6" s="23">
        <v>2</v>
      </c>
      <c r="H6" s="6">
        <f t="shared" si="3"/>
        <v>0.77900000000000236</v>
      </c>
      <c r="I6" s="6">
        <f>E6-H6</f>
        <v>1.1102230246251565E-15</v>
      </c>
      <c r="J6" s="3"/>
      <c r="K6" s="3"/>
      <c r="M6" s="95">
        <v>80.024000000000001</v>
      </c>
      <c r="N6" s="95">
        <v>84.5</v>
      </c>
      <c r="O6" s="95">
        <f t="shared" si="1"/>
        <v>-4.4759999999999991</v>
      </c>
      <c r="P6" s="97">
        <v>7.7000000000000002E-3</v>
      </c>
      <c r="Q6" s="23">
        <v>2</v>
      </c>
      <c r="R6" s="6">
        <f t="shared" si="4"/>
        <v>-4.5981250000000014</v>
      </c>
      <c r="S6" s="6">
        <f>O6-R6</f>
        <v>0.12212500000000226</v>
      </c>
      <c r="T6" s="3"/>
      <c r="U6" s="3"/>
      <c r="X6" s="95">
        <v>29.99</v>
      </c>
      <c r="Y6" s="95">
        <v>30.2</v>
      </c>
      <c r="Z6" s="95">
        <f t="shared" si="2"/>
        <v>-0.21000000000000085</v>
      </c>
      <c r="AA6" s="97">
        <v>7.7000000000000002E-3</v>
      </c>
      <c r="AB6" s="23">
        <v>2</v>
      </c>
      <c r="AC6" s="6">
        <f t="shared" si="5"/>
        <v>-0.20848389233600007</v>
      </c>
      <c r="AD6" s="6">
        <f t="shared" si="6"/>
        <v>-1.5161076640007876E-3</v>
      </c>
      <c r="AE6" s="3"/>
      <c r="AF6" s="3"/>
    </row>
    <row r="7" spans="1:32" x14ac:dyDescent="0.3">
      <c r="C7" s="24"/>
      <c r="D7" s="95"/>
      <c r="E7" s="96"/>
      <c r="F7" s="97"/>
      <c r="G7" s="17"/>
      <c r="H7" s="6"/>
      <c r="I7" s="6"/>
      <c r="J7" s="3"/>
      <c r="K7" s="3"/>
      <c r="X7" s="95">
        <v>49.99</v>
      </c>
      <c r="Y7" s="95">
        <v>50.2</v>
      </c>
      <c r="Z7" s="95">
        <f t="shared" si="2"/>
        <v>-0.21000000000000085</v>
      </c>
      <c r="AC7" s="6">
        <f t="shared" si="5"/>
        <v>-0.19857785073599987</v>
      </c>
      <c r="AD7" s="6">
        <f t="shared" si="6"/>
        <v>-1.142214926400098E-2</v>
      </c>
    </row>
    <row r="8" spans="1:32" x14ac:dyDescent="0.3">
      <c r="C8" s="24"/>
      <c r="D8" s="95"/>
      <c r="E8" s="96"/>
      <c r="F8" s="97"/>
      <c r="G8" s="17"/>
      <c r="H8" s="6"/>
      <c r="I8" s="6"/>
      <c r="J8" s="3"/>
      <c r="K8" s="3"/>
      <c r="X8" s="95">
        <v>79.989999999999995</v>
      </c>
      <c r="Y8" s="95">
        <v>80.099999999999994</v>
      </c>
      <c r="Z8" s="95">
        <f t="shared" si="2"/>
        <v>-0.10999999999999943</v>
      </c>
      <c r="AC8" s="6">
        <f t="shared" si="5"/>
        <v>-3.6501261905998561E-2</v>
      </c>
      <c r="AD8" s="6">
        <f t="shared" si="6"/>
        <v>-7.3498738094000871E-2</v>
      </c>
    </row>
    <row r="9" spans="1:32" x14ac:dyDescent="0.3">
      <c r="C9" s="24"/>
      <c r="D9" s="95"/>
      <c r="E9" s="96"/>
      <c r="F9" s="97"/>
      <c r="G9" s="17"/>
      <c r="H9" s="6"/>
      <c r="I9" s="6"/>
      <c r="J9" s="3"/>
      <c r="K9" s="93">
        <v>7.1747448979589401E-4</v>
      </c>
      <c r="T9">
        <v>2.0999999999999999E-3</v>
      </c>
    </row>
    <row r="10" spans="1:32" x14ac:dyDescent="0.3">
      <c r="C10" s="24"/>
      <c r="D10" s="95"/>
      <c r="E10" s="96"/>
      <c r="F10" s="97"/>
      <c r="G10" s="17"/>
      <c r="H10" s="6"/>
      <c r="I10" s="6"/>
      <c r="J10" s="3"/>
      <c r="K10" s="98">
        <v>1.0315688775508199E-2</v>
      </c>
      <c r="T10">
        <v>0.1017</v>
      </c>
    </row>
    <row r="11" spans="1:32" x14ac:dyDescent="0.3">
      <c r="C11" s="22"/>
      <c r="D11" s="95"/>
      <c r="E11" s="96"/>
      <c r="F11" s="97"/>
      <c r="G11" s="17"/>
      <c r="H11" s="6"/>
      <c r="I11" s="6"/>
      <c r="J11" s="3"/>
      <c r="K11" s="98">
        <v>0.241009725765268</v>
      </c>
      <c r="T11">
        <v>10.999000000000001</v>
      </c>
      <c r="AD11">
        <v>1.4000000000000001E-7</v>
      </c>
    </row>
    <row r="12" spans="1:32" x14ac:dyDescent="0.3">
      <c r="C12" s="22"/>
      <c r="D12" s="95"/>
      <c r="E12" s="96"/>
      <c r="F12" s="97"/>
      <c r="G12" s="17"/>
      <c r="H12" s="6"/>
      <c r="I12" s="6"/>
      <c r="J12" s="3"/>
      <c r="K12" s="3"/>
      <c r="AD12">
        <v>1.9020000000000001E-5</v>
      </c>
    </row>
    <row r="13" spans="1:32" x14ac:dyDescent="0.3">
      <c r="C13" s="22"/>
      <c r="D13" s="95"/>
      <c r="E13" s="96"/>
      <c r="F13" s="97"/>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2"/>
    </row>
    <row r="17" spans="11:11" x14ac:dyDescent="0.3">
      <c r="K17" s="93"/>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7" t="s">
        <v>12</v>
      </c>
      <c r="C35" s="187"/>
      <c r="D35" s="187"/>
      <c r="E35" s="187"/>
      <c r="F35" s="187"/>
      <c r="G35" s="184" t="s">
        <v>120</v>
      </c>
      <c r="H35" s="185"/>
      <c r="I35" s="185"/>
      <c r="J35" s="185"/>
      <c r="K35" s="185"/>
      <c r="L35" s="185"/>
      <c r="M35" s="186"/>
      <c r="N35" s="9"/>
      <c r="O35" s="9"/>
      <c r="P35" s="9"/>
      <c r="Q35" s="9"/>
    </row>
    <row r="36" spans="2:17" x14ac:dyDescent="0.3">
      <c r="B36" s="187" t="s">
        <v>7</v>
      </c>
      <c r="C36" s="187"/>
      <c r="D36" s="187"/>
      <c r="E36" s="187"/>
      <c r="F36" s="187"/>
      <c r="G36" s="184" t="s">
        <v>121</v>
      </c>
      <c r="H36" s="185"/>
      <c r="I36" s="185"/>
      <c r="J36" s="185"/>
      <c r="K36" s="185"/>
      <c r="L36" s="185"/>
      <c r="M36" s="186"/>
      <c r="N36" s="9"/>
      <c r="O36" s="9"/>
      <c r="P36" s="9"/>
      <c r="Q36" s="9"/>
    </row>
    <row r="37" spans="2:17" x14ac:dyDescent="0.3">
      <c r="B37" s="187" t="s">
        <v>6</v>
      </c>
      <c r="C37" s="187"/>
      <c r="D37" s="187"/>
      <c r="E37" s="187"/>
      <c r="F37" s="187"/>
      <c r="G37" s="184" t="s">
        <v>122</v>
      </c>
      <c r="H37" s="185"/>
      <c r="I37" s="185"/>
      <c r="J37" s="185"/>
      <c r="K37" s="185"/>
      <c r="L37" s="185"/>
      <c r="M37" s="186"/>
      <c r="N37" s="9"/>
      <c r="O37" s="9"/>
      <c r="P37" s="9"/>
      <c r="Q37" s="9"/>
    </row>
    <row r="38" spans="2:17" x14ac:dyDescent="0.3">
      <c r="B38" s="187" t="s">
        <v>4</v>
      </c>
      <c r="C38" s="187"/>
      <c r="D38" s="187"/>
      <c r="E38" s="187"/>
      <c r="F38" s="187"/>
      <c r="G38" s="184" t="s">
        <v>123</v>
      </c>
      <c r="H38" s="185"/>
      <c r="I38" s="185"/>
      <c r="J38" s="185"/>
      <c r="K38" s="185"/>
      <c r="L38" s="185"/>
      <c r="M38" s="186"/>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7" t="s">
        <v>10</v>
      </c>
      <c r="C40" s="187"/>
      <c r="D40" s="187"/>
      <c r="E40" s="187"/>
      <c r="F40" s="187"/>
      <c r="G40" s="188">
        <v>242208</v>
      </c>
      <c r="H40" s="188"/>
      <c r="I40" s="188"/>
      <c r="J40" s="188"/>
      <c r="K40" s="188"/>
      <c r="L40" s="188"/>
      <c r="M40" s="188"/>
      <c r="N40" s="9"/>
      <c r="O40" s="9"/>
      <c r="P40" s="9"/>
      <c r="Q40" s="9"/>
    </row>
    <row r="41" spans="2:17" x14ac:dyDescent="0.3">
      <c r="B41" s="187" t="s">
        <v>124</v>
      </c>
      <c r="C41" s="187"/>
      <c r="D41" s="187"/>
      <c r="E41" s="187"/>
      <c r="F41" s="187"/>
      <c r="G41" s="184">
        <v>0.3</v>
      </c>
      <c r="H41" s="185"/>
      <c r="I41" s="185"/>
      <c r="J41" s="185"/>
      <c r="K41" s="185"/>
      <c r="L41" s="185"/>
      <c r="M41" s="186"/>
      <c r="N41" s="5"/>
      <c r="O41" s="5"/>
      <c r="P41" s="5"/>
      <c r="Q41" s="5"/>
    </row>
    <row r="42" spans="2:17" x14ac:dyDescent="0.3">
      <c r="B42" s="187" t="s">
        <v>125</v>
      </c>
      <c r="C42" s="187"/>
      <c r="D42" s="187"/>
      <c r="E42" s="187"/>
      <c r="F42" s="187"/>
      <c r="G42" s="184">
        <v>2</v>
      </c>
      <c r="H42" s="185"/>
      <c r="I42" s="185"/>
      <c r="J42" s="185"/>
      <c r="K42" s="185"/>
      <c r="L42" s="185"/>
      <c r="M42" s="186"/>
      <c r="N42" s="5"/>
      <c r="O42" s="5"/>
      <c r="P42" s="5"/>
      <c r="Q42" s="5"/>
    </row>
    <row r="43" spans="2:17" x14ac:dyDescent="0.3">
      <c r="B43" s="2" t="s">
        <v>126</v>
      </c>
      <c r="C43" s="2"/>
      <c r="D43" s="2"/>
      <c r="E43" s="2"/>
      <c r="F43" s="2"/>
      <c r="G43" s="184">
        <v>0.2</v>
      </c>
      <c r="H43" s="185"/>
      <c r="I43" s="185"/>
      <c r="J43" s="185"/>
      <c r="K43" s="185"/>
      <c r="L43" s="185"/>
      <c r="M43" s="186"/>
      <c r="N43" s="5"/>
      <c r="O43" s="5"/>
      <c r="P43" s="5"/>
      <c r="Q43" s="5"/>
    </row>
    <row r="44" spans="2:17" x14ac:dyDescent="0.3">
      <c r="B44" s="2" t="s">
        <v>127</v>
      </c>
      <c r="C44" s="2"/>
      <c r="D44" s="2"/>
      <c r="E44" s="2"/>
      <c r="F44" s="2"/>
      <c r="G44" s="184">
        <v>1</v>
      </c>
      <c r="H44" s="185"/>
      <c r="I44" s="185"/>
      <c r="J44" s="185"/>
      <c r="K44" s="185"/>
      <c r="L44" s="185"/>
      <c r="M44" s="186"/>
    </row>
    <row r="45" spans="2:17" x14ac:dyDescent="0.3">
      <c r="B45" s="2" t="s">
        <v>128</v>
      </c>
      <c r="C45" s="2"/>
      <c r="D45" s="2"/>
      <c r="E45" s="2"/>
      <c r="F45" s="2"/>
      <c r="G45" s="184">
        <v>0.1</v>
      </c>
      <c r="H45" s="185"/>
      <c r="I45" s="185"/>
      <c r="J45" s="185"/>
      <c r="K45" s="185"/>
      <c r="L45" s="185"/>
      <c r="M45" s="186"/>
    </row>
    <row r="46" spans="2:17" x14ac:dyDescent="0.3">
      <c r="B46" s="2" t="s">
        <v>129</v>
      </c>
      <c r="C46" s="2"/>
      <c r="D46" s="2"/>
      <c r="E46" s="2"/>
      <c r="F46" s="2"/>
      <c r="G46" s="184">
        <v>0.1</v>
      </c>
      <c r="H46" s="185"/>
      <c r="I46" s="185"/>
      <c r="J46" s="185"/>
      <c r="K46" s="185"/>
      <c r="L46" s="185"/>
      <c r="M46" s="186"/>
    </row>
    <row r="47" spans="2:17" x14ac:dyDescent="0.3">
      <c r="B47" s="187" t="s">
        <v>9</v>
      </c>
      <c r="C47" s="187"/>
      <c r="D47" s="187"/>
      <c r="E47" s="187"/>
      <c r="F47" s="187"/>
      <c r="G47" s="184">
        <v>2</v>
      </c>
      <c r="H47" s="185"/>
      <c r="I47" s="185"/>
      <c r="J47" s="185"/>
      <c r="K47" s="185"/>
      <c r="L47" s="185"/>
      <c r="M47" s="186"/>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9"/>
      <c r="D88" s="159"/>
      <c r="E88" s="159"/>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5"/>
  <sheetViews>
    <sheetView topLeftCell="A3" zoomScaleNormal="100" workbookViewId="0">
      <selection activeCell="D18" sqref="D18"/>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3" width="4.77734375" style="16" customWidth="1"/>
    <col min="14" max="14" width="6.44140625" style="16" customWidth="1"/>
    <col min="15" max="15" width="4.77734375" style="16" customWidth="1"/>
    <col min="16" max="16" width="17" style="16" customWidth="1"/>
    <col min="17" max="19" width="4.77734375" style="16" customWidth="1"/>
    <col min="20" max="20" width="6.5546875" style="16" customWidth="1"/>
    <col min="21" max="21" width="3.44140625" style="16" customWidth="1"/>
    <col min="22" max="22" width="4.7773437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203" t="s">
        <v>147</v>
      </c>
      <c r="C2" s="203"/>
      <c r="D2" s="203"/>
      <c r="E2" s="203"/>
      <c r="F2" s="203"/>
      <c r="G2" s="203"/>
      <c r="H2"/>
      <c r="I2"/>
      <c r="J2"/>
      <c r="K2"/>
      <c r="L2"/>
      <c r="M2"/>
      <c r="N2"/>
      <c r="O2" s="198" t="s">
        <v>147</v>
      </c>
      <c r="P2" s="199"/>
      <c r="Q2" s="199"/>
      <c r="R2" s="199"/>
      <c r="S2" s="199"/>
      <c r="T2" s="199"/>
      <c r="U2" s="199"/>
      <c r="V2" s="200"/>
    </row>
    <row r="3" spans="1:22" ht="30" customHeight="1" x14ac:dyDescent="0.3">
      <c r="A3"/>
      <c r="B3" s="168" t="s">
        <v>137</v>
      </c>
      <c r="C3" s="168"/>
      <c r="D3" s="168" t="s">
        <v>136</v>
      </c>
      <c r="E3" s="168"/>
      <c r="F3" s="168" t="s">
        <v>142</v>
      </c>
      <c r="G3" s="168"/>
      <c r="H3"/>
      <c r="I3"/>
      <c r="J3"/>
      <c r="K3"/>
      <c r="L3"/>
      <c r="M3"/>
      <c r="N3"/>
      <c r="O3" s="201" t="s">
        <v>137</v>
      </c>
      <c r="P3" s="202"/>
      <c r="Q3" s="201" t="s">
        <v>136</v>
      </c>
      <c r="R3" s="202"/>
      <c r="S3" s="201" t="s">
        <v>142</v>
      </c>
      <c r="T3" s="202"/>
      <c r="U3" s="201" t="s">
        <v>135</v>
      </c>
      <c r="V3" s="202"/>
    </row>
    <row r="4" spans="1:22" x14ac:dyDescent="0.3">
      <c r="A4"/>
      <c r="B4" s="173">
        <v>15</v>
      </c>
      <c r="C4" s="173"/>
      <c r="D4" s="173">
        <v>14.9</v>
      </c>
      <c r="E4" s="173"/>
      <c r="F4" s="172">
        <f ca="1">MAX(0.06, RAND() + (D4 - 0.5))</f>
        <v>14.514585887656818</v>
      </c>
      <c r="G4" s="172"/>
      <c r="H4"/>
      <c r="I4"/>
      <c r="J4"/>
      <c r="K4"/>
      <c r="L4"/>
      <c r="M4"/>
      <c r="N4"/>
      <c r="O4" s="196">
        <f>B4</f>
        <v>15</v>
      </c>
      <c r="P4" s="197"/>
      <c r="Q4" s="192">
        <f>D4</f>
        <v>14.9</v>
      </c>
      <c r="R4" s="193"/>
      <c r="S4" s="206">
        <f ca="1">F4</f>
        <v>14.514585887656818</v>
      </c>
      <c r="T4" s="207"/>
      <c r="U4" s="192">
        <f ca="1">S4-Q4</f>
        <v>-0.38541411234318268</v>
      </c>
      <c r="V4" s="193"/>
    </row>
    <row r="5" spans="1:22" x14ac:dyDescent="0.3">
      <c r="A5"/>
      <c r="B5" s="173">
        <v>23</v>
      </c>
      <c r="C5" s="173"/>
      <c r="D5" s="173">
        <v>22.8</v>
      </c>
      <c r="E5" s="173"/>
      <c r="F5" s="172">
        <f t="shared" ref="F5:F6" ca="1" si="0">MAX(0.06, RAND() + (D5 - 0.5))</f>
        <v>23.282138225291583</v>
      </c>
      <c r="G5" s="172"/>
      <c r="H5"/>
      <c r="I5"/>
      <c r="J5"/>
      <c r="K5"/>
      <c r="L5"/>
      <c r="M5"/>
      <c r="N5"/>
      <c r="O5" s="196">
        <f t="shared" ref="O5:O6" si="1">B5</f>
        <v>23</v>
      </c>
      <c r="P5" s="197"/>
      <c r="Q5" s="192">
        <f t="shared" ref="Q5:Q6" si="2">D5</f>
        <v>22.8</v>
      </c>
      <c r="R5" s="193"/>
      <c r="S5" s="206">
        <f t="shared" ref="S5:S6" ca="1" si="3">F5</f>
        <v>23.282138225291583</v>
      </c>
      <c r="T5" s="207"/>
      <c r="U5" s="192">
        <f t="shared" ref="U5:U6" ca="1" si="4">S5-Q5</f>
        <v>0.48213822529158179</v>
      </c>
      <c r="V5" s="193"/>
    </row>
    <row r="6" spans="1:22" x14ac:dyDescent="0.3">
      <c r="A6"/>
      <c r="B6" s="173">
        <v>31</v>
      </c>
      <c r="C6" s="173"/>
      <c r="D6" s="120">
        <v>30.3</v>
      </c>
      <c r="E6" s="120"/>
      <c r="F6" s="172">
        <f t="shared" ca="1" si="0"/>
        <v>29.894923814602468</v>
      </c>
      <c r="G6" s="172"/>
      <c r="H6"/>
      <c r="I6"/>
      <c r="J6"/>
      <c r="K6"/>
      <c r="L6"/>
      <c r="M6"/>
      <c r="N6"/>
      <c r="O6" s="196">
        <f t="shared" si="1"/>
        <v>31</v>
      </c>
      <c r="P6" s="197"/>
      <c r="Q6" s="192">
        <f t="shared" si="2"/>
        <v>30.3</v>
      </c>
      <c r="R6" s="193"/>
      <c r="S6" s="206">
        <f t="shared" ca="1" si="3"/>
        <v>29.894923814602468</v>
      </c>
      <c r="T6" s="207"/>
      <c r="U6" s="192">
        <f t="shared" ca="1" si="4"/>
        <v>-0.4050761853975331</v>
      </c>
      <c r="V6" s="193"/>
    </row>
    <row r="7" spans="1:22" x14ac:dyDescent="0.3">
      <c r="A7"/>
      <c r="B7"/>
      <c r="C7"/>
      <c r="D7"/>
      <c r="E7"/>
      <c r="F7"/>
      <c r="G7"/>
      <c r="H7"/>
      <c r="I7"/>
      <c r="J7"/>
      <c r="K7"/>
      <c r="L7"/>
      <c r="M7"/>
      <c r="N7"/>
      <c r="O7"/>
      <c r="P7"/>
      <c r="Q7"/>
      <c r="R7"/>
      <c r="S7"/>
      <c r="T7"/>
      <c r="U7"/>
      <c r="V7"/>
    </row>
    <row r="8" spans="1:22" x14ac:dyDescent="0.3">
      <c r="A8"/>
      <c r="B8"/>
      <c r="C8"/>
      <c r="D8"/>
      <c r="E8"/>
      <c r="F8"/>
      <c r="G8"/>
      <c r="H8"/>
      <c r="I8" s="99"/>
      <c r="J8" s="99"/>
      <c r="K8" s="99"/>
      <c r="L8" s="99"/>
      <c r="M8" s="99"/>
      <c r="N8"/>
      <c r="O8"/>
      <c r="P8"/>
      <c r="Q8"/>
      <c r="R8"/>
      <c r="S8"/>
      <c r="T8"/>
      <c r="U8"/>
      <c r="V8"/>
    </row>
    <row r="9" spans="1:22" x14ac:dyDescent="0.3">
      <c r="A9"/>
      <c r="B9"/>
      <c r="C9"/>
      <c r="D9"/>
      <c r="E9"/>
      <c r="F9"/>
      <c r="G9"/>
      <c r="H9"/>
      <c r="I9"/>
      <c r="J9"/>
      <c r="K9"/>
      <c r="L9"/>
      <c r="M9"/>
      <c r="N9"/>
      <c r="O9"/>
      <c r="P9"/>
      <c r="Q9"/>
      <c r="R9"/>
      <c r="S9"/>
      <c r="T9"/>
      <c r="U9"/>
      <c r="V9"/>
    </row>
    <row r="10" spans="1:22" customFormat="1" x14ac:dyDescent="0.3">
      <c r="I10" s="99"/>
      <c r="J10" s="99"/>
      <c r="K10" s="99"/>
      <c r="L10" s="99"/>
      <c r="M10" s="99"/>
    </row>
    <row r="11" spans="1:22" customFormat="1" x14ac:dyDescent="0.3">
      <c r="B11" s="100"/>
      <c r="C11" s="100"/>
      <c r="D11" s="100"/>
      <c r="E11" s="100"/>
      <c r="F11" s="100"/>
      <c r="G11" s="100"/>
      <c r="I11" s="99"/>
      <c r="J11" s="99"/>
      <c r="K11" s="99"/>
      <c r="L11" s="99"/>
      <c r="M11" s="99"/>
      <c r="O11" s="101"/>
      <c r="P11" s="101"/>
      <c r="Q11" s="101"/>
      <c r="R11" s="101"/>
      <c r="S11" s="101"/>
      <c r="T11" s="101"/>
      <c r="U11" s="102"/>
      <c r="V11" s="102"/>
    </row>
    <row r="12" spans="1:22" customFormat="1" x14ac:dyDescent="0.3">
      <c r="B12" s="100"/>
      <c r="C12" s="100"/>
      <c r="D12" s="100"/>
      <c r="E12" s="100"/>
      <c r="F12" s="100"/>
      <c r="G12" s="100"/>
      <c r="I12" s="99"/>
      <c r="J12" s="99"/>
      <c r="K12" s="99"/>
      <c r="L12" s="99"/>
      <c r="M12" s="99"/>
      <c r="O12" s="101"/>
      <c r="P12" s="101"/>
      <c r="Q12" s="101"/>
      <c r="R12" s="101"/>
      <c r="S12" s="101"/>
      <c r="T12" s="101"/>
      <c r="U12" s="102"/>
      <c r="V12" s="102"/>
    </row>
    <row r="13" spans="1:22" customFormat="1" x14ac:dyDescent="0.3">
      <c r="B13" s="203" t="s">
        <v>144</v>
      </c>
      <c r="C13" s="203"/>
      <c r="D13" s="203"/>
      <c r="E13" s="203"/>
      <c r="F13" s="203"/>
      <c r="G13" s="203"/>
      <c r="O13" s="198" t="s">
        <v>144</v>
      </c>
      <c r="P13" s="199"/>
      <c r="Q13" s="199"/>
      <c r="R13" s="199"/>
      <c r="S13" s="199"/>
      <c r="T13" s="199"/>
      <c r="U13" s="199"/>
      <c r="V13" s="200"/>
    </row>
    <row r="14" spans="1:22" customFormat="1" ht="28.2" customHeight="1" x14ac:dyDescent="0.3">
      <c r="B14" s="168" t="s">
        <v>140</v>
      </c>
      <c r="C14" s="168"/>
      <c r="D14" s="168" t="s">
        <v>138</v>
      </c>
      <c r="E14" s="168"/>
      <c r="F14" s="168" t="s">
        <v>143</v>
      </c>
      <c r="G14" s="168"/>
      <c r="O14" s="201" t="s">
        <v>140</v>
      </c>
      <c r="P14" s="202"/>
      <c r="Q14" s="201" t="s">
        <v>138</v>
      </c>
      <c r="R14" s="202"/>
      <c r="S14" s="201" t="s">
        <v>143</v>
      </c>
      <c r="T14" s="202"/>
      <c r="U14" s="201" t="s">
        <v>139</v>
      </c>
      <c r="V14" s="202"/>
    </row>
    <row r="15" spans="1:22" customFormat="1" ht="14.4" customHeight="1" x14ac:dyDescent="0.3">
      <c r="B15" s="173">
        <v>50</v>
      </c>
      <c r="C15" s="173"/>
      <c r="D15" s="165">
        <v>49.7</v>
      </c>
      <c r="E15" s="166"/>
      <c r="F15" s="167">
        <f ca="1">ROUNDDOWN(RAND()*5 + (D15 - 2), 0)</f>
        <v>49</v>
      </c>
      <c r="G15" s="167"/>
      <c r="O15" s="196">
        <f>B15</f>
        <v>50</v>
      </c>
      <c r="P15" s="197"/>
      <c r="Q15" s="192">
        <f>D15</f>
        <v>49.7</v>
      </c>
      <c r="R15" s="193"/>
      <c r="S15" s="194">
        <f ca="1">F15</f>
        <v>49</v>
      </c>
      <c r="T15" s="195"/>
      <c r="U15" s="192">
        <f ca="1">S15-Q15</f>
        <v>-0.70000000000000284</v>
      </c>
      <c r="V15" s="193"/>
    </row>
    <row r="16" spans="1:22" customFormat="1" x14ac:dyDescent="0.3">
      <c r="B16" s="173">
        <v>58</v>
      </c>
      <c r="C16" s="173"/>
      <c r="D16" s="165">
        <v>57.6</v>
      </c>
      <c r="E16" s="166"/>
      <c r="F16" s="167">
        <f t="shared" ref="F16:F17" ca="1" si="5">ROUNDDOWN(RAND()*5 + (D16 - 2), 0)</f>
        <v>60</v>
      </c>
      <c r="G16" s="167"/>
      <c r="O16" s="196">
        <f t="shared" ref="O16:O17" si="6">B16</f>
        <v>58</v>
      </c>
      <c r="P16" s="197"/>
      <c r="Q16" s="192">
        <f t="shared" ref="Q16:Q17" si="7">D16</f>
        <v>57.6</v>
      </c>
      <c r="R16" s="193"/>
      <c r="S16" s="194">
        <f t="shared" ref="S16:S17" ca="1" si="8">F16</f>
        <v>60</v>
      </c>
      <c r="T16" s="195"/>
      <c r="U16" s="192">
        <f t="shared" ref="U16:U17" ca="1" si="9">S16-Q16</f>
        <v>2.3999999999999986</v>
      </c>
      <c r="V16" s="193"/>
    </row>
    <row r="17" spans="2:22" customFormat="1" x14ac:dyDescent="0.3">
      <c r="B17" s="173">
        <v>65</v>
      </c>
      <c r="C17" s="173"/>
      <c r="D17" s="204">
        <v>64.3</v>
      </c>
      <c r="E17" s="205"/>
      <c r="F17" s="167">
        <f t="shared" ca="1" si="5"/>
        <v>65</v>
      </c>
      <c r="G17" s="167"/>
      <c r="O17" s="196">
        <f t="shared" si="6"/>
        <v>65</v>
      </c>
      <c r="P17" s="197"/>
      <c r="Q17" s="192">
        <f t="shared" si="7"/>
        <v>64.3</v>
      </c>
      <c r="R17" s="193"/>
      <c r="S17" s="194">
        <f t="shared" ca="1" si="8"/>
        <v>65</v>
      </c>
      <c r="T17" s="195"/>
      <c r="U17" s="192">
        <f t="shared" ca="1" si="9"/>
        <v>0.70000000000000284</v>
      </c>
      <c r="V17" s="193"/>
    </row>
    <row r="18" spans="2:22" customFormat="1" x14ac:dyDescent="0.3"/>
    <row r="19" spans="2:22" customFormat="1" x14ac:dyDescent="0.3"/>
    <row r="20" spans="2:22" x14ac:dyDescent="0.3">
      <c r="B20"/>
      <c r="C20"/>
      <c r="D20"/>
      <c r="E20"/>
      <c r="F20"/>
    </row>
    <row r="21" spans="2:22" customFormat="1" x14ac:dyDescent="0.3"/>
    <row r="22" spans="2:22" customFormat="1" x14ac:dyDescent="0.3"/>
    <row r="23" spans="2:22" customFormat="1" x14ac:dyDescent="0.3"/>
    <row r="24" spans="2:22" customFormat="1" x14ac:dyDescent="0.3"/>
    <row r="25" spans="2:22" customFormat="1" x14ac:dyDescent="0.3"/>
    <row r="26" spans="2:22" customFormat="1" x14ac:dyDescent="0.3"/>
    <row r="27" spans="2:22" customFormat="1" x14ac:dyDescent="0.3"/>
    <row r="28" spans="2:22" customFormat="1" x14ac:dyDescent="0.3"/>
    <row r="29" spans="2:22" customFormat="1" x14ac:dyDescent="0.3"/>
    <row r="30" spans="2:22" customFormat="1" x14ac:dyDescent="0.3"/>
    <row r="31" spans="2:22" customFormat="1" x14ac:dyDescent="0.3"/>
    <row r="32" spans="2:2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ht="30" customHeight="1" x14ac:dyDescent="0.3"/>
    <row r="40" customFormat="1" x14ac:dyDescent="0.3"/>
    <row r="41" customFormat="1" x14ac:dyDescent="0.3"/>
    <row r="42" customFormat="1" x14ac:dyDescent="0.3"/>
    <row r="43" customFormat="1" x14ac:dyDescent="0.3"/>
    <row r="44" customFormat="1" x14ac:dyDescent="0.3"/>
    <row r="45" customFormat="1" x14ac:dyDescent="0.3"/>
  </sheetData>
  <sheetProtection formatCells="0" formatColumns="0" formatRows="0"/>
  <mergeCells count="60">
    <mergeCell ref="B13:G13"/>
    <mergeCell ref="Q14:R14"/>
    <mergeCell ref="O14:P14"/>
    <mergeCell ref="O6:P6"/>
    <mergeCell ref="Q6:R6"/>
    <mergeCell ref="S6:T6"/>
    <mergeCell ref="U6:V6"/>
    <mergeCell ref="O5:P5"/>
    <mergeCell ref="Q5:R5"/>
    <mergeCell ref="S5:T5"/>
    <mergeCell ref="U5:V5"/>
    <mergeCell ref="O4:P4"/>
    <mergeCell ref="Q4:R4"/>
    <mergeCell ref="S4:T4"/>
    <mergeCell ref="U4:V4"/>
    <mergeCell ref="O2:V2"/>
    <mergeCell ref="O3:P3"/>
    <mergeCell ref="Q3:R3"/>
    <mergeCell ref="S3:T3"/>
    <mergeCell ref="U3:V3"/>
    <mergeCell ref="B17:C17"/>
    <mergeCell ref="D17:E17"/>
    <mergeCell ref="F17:G17"/>
    <mergeCell ref="B16:C16"/>
    <mergeCell ref="D16:E16"/>
    <mergeCell ref="F16:G16"/>
    <mergeCell ref="B15:C15"/>
    <mergeCell ref="D15:E15"/>
    <mergeCell ref="F15:G15"/>
    <mergeCell ref="B14:C14"/>
    <mergeCell ref="D14:E14"/>
    <mergeCell ref="F14:G14"/>
    <mergeCell ref="B2:G2"/>
    <mergeCell ref="B6:C6"/>
    <mergeCell ref="D6:E6"/>
    <mergeCell ref="F6:G6"/>
    <mergeCell ref="B4:C4"/>
    <mergeCell ref="D4:E4"/>
    <mergeCell ref="F4:G4"/>
    <mergeCell ref="B3:C3"/>
    <mergeCell ref="D3:E3"/>
    <mergeCell ref="F3:G3"/>
    <mergeCell ref="B5:C5"/>
    <mergeCell ref="D5:E5"/>
    <mergeCell ref="F5:G5"/>
    <mergeCell ref="U17:V17"/>
    <mergeCell ref="S17:T17"/>
    <mergeCell ref="Q17:R17"/>
    <mergeCell ref="O17:P17"/>
    <mergeCell ref="O13:V13"/>
    <mergeCell ref="U15:V15"/>
    <mergeCell ref="S15:T15"/>
    <mergeCell ref="Q15:R15"/>
    <mergeCell ref="O15:P15"/>
    <mergeCell ref="U16:V16"/>
    <mergeCell ref="S16:T16"/>
    <mergeCell ref="Q16:R16"/>
    <mergeCell ref="O16:P16"/>
    <mergeCell ref="S14:T14"/>
    <mergeCell ref="U14:V1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C12" sqref="C12:C1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208" t="s">
        <v>145</v>
      </c>
      <c r="C2" s="209"/>
      <c r="D2" s="209"/>
      <c r="E2" s="209"/>
      <c r="F2" s="209"/>
      <c r="G2" s="209"/>
      <c r="H2" s="209"/>
      <c r="I2" s="209"/>
      <c r="J2" s="209"/>
      <c r="K2" s="209"/>
      <c r="L2" s="210"/>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15</v>
      </c>
      <c r="C4" s="8">
        <f>PATRON!$G$41/2</f>
        <v>0.15</v>
      </c>
      <c r="D4" s="8">
        <f>PATRON!$G$43/SQRT(3)</f>
        <v>0.11547005383792516</v>
      </c>
      <c r="E4" s="8">
        <v>0</v>
      </c>
      <c r="F4" s="94">
        <f>0.1/SQRT(12)</f>
        <v>2.8867513459481291E-2</v>
      </c>
      <c r="G4" s="94">
        <f>PATRON!$G$45/SQRT(12)</f>
        <v>2.8867513459481291E-2</v>
      </c>
      <c r="H4" s="94">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23</v>
      </c>
      <c r="C5" s="8">
        <f>PATRON!$G$41/2</f>
        <v>0.15</v>
      </c>
      <c r="D5" s="8">
        <f>PATRON!$G$43/SQRT(3)</f>
        <v>0.11547005383792516</v>
      </c>
      <c r="E5" s="8">
        <v>0</v>
      </c>
      <c r="F5" s="94">
        <f t="shared" ref="F5:F6" si="0">0.1/SQRT(12)</f>
        <v>2.8867513459481291E-2</v>
      </c>
      <c r="G5" s="94">
        <f>PATRON!$G$45/SQRT(12)</f>
        <v>2.8867513459481291E-2</v>
      </c>
      <c r="H5" s="94">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31</v>
      </c>
      <c r="C6" s="8">
        <f>PATRON!$G$41/2</f>
        <v>0.15</v>
      </c>
      <c r="D6" s="8">
        <f>PATRON!$G$43/SQRT(3)</f>
        <v>0.11547005383792516</v>
      </c>
      <c r="E6" s="8">
        <v>0</v>
      </c>
      <c r="F6" s="94">
        <f t="shared" si="0"/>
        <v>2.8867513459481291E-2</v>
      </c>
      <c r="G6" s="94">
        <f>PATRON!$G$45/SQRT(12)</f>
        <v>2.8867513459481291E-2</v>
      </c>
      <c r="H6" s="94">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208" t="s">
        <v>150</v>
      </c>
      <c r="C10" s="209"/>
      <c r="D10" s="209"/>
      <c r="E10" s="209"/>
      <c r="F10" s="209"/>
      <c r="G10" s="209"/>
      <c r="H10" s="209"/>
      <c r="I10" s="209"/>
      <c r="J10" s="209"/>
      <c r="K10" s="209"/>
      <c r="L10" s="210"/>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e">
        <f>MEDIDA!#REF!</f>
        <v>#REF!</v>
      </c>
      <c r="C12" s="8">
        <f>0.59/2</f>
        <v>0.29499999999999998</v>
      </c>
      <c r="D12" s="8">
        <f>PATRON!$G$43/SQRT(3)</f>
        <v>0.11547005383792516</v>
      </c>
      <c r="E12" s="8">
        <v>0</v>
      </c>
      <c r="F12" s="94">
        <f>0.1/SQRT(12)</f>
        <v>2.8867513459481291E-2</v>
      </c>
      <c r="G12" s="94">
        <f>PATRON!$G$45/SQRT(12)</f>
        <v>2.8867513459481291E-2</v>
      </c>
      <c r="H12" s="94">
        <v>0</v>
      </c>
      <c r="I12" s="8">
        <f>SQRT(SUMSQ(C12:H12))</f>
        <v>0.31941352507368875</v>
      </c>
      <c r="J12" s="15">
        <f>I12^4/(C12^4/200+D12^4/200+E12^4/200+F12^4/200+G12^4/200+H12^4/3)</f>
        <v>268.53472835691571</v>
      </c>
      <c r="K12" s="11">
        <f>TINV(0.0455,J12)</f>
        <v>2.0093736198141858</v>
      </c>
      <c r="L12" s="8">
        <f>I12*K12</f>
        <v>0.64182111109492723</v>
      </c>
    </row>
    <row r="13" spans="1:12" x14ac:dyDescent="0.3">
      <c r="B13" s="7" t="e">
        <f>MEDIDA!#REF!</f>
        <v>#REF!</v>
      </c>
      <c r="C13" s="8">
        <f t="shared" ref="C13:C14" si="3">0.59/2</f>
        <v>0.29499999999999998</v>
      </c>
      <c r="D13" s="8">
        <f>PATRON!$G$43/SQRT(3)</f>
        <v>0.11547005383792516</v>
      </c>
      <c r="E13" s="8">
        <v>0</v>
      </c>
      <c r="F13" s="94">
        <f t="shared" ref="F13:F14" si="4">0.1/SQRT(12)</f>
        <v>2.8867513459481291E-2</v>
      </c>
      <c r="G13" s="94">
        <f>PATRON!$G$45/SQRT(12)</f>
        <v>2.8867513459481291E-2</v>
      </c>
      <c r="H13" s="94">
        <v>0</v>
      </c>
      <c r="I13" s="8">
        <f t="shared" ref="I13:I14" si="5">SQRT(SUMSQ(C13:H13))</f>
        <v>0.31941352507368875</v>
      </c>
      <c r="J13" s="15">
        <f t="shared" ref="J13:J14" si="6">I13^4/(C13^4/200+D13^4/200+E13^4/200+F13^4/200+G13^4/200+H13^4/3)</f>
        <v>268.53472835691571</v>
      </c>
      <c r="K13" s="11">
        <f t="shared" ref="K13:K14" si="7">TINV(0.0455,J13)</f>
        <v>2.0093736198141858</v>
      </c>
      <c r="L13" s="8">
        <f t="shared" ref="L13:L14" si="8">I13*K13</f>
        <v>0.64182111109492723</v>
      </c>
    </row>
    <row r="14" spans="1:12" x14ac:dyDescent="0.3">
      <c r="B14" s="7" t="e">
        <f>MEDIDA!#REF!</f>
        <v>#REF!</v>
      </c>
      <c r="C14" s="8">
        <f t="shared" si="3"/>
        <v>0.29499999999999998</v>
      </c>
      <c r="D14" s="8">
        <f>PATRON!$G$43/SQRT(3)</f>
        <v>0.11547005383792516</v>
      </c>
      <c r="E14" s="8">
        <v>0</v>
      </c>
      <c r="F14" s="94">
        <f t="shared" si="4"/>
        <v>2.8867513459481291E-2</v>
      </c>
      <c r="G14" s="94">
        <f>PATRON!$G$45/SQRT(12)</f>
        <v>2.8867513459481291E-2</v>
      </c>
      <c r="H14" s="94">
        <v>0</v>
      </c>
      <c r="I14" s="8">
        <f t="shared" si="5"/>
        <v>0.31941352507368875</v>
      </c>
      <c r="J14" s="15">
        <f t="shared" si="6"/>
        <v>268.53472835691571</v>
      </c>
      <c r="K14" s="11">
        <f t="shared" si="7"/>
        <v>2.0093736198141858</v>
      </c>
      <c r="L14" s="8">
        <f t="shared" si="8"/>
        <v>0.64182111109492723</v>
      </c>
    </row>
    <row r="18" spans="2:12" x14ac:dyDescent="0.3">
      <c r="B18" s="208" t="s">
        <v>130</v>
      </c>
      <c r="C18" s="209"/>
      <c r="D18" s="209"/>
      <c r="E18" s="209"/>
      <c r="F18" s="209"/>
      <c r="G18" s="209"/>
      <c r="H18" s="209"/>
      <c r="I18" s="209"/>
      <c r="J18" s="209"/>
      <c r="K18" s="209"/>
      <c r="L18" s="210"/>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f>MEDIDA!B15</f>
        <v>50</v>
      </c>
      <c r="C20" s="8">
        <f>PATRON!$G$42/2</f>
        <v>1</v>
      </c>
      <c r="D20" s="103">
        <f>PATRON!$G$44/SQRT(3)</f>
        <v>0.57735026918962584</v>
      </c>
      <c r="E20" s="8">
        <v>0</v>
      </c>
      <c r="F20" s="94">
        <f>1/SQRT(12)</f>
        <v>0.28867513459481292</v>
      </c>
      <c r="G20" s="94">
        <f>PATRON!$G$46/SQRT(12)</f>
        <v>2.8867513459481291E-2</v>
      </c>
      <c r="H20" s="94">
        <v>0</v>
      </c>
      <c r="I20" s="8">
        <f>SQRT(SUMSQ(C20:H20))</f>
        <v>1.1905880899790657</v>
      </c>
      <c r="J20" s="15">
        <f>I20^4/(C20^4/200+D20^4/200+E20^4/200+F20^4/200+G20^4/200+H20^4/3)</f>
        <v>359.42847240467546</v>
      </c>
      <c r="K20" s="11">
        <f>TINV(0.0455,J20)</f>
        <v>2.0069900785842067</v>
      </c>
      <c r="L20" s="103">
        <f>I20*K20</f>
        <v>2.3894984842685059</v>
      </c>
    </row>
    <row r="21" spans="2:12" x14ac:dyDescent="0.3">
      <c r="B21" s="7">
        <f>MEDIDA!B16</f>
        <v>58</v>
      </c>
      <c r="C21" s="8">
        <f>PATRON!$G$42/2</f>
        <v>1</v>
      </c>
      <c r="D21" s="103">
        <f>PATRON!$G$44/SQRT(3)</f>
        <v>0.57735026918962584</v>
      </c>
      <c r="E21" s="8">
        <v>0</v>
      </c>
      <c r="F21" s="94">
        <f t="shared" ref="F21:F22" si="9">1/SQRT(12)</f>
        <v>0.28867513459481292</v>
      </c>
      <c r="G21" s="94">
        <f>PATRON!$G$46/SQRT(12)</f>
        <v>2.8867513459481291E-2</v>
      </c>
      <c r="H21" s="94">
        <v>0</v>
      </c>
      <c r="I21" s="8">
        <f t="shared" ref="I21:I22" si="10">SQRT(SUMSQ(C21:H21))</f>
        <v>1.1905880899790657</v>
      </c>
      <c r="J21" s="15">
        <f t="shared" ref="J21:J22" si="11">I21^4/(C21^4/200+D21^4/200+E21^4/200+F21^4/200+G21^4/200+H21^4/3)</f>
        <v>359.42847240467546</v>
      </c>
      <c r="K21" s="11">
        <f t="shared" ref="K21:K22" si="12">TINV(0.0455,J21)</f>
        <v>2.0069900785842067</v>
      </c>
      <c r="L21" s="103">
        <f t="shared" ref="L21:L22" si="13">I21*K21</f>
        <v>2.3894984842685059</v>
      </c>
    </row>
    <row r="22" spans="2:12" x14ac:dyDescent="0.3">
      <c r="B22" s="7">
        <f>MEDIDA!B17</f>
        <v>65</v>
      </c>
      <c r="C22" s="8">
        <f>PATRON!$G$42/2</f>
        <v>1</v>
      </c>
      <c r="D22" s="103">
        <f>PATRON!$G$44/SQRT(3)</f>
        <v>0.57735026918962584</v>
      </c>
      <c r="E22" s="8">
        <v>0</v>
      </c>
      <c r="F22" s="94">
        <f t="shared" si="9"/>
        <v>0.28867513459481292</v>
      </c>
      <c r="G22" s="94">
        <f>PATRON!$G$46/SQRT(12)</f>
        <v>2.8867513459481291E-2</v>
      </c>
      <c r="H22" s="94">
        <v>0</v>
      </c>
      <c r="I22" s="8">
        <f t="shared" si="10"/>
        <v>1.1905880899790657</v>
      </c>
      <c r="J22" s="15">
        <f t="shared" si="11"/>
        <v>359.42847240467546</v>
      </c>
      <c r="K22" s="11">
        <f t="shared" si="12"/>
        <v>2.0069900785842067</v>
      </c>
      <c r="L22" s="103">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2"/>
  <sheetViews>
    <sheetView tabSelected="1" view="pageBreakPreview" topLeftCell="A81" zoomScale="88" zoomScaleNormal="100" zoomScaleSheetLayoutView="88" workbookViewId="0">
      <selection activeCell="N81" sqref="N8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48"/>
      <c r="J1" s="148"/>
      <c r="K1" s="148"/>
      <c r="M1" s="63"/>
      <c r="O1" s="145" t="s">
        <v>80</v>
      </c>
      <c r="P1" s="145"/>
      <c r="Q1" s="145"/>
      <c r="R1" s="146" t="str">
        <f>INFORMACIÓN!G3</f>
        <v>JD6576-25</v>
      </c>
      <c r="S1" s="146"/>
    </row>
    <row r="2" spans="1:27" ht="16.95" customHeight="1" x14ac:dyDescent="0.3">
      <c r="G2" s="150"/>
      <c r="H2" s="150"/>
      <c r="I2" s="150"/>
      <c r="J2" s="149"/>
      <c r="K2" s="149"/>
    </row>
    <row r="3" spans="1:27" ht="16.95" customHeight="1" x14ac:dyDescent="0.3">
      <c r="B3" s="82"/>
      <c r="C3" s="151" t="s">
        <v>71</v>
      </c>
      <c r="D3" s="151"/>
      <c r="E3" s="151"/>
      <c r="F3" s="151"/>
      <c r="G3" s="151"/>
      <c r="H3" s="151"/>
      <c r="I3" s="151"/>
      <c r="J3" s="151"/>
      <c r="K3" s="151"/>
      <c r="L3" s="151"/>
      <c r="M3" s="151"/>
      <c r="N3" s="151"/>
      <c r="O3" s="151"/>
      <c r="P3" s="151"/>
      <c r="Q3" s="151"/>
      <c r="R3" s="151"/>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45" t="s">
        <v>62</v>
      </c>
      <c r="D5" s="145"/>
      <c r="E5" s="145"/>
      <c r="F5" s="145"/>
      <c r="G5" s="145"/>
      <c r="H5" s="51"/>
      <c r="I5" s="147" t="str">
        <f>INFORMACIÓN!A3</f>
        <v>TERMOHIGRÓMETRO</v>
      </c>
      <c r="J5" s="147"/>
      <c r="K5" s="147"/>
      <c r="L5" s="147"/>
      <c r="M5" s="147"/>
      <c r="N5" s="147"/>
      <c r="O5" s="147"/>
      <c r="P5" s="147"/>
      <c r="Q5" s="147"/>
      <c r="R5" s="147"/>
      <c r="S5"/>
      <c r="T5"/>
      <c r="U5"/>
      <c r="V5"/>
      <c r="W5"/>
      <c r="X5"/>
      <c r="Y5"/>
      <c r="Z5"/>
      <c r="AA5"/>
    </row>
    <row r="6" spans="1:27" s="53" customFormat="1" ht="16.95" customHeight="1" x14ac:dyDescent="0.3">
      <c r="B6" s="77"/>
      <c r="C6" s="145" t="s">
        <v>63</v>
      </c>
      <c r="D6" s="145"/>
      <c r="E6" s="145"/>
      <c r="F6" s="145"/>
      <c r="G6" s="145"/>
      <c r="H6" s="51"/>
      <c r="I6" s="147" t="str">
        <f>INFORMACIÓN!B3</f>
        <v>HTC</v>
      </c>
      <c r="J6" s="147"/>
      <c r="K6" s="147"/>
      <c r="L6" s="147"/>
      <c r="M6" s="147"/>
      <c r="N6" s="147"/>
      <c r="O6" s="147"/>
      <c r="P6" s="147"/>
      <c r="Q6" s="147"/>
      <c r="R6" s="147"/>
      <c r="S6"/>
      <c r="T6"/>
      <c r="U6"/>
      <c r="V6"/>
      <c r="W6"/>
      <c r="X6"/>
      <c r="Y6"/>
      <c r="Z6"/>
      <c r="AA6"/>
    </row>
    <row r="7" spans="1:27" s="53" customFormat="1" ht="16.95" customHeight="1" x14ac:dyDescent="0.3">
      <c r="B7" s="77"/>
      <c r="C7" s="145" t="s">
        <v>64</v>
      </c>
      <c r="D7" s="145"/>
      <c r="E7" s="145"/>
      <c r="F7" s="145"/>
      <c r="G7" s="145"/>
      <c r="H7" s="51"/>
      <c r="I7" s="147" t="str">
        <f>INFORMACIÓN!C3</f>
        <v>HTC-2</v>
      </c>
      <c r="J7" s="147"/>
      <c r="K7" s="147"/>
      <c r="L7" s="147"/>
      <c r="M7" s="147"/>
      <c r="N7" s="147"/>
      <c r="O7" s="147"/>
      <c r="P7" s="147"/>
      <c r="Q7" s="147"/>
      <c r="R7" s="147"/>
      <c r="S7"/>
      <c r="T7"/>
      <c r="U7"/>
      <c r="V7"/>
      <c r="W7"/>
      <c r="X7"/>
      <c r="Y7"/>
      <c r="Z7"/>
      <c r="AA7"/>
    </row>
    <row r="8" spans="1:27" s="53" customFormat="1" ht="16.95" customHeight="1" x14ac:dyDescent="0.3">
      <c r="B8" s="77"/>
      <c r="C8" s="145" t="s">
        <v>65</v>
      </c>
      <c r="D8" s="145"/>
      <c r="E8" s="145"/>
      <c r="F8" s="145"/>
      <c r="G8" s="145"/>
      <c r="H8" s="51"/>
      <c r="I8" s="152" t="str">
        <f>INFORMACIÓN!D3</f>
        <v>NO REGISTRA</v>
      </c>
      <c r="J8" s="147"/>
      <c r="K8" s="147"/>
      <c r="L8" s="147"/>
      <c r="M8" s="147"/>
      <c r="N8" s="147"/>
      <c r="O8" s="147"/>
      <c r="P8" s="147"/>
      <c r="Q8" s="147"/>
      <c r="R8" s="147"/>
      <c r="S8"/>
      <c r="T8"/>
      <c r="U8"/>
      <c r="V8"/>
      <c r="W8"/>
      <c r="X8"/>
      <c r="Y8"/>
      <c r="Z8"/>
      <c r="AA8"/>
    </row>
    <row r="9" spans="1:27" s="53" customFormat="1" ht="16.95" customHeight="1" x14ac:dyDescent="0.3">
      <c r="B9" s="77"/>
      <c r="C9" s="145" t="s">
        <v>66</v>
      </c>
      <c r="D9" s="145"/>
      <c r="E9" s="145"/>
      <c r="F9" s="145"/>
      <c r="G9" s="145"/>
      <c r="H9" s="51"/>
      <c r="I9" s="152" t="str">
        <f>INFORMACIÓN!F3</f>
        <v>NO REGISTRA</v>
      </c>
      <c r="J9" s="147"/>
      <c r="K9" s="147"/>
      <c r="L9" s="147"/>
      <c r="M9" s="147"/>
      <c r="N9" s="147"/>
      <c r="O9" s="147"/>
      <c r="P9" s="147"/>
      <c r="Q9" s="147"/>
      <c r="R9" s="147"/>
      <c r="S9"/>
      <c r="T9"/>
      <c r="U9"/>
      <c r="V9"/>
      <c r="W9"/>
      <c r="X9"/>
      <c r="Y9"/>
      <c r="Z9"/>
      <c r="AA9"/>
    </row>
    <row r="10" spans="1:27" s="53" customFormat="1" ht="16.95" customHeight="1" x14ac:dyDescent="0.3">
      <c r="B10" s="77"/>
      <c r="C10" s="145" t="s">
        <v>68</v>
      </c>
      <c r="D10" s="145"/>
      <c r="E10" s="145"/>
      <c r="F10" s="145"/>
      <c r="G10" s="145"/>
      <c r="H10" s="51"/>
      <c r="I10" s="153" t="str">
        <f>INFORMACIÓN!E3</f>
        <v>EN SITIO</v>
      </c>
      <c r="J10" s="147"/>
      <c r="K10" s="147"/>
      <c r="L10" s="147"/>
      <c r="M10" s="147"/>
      <c r="N10" s="147"/>
      <c r="O10" s="147"/>
      <c r="P10" s="147"/>
      <c r="Q10" s="147"/>
      <c r="R10" s="147"/>
      <c r="S10"/>
      <c r="T10"/>
      <c r="U10"/>
      <c r="V10"/>
      <c r="W10"/>
      <c r="X10"/>
      <c r="Y10"/>
      <c r="Z10"/>
      <c r="AA10"/>
    </row>
    <row r="11" spans="1:27" s="53" customFormat="1" ht="16.95" customHeight="1" x14ac:dyDescent="0.3">
      <c r="B11" s="77"/>
      <c r="C11" s="145" t="s">
        <v>67</v>
      </c>
      <c r="D11" s="145"/>
      <c r="E11" s="145"/>
      <c r="F11" s="145"/>
      <c r="G11" s="145"/>
      <c r="H11" s="51"/>
      <c r="I11" s="147" t="str">
        <f>INFORMACIÓN!B8</f>
        <v>BUEN ESTADO</v>
      </c>
      <c r="J11" s="147"/>
      <c r="K11" s="147"/>
      <c r="L11" s="147"/>
      <c r="M11" s="147"/>
      <c r="N11" s="147"/>
      <c r="O11" s="147"/>
      <c r="P11" s="147"/>
      <c r="Q11" s="147"/>
      <c r="R11" s="147"/>
      <c r="S11"/>
      <c r="T11"/>
      <c r="U11"/>
      <c r="V11"/>
      <c r="W11"/>
      <c r="X11"/>
      <c r="Y11"/>
      <c r="Z11"/>
      <c r="AA11"/>
    </row>
    <row r="12" spans="1:27" s="53" customFormat="1" ht="16.95" customHeight="1" x14ac:dyDescent="0.3">
      <c r="B12" s="77"/>
      <c r="C12" s="145" t="s">
        <v>77</v>
      </c>
      <c r="D12" s="145"/>
      <c r="E12" s="145"/>
      <c r="F12" s="145"/>
      <c r="G12" s="145"/>
      <c r="H12" s="78"/>
      <c r="I12" s="154">
        <f>INFORMACIÓN!H3</f>
        <v>45911</v>
      </c>
      <c r="J12" s="154"/>
      <c r="K12" s="154"/>
      <c r="L12" s="154"/>
      <c r="M12" s="154"/>
      <c r="N12" s="154"/>
      <c r="O12" s="154"/>
      <c r="P12" s="154"/>
      <c r="Q12" s="154"/>
      <c r="R12" s="154"/>
      <c r="S12"/>
      <c r="T12"/>
      <c r="U12"/>
      <c r="V12"/>
      <c r="W12"/>
      <c r="X12"/>
      <c r="Y12"/>
      <c r="Z12"/>
      <c r="AA12"/>
    </row>
    <row r="13" spans="1:27" s="53" customFormat="1" ht="16.95" customHeight="1" x14ac:dyDescent="0.3">
      <c r="B13" s="77"/>
      <c r="C13" s="145" t="s">
        <v>76</v>
      </c>
      <c r="D13" s="145"/>
      <c r="E13" s="145"/>
      <c r="F13" s="145"/>
      <c r="G13" s="145"/>
      <c r="H13" s="78"/>
      <c r="I13" s="154">
        <f>INFORMACIÓN!B9</f>
        <v>45911</v>
      </c>
      <c r="J13" s="154"/>
      <c r="K13" s="154"/>
      <c r="L13" s="154"/>
      <c r="M13" s="154"/>
      <c r="N13" s="154"/>
      <c r="O13" s="154"/>
      <c r="P13" s="154"/>
      <c r="Q13" s="154"/>
      <c r="R13" s="154"/>
      <c r="S13"/>
      <c r="T13"/>
      <c r="U13"/>
      <c r="V13"/>
      <c r="W13"/>
      <c r="X13"/>
      <c r="Y13"/>
      <c r="Z13"/>
      <c r="AA13"/>
    </row>
    <row r="14" spans="1:27" ht="16.95" customHeight="1" x14ac:dyDescent="0.3"/>
    <row r="15" spans="1:27" ht="16.95" customHeight="1" x14ac:dyDescent="0.3">
      <c r="B15" s="63"/>
      <c r="C15" s="156" t="s">
        <v>70</v>
      </c>
      <c r="D15" s="156"/>
      <c r="E15" s="156"/>
      <c r="F15" s="156"/>
      <c r="G15" s="156"/>
      <c r="H15" s="156"/>
      <c r="I15" s="156"/>
      <c r="J15" s="156"/>
      <c r="K15" s="156"/>
      <c r="L15" s="156"/>
      <c r="M15" s="156"/>
      <c r="N15" s="156"/>
      <c r="O15" s="156"/>
      <c r="P15" s="156"/>
      <c r="Q15" s="156"/>
      <c r="R15" s="156"/>
    </row>
    <row r="16" spans="1:27" ht="16.95" customHeight="1" x14ac:dyDescent="0.3"/>
    <row r="17" spans="1:18" ht="16.95" customHeight="1" x14ac:dyDescent="0.3">
      <c r="B17" s="50"/>
      <c r="C17" s="122" t="s">
        <v>72</v>
      </c>
      <c r="D17" s="122"/>
      <c r="E17" s="122"/>
      <c r="F17" s="122"/>
      <c r="G17" s="122"/>
      <c r="H17" s="49"/>
      <c r="I17" s="155" t="str">
        <f>INFORMACIÓN!E7</f>
        <v>ECOOTRANSVIAS LTDA</v>
      </c>
      <c r="J17" s="155"/>
      <c r="K17" s="155"/>
      <c r="L17" s="155"/>
      <c r="M17" s="155"/>
      <c r="N17" s="155"/>
      <c r="O17" s="155"/>
      <c r="P17" s="155"/>
      <c r="Q17" s="155"/>
      <c r="R17" s="155"/>
    </row>
    <row r="18" spans="1:18" ht="16.95" customHeight="1" x14ac:dyDescent="0.3">
      <c r="B18" s="50"/>
      <c r="C18" s="122" t="s">
        <v>73</v>
      </c>
      <c r="D18" s="122"/>
      <c r="E18" s="122"/>
      <c r="F18" s="122"/>
      <c r="G18" s="122"/>
      <c r="H18" s="49"/>
      <c r="I18" s="155" t="str">
        <f>INFORMACIÓN!E8</f>
        <v>900300213-4</v>
      </c>
      <c r="J18" s="155"/>
      <c r="K18" s="155"/>
      <c r="L18" s="155"/>
      <c r="M18" s="155"/>
      <c r="N18" s="155"/>
      <c r="O18" s="155"/>
      <c r="P18" s="155"/>
      <c r="Q18" s="155"/>
      <c r="R18" s="155"/>
    </row>
    <row r="19" spans="1:18" ht="16.95" customHeight="1" x14ac:dyDescent="0.3">
      <c r="B19" s="50"/>
      <c r="C19" s="122" t="s">
        <v>90</v>
      </c>
      <c r="D19" s="122"/>
      <c r="E19" s="122"/>
      <c r="F19" s="122"/>
      <c r="G19" s="122"/>
      <c r="H19" s="49"/>
      <c r="I19" s="155">
        <f>INFORMACIÓN!E9</f>
        <v>3138023656</v>
      </c>
      <c r="J19" s="155"/>
      <c r="K19" s="155"/>
      <c r="L19" s="155"/>
      <c r="M19" s="155"/>
      <c r="N19" s="155"/>
      <c r="O19" s="155"/>
      <c r="P19" s="155"/>
      <c r="Q19" s="155"/>
      <c r="R19" s="155"/>
    </row>
    <row r="20" spans="1:18" ht="16.95" customHeight="1" x14ac:dyDescent="0.3">
      <c r="B20" s="50"/>
      <c r="C20" s="122" t="s">
        <v>74</v>
      </c>
      <c r="D20" s="122"/>
      <c r="E20" s="122"/>
      <c r="F20" s="122"/>
      <c r="G20" s="122"/>
      <c r="H20" s="49"/>
      <c r="I20" s="155" t="str">
        <f>INFORMACIÓN!E10</f>
        <v>CR 18 # 13-62, BRR LAS AMERICAS</v>
      </c>
      <c r="J20" s="155"/>
      <c r="K20" s="155"/>
      <c r="L20" s="155"/>
      <c r="M20" s="155"/>
      <c r="N20" s="155"/>
      <c r="O20" s="155"/>
      <c r="P20" s="155"/>
      <c r="Q20" s="155"/>
      <c r="R20" s="155"/>
    </row>
    <row r="21" spans="1:18" ht="16.95" customHeight="1" x14ac:dyDescent="0.3">
      <c r="B21" s="50"/>
      <c r="C21" s="122" t="s">
        <v>75</v>
      </c>
      <c r="D21" s="122"/>
      <c r="E21" s="122"/>
      <c r="F21" s="122"/>
      <c r="G21" s="122"/>
      <c r="H21" s="49"/>
      <c r="I21" s="155" t="str">
        <f>INFORMACIÓN!E11</f>
        <v>PUERTO ASIS</v>
      </c>
      <c r="J21" s="155"/>
      <c r="K21" s="155"/>
      <c r="L21" s="155"/>
      <c r="M21" s="155"/>
      <c r="N21" s="155"/>
      <c r="O21" s="155"/>
      <c r="P21" s="155"/>
      <c r="Q21" s="155"/>
      <c r="R21" s="155"/>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60" t="s">
        <v>177</v>
      </c>
      <c r="D23" s="160"/>
      <c r="E23" s="160"/>
      <c r="F23" s="160"/>
      <c r="G23" s="160"/>
      <c r="H23" s="160"/>
      <c r="I23" s="160"/>
      <c r="J23" s="160"/>
      <c r="K23" s="160"/>
      <c r="L23" s="160"/>
      <c r="M23" s="160"/>
      <c r="N23" s="160"/>
      <c r="O23" s="160"/>
      <c r="P23" s="160"/>
      <c r="Q23" s="160"/>
      <c r="R23" s="160"/>
    </row>
    <row r="24" spans="1:18" ht="16.95" customHeight="1" x14ac:dyDescent="0.3">
      <c r="A24" s="76"/>
      <c r="B24" s="76"/>
      <c r="C24" s="161"/>
      <c r="D24" s="161"/>
      <c r="E24" s="161"/>
      <c r="F24" s="161"/>
      <c r="G24" s="161"/>
      <c r="H24" s="161"/>
      <c r="I24" s="161"/>
      <c r="J24" s="161"/>
      <c r="K24" s="161"/>
      <c r="L24" s="161"/>
      <c r="M24" s="161"/>
      <c r="N24" s="161"/>
      <c r="O24" s="161"/>
      <c r="P24" s="161"/>
      <c r="Q24" s="161"/>
      <c r="R24" s="161"/>
    </row>
    <row r="25" spans="1:18" ht="16.95" customHeight="1" x14ac:dyDescent="0.3">
      <c r="A25" s="76"/>
      <c r="B25" s="76"/>
      <c r="C25" s="161"/>
      <c r="D25" s="161"/>
      <c r="E25" s="161"/>
      <c r="F25" s="161"/>
      <c r="G25" s="161"/>
      <c r="H25" s="161"/>
      <c r="I25" s="161"/>
      <c r="J25" s="161"/>
      <c r="K25" s="161"/>
      <c r="L25" s="161"/>
      <c r="M25" s="161"/>
      <c r="N25" s="161"/>
      <c r="O25" s="161"/>
      <c r="P25" s="161"/>
      <c r="Q25" s="161"/>
      <c r="R25" s="161"/>
    </row>
    <row r="26" spans="1:18" ht="16.95" customHeight="1" x14ac:dyDescent="0.3">
      <c r="A26" s="76"/>
      <c r="B26" s="76"/>
      <c r="C26" s="161"/>
      <c r="D26" s="161"/>
      <c r="E26" s="161"/>
      <c r="F26" s="161"/>
      <c r="G26" s="161"/>
      <c r="H26" s="161"/>
      <c r="I26" s="161"/>
      <c r="J26" s="161"/>
      <c r="K26" s="161"/>
      <c r="L26" s="161"/>
      <c r="M26" s="161"/>
      <c r="N26" s="161"/>
      <c r="O26" s="161"/>
      <c r="P26" s="161"/>
      <c r="Q26" s="161"/>
      <c r="R26" s="161"/>
    </row>
    <row r="27" spans="1:18" ht="16.95" customHeight="1" x14ac:dyDescent="0.3">
      <c r="A27" s="76"/>
      <c r="B27" s="76"/>
      <c r="C27" s="161"/>
      <c r="D27" s="161"/>
      <c r="E27" s="161"/>
      <c r="F27" s="161"/>
      <c r="G27" s="161"/>
      <c r="H27" s="161"/>
      <c r="I27" s="161"/>
      <c r="J27" s="161"/>
      <c r="K27" s="161"/>
      <c r="L27" s="161"/>
      <c r="M27" s="161"/>
      <c r="N27" s="161"/>
      <c r="O27" s="161"/>
      <c r="P27" s="161"/>
      <c r="Q27" s="161"/>
      <c r="R27" s="161"/>
    </row>
    <row r="28" spans="1:18" ht="16.95" customHeight="1" x14ac:dyDescent="0.3">
      <c r="A28" s="76"/>
      <c r="B28" s="76"/>
      <c r="C28" s="162"/>
      <c r="D28" s="162"/>
      <c r="E28" s="162"/>
      <c r="F28" s="162"/>
      <c r="G28" s="162"/>
      <c r="H28" s="162"/>
      <c r="I28" s="162"/>
      <c r="J28" s="162"/>
      <c r="K28" s="162"/>
      <c r="L28" s="162"/>
      <c r="M28" s="162"/>
      <c r="N28" s="162"/>
      <c r="O28" s="162"/>
      <c r="P28" s="162"/>
      <c r="Q28" s="162"/>
      <c r="R28" s="16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22" t="s">
        <v>78</v>
      </c>
      <c r="J31" s="122"/>
      <c r="K31" s="122"/>
      <c r="L31" s="122"/>
      <c r="M31" s="155" t="str">
        <f>INFORMACIÓN!B15</f>
        <v>ING. GABRIEL DURÁN</v>
      </c>
      <c r="N31" s="155"/>
      <c r="O31" s="155"/>
      <c r="P31" s="155"/>
      <c r="Q31" s="155"/>
      <c r="R31" s="155"/>
    </row>
    <row r="32" spans="1:18" ht="16.95" customHeight="1" x14ac:dyDescent="0.3">
      <c r="F32" s="50"/>
      <c r="G32" s="50"/>
      <c r="H32" s="50"/>
      <c r="I32" s="122" t="s">
        <v>79</v>
      </c>
      <c r="J32" s="122"/>
      <c r="K32" s="122"/>
      <c r="L32" s="122"/>
      <c r="M32" s="158">
        <f>INFORMACIÓN!B10</f>
        <v>45911</v>
      </c>
      <c r="N32" s="158"/>
      <c r="O32" s="158"/>
      <c r="P32" s="62"/>
      <c r="Q32" s="62"/>
      <c r="R32" s="50"/>
    </row>
    <row r="33" spans="1:19" ht="16.95" customHeight="1" x14ac:dyDescent="0.3">
      <c r="I33" s="122" t="s">
        <v>83</v>
      </c>
      <c r="J33" s="122"/>
      <c r="K33" s="122"/>
      <c r="L33" s="122"/>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2" t="str">
        <f>O1</f>
        <v>CERTIFICADO N°:</v>
      </c>
      <c r="P38" s="122"/>
      <c r="Q38" s="122"/>
      <c r="R38" s="121" t="str">
        <f>R1</f>
        <v>JD6576-25</v>
      </c>
      <c r="S38" s="121"/>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42" t="s">
        <v>178</v>
      </c>
      <c r="C41" s="142"/>
      <c r="D41" s="142"/>
      <c r="E41" s="142"/>
      <c r="F41" s="142"/>
      <c r="G41" s="142"/>
      <c r="H41" s="142"/>
      <c r="I41" s="142"/>
      <c r="J41" s="142"/>
      <c r="K41" s="142"/>
      <c r="L41" s="142"/>
      <c r="M41" s="142"/>
      <c r="N41" s="142"/>
      <c r="O41" s="142"/>
      <c r="P41" s="142"/>
      <c r="Q41" s="142"/>
      <c r="R41" s="142"/>
      <c r="S41" s="142"/>
    </row>
    <row r="42" spans="1:19" ht="16.95" customHeight="1" x14ac:dyDescent="0.3">
      <c r="A42" s="85"/>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5"/>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0" t="s">
        <v>85</v>
      </c>
      <c r="G45" s="131"/>
      <c r="H45" s="131"/>
      <c r="I45" s="131"/>
      <c r="J45" s="132"/>
      <c r="K45" s="139" t="s">
        <v>86</v>
      </c>
      <c r="L45" s="140"/>
      <c r="M45" s="140"/>
      <c r="N45" s="140"/>
      <c r="O45" s="141"/>
    </row>
    <row r="46" spans="1:19" ht="16.95" customHeight="1" x14ac:dyDescent="0.3">
      <c r="E46" s="74"/>
      <c r="F46" s="134">
        <f>AVERAGE(INFORMACIÓN!B11:B12)</f>
        <v>24.3</v>
      </c>
      <c r="G46" s="135"/>
      <c r="H46" s="70" t="s">
        <v>87</v>
      </c>
      <c r="I46" s="71">
        <f>ABS(INFORMACIÓN!B11-INFORMACIÓN!B12)</f>
        <v>0.39999999999999858</v>
      </c>
      <c r="J46" s="75"/>
      <c r="K46" s="136">
        <f>AVERAGE(INFORMACIÓN!B13:B14)</f>
        <v>61.5</v>
      </c>
      <c r="L46" s="137"/>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3" t="s">
        <v>179</v>
      </c>
      <c r="G48" s="133"/>
      <c r="H48" s="133"/>
      <c r="I48" s="133"/>
      <c r="J48" s="133"/>
      <c r="K48" s="138" t="s">
        <v>180</v>
      </c>
      <c r="L48" s="138"/>
      <c r="M48" s="138"/>
      <c r="N48" s="138"/>
      <c r="O48" s="138"/>
      <c r="P48" s="138"/>
    </row>
    <row r="49" spans="1:19" ht="13.2" customHeight="1" x14ac:dyDescent="0.3"/>
    <row r="50" spans="1:19" ht="16.95" customHeight="1" x14ac:dyDescent="0.3">
      <c r="B50" s="159" t="s">
        <v>88</v>
      </c>
      <c r="C50" s="159"/>
      <c r="D50" s="159"/>
      <c r="E50" s="159"/>
      <c r="F50" s="159"/>
      <c r="G50" s="159"/>
      <c r="H50" s="159"/>
      <c r="I50" s="159"/>
      <c r="J50" s="159"/>
      <c r="K50" s="159"/>
      <c r="L50" s="159"/>
      <c r="M50" s="159"/>
      <c r="N50" s="159"/>
      <c r="O50" s="159"/>
      <c r="P50" s="159"/>
      <c r="Q50" s="159"/>
      <c r="R50" s="159"/>
      <c r="S50" s="159"/>
    </row>
    <row r="51" spans="1:19" ht="16.95" customHeight="1" x14ac:dyDescent="0.3">
      <c r="B51" s="142" t="s">
        <v>181</v>
      </c>
      <c r="C51" s="142"/>
      <c r="D51" s="142"/>
      <c r="E51" s="142"/>
      <c r="F51" s="142"/>
      <c r="G51" s="142"/>
      <c r="H51" s="142"/>
      <c r="I51" s="142"/>
      <c r="J51" s="142"/>
      <c r="K51" s="142"/>
      <c r="L51" s="142"/>
      <c r="M51" s="142"/>
      <c r="N51" s="142"/>
      <c r="O51" s="142"/>
      <c r="P51" s="142"/>
      <c r="Q51" s="142"/>
      <c r="R51" s="142"/>
      <c r="S51" s="142"/>
    </row>
    <row r="52" spans="1:19" ht="16.95" customHeight="1" x14ac:dyDescent="0.3">
      <c r="A52" s="85"/>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5"/>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5"/>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5"/>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5"/>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5"/>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5"/>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42" t="s">
        <v>182</v>
      </c>
      <c r="C61" s="142"/>
      <c r="D61" s="142"/>
      <c r="E61" s="142"/>
      <c r="F61" s="142"/>
      <c r="G61" s="142"/>
      <c r="H61" s="142"/>
      <c r="I61" s="142"/>
      <c r="J61" s="142"/>
      <c r="K61" s="142"/>
      <c r="L61" s="142"/>
      <c r="M61" s="142"/>
      <c r="N61" s="142"/>
      <c r="O61" s="142"/>
      <c r="P61" s="142"/>
      <c r="Q61" s="142"/>
      <c r="R61" s="142"/>
      <c r="S61" s="142"/>
    </row>
    <row r="62" spans="1:19" ht="16.95" customHeight="1" x14ac:dyDescent="0.3">
      <c r="A62" s="85"/>
      <c r="B62" s="143"/>
      <c r="C62" s="143"/>
      <c r="D62" s="143"/>
      <c r="E62" s="143"/>
      <c r="F62" s="143"/>
      <c r="G62" s="143"/>
      <c r="H62" s="143"/>
      <c r="I62" s="143"/>
      <c r="J62" s="143"/>
      <c r="K62" s="143"/>
      <c r="L62" s="143"/>
      <c r="M62" s="143"/>
      <c r="N62" s="143"/>
      <c r="O62" s="143"/>
      <c r="P62" s="143"/>
      <c r="Q62" s="143"/>
      <c r="R62" s="143"/>
      <c r="S62" s="143"/>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42" t="s">
        <v>183</v>
      </c>
      <c r="C65" s="142"/>
      <c r="D65" s="142"/>
      <c r="E65" s="142"/>
      <c r="F65" s="142"/>
      <c r="G65" s="142"/>
      <c r="H65" s="142"/>
      <c r="I65" s="142"/>
      <c r="J65" s="142"/>
      <c r="K65" s="142"/>
      <c r="L65" s="142"/>
      <c r="M65" s="142"/>
      <c r="N65" s="142"/>
      <c r="O65" s="142"/>
      <c r="P65" s="142"/>
      <c r="Q65" s="142"/>
      <c r="R65" s="142"/>
      <c r="S65" s="142"/>
    </row>
    <row r="66" spans="1:19" ht="16.95" customHeight="1" x14ac:dyDescent="0.3">
      <c r="A66" s="85"/>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5"/>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5"/>
      <c r="B68" s="143"/>
      <c r="C68" s="143"/>
      <c r="D68" s="143"/>
      <c r="E68" s="143"/>
      <c r="F68" s="143"/>
      <c r="G68" s="143"/>
      <c r="H68" s="143"/>
      <c r="I68" s="143"/>
      <c r="J68" s="143"/>
      <c r="K68" s="143"/>
      <c r="L68" s="143"/>
      <c r="M68" s="143"/>
      <c r="N68" s="143"/>
      <c r="O68" s="143"/>
      <c r="P68" s="143"/>
      <c r="Q68" s="143"/>
      <c r="R68" s="143"/>
      <c r="S68" s="143"/>
    </row>
    <row r="69" spans="1:19" ht="16.95" customHeight="1" x14ac:dyDescent="0.3"/>
    <row r="70" spans="1:19" ht="16.95" customHeight="1" x14ac:dyDescent="0.3">
      <c r="B70" s="127" t="s">
        <v>91</v>
      </c>
      <c r="C70" s="127"/>
      <c r="D70" s="127"/>
      <c r="E70" s="127"/>
      <c r="F70" s="127"/>
      <c r="G70" s="127"/>
      <c r="H70" s="127" t="s">
        <v>92</v>
      </c>
      <c r="I70" s="127"/>
      <c r="J70" s="127"/>
      <c r="K70" s="127"/>
      <c r="L70" s="127"/>
      <c r="M70" s="127" t="s">
        <v>93</v>
      </c>
      <c r="N70" s="127"/>
      <c r="O70" s="127"/>
      <c r="P70" s="127" t="s">
        <v>94</v>
      </c>
      <c r="Q70" s="127"/>
      <c r="R70" s="127"/>
      <c r="S70" s="127"/>
    </row>
    <row r="71" spans="1:19" ht="16.95" customHeight="1" x14ac:dyDescent="0.3">
      <c r="B71" s="144" t="str">
        <f>[2]PATRON!G35</f>
        <v>Datalogger de Temperatura y Humedad</v>
      </c>
      <c r="C71" s="144"/>
      <c r="D71" s="144"/>
      <c r="E71" s="144"/>
      <c r="F71" s="144"/>
      <c r="G71" s="144"/>
      <c r="H71" s="126" t="s">
        <v>176</v>
      </c>
      <c r="I71" s="126"/>
      <c r="J71" s="126"/>
      <c r="K71" s="126"/>
      <c r="L71" s="126"/>
      <c r="M71" s="128">
        <v>46085</v>
      </c>
      <c r="N71" s="128"/>
      <c r="O71" s="128"/>
      <c r="P71" s="163">
        <v>318690</v>
      </c>
      <c r="Q71" s="163"/>
      <c r="R71" s="163"/>
      <c r="S71" s="163"/>
    </row>
    <row r="72" spans="1:19" ht="16.95" customHeight="1" x14ac:dyDescent="0.3">
      <c r="B72" s="123" t="s">
        <v>148</v>
      </c>
      <c r="C72" s="123"/>
      <c r="D72" s="123"/>
      <c r="E72" s="123"/>
      <c r="F72" s="123"/>
      <c r="G72" s="123"/>
      <c r="H72" s="123">
        <v>230310997</v>
      </c>
      <c r="I72" s="123"/>
      <c r="J72" s="123"/>
      <c r="K72" s="123"/>
      <c r="L72" s="123"/>
      <c r="M72" s="124">
        <v>46055</v>
      </c>
      <c r="N72" s="124"/>
      <c r="O72" s="124"/>
      <c r="P72" s="125" t="s">
        <v>175</v>
      </c>
      <c r="Q72" s="125"/>
      <c r="R72" s="125"/>
      <c r="S72" s="125"/>
    </row>
    <row r="73" spans="1:19" ht="16.95" customHeight="1" x14ac:dyDescent="0.3"/>
    <row r="74" spans="1:19" ht="16.95" customHeight="1" x14ac:dyDescent="0.3"/>
    <row r="75" spans="1:19" ht="16.95" customHeight="1" x14ac:dyDescent="0.3"/>
    <row r="76" spans="1:19" ht="16.95" customHeight="1" x14ac:dyDescent="0.3">
      <c r="O76" s="122" t="str">
        <f>O1</f>
        <v>CERTIFICADO N°:</v>
      </c>
      <c r="P76" s="122"/>
      <c r="Q76" s="122"/>
      <c r="R76" s="121" t="str">
        <f>R1</f>
        <v>JD6576-25</v>
      </c>
      <c r="S76" s="121"/>
    </row>
    <row r="77" spans="1:19" ht="16.95" customHeight="1" x14ac:dyDescent="0.3"/>
    <row r="78" spans="1:19" ht="16.95" customHeight="1" x14ac:dyDescent="0.3">
      <c r="B78" s="157" t="s">
        <v>96</v>
      </c>
      <c r="C78" s="157"/>
      <c r="D78" s="157"/>
      <c r="E78" s="157"/>
      <c r="F78" s="157"/>
      <c r="G78" s="157"/>
      <c r="H78" s="157"/>
      <c r="I78" s="157"/>
      <c r="J78" s="157"/>
      <c r="K78" s="157"/>
      <c r="L78" s="157"/>
      <c r="M78" s="157"/>
      <c r="N78" s="157"/>
      <c r="O78" s="157"/>
      <c r="P78" s="157"/>
      <c r="Q78" s="157"/>
      <c r="R78" s="157"/>
      <c r="S78" s="157"/>
    </row>
    <row r="79" spans="1:19" ht="16.649999999999999" customHeight="1" x14ac:dyDescent="0.3"/>
    <row r="80" spans="1:19" ht="16.95" customHeight="1" x14ac:dyDescent="0.3">
      <c r="B80" s="121" t="s">
        <v>131</v>
      </c>
      <c r="C80" s="121"/>
      <c r="D80" s="121"/>
      <c r="E80" s="121"/>
      <c r="F80" s="121"/>
      <c r="G80" s="121"/>
      <c r="H80" s="121"/>
      <c r="I80" s="118" t="s">
        <v>132</v>
      </c>
      <c r="J80" s="118"/>
      <c r="K80" s="118"/>
      <c r="L80" s="118"/>
      <c r="M80" s="118"/>
      <c r="N80" s="117" t="s">
        <v>186</v>
      </c>
      <c r="O80" s="117"/>
      <c r="P80" s="119" t="s">
        <v>133</v>
      </c>
      <c r="Q80" s="119"/>
      <c r="R80" s="119"/>
      <c r="S80" s="88">
        <v>0.1</v>
      </c>
    </row>
    <row r="81" spans="5:16" ht="15.45" customHeight="1" x14ac:dyDescent="0.3"/>
    <row r="82" spans="5:16" ht="40.799999999999997" customHeight="1" x14ac:dyDescent="0.3">
      <c r="E82" s="170" t="s">
        <v>137</v>
      </c>
      <c r="F82" s="171"/>
      <c r="G82" s="168" t="s">
        <v>136</v>
      </c>
      <c r="H82" s="168"/>
      <c r="I82" s="168" t="s">
        <v>146</v>
      </c>
      <c r="J82" s="168"/>
      <c r="K82" s="168" t="s">
        <v>135</v>
      </c>
      <c r="L82" s="168"/>
      <c r="M82" s="168" t="s">
        <v>134</v>
      </c>
      <c r="N82" s="168"/>
      <c r="O82" s="168"/>
      <c r="P82" s="87" t="s">
        <v>14</v>
      </c>
    </row>
    <row r="83" spans="5:16" ht="16.05" customHeight="1" x14ac:dyDescent="0.3">
      <c r="E83" s="165">
        <f>MEDIDA!B4</f>
        <v>15</v>
      </c>
      <c r="F83" s="166"/>
      <c r="G83" s="120">
        <f>MEDIDA!Q4</f>
        <v>14.9</v>
      </c>
      <c r="H83" s="120"/>
      <c r="I83" s="120">
        <f ca="1">MEDIDA!S4</f>
        <v>14.514585887656818</v>
      </c>
      <c r="J83" s="120"/>
      <c r="K83" s="120">
        <f ca="1">MEDIDA!U4</f>
        <v>-0.38541411234318268</v>
      </c>
      <c r="L83" s="120"/>
      <c r="M83" s="172">
        <v>0.64</v>
      </c>
      <c r="N83" s="173"/>
      <c r="O83" s="173"/>
      <c r="P83" s="91">
        <f>INCERTIDUMBRE!K4</f>
        <v>2.0061182842134806</v>
      </c>
    </row>
    <row r="84" spans="5:16" ht="16.05" customHeight="1" x14ac:dyDescent="0.3">
      <c r="E84" s="165">
        <f>MEDIDA!B5</f>
        <v>23</v>
      </c>
      <c r="F84" s="166"/>
      <c r="G84" s="120">
        <f>MEDIDA!Q5</f>
        <v>22.8</v>
      </c>
      <c r="H84" s="120"/>
      <c r="I84" s="120">
        <f ca="1">MEDIDA!S5</f>
        <v>23.282138225291583</v>
      </c>
      <c r="J84" s="120"/>
      <c r="K84" s="120">
        <f ca="1">MEDIDA!U5</f>
        <v>0.48213822529158179</v>
      </c>
      <c r="L84" s="120"/>
      <c r="M84" s="172">
        <v>0.64</v>
      </c>
      <c r="N84" s="173"/>
      <c r="O84" s="173"/>
      <c r="P84" s="91">
        <f>INCERTIDUMBRE!K5</f>
        <v>2.0061182842134806</v>
      </c>
    </row>
    <row r="85" spans="5:16" ht="16.05" customHeight="1" x14ac:dyDescent="0.3">
      <c r="E85" s="165">
        <f>MEDIDA!B6</f>
        <v>31</v>
      </c>
      <c r="F85" s="166"/>
      <c r="G85" s="120">
        <f>MEDIDA!Q6</f>
        <v>30.3</v>
      </c>
      <c r="H85" s="120"/>
      <c r="I85" s="120">
        <f ca="1">MEDIDA!S6</f>
        <v>29.894923814602468</v>
      </c>
      <c r="J85" s="120"/>
      <c r="K85" s="120">
        <f ca="1">MEDIDA!U6</f>
        <v>-0.4050761853975331</v>
      </c>
      <c r="L85" s="120"/>
      <c r="M85" s="172">
        <v>0.64</v>
      </c>
      <c r="N85" s="173"/>
      <c r="O85" s="173"/>
      <c r="P85" s="91">
        <f>INCERTIDUMBRE!K6</f>
        <v>2.0061182842134806</v>
      </c>
    </row>
    <row r="86" spans="5:16" ht="15.45" customHeight="1" x14ac:dyDescent="0.3">
      <c r="E86" s="100"/>
      <c r="F86" s="100"/>
      <c r="G86" s="104"/>
      <c r="H86" s="104"/>
      <c r="I86" s="104"/>
      <c r="J86" s="104"/>
      <c r="K86" s="104"/>
      <c r="L86" s="104"/>
      <c r="M86" s="105"/>
      <c r="N86" s="100"/>
      <c r="O86" s="100"/>
      <c r="P86" s="104"/>
    </row>
    <row r="87" spans="5:16" ht="16.05" customHeight="1" x14ac:dyDescent="0.3">
      <c r="E87" s="100"/>
      <c r="F87" s="100"/>
      <c r="G87" s="104"/>
      <c r="H87" s="104"/>
      <c r="I87" s="104"/>
      <c r="J87" s="104"/>
      <c r="K87" s="104"/>
      <c r="L87" s="104"/>
      <c r="M87" s="105"/>
      <c r="N87" s="100"/>
      <c r="O87" s="100"/>
      <c r="P87" s="104"/>
    </row>
    <row r="88" spans="5:16" ht="16.05" customHeight="1" x14ac:dyDescent="0.3">
      <c r="E88" s="100"/>
      <c r="F88" s="100"/>
      <c r="G88" s="104"/>
      <c r="H88" s="104"/>
      <c r="I88" s="104"/>
      <c r="J88" s="104"/>
      <c r="K88" s="104"/>
      <c r="L88" s="104"/>
      <c r="M88" s="105"/>
      <c r="N88" s="100"/>
      <c r="O88" s="100"/>
      <c r="P88" s="104"/>
    </row>
    <row r="89" spans="5:16" ht="16.05" customHeight="1" x14ac:dyDescent="0.3">
      <c r="E89" s="100"/>
      <c r="F89" s="100"/>
      <c r="G89" s="104"/>
      <c r="H89" s="104"/>
      <c r="I89" s="104"/>
      <c r="J89" s="104"/>
      <c r="K89" s="104"/>
      <c r="L89" s="104"/>
      <c r="M89" s="105"/>
      <c r="N89" s="100"/>
      <c r="O89" s="100"/>
      <c r="P89" s="104"/>
    </row>
    <row r="90" spans="5:16" ht="16.05" customHeight="1" x14ac:dyDescent="0.3">
      <c r="E90" s="100"/>
      <c r="F90" s="100"/>
      <c r="G90" s="104"/>
      <c r="H90" s="104"/>
      <c r="I90" s="104"/>
      <c r="J90" s="104"/>
      <c r="K90" s="104"/>
      <c r="L90" s="104"/>
      <c r="M90" s="105"/>
      <c r="N90" s="100"/>
      <c r="O90" s="100"/>
      <c r="P90" s="104"/>
    </row>
    <row r="91" spans="5:16" ht="16.05" customHeight="1" x14ac:dyDescent="0.3">
      <c r="E91" s="100"/>
      <c r="F91" s="100"/>
      <c r="G91" s="104"/>
      <c r="H91" s="104"/>
      <c r="I91" s="104"/>
      <c r="J91" s="104"/>
      <c r="K91" s="104"/>
      <c r="L91" s="104"/>
      <c r="M91" s="105"/>
      <c r="N91" s="100"/>
      <c r="O91" s="100"/>
      <c r="P91" s="104"/>
    </row>
    <row r="92" spans="5:16" ht="16.05" customHeight="1" x14ac:dyDescent="0.3">
      <c r="E92" s="100"/>
      <c r="F92" s="100"/>
      <c r="G92" s="104"/>
      <c r="H92" s="104"/>
      <c r="I92" s="104"/>
      <c r="J92" s="104"/>
      <c r="K92" s="104"/>
      <c r="L92" s="104"/>
      <c r="M92" s="105"/>
      <c r="N92" s="100"/>
      <c r="O92" s="100"/>
      <c r="P92" s="104"/>
    </row>
    <row r="93" spans="5:16" ht="16.05" customHeight="1" x14ac:dyDescent="0.3"/>
    <row r="94" spans="5:16" ht="16.05" customHeight="1" x14ac:dyDescent="0.3"/>
    <row r="95" spans="5:16" ht="16.05" customHeight="1" x14ac:dyDescent="0.3"/>
    <row r="96" spans="5:16" ht="16.95" customHeight="1" x14ac:dyDescent="0.3"/>
    <row r="97" spans="2:19" ht="16.2" customHeight="1" x14ac:dyDescent="0.3">
      <c r="B97" s="121" t="s">
        <v>162</v>
      </c>
      <c r="C97" s="121"/>
      <c r="D97" s="121"/>
      <c r="E97" s="121"/>
      <c r="F97" s="121"/>
      <c r="G97" s="121"/>
      <c r="H97" s="121"/>
      <c r="I97" s="118" t="s">
        <v>163</v>
      </c>
      <c r="J97" s="118"/>
      <c r="K97" s="118"/>
      <c r="L97" s="118"/>
      <c r="M97" s="118"/>
      <c r="N97" s="117" t="s">
        <v>185</v>
      </c>
      <c r="O97" s="117"/>
      <c r="P97" s="119" t="s">
        <v>164</v>
      </c>
      <c r="Q97" s="119"/>
      <c r="R97" s="119"/>
      <c r="S97" s="88">
        <v>1</v>
      </c>
    </row>
    <row r="98" spans="2:19" ht="16.8" customHeight="1" x14ac:dyDescent="0.3"/>
    <row r="99" spans="2:19" ht="39" customHeight="1" x14ac:dyDescent="0.3">
      <c r="E99" s="170" t="s">
        <v>140</v>
      </c>
      <c r="F99" s="171"/>
      <c r="G99" s="168" t="s">
        <v>138</v>
      </c>
      <c r="H99" s="168"/>
      <c r="I99" s="168" t="s">
        <v>151</v>
      </c>
      <c r="J99" s="168"/>
      <c r="K99" s="168" t="s">
        <v>139</v>
      </c>
      <c r="L99" s="168"/>
      <c r="M99" s="168" t="s">
        <v>134</v>
      </c>
      <c r="N99" s="168"/>
      <c r="O99" s="168"/>
      <c r="P99" s="87" t="s">
        <v>14</v>
      </c>
    </row>
    <row r="100" spans="2:19" ht="15.45" customHeight="1" x14ac:dyDescent="0.3">
      <c r="E100" s="165">
        <f>MEDIDA!B15</f>
        <v>50</v>
      </c>
      <c r="F100" s="166"/>
      <c r="G100" s="120">
        <f>MEDIDA!D15</f>
        <v>49.7</v>
      </c>
      <c r="H100" s="120"/>
      <c r="I100" s="167">
        <f ca="1">MEDIDA!F15</f>
        <v>49</v>
      </c>
      <c r="J100" s="167"/>
      <c r="K100" s="120">
        <f ca="1">MEDIDA!U15</f>
        <v>-0.70000000000000284</v>
      </c>
      <c r="L100" s="120"/>
      <c r="M100" s="120">
        <v>2.2000000000000002</v>
      </c>
      <c r="N100" s="120"/>
      <c r="O100" s="120"/>
      <c r="P100" s="91">
        <f>INCERTIDUMBRE!K20</f>
        <v>2.0069900785842067</v>
      </c>
    </row>
    <row r="101" spans="2:19" ht="15.45" customHeight="1" x14ac:dyDescent="0.3">
      <c r="E101" s="165">
        <f>MEDIDA!B16</f>
        <v>58</v>
      </c>
      <c r="F101" s="166"/>
      <c r="G101" s="120">
        <f>MEDIDA!D16</f>
        <v>57.6</v>
      </c>
      <c r="H101" s="120"/>
      <c r="I101" s="167">
        <f ca="1">MEDIDA!F16</f>
        <v>60</v>
      </c>
      <c r="J101" s="167"/>
      <c r="K101" s="120">
        <f ca="1">MEDIDA!U16</f>
        <v>2.3999999999999986</v>
      </c>
      <c r="L101" s="120"/>
      <c r="M101" s="120">
        <v>2.2000000000000002</v>
      </c>
      <c r="N101" s="120"/>
      <c r="O101" s="120"/>
      <c r="P101" s="91">
        <f>INCERTIDUMBRE!K21</f>
        <v>2.0069900785842067</v>
      </c>
    </row>
    <row r="102" spans="2:19" x14ac:dyDescent="0.3">
      <c r="E102" s="165">
        <f>MEDIDA!B17</f>
        <v>65</v>
      </c>
      <c r="F102" s="166"/>
      <c r="G102" s="120">
        <f>MEDIDA!D17</f>
        <v>64.3</v>
      </c>
      <c r="H102" s="120"/>
      <c r="I102" s="167">
        <f ca="1">MEDIDA!F17</f>
        <v>65</v>
      </c>
      <c r="J102" s="167"/>
      <c r="K102" s="120">
        <f ca="1">MEDIDA!U17</f>
        <v>0.70000000000000284</v>
      </c>
      <c r="L102" s="120"/>
      <c r="M102" s="120">
        <v>2.2000000000000002</v>
      </c>
      <c r="N102" s="120"/>
      <c r="O102" s="120"/>
      <c r="P102" s="91">
        <f>INCERTIDUMBRE!K22</f>
        <v>2.0069900785842067</v>
      </c>
    </row>
    <row r="103" spans="2:19" x14ac:dyDescent="0.3">
      <c r="E103" s="100"/>
      <c r="F103" s="100"/>
      <c r="G103" s="104"/>
      <c r="H103" s="104"/>
      <c r="I103" s="104"/>
      <c r="J103" s="104"/>
      <c r="K103" s="104"/>
      <c r="L103" s="104"/>
      <c r="M103" s="105"/>
      <c r="N103" s="100"/>
      <c r="O103" s="100"/>
      <c r="P103" s="104"/>
    </row>
    <row r="104" spans="2:19" x14ac:dyDescent="0.3">
      <c r="E104" s="100"/>
      <c r="F104" s="100"/>
      <c r="G104" s="104"/>
      <c r="H104" s="104"/>
      <c r="I104" s="104"/>
      <c r="J104" s="104"/>
      <c r="K104" s="104"/>
      <c r="L104" s="104"/>
      <c r="M104" s="105"/>
      <c r="N104" s="100"/>
      <c r="O104" s="100"/>
      <c r="P104" s="104"/>
    </row>
    <row r="105" spans="2:19" x14ac:dyDescent="0.3">
      <c r="E105" s="100"/>
      <c r="F105" s="100"/>
      <c r="G105" s="104"/>
      <c r="H105" s="104"/>
      <c r="I105" s="104"/>
      <c r="J105" s="104"/>
      <c r="K105" s="104"/>
      <c r="L105" s="104"/>
      <c r="M105" s="105"/>
      <c r="N105" s="100"/>
      <c r="O105" s="100"/>
      <c r="P105" s="104"/>
    </row>
    <row r="106" spans="2:19" x14ac:dyDescent="0.3">
      <c r="E106" s="100"/>
      <c r="F106" s="100"/>
      <c r="G106" s="104"/>
      <c r="H106" s="104"/>
      <c r="I106" s="104"/>
      <c r="J106" s="104"/>
      <c r="K106" s="104"/>
      <c r="L106" s="104"/>
      <c r="M106" s="105"/>
      <c r="N106" s="100"/>
      <c r="O106" s="100"/>
      <c r="P106" s="104"/>
    </row>
    <row r="107" spans="2:19" x14ac:dyDescent="0.3">
      <c r="E107" s="100"/>
      <c r="F107" s="100"/>
      <c r="G107" s="104"/>
      <c r="H107" s="104"/>
      <c r="I107" s="104"/>
      <c r="J107" s="104"/>
      <c r="K107" s="104"/>
      <c r="L107" s="104"/>
      <c r="M107" s="105"/>
      <c r="N107" s="100"/>
      <c r="O107" s="100"/>
      <c r="P107" s="104"/>
    </row>
    <row r="108" spans="2:19" x14ac:dyDescent="0.3">
      <c r="E108" s="100"/>
      <c r="F108" s="100"/>
      <c r="G108" s="104"/>
      <c r="H108" s="104"/>
      <c r="I108" s="104"/>
      <c r="J108" s="104"/>
      <c r="K108" s="104"/>
      <c r="L108" s="104"/>
      <c r="M108" s="105"/>
      <c r="N108" s="100"/>
      <c r="O108" s="100"/>
      <c r="P108" s="104"/>
    </row>
    <row r="109" spans="2:19" x14ac:dyDescent="0.3">
      <c r="E109" s="100"/>
      <c r="F109" s="100"/>
      <c r="G109" s="104"/>
      <c r="H109" s="104"/>
      <c r="I109" s="104"/>
      <c r="J109" s="104"/>
      <c r="K109" s="104"/>
      <c r="L109" s="104"/>
      <c r="M109" s="105"/>
      <c r="N109" s="100"/>
      <c r="O109" s="100"/>
      <c r="P109" s="104"/>
    </row>
    <row r="110" spans="2:19" x14ac:dyDescent="0.3">
      <c r="E110" s="100"/>
      <c r="F110" s="100"/>
      <c r="G110" s="104"/>
      <c r="H110" s="104"/>
      <c r="I110" s="104"/>
      <c r="J110" s="104"/>
      <c r="K110" s="104"/>
      <c r="L110" s="104"/>
      <c r="M110" s="105"/>
      <c r="N110" s="100"/>
      <c r="O110" s="100"/>
      <c r="P110" s="104"/>
    </row>
    <row r="111" spans="2:19" x14ac:dyDescent="0.3">
      <c r="E111" s="100"/>
      <c r="F111" s="100"/>
      <c r="G111" s="104"/>
      <c r="H111" s="104"/>
      <c r="I111" s="104"/>
      <c r="J111" s="104"/>
      <c r="K111" s="104"/>
      <c r="L111" s="104"/>
      <c r="M111" s="105"/>
      <c r="N111" s="100"/>
      <c r="O111" s="100"/>
      <c r="P111" s="104"/>
    </row>
    <row r="112" spans="2:19" ht="17.399999999999999" customHeight="1" x14ac:dyDescent="0.3"/>
    <row r="113" spans="2:19" ht="15.45" customHeight="1" x14ac:dyDescent="0.3">
      <c r="O113" s="159" t="str">
        <f>O76</f>
        <v>CERTIFICADO N°:</v>
      </c>
      <c r="P113" s="159"/>
      <c r="Q113" s="159"/>
      <c r="R113" s="169" t="str">
        <f>R76</f>
        <v>JD6576-25</v>
      </c>
      <c r="S113" s="169"/>
    </row>
    <row r="114" spans="2:19" ht="15.45" customHeight="1" x14ac:dyDescent="0.3"/>
    <row r="117" spans="2:19" ht="16.8" customHeight="1" x14ac:dyDescent="0.3">
      <c r="B117" s="157" t="s">
        <v>97</v>
      </c>
      <c r="C117" s="157"/>
      <c r="D117" s="157"/>
      <c r="E117" s="157"/>
      <c r="F117" s="157"/>
      <c r="G117" s="157"/>
      <c r="H117" s="157"/>
      <c r="I117" s="157"/>
      <c r="J117" s="157"/>
      <c r="K117" s="157"/>
      <c r="L117" s="157"/>
      <c r="M117" s="157"/>
      <c r="N117" s="157"/>
      <c r="O117" s="157"/>
      <c r="P117" s="157"/>
      <c r="Q117" s="157"/>
      <c r="R117" s="157"/>
      <c r="S117" s="157"/>
    </row>
    <row r="118" spans="2:19" ht="16.8" customHeight="1" x14ac:dyDescent="0.3"/>
    <row r="119" spans="2:19" ht="16.8" customHeight="1" x14ac:dyDescent="0.3">
      <c r="B119" s="145" t="s">
        <v>98</v>
      </c>
      <c r="C119" s="145"/>
      <c r="D119" s="145"/>
      <c r="E119" s="145"/>
      <c r="F119" s="145"/>
      <c r="G119" s="145"/>
      <c r="I119" s="76" t="s">
        <v>99</v>
      </c>
      <c r="J119" s="76"/>
      <c r="K119" s="76"/>
      <c r="L119" s="76"/>
      <c r="M119" s="76"/>
      <c r="N119" s="76"/>
      <c r="O119" s="76"/>
      <c r="P119" s="76"/>
      <c r="Q119" s="76"/>
      <c r="R119" s="76"/>
      <c r="S119" s="76"/>
    </row>
    <row r="120" spans="2:19" ht="16.8" customHeight="1" x14ac:dyDescent="0.3">
      <c r="B120" s="146" t="s">
        <v>100</v>
      </c>
      <c r="C120" s="146"/>
      <c r="D120" s="146"/>
      <c r="E120" s="146"/>
      <c r="F120" s="146"/>
      <c r="G120" s="146"/>
      <c r="I120" s="76" t="s">
        <v>99</v>
      </c>
    </row>
    <row r="121" spans="2:19" ht="16.8" customHeight="1" x14ac:dyDescent="0.3">
      <c r="B121" s="145" t="s">
        <v>101</v>
      </c>
      <c r="C121" s="145"/>
      <c r="D121" s="145"/>
      <c r="E121" s="145"/>
      <c r="F121" s="145"/>
      <c r="G121" s="145"/>
      <c r="I121" s="76" t="s">
        <v>99</v>
      </c>
      <c r="J121" s="76"/>
      <c r="K121" s="76"/>
      <c r="L121" s="76"/>
      <c r="M121" s="76"/>
      <c r="N121" s="76"/>
      <c r="O121" s="76"/>
      <c r="P121" s="76"/>
      <c r="Q121" s="76"/>
      <c r="R121" s="76"/>
      <c r="S121" s="76"/>
    </row>
    <row r="122" spans="2:19" x14ac:dyDescent="0.3">
      <c r="B122" s="164" t="s">
        <v>102</v>
      </c>
      <c r="C122" s="164"/>
      <c r="D122" s="164"/>
      <c r="E122" s="164"/>
      <c r="F122" s="164"/>
      <c r="G122" s="164"/>
      <c r="I122" s="86" t="s">
        <v>141</v>
      </c>
      <c r="J122" s="86"/>
      <c r="K122" s="86"/>
      <c r="L122" s="86"/>
      <c r="M122" s="86"/>
      <c r="N122" s="86"/>
      <c r="O122" s="86"/>
      <c r="P122" s="86"/>
      <c r="Q122" s="86"/>
      <c r="R122" s="86"/>
      <c r="S122" s="86"/>
    </row>
    <row r="126" spans="2:19" ht="24" customHeight="1" x14ac:dyDescent="0.3">
      <c r="B126" s="156" t="s">
        <v>184</v>
      </c>
      <c r="C126" s="156"/>
      <c r="D126" s="156"/>
      <c r="E126" s="156"/>
      <c r="F126" s="156"/>
      <c r="G126" s="156"/>
      <c r="H126" s="156"/>
      <c r="I126" s="156"/>
      <c r="J126" s="156"/>
      <c r="K126" s="156"/>
      <c r="L126" s="156"/>
      <c r="M126" s="156"/>
      <c r="N126" s="156"/>
      <c r="O126" s="156"/>
      <c r="P126" s="156"/>
      <c r="Q126" s="156"/>
      <c r="R126" s="156"/>
      <c r="S126" s="156"/>
    </row>
    <row r="138" ht="16.2" customHeight="1" x14ac:dyDescent="0.3"/>
    <row r="143" ht="16.8" customHeight="1" x14ac:dyDescent="0.3"/>
    <row r="144" ht="24" customHeight="1" x14ac:dyDescent="0.3"/>
    <row r="148" ht="16.8" customHeight="1" x14ac:dyDescent="0.3"/>
    <row r="152" ht="24" customHeight="1" x14ac:dyDescent="0.3"/>
  </sheetData>
  <mergeCells count="128">
    <mergeCell ref="R113:S113"/>
    <mergeCell ref="E82:F82"/>
    <mergeCell ref="G82:H82"/>
    <mergeCell ref="I82:J82"/>
    <mergeCell ref="K82:L82"/>
    <mergeCell ref="M82:O82"/>
    <mergeCell ref="E83:F83"/>
    <mergeCell ref="M83:O83"/>
    <mergeCell ref="M84:O84"/>
    <mergeCell ref="O113:Q113"/>
    <mergeCell ref="M85:O85"/>
    <mergeCell ref="M100:O100"/>
    <mergeCell ref="N97:O97"/>
    <mergeCell ref="P97:R97"/>
    <mergeCell ref="E99:F99"/>
    <mergeCell ref="E101:F101"/>
    <mergeCell ref="G101:H101"/>
    <mergeCell ref="I101:J101"/>
    <mergeCell ref="K101:L101"/>
    <mergeCell ref="M101:O101"/>
    <mergeCell ref="B122:G122"/>
    <mergeCell ref="E85:F85"/>
    <mergeCell ref="G85:H85"/>
    <mergeCell ref="I85:J85"/>
    <mergeCell ref="K85:L85"/>
    <mergeCell ref="E84:F84"/>
    <mergeCell ref="G84:H84"/>
    <mergeCell ref="I84:J84"/>
    <mergeCell ref="K84:L84"/>
    <mergeCell ref="E100:F100"/>
    <mergeCell ref="G100:H100"/>
    <mergeCell ref="I100:J100"/>
    <mergeCell ref="K100:L100"/>
    <mergeCell ref="B97:H97"/>
    <mergeCell ref="I97:M97"/>
    <mergeCell ref="E102:F102"/>
    <mergeCell ref="G102:H102"/>
    <mergeCell ref="I102:J102"/>
    <mergeCell ref="K102:L102"/>
    <mergeCell ref="M102:O102"/>
    <mergeCell ref="M99:O99"/>
    <mergeCell ref="K99:L99"/>
    <mergeCell ref="I99:J99"/>
    <mergeCell ref="G99:H99"/>
    <mergeCell ref="B126:S126"/>
    <mergeCell ref="B119:G119"/>
    <mergeCell ref="B120:G120"/>
    <mergeCell ref="B121:G121"/>
    <mergeCell ref="B117:S117"/>
    <mergeCell ref="C15:R15"/>
    <mergeCell ref="C17:G17"/>
    <mergeCell ref="C18:G18"/>
    <mergeCell ref="I13:R13"/>
    <mergeCell ref="R76:S76"/>
    <mergeCell ref="O76:Q76"/>
    <mergeCell ref="B78:S78"/>
    <mergeCell ref="B41:S43"/>
    <mergeCell ref="B40:S40"/>
    <mergeCell ref="M32:O32"/>
    <mergeCell ref="I32:L32"/>
    <mergeCell ref="I33:L33"/>
    <mergeCell ref="B50:S50"/>
    <mergeCell ref="C23:R28"/>
    <mergeCell ref="M31:R31"/>
    <mergeCell ref="I31:L31"/>
    <mergeCell ref="B65:S68"/>
    <mergeCell ref="P71:S71"/>
    <mergeCell ref="H70:L70"/>
    <mergeCell ref="I7:R7"/>
    <mergeCell ref="I8:R8"/>
    <mergeCell ref="I11:R11"/>
    <mergeCell ref="I12:R12"/>
    <mergeCell ref="C19:G19"/>
    <mergeCell ref="C20:G20"/>
    <mergeCell ref="C21:G21"/>
    <mergeCell ref="I17:R17"/>
    <mergeCell ref="I18:R18"/>
    <mergeCell ref="I19:R19"/>
    <mergeCell ref="I20:R20"/>
    <mergeCell ref="I21:R21"/>
    <mergeCell ref="K45:O45"/>
    <mergeCell ref="B51:S58"/>
    <mergeCell ref="B61:S62"/>
    <mergeCell ref="B70:G70"/>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N80:O80"/>
    <mergeCell ref="I80:M80"/>
    <mergeCell ref="P80:R80"/>
    <mergeCell ref="G83:H83"/>
    <mergeCell ref="I83:J83"/>
    <mergeCell ref="K83:L83"/>
    <mergeCell ref="R38:S38"/>
    <mergeCell ref="O38:Q38"/>
    <mergeCell ref="B80:H80"/>
    <mergeCell ref="B72:G72"/>
    <mergeCell ref="H72:L72"/>
    <mergeCell ref="M72:O72"/>
    <mergeCell ref="P72:S72"/>
    <mergeCell ref="H71:L71"/>
    <mergeCell ref="M70:O70"/>
    <mergeCell ref="M71:O71"/>
    <mergeCell ref="P70:S70"/>
    <mergeCell ref="B60:S60"/>
    <mergeCell ref="B64:S64"/>
    <mergeCell ref="F45:J45"/>
    <mergeCell ref="F48:J48"/>
    <mergeCell ref="F46:G46"/>
    <mergeCell ref="K46:L46"/>
    <mergeCell ref="K48:P48"/>
  </mergeCells>
  <phoneticPr fontId="24" type="noConversion"/>
  <pageMargins left="0.51181102362204722" right="0.43307086614173229" top="1.6929133858267718" bottom="1.299212598425197" header="0.31496062992125984" footer="0.9055118110236221"/>
  <pageSetup paperSize="9" scale="98"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3" manualBreakCount="3">
    <brk id="37" max="16383" man="1"/>
    <brk id="75" max="19" man="1"/>
    <brk id="112"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BIOMEDICA</cp:lastModifiedBy>
  <cp:lastPrinted>2026-07-29T20:38:10Z</cp:lastPrinted>
  <dcterms:created xsi:type="dcterms:W3CDTF">2012-07-25T22:15:54Z</dcterms:created>
  <dcterms:modified xsi:type="dcterms:W3CDTF">2026-07-29T20:38:14Z</dcterms:modified>
</cp:coreProperties>
</file>