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665F63B-BE44-4088-BE3A-8899F15C34CA}"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0" i="31" l="1"/>
  <c r="I95" i="31" l="1"/>
  <c r="I93" i="31"/>
  <c r="F81" i="31"/>
  <c r="I111" i="31" l="1"/>
  <c r="I110" i="31"/>
  <c r="I109" i="31"/>
  <c r="I108" i="31"/>
  <c r="I102" i="31"/>
  <c r="I100" i="31"/>
  <c r="I87" i="31"/>
  <c r="I86"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<sst xmlns="http://schemas.openxmlformats.org/spreadsheetml/2006/main" count="939" uniqueCount="133">
  <si>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</si>
  <si>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</si>
  <si>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</si>
  <si>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</si>
  <si>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</si>
  <si>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</si>
  <si>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</si>
  <si>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</si>
  <si>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</si>
  <si>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</si>
  <si>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</si>
  <si>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</si>
  <si>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</si>
  <si>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</si>
  <si>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</si>
  <si>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</si>
  <si>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</si>
  <si>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</si>
  <si>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</si>
  <si>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</si>
  <si>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</si>
  <si>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</si>
  <si>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</si>
  <si>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</si>
  <si>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</si>
  <si>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</si>
  <si>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</si>
  <si>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</si>
  <si>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</si>
  <si>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</si>
  <si>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</si>
  <si>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</si>
  <si>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</si>
  <si>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</si>
  <si>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</si>
  <si>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</si>
  <si>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</si>
  <si>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</si>
  <si>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</si>
  <si>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</si>
  <si>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</si>
  <si>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</si>
  <si>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</si>
  <si>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</si>
  <si>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</si>
  <si>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</si>
  <si>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</si>
  <si>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</si>
  <si>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</si>
  <si>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</si>
  <si>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</si>
  <si>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</si>
  <si>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</si>
  <si>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</si>
  <si>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</si>
  <si>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</si>
  <si>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</si>
  <si>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</si>
  <si>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</si>
  <si>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</si>
  <si>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</si>
  <si>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</si>
  <si>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</si>
  <si>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</si>
  <si>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</si>
  <si>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</si>
  <si>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</si>
  <si>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</si>
  <si>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</si>
  <si>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</si>
  <si>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</si>
  <si>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</si>
  <si>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</si>
  <si>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</si>
  <si>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</si>
  <si>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</si>
  <si>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</si>
  <si>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</si>
  <si>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</si>
  <si>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</si>
  <si>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</si>
  <si>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</si>
  <si>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</si>
  <si>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</si>
  <si>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</si>
  <si>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</si>
  <si>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</si>
  <si>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</si>
  <si>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</si>
  <si>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</si>
  <si>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</si>
  <si>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</si>
  <si>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</si>
  <si>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</si>
  <si>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</si>
  <si>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</si>
  <si>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</si>
  <si>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</si>
  <si>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</si>
  <si>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</si>
  <si>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</si>
  <si>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</si>
  <si>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</si>
  <si>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</si>
  <si>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</si>
  <si>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</si>
  <si>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</si>
  <si>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</si>
  <si>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</si>
  <si>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</si>
  <si>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</si>
  <si>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</si>
  <si>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</si>
  <si>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</si>
  <si>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</si>
  <si>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</si>
  <si>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</si>
  <si>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</si>
  <si>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</si>
  <si>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</si>
  <si>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</si>
  <si>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</si>
  <si>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PRUEBA DE FUGA DE CHASÍS POLARIDAD INVERSA</t>
  </si>
  <si>
    <t>Analizador de Seguridad Eléctrica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</si>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</sst>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11" fillId="0" borderId="4" xfId="0" applyFont="1" applyBorder="1" applyAlignment="1">
      <alignment horizontal="center" vertical="center"/>
    </xf>
    <xf numFmtId="0" fontId="8" fillId="0" borderId="4" xfId="0" applyFont="1" applyBorder="1" applyAlignment="1">
      <alignment horizontal="center"/>
    </xf>
    <xf numFmtId="0" fontId="8"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164" fontId="8" fillId="0" borderId="4"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Alignment="1">
      <alignment horizontal="center" vertical="center"/>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8"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164" fontId="8" fillId="0" borderId="4" xfId="0" applyNumberFormat="1" applyFont="1" applyBorder="1" applyAlignment="1">
      <alignment horizont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12" fillId="0" borderId="17" xfId="0" applyFont="1" applyBorder="1" applyAlignment="1">
      <alignment horizontal="center" vertical="center"/>
    </xf>
    <xf numFmtId="0" fontId="3" fillId="0" borderId="0" xfId="0" applyFont="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165" fontId="7" fillId="0" borderId="0" xfId="0" applyNumberFormat="1" applyFont="1" applyAlignment="1">
      <alignment horizontal="left" vertical="center"/>
    </xf>
    <xf numFmtId="0" fontId="3" fillId="0" borderId="24" xfId="0" applyFont="1" applyBorder="1" applyAlignment="1">
      <alignment horizont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zoomScaleNormal="100" workbookViewId="0">
      <selection activeCell="R86" sqref="R8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47"/>
      <c r="J1" s="147"/>
      <c r="K1" s="147"/>
      <c r="M1" s="43"/>
      <c r="O1" s="144" t="s">
        <v>53</v>
      </c>
      <c r="P1" s="144"/>
      <c r="Q1" s="144"/>
      <c r="R1" s="145">
        <f>INFORMACIÓN!G3</f>
        <v>0</v>
      </c>
      <c r="S1" s="145"/>
    </row>
    <row r="2" spans="1:27" ht="16.95" customHeight="1" x14ac:dyDescent="0.3">
      <c r="G2" s="149"/>
      <c r="H2" s="149"/>
      <c r="I2" s="149"/>
      <c r="J2" s="148"/>
      <c r="K2" s="148"/>
    </row>
    <row r="3" spans="1:27" ht="16.95" customHeight="1" x14ac:dyDescent="0.3">
      <c r="B3" s="62"/>
      <c r="C3" s="150" t="s">
        <v>44</v>
      </c>
      <c r="D3" s="150"/>
      <c r="E3" s="150"/>
      <c r="F3" s="150"/>
      <c r="G3" s="150"/>
      <c r="H3" s="150"/>
      <c r="I3" s="150"/>
      <c r="J3" s="150"/>
      <c r="K3" s="150"/>
      <c r="L3" s="150"/>
      <c r="M3" s="150"/>
      <c r="N3" s="150"/>
      <c r="O3" s="150"/>
      <c r="P3" s="150"/>
      <c r="Q3" s="150"/>
      <c r="R3" s="150"/>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44" t="s">
        <v>35</v>
      </c>
      <c r="D5" s="144"/>
      <c r="E5" s="144"/>
      <c r="F5" s="144"/>
      <c r="G5" s="144"/>
      <c r="H5" s="32"/>
      <c r="I5" s="146">
        <f>INFORMACIÓN!A3</f>
        <v>0</v>
      </c>
      <c r="J5" s="146"/>
      <c r="K5" s="146"/>
      <c r="L5" s="146"/>
      <c r="M5" s="146"/>
      <c r="N5" s="146"/>
      <c r="O5" s="146"/>
      <c r="P5" s="146"/>
      <c r="Q5" s="146"/>
      <c r="R5" s="146"/>
      <c r="S5"/>
      <c r="T5"/>
      <c r="U5"/>
      <c r="V5"/>
      <c r="W5"/>
      <c r="X5"/>
      <c r="Y5"/>
      <c r="Z5"/>
      <c r="AA5"/>
    </row>
    <row r="6" spans="1:27" s="33" customFormat="1" ht="16.95" customHeight="1" x14ac:dyDescent="0.3">
      <c r="B6" s="57"/>
      <c r="C6" s="144" t="s">
        <v>36</v>
      </c>
      <c r="D6" s="144"/>
      <c r="E6" s="144"/>
      <c r="F6" s="144"/>
      <c r="G6" s="144"/>
      <c r="H6" s="32"/>
      <c r="I6" s="146">
        <f>INFORMACIÓN!B3</f>
        <v>0</v>
      </c>
      <c r="J6" s="146"/>
      <c r="K6" s="146"/>
      <c r="L6" s="146"/>
      <c r="M6" s="146"/>
      <c r="N6" s="146"/>
      <c r="O6" s="146"/>
      <c r="P6" s="146"/>
      <c r="Q6" s="146"/>
      <c r="R6" s="146"/>
      <c r="S6"/>
      <c r="T6"/>
      <c r="U6"/>
      <c r="V6"/>
      <c r="W6"/>
      <c r="X6"/>
      <c r="Y6"/>
      <c r="Z6"/>
      <c r="AA6"/>
    </row>
    <row r="7" spans="1:27" s="33" customFormat="1" ht="16.95" customHeight="1" x14ac:dyDescent="0.3">
      <c r="B7" s="57"/>
      <c r="C7" s="144" t="s">
        <v>37</v>
      </c>
      <c r="D7" s="144"/>
      <c r="E7" s="144"/>
      <c r="F7" s="144"/>
      <c r="G7" s="144"/>
      <c r="H7" s="32"/>
      <c r="I7" s="146">
        <f>INFORMACIÓN!C3</f>
        <v>0</v>
      </c>
      <c r="J7" s="146"/>
      <c r="K7" s="146"/>
      <c r="L7" s="146"/>
      <c r="M7" s="146"/>
      <c r="N7" s="146"/>
      <c r="O7" s="146"/>
      <c r="P7" s="146"/>
      <c r="Q7" s="146"/>
      <c r="R7" s="146"/>
      <c r="S7"/>
      <c r="T7"/>
      <c r="U7"/>
      <c r="V7"/>
      <c r="W7"/>
      <c r="X7"/>
      <c r="Y7"/>
      <c r="Z7"/>
      <c r="AA7"/>
    </row>
    <row r="8" spans="1:27" s="33" customFormat="1" ht="16.95" customHeight="1" x14ac:dyDescent="0.3">
      <c r="B8" s="57"/>
      <c r="C8" s="144" t="s">
        <v>38</v>
      </c>
      <c r="D8" s="144"/>
      <c r="E8" s="144"/>
      <c r="F8" s="144"/>
      <c r="G8" s="144"/>
      <c r="H8" s="32"/>
      <c r="I8" s="151">
        <f>INFORMACIÓN!D3</f>
        <v>0</v>
      </c>
      <c r="J8" s="146"/>
      <c r="K8" s="146"/>
      <c r="L8" s="146"/>
      <c r="M8" s="146"/>
      <c r="N8" s="146"/>
      <c r="O8" s="146"/>
      <c r="P8" s="146"/>
      <c r="Q8" s="146"/>
      <c r="R8" s="146"/>
      <c r="S8"/>
      <c r="T8"/>
      <c r="U8"/>
      <c r="V8"/>
      <c r="W8"/>
      <c r="X8"/>
      <c r="Y8"/>
      <c r="Z8"/>
      <c r="AA8"/>
    </row>
    <row r="9" spans="1:27" s="33" customFormat="1" ht="16.95" customHeight="1" x14ac:dyDescent="0.3">
      <c r="B9" s="57"/>
      <c r="C9" s="144" t="s">
        <v>39</v>
      </c>
      <c r="D9" s="144"/>
      <c r="E9" s="144"/>
      <c r="F9" s="144"/>
      <c r="G9" s="144"/>
      <c r="H9" s="32"/>
      <c r="I9" s="151">
        <f>INFORMACIÓN!F3</f>
        <v>0</v>
      </c>
      <c r="J9" s="146"/>
      <c r="K9" s="146"/>
      <c r="L9" s="146"/>
      <c r="M9" s="146"/>
      <c r="N9" s="146"/>
      <c r="O9" s="146"/>
      <c r="P9" s="146"/>
      <c r="Q9" s="146"/>
      <c r="R9" s="146"/>
      <c r="S9"/>
      <c r="T9"/>
      <c r="U9"/>
      <c r="V9"/>
      <c r="W9"/>
      <c r="X9"/>
      <c r="Y9"/>
      <c r="Z9"/>
      <c r="AA9"/>
    </row>
    <row r="10" spans="1:27" s="33" customFormat="1" ht="16.95" customHeight="1" x14ac:dyDescent="0.3">
      <c r="B10" s="57"/>
      <c r="C10" s="144" t="s">
        <v>41</v>
      </c>
      <c r="D10" s="144"/>
      <c r="E10" s="144"/>
      <c r="F10" s="144"/>
      <c r="G10" s="144"/>
      <c r="H10" s="32"/>
      <c r="I10" s="152">
        <f>INFORMACIÓN!E3</f>
        <v>0</v>
      </c>
      <c r="J10" s="146"/>
      <c r="K10" s="146"/>
      <c r="L10" s="146"/>
      <c r="M10" s="146"/>
      <c r="N10" s="146"/>
      <c r="O10" s="146"/>
      <c r="P10" s="146"/>
      <c r="Q10" s="146"/>
      <c r="R10" s="146"/>
      <c r="S10"/>
      <c r="T10"/>
      <c r="U10"/>
      <c r="V10"/>
      <c r="W10"/>
      <c r="X10"/>
      <c r="Y10"/>
      <c r="Z10"/>
      <c r="AA10"/>
    </row>
    <row r="11" spans="1:27" s="33" customFormat="1" ht="16.95" customHeight="1" x14ac:dyDescent="0.3">
      <c r="B11" s="57"/>
      <c r="C11" s="144" t="s">
        <v>40</v>
      </c>
      <c r="D11" s="144"/>
      <c r="E11" s="144"/>
      <c r="F11" s="144"/>
      <c r="G11" s="144"/>
      <c r="H11" s="32"/>
      <c r="I11" s="146" t="str">
        <f>INFORMACIÓN!B8</f>
        <v>BUEN ESTADO</v>
      </c>
      <c r="J11" s="146"/>
      <c r="K11" s="146"/>
      <c r="L11" s="146"/>
      <c r="M11" s="146"/>
      <c r="N11" s="146"/>
      <c r="O11" s="146"/>
      <c r="P11" s="146"/>
      <c r="Q11" s="146"/>
      <c r="R11" s="146"/>
      <c r="S11"/>
      <c r="T11"/>
      <c r="U11"/>
      <c r="V11"/>
      <c r="W11"/>
      <c r="X11"/>
      <c r="Y11"/>
      <c r="Z11"/>
      <c r="AA11"/>
    </row>
    <row r="12" spans="1:27" s="33" customFormat="1" ht="16.95" customHeight="1" x14ac:dyDescent="0.3">
      <c r="B12" s="57"/>
      <c r="C12" s="144" t="s">
        <v>50</v>
      </c>
      <c r="D12" s="144"/>
      <c r="E12" s="144"/>
      <c r="F12" s="144"/>
      <c r="G12" s="144"/>
      <c r="H12" s="58"/>
      <c r="I12" s="153">
        <f>INFORMACIÓN!H3</f>
        <v>0</v>
      </c>
      <c r="J12" s="153"/>
      <c r="K12" s="153"/>
      <c r="L12" s="153"/>
      <c r="M12" s="153"/>
      <c r="N12" s="153"/>
      <c r="O12" s="153"/>
      <c r="P12" s="153"/>
      <c r="Q12" s="153"/>
      <c r="R12" s="153"/>
      <c r="S12"/>
      <c r="T12"/>
      <c r="U12"/>
      <c r="V12"/>
      <c r="W12"/>
      <c r="X12"/>
      <c r="Y12"/>
      <c r="Z12"/>
      <c r="AA12"/>
    </row>
    <row r="13" spans="1:27" s="33" customFormat="1" ht="16.95" customHeight="1" x14ac:dyDescent="0.3">
      <c r="B13" s="57"/>
      <c r="C13" s="144" t="s">
        <v>49</v>
      </c>
      <c r="D13" s="144"/>
      <c r="E13" s="144"/>
      <c r="F13" s="144"/>
      <c r="G13" s="144"/>
      <c r="H13" s="58"/>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121" t="s">
        <v>45</v>
      </c>
      <c r="D17" s="121"/>
      <c r="E17" s="121"/>
      <c r="F17" s="121"/>
      <c r="G17" s="121"/>
      <c r="H17" s="30"/>
      <c r="I17" s="127" t="str">
        <f>INFORMACIÓN!E7</f>
        <v xml:space="preserve">HOSPITAL DE ALTA COMPLEJIDAD DEL MAGDALENA CENTRO </v>
      </c>
      <c r="J17" s="127"/>
      <c r="K17" s="127"/>
      <c r="L17" s="127"/>
      <c r="M17" s="127"/>
      <c r="N17" s="127"/>
      <c r="O17" s="127"/>
      <c r="P17" s="127"/>
      <c r="Q17" s="127"/>
      <c r="R17" s="127"/>
    </row>
    <row r="18" spans="1:18" ht="16.95" customHeight="1" x14ac:dyDescent="0.3">
      <c r="B18" s="31"/>
      <c r="C18" s="121" t="s">
        <v>46</v>
      </c>
      <c r="D18" s="121"/>
      <c r="E18" s="121"/>
      <c r="F18" s="121"/>
      <c r="G18" s="121"/>
      <c r="H18" s="30"/>
      <c r="I18" s="127" t="str">
        <f>INFORMACIÓN!E8</f>
        <v>901.532.463-8</v>
      </c>
      <c r="J18" s="127"/>
      <c r="K18" s="127"/>
      <c r="L18" s="127"/>
      <c r="M18" s="127"/>
      <c r="N18" s="127"/>
      <c r="O18" s="127"/>
      <c r="P18" s="127"/>
      <c r="Q18" s="127"/>
      <c r="R18" s="127"/>
    </row>
    <row r="19" spans="1:18" ht="16.95" customHeight="1" x14ac:dyDescent="0.3">
      <c r="B19" s="31"/>
      <c r="C19" s="121" t="s">
        <v>63</v>
      </c>
      <c r="D19" s="121"/>
      <c r="E19" s="121"/>
      <c r="F19" s="121"/>
      <c r="G19" s="121"/>
      <c r="H19" s="30"/>
      <c r="I19" s="127">
        <f>INFORMACIÓN!E9</f>
        <v>3007835072</v>
      </c>
      <c r="J19" s="127"/>
      <c r="K19" s="127"/>
      <c r="L19" s="127"/>
      <c r="M19" s="127"/>
      <c r="N19" s="127"/>
      <c r="O19" s="127"/>
      <c r="P19" s="127"/>
      <c r="Q19" s="127"/>
      <c r="R19" s="127"/>
    </row>
    <row r="20" spans="1:18" ht="16.95" customHeight="1" x14ac:dyDescent="0.3">
      <c r="B20" s="31"/>
      <c r="C20" s="121" t="s">
        <v>47</v>
      </c>
      <c r="D20" s="121"/>
      <c r="E20" s="121"/>
      <c r="F20" s="121"/>
      <c r="G20" s="121"/>
      <c r="H20" s="30"/>
      <c r="I20" s="127" t="str">
        <f>INFORMACIÓN!E10</f>
        <v>CARRERA 15 ENTRE CALLE 18 y 19</v>
      </c>
      <c r="J20" s="127"/>
      <c r="K20" s="127"/>
      <c r="L20" s="127"/>
      <c r="M20" s="127"/>
      <c r="N20" s="127"/>
      <c r="O20" s="127"/>
      <c r="P20" s="127"/>
      <c r="Q20" s="127"/>
      <c r="R20" s="127"/>
    </row>
    <row r="21" spans="1:18" ht="16.95" customHeight="1" x14ac:dyDescent="0.3">
      <c r="B21" s="31"/>
      <c r="C21" s="121" t="s">
        <v>48</v>
      </c>
      <c r="D21" s="121"/>
      <c r="E21" s="121"/>
      <c r="F21" s="121"/>
      <c r="G21" s="121"/>
      <c r="H21" s="30"/>
      <c r="I21" s="127" t="str">
        <f>INFORMACIÓN!E11</f>
        <v>LA DORADA - CALDAS</v>
      </c>
      <c r="J21" s="127"/>
      <c r="K21" s="127"/>
      <c r="L21" s="127"/>
      <c r="M21" s="127"/>
      <c r="N21" s="127"/>
      <c r="O21" s="127"/>
      <c r="P21" s="127"/>
      <c r="Q21" s="127"/>
      <c r="R21" s="127"/>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57" t="s">
        <v>125</v>
      </c>
      <c r="D23" s="157"/>
      <c r="E23" s="157"/>
      <c r="F23" s="157"/>
      <c r="G23" s="157"/>
      <c r="H23" s="157"/>
      <c r="I23" s="157"/>
      <c r="J23" s="157"/>
      <c r="K23" s="157"/>
      <c r="L23" s="157"/>
      <c r="M23" s="157"/>
      <c r="N23" s="157"/>
      <c r="O23" s="157"/>
      <c r="P23" s="157"/>
      <c r="Q23" s="157"/>
      <c r="R23" s="157"/>
    </row>
    <row r="24" spans="1:18" ht="16.95" customHeight="1" x14ac:dyDescent="0.3">
      <c r="A24" s="56"/>
      <c r="B24" s="56"/>
      <c r="C24" s="158"/>
      <c r="D24" s="158"/>
      <c r="E24" s="158"/>
      <c r="F24" s="158"/>
      <c r="G24" s="158"/>
      <c r="H24" s="158"/>
      <c r="I24" s="158"/>
      <c r="J24" s="158"/>
      <c r="K24" s="158"/>
      <c r="L24" s="158"/>
      <c r="M24" s="158"/>
      <c r="N24" s="158"/>
      <c r="O24" s="158"/>
      <c r="P24" s="158"/>
      <c r="Q24" s="158"/>
      <c r="R24" s="158"/>
    </row>
    <row r="25" spans="1:18" ht="16.95" customHeight="1" x14ac:dyDescent="0.3">
      <c r="A25" s="56"/>
      <c r="B25" s="56"/>
      <c r="C25" s="158"/>
      <c r="D25" s="158"/>
      <c r="E25" s="158"/>
      <c r="F25" s="158"/>
      <c r="G25" s="158"/>
      <c r="H25" s="158"/>
      <c r="I25" s="158"/>
      <c r="J25" s="158"/>
      <c r="K25" s="158"/>
      <c r="L25" s="158"/>
      <c r="M25" s="158"/>
      <c r="N25" s="158"/>
      <c r="O25" s="158"/>
      <c r="P25" s="158"/>
      <c r="Q25" s="158"/>
      <c r="R25" s="158"/>
    </row>
    <row r="26" spans="1:18" ht="16.95" customHeight="1" x14ac:dyDescent="0.3">
      <c r="A26" s="56"/>
      <c r="B26" s="56"/>
      <c r="C26" s="158"/>
      <c r="D26" s="158"/>
      <c r="E26" s="158"/>
      <c r="F26" s="158"/>
      <c r="G26" s="158"/>
      <c r="H26" s="158"/>
      <c r="I26" s="158"/>
      <c r="J26" s="158"/>
      <c r="K26" s="158"/>
      <c r="L26" s="158"/>
      <c r="M26" s="158"/>
      <c r="N26" s="158"/>
      <c r="O26" s="158"/>
      <c r="P26" s="158"/>
      <c r="Q26" s="158"/>
      <c r="R26" s="158"/>
    </row>
    <row r="27" spans="1:18" ht="16.95" customHeight="1" x14ac:dyDescent="0.3">
      <c r="A27" s="56"/>
      <c r="B27" s="56"/>
      <c r="C27" s="158"/>
      <c r="D27" s="158"/>
      <c r="E27" s="158"/>
      <c r="F27" s="158"/>
      <c r="G27" s="158"/>
      <c r="H27" s="158"/>
      <c r="I27" s="158"/>
      <c r="J27" s="158"/>
      <c r="K27" s="158"/>
      <c r="L27" s="158"/>
      <c r="M27" s="158"/>
      <c r="N27" s="158"/>
      <c r="O27" s="158"/>
      <c r="P27" s="158"/>
      <c r="Q27" s="158"/>
      <c r="R27" s="158"/>
    </row>
    <row r="28" spans="1:18" ht="16.95" customHeight="1" x14ac:dyDescent="0.3">
      <c r="A28" s="56"/>
      <c r="B28" s="56"/>
      <c r="C28" s="159"/>
      <c r="D28" s="159"/>
      <c r="E28" s="159"/>
      <c r="F28" s="159"/>
      <c r="G28" s="159"/>
      <c r="H28" s="159"/>
      <c r="I28" s="159"/>
      <c r="J28" s="159"/>
      <c r="K28" s="159"/>
      <c r="L28" s="159"/>
      <c r="M28" s="159"/>
      <c r="N28" s="159"/>
      <c r="O28" s="159"/>
      <c r="P28" s="159"/>
      <c r="Q28" s="159"/>
      <c r="R28" s="159"/>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121" t="s">
        <v>51</v>
      </c>
      <c r="J31" s="121"/>
      <c r="K31" s="121"/>
      <c r="L31" s="121"/>
      <c r="M31" s="127" t="str">
        <f>INFORMACIÓN!B15</f>
        <v>ING. GABRIEL DURÁN</v>
      </c>
      <c r="N31" s="127"/>
      <c r="O31" s="127"/>
      <c r="P31" s="127"/>
      <c r="Q31" s="127"/>
      <c r="R31" s="127"/>
    </row>
    <row r="32" spans="1:18" ht="16.95" customHeight="1" x14ac:dyDescent="0.3">
      <c r="F32" s="31"/>
      <c r="G32" s="31"/>
      <c r="H32" s="31"/>
      <c r="I32" s="121" t="s">
        <v>52</v>
      </c>
      <c r="J32" s="121"/>
      <c r="K32" s="121"/>
      <c r="L32" s="121"/>
      <c r="M32" s="155">
        <f>INFORMACIÓN!B10</f>
        <v>0</v>
      </c>
      <c r="N32" s="155"/>
      <c r="O32" s="155"/>
      <c r="P32" s="42"/>
      <c r="Q32" s="42"/>
      <c r="R32" s="31"/>
    </row>
    <row r="33" spans="1:19" ht="16.95" customHeight="1" x14ac:dyDescent="0.3">
      <c r="I33" s="121" t="s">
        <v>56</v>
      </c>
      <c r="J33" s="121"/>
      <c r="K33" s="121"/>
      <c r="L33" s="121"/>
      <c r="M33" s="41">
        <v>4</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121" t="str">
        <f>O1</f>
        <v>CERTIFICADO N°:</v>
      </c>
      <c r="P38" s="121"/>
      <c r="Q38" s="121"/>
      <c r="R38" s="120">
        <f>R1</f>
        <v>0</v>
      </c>
      <c r="S38" s="120"/>
    </row>
    <row r="39" spans="1:19" ht="16.95" customHeight="1" x14ac:dyDescent="0.3"/>
    <row r="40" spans="1:19" ht="16.95" customHeight="1" x14ac:dyDescent="0.3">
      <c r="B40" s="131" t="s">
        <v>57</v>
      </c>
      <c r="C40" s="131"/>
      <c r="D40" s="131"/>
      <c r="E40" s="131"/>
      <c r="F40" s="131"/>
      <c r="G40" s="131"/>
      <c r="H40" s="131"/>
      <c r="I40" s="131"/>
      <c r="J40" s="131"/>
      <c r="K40" s="131"/>
      <c r="L40" s="131"/>
      <c r="M40" s="131"/>
      <c r="N40" s="131"/>
      <c r="O40" s="131"/>
      <c r="P40" s="131"/>
      <c r="Q40" s="131"/>
      <c r="R40" s="131"/>
      <c r="S40" s="131"/>
    </row>
    <row r="41" spans="1:19" ht="16.95" customHeight="1" x14ac:dyDescent="0.3">
      <c r="B41" s="128" t="s">
        <v>126</v>
      </c>
      <c r="C41" s="128"/>
      <c r="D41" s="128"/>
      <c r="E41" s="128"/>
      <c r="F41" s="128"/>
      <c r="G41" s="128"/>
      <c r="H41" s="128"/>
      <c r="I41" s="128"/>
      <c r="J41" s="128"/>
      <c r="K41" s="128"/>
      <c r="L41" s="128"/>
      <c r="M41" s="128"/>
      <c r="N41" s="128"/>
      <c r="O41" s="128"/>
      <c r="P41" s="128"/>
      <c r="Q41" s="128"/>
      <c r="R41" s="128"/>
      <c r="S41" s="128"/>
    </row>
    <row r="42" spans="1:19" ht="16.95" customHeight="1" x14ac:dyDescent="0.3">
      <c r="A42" s="65"/>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65"/>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32" t="s">
        <v>58</v>
      </c>
      <c r="G45" s="133"/>
      <c r="H45" s="133"/>
      <c r="I45" s="133"/>
      <c r="J45" s="134"/>
      <c r="K45" s="141" t="s">
        <v>59</v>
      </c>
      <c r="L45" s="142"/>
      <c r="M45" s="142"/>
      <c r="N45" s="142"/>
      <c r="O45" s="143"/>
    </row>
    <row r="46" spans="1:19" ht="16.95" customHeight="1" x14ac:dyDescent="0.3">
      <c r="E46" s="54"/>
      <c r="F46" s="136">
        <f>AVERAGE(INFORMACIÓN!B11:B12)</f>
        <v>24.3</v>
      </c>
      <c r="G46" s="137"/>
      <c r="H46" s="50" t="s">
        <v>60</v>
      </c>
      <c r="I46" s="51">
        <f>ABS(INFORMACIÓN!B11-INFORMACIÓN!B12)</f>
        <v>0.39999999999999858</v>
      </c>
      <c r="J46" s="55"/>
      <c r="K46" s="138">
        <f>AVERAGE(INFORMACIÓN!B13:B14)</f>
        <v>61.5</v>
      </c>
      <c r="L46" s="139"/>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35" t="s">
        <v>127</v>
      </c>
      <c r="G48" s="135"/>
      <c r="H48" s="135"/>
      <c r="I48" s="135"/>
      <c r="J48" s="135"/>
      <c r="K48" s="140" t="s">
        <v>128</v>
      </c>
      <c r="L48" s="140"/>
      <c r="M48" s="140"/>
      <c r="N48" s="140"/>
      <c r="O48" s="140"/>
      <c r="P48" s="140"/>
    </row>
    <row r="49" spans="1:19" ht="13.2" customHeight="1" x14ac:dyDescent="0.3"/>
    <row r="50" spans="1:19" ht="16.95" customHeight="1" x14ac:dyDescent="0.3">
      <c r="B50" s="156" t="s">
        <v>61</v>
      </c>
      <c r="C50" s="156"/>
      <c r="D50" s="156"/>
      <c r="E50" s="156"/>
      <c r="F50" s="156"/>
      <c r="G50" s="156"/>
      <c r="H50" s="156"/>
      <c r="I50" s="156"/>
      <c r="J50" s="156"/>
      <c r="K50" s="156"/>
      <c r="L50" s="156"/>
      <c r="M50" s="156"/>
      <c r="N50" s="156"/>
      <c r="O50" s="156"/>
      <c r="P50" s="156"/>
      <c r="Q50" s="156"/>
      <c r="R50" s="156"/>
      <c r="S50" s="156"/>
    </row>
    <row r="51" spans="1:19" ht="16.95" customHeight="1" x14ac:dyDescent="0.3">
      <c r="B51" s="128" t="s">
        <v>129</v>
      </c>
      <c r="C51" s="128"/>
      <c r="D51" s="128"/>
      <c r="E51" s="128"/>
      <c r="F51" s="128"/>
      <c r="G51" s="128"/>
      <c r="H51" s="128"/>
      <c r="I51" s="128"/>
      <c r="J51" s="128"/>
      <c r="K51" s="128"/>
      <c r="L51" s="128"/>
      <c r="M51" s="128"/>
      <c r="N51" s="128"/>
      <c r="O51" s="128"/>
      <c r="P51" s="128"/>
      <c r="Q51" s="128"/>
      <c r="R51" s="128"/>
      <c r="S51" s="128"/>
    </row>
    <row r="52" spans="1:19" ht="16.95" customHeight="1" x14ac:dyDescent="0.3">
      <c r="A52" s="65"/>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65"/>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65"/>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65"/>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65"/>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65"/>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65"/>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31" t="s">
        <v>62</v>
      </c>
      <c r="C60" s="131"/>
      <c r="D60" s="131"/>
      <c r="E60" s="131"/>
      <c r="F60" s="131"/>
      <c r="G60" s="131"/>
      <c r="H60" s="131"/>
      <c r="I60" s="131"/>
      <c r="J60" s="131"/>
      <c r="K60" s="131"/>
      <c r="L60" s="131"/>
      <c r="M60" s="131"/>
      <c r="N60" s="131"/>
      <c r="O60" s="131"/>
      <c r="P60" s="131"/>
      <c r="Q60" s="131"/>
      <c r="R60" s="131"/>
      <c r="S60" s="131"/>
    </row>
    <row r="61" spans="1:19" ht="16.95" customHeight="1" x14ac:dyDescent="0.3">
      <c r="B61" s="128" t="s">
        <v>130</v>
      </c>
      <c r="C61" s="128"/>
      <c r="D61" s="128"/>
      <c r="E61" s="128"/>
      <c r="F61" s="128"/>
      <c r="G61" s="128"/>
      <c r="H61" s="128"/>
      <c r="I61" s="128"/>
      <c r="J61" s="128"/>
      <c r="K61" s="128"/>
      <c r="L61" s="128"/>
      <c r="M61" s="128"/>
      <c r="N61" s="128"/>
      <c r="O61" s="128"/>
      <c r="P61" s="128"/>
      <c r="Q61" s="128"/>
      <c r="R61" s="128"/>
      <c r="S61" s="128"/>
    </row>
    <row r="62" spans="1:19" ht="16.95" customHeight="1" x14ac:dyDescent="0.3">
      <c r="A62" s="65"/>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1" t="s">
        <v>68</v>
      </c>
      <c r="C64" s="131"/>
      <c r="D64" s="131"/>
      <c r="E64" s="131"/>
      <c r="F64" s="131"/>
      <c r="G64" s="131"/>
      <c r="H64" s="131"/>
      <c r="I64" s="131"/>
      <c r="J64" s="131"/>
      <c r="K64" s="131"/>
      <c r="L64" s="131"/>
      <c r="M64" s="131"/>
      <c r="N64" s="131"/>
      <c r="O64" s="131"/>
      <c r="P64" s="131"/>
      <c r="Q64" s="131"/>
      <c r="R64" s="131"/>
      <c r="S64" s="131"/>
    </row>
    <row r="65" spans="1:19" ht="19.2" customHeight="1" x14ac:dyDescent="0.3">
      <c r="B65" s="128" t="s">
        <v>131</v>
      </c>
      <c r="C65" s="128"/>
      <c r="D65" s="128"/>
      <c r="E65" s="128"/>
      <c r="F65" s="128"/>
      <c r="G65" s="128"/>
      <c r="H65" s="128"/>
      <c r="I65" s="128"/>
      <c r="J65" s="128"/>
      <c r="K65" s="128"/>
      <c r="L65" s="128"/>
      <c r="M65" s="128"/>
      <c r="N65" s="128"/>
      <c r="O65" s="128"/>
      <c r="P65" s="128"/>
      <c r="Q65" s="128"/>
      <c r="R65" s="128"/>
      <c r="S65" s="128"/>
    </row>
    <row r="66" spans="1:19" ht="16.95" customHeight="1" x14ac:dyDescent="0.3">
      <c r="A66" s="65"/>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65"/>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65"/>
      <c r="B68" s="129"/>
      <c r="C68" s="129"/>
      <c r="D68" s="129"/>
      <c r="E68" s="129"/>
      <c r="F68" s="129"/>
      <c r="G68" s="129"/>
      <c r="H68" s="129"/>
      <c r="I68" s="129"/>
      <c r="J68" s="129"/>
      <c r="K68" s="129"/>
      <c r="L68" s="129"/>
      <c r="M68" s="129"/>
      <c r="N68" s="129"/>
      <c r="O68" s="129"/>
      <c r="P68" s="129"/>
      <c r="Q68" s="129"/>
      <c r="R68" s="129"/>
      <c r="S68" s="129"/>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30" t="s">
        <v>64</v>
      </c>
      <c r="C71" s="130"/>
      <c r="D71" s="130"/>
      <c r="E71" s="130"/>
      <c r="F71" s="130"/>
      <c r="G71" s="130"/>
      <c r="H71" s="130" t="s">
        <v>65</v>
      </c>
      <c r="I71" s="130"/>
      <c r="J71" s="130"/>
      <c r="K71" s="130"/>
      <c r="L71" s="130"/>
      <c r="M71" s="130" t="s">
        <v>66</v>
      </c>
      <c r="N71" s="130"/>
      <c r="O71" s="130"/>
      <c r="P71" s="130" t="s">
        <v>67</v>
      </c>
      <c r="Q71" s="130"/>
      <c r="R71" s="130"/>
      <c r="S71" s="130"/>
    </row>
    <row r="72" spans="1:19" x14ac:dyDescent="0.3">
      <c r="B72" s="122" t="s">
        <v>123</v>
      </c>
      <c r="C72" s="122"/>
      <c r="D72" s="122"/>
      <c r="E72" s="122"/>
      <c r="F72" s="122"/>
      <c r="G72" s="122"/>
      <c r="H72" s="123">
        <v>953401</v>
      </c>
      <c r="I72" s="123"/>
      <c r="J72" s="123"/>
      <c r="K72" s="123"/>
      <c r="L72" s="123"/>
      <c r="M72" s="124">
        <v>45777</v>
      </c>
      <c r="N72" s="124"/>
      <c r="O72" s="124"/>
      <c r="P72" s="123" t="s">
        <v>124</v>
      </c>
      <c r="Q72" s="123"/>
      <c r="R72" s="123"/>
      <c r="S72" s="123"/>
    </row>
    <row r="73" spans="1:19" ht="14.4" customHeight="1" x14ac:dyDescent="0.3"/>
    <row r="74" spans="1:19" ht="14.4" customHeight="1" x14ac:dyDescent="0.3"/>
    <row r="75" spans="1:19" ht="16.95" customHeight="1" x14ac:dyDescent="0.3"/>
    <row r="76" spans="1:19" ht="16.95" customHeight="1" x14ac:dyDescent="0.3">
      <c r="O76" s="121" t="str">
        <f>O1</f>
        <v>CERTIFICADO N°:</v>
      </c>
      <c r="P76" s="121"/>
      <c r="Q76" s="121"/>
      <c r="R76" s="120">
        <f>R1</f>
        <v>0</v>
      </c>
      <c r="S76" s="120"/>
    </row>
    <row r="77" spans="1:19" ht="16.95" customHeight="1" x14ac:dyDescent="0.3"/>
    <row r="78" spans="1:19" ht="16.95" customHeight="1" x14ac:dyDescent="0.3">
      <c r="B78" s="154" t="s">
        <v>69</v>
      </c>
      <c r="C78" s="154"/>
      <c r="D78" s="154"/>
      <c r="E78" s="154"/>
      <c r="F78" s="154"/>
      <c r="G78" s="154"/>
      <c r="H78" s="154"/>
      <c r="I78" s="154"/>
      <c r="J78" s="154"/>
      <c r="K78" s="154"/>
      <c r="L78" s="154"/>
      <c r="M78" s="154"/>
      <c r="N78" s="154"/>
      <c r="O78" s="154"/>
      <c r="P78" s="154"/>
      <c r="Q78" s="154"/>
      <c r="R78" s="154"/>
      <c r="S78" s="154"/>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25" t="s">
        <v>102</v>
      </c>
      <c r="C80" s="125"/>
      <c r="D80" s="125"/>
      <c r="E80" s="125"/>
      <c r="F80" s="71">
        <f ca="1">RAND()*0.3+ 0.4</f>
        <v>0.67945068961742461</v>
      </c>
      <c r="G80" s="86"/>
      <c r="H80" s="88" t="s">
        <v>103</v>
      </c>
      <c r="I80" s="88"/>
      <c r="J80" s="88"/>
      <c r="K80" s="94" t="s">
        <v>104</v>
      </c>
      <c r="L80" s="96"/>
      <c r="M80" s="86"/>
      <c r="N80" s="112" t="s">
        <v>105</v>
      </c>
      <c r="O80" s="113"/>
      <c r="P80" s="114"/>
      <c r="Q80" s="100" t="s">
        <v>104</v>
      </c>
      <c r="R80" s="102"/>
      <c r="S80" s="86"/>
    </row>
    <row r="81" spans="2:19" x14ac:dyDescent="0.3">
      <c r="B81" s="89" t="s">
        <v>106</v>
      </c>
      <c r="C81" s="88"/>
      <c r="D81" s="88"/>
      <c r="E81" s="88"/>
      <c r="F81" s="84">
        <f ca="1">RAND()*0.1 + 0.01</f>
        <v>4.5547452311198826E-2</v>
      </c>
      <c r="G81" s="86"/>
      <c r="H81" s="88" t="s">
        <v>107</v>
      </c>
      <c r="I81" s="88"/>
      <c r="J81" s="88"/>
      <c r="K81" s="94" t="s">
        <v>104</v>
      </c>
      <c r="L81" s="96"/>
      <c r="M81" s="86"/>
      <c r="N81" s="112" t="s">
        <v>108</v>
      </c>
      <c r="O81" s="113"/>
      <c r="P81" s="114"/>
      <c r="Q81" s="100" t="s">
        <v>104</v>
      </c>
      <c r="R81" s="102"/>
      <c r="S81" s="86"/>
    </row>
    <row r="82" spans="2:19" ht="16.2" customHeight="1" x14ac:dyDescent="0.3"/>
    <row r="83" spans="2:19" x14ac:dyDescent="0.3">
      <c r="B83" s="115"/>
      <c r="C83" s="115"/>
      <c r="D83" s="115"/>
      <c r="E83" s="115"/>
      <c r="F83" s="115"/>
      <c r="G83" s="115"/>
      <c r="H83" s="115"/>
      <c r="I83" s="115"/>
      <c r="J83" s="115"/>
      <c r="K83" s="115"/>
      <c r="L83" s="115"/>
      <c r="M83" s="115"/>
      <c r="N83" s="115"/>
      <c r="O83" s="115"/>
      <c r="P83" s="115"/>
      <c r="Q83" s="115"/>
      <c r="R83" s="115"/>
      <c r="S83" s="115"/>
    </row>
    <row r="85" spans="2:19" ht="14.4" customHeight="1" x14ac:dyDescent="0.3">
      <c r="E85" s="98" t="s">
        <v>109</v>
      </c>
      <c r="F85" s="98"/>
      <c r="G85" s="98"/>
      <c r="H85" s="98"/>
      <c r="I85" s="105" t="s">
        <v>110</v>
      </c>
      <c r="J85" s="105"/>
      <c r="K85" s="108" t="s">
        <v>87</v>
      </c>
      <c r="L85" s="109"/>
      <c r="M85" s="109"/>
      <c r="N85" s="110"/>
      <c r="O85" s="66" t="s">
        <v>3</v>
      </c>
    </row>
    <row r="86" spans="2:19" x14ac:dyDescent="0.3">
      <c r="E86" s="106" t="s">
        <v>111</v>
      </c>
      <c r="F86" s="106"/>
      <c r="G86" s="106"/>
      <c r="H86" s="106"/>
      <c r="I86" s="126">
        <f ca="1">RAND()*1 + 121.5</f>
        <v>121.91385828951518</v>
      </c>
      <c r="J86" s="126"/>
      <c r="K86" s="116">
        <v>0.43</v>
      </c>
      <c r="L86" s="117"/>
      <c r="M86" s="117"/>
      <c r="N86" s="118"/>
      <c r="O86" s="71">
        <v>2</v>
      </c>
    </row>
    <row r="87" spans="2:19" x14ac:dyDescent="0.3">
      <c r="E87" s="106" t="s">
        <v>112</v>
      </c>
      <c r="F87" s="106"/>
      <c r="G87" s="106"/>
      <c r="H87" s="106"/>
      <c r="I87" s="126">
        <f ca="1">RAND()*1 + 121.5</f>
        <v>121.5564433162251</v>
      </c>
      <c r="J87" s="126"/>
      <c r="K87" s="116">
        <v>0.43</v>
      </c>
      <c r="L87" s="117"/>
      <c r="M87" s="117"/>
      <c r="N87" s="118"/>
      <c r="O87" s="71">
        <v>2</v>
      </c>
    </row>
    <row r="88" spans="2:19" x14ac:dyDescent="0.3">
      <c r="E88" s="106" t="s">
        <v>113</v>
      </c>
      <c r="F88" s="106"/>
      <c r="G88" s="106"/>
      <c r="H88" s="106"/>
      <c r="I88" s="126">
        <v>0</v>
      </c>
      <c r="J88" s="126"/>
      <c r="K88" s="116">
        <v>0.43</v>
      </c>
      <c r="L88" s="117"/>
      <c r="M88" s="117"/>
      <c r="N88" s="118"/>
      <c r="O88" s="71">
        <v>2</v>
      </c>
    </row>
    <row r="90" spans="2:19" x14ac:dyDescent="0.3">
      <c r="B90" s="115"/>
      <c r="C90" s="115"/>
      <c r="D90" s="115"/>
      <c r="E90" s="115"/>
      <c r="F90" s="115"/>
      <c r="G90" s="115"/>
      <c r="H90" s="115"/>
      <c r="I90" s="115"/>
      <c r="J90" s="115"/>
      <c r="K90" s="115"/>
      <c r="L90" s="115"/>
      <c r="M90" s="115"/>
      <c r="N90" s="115"/>
      <c r="O90" s="115"/>
      <c r="P90" s="115"/>
      <c r="Q90" s="115"/>
      <c r="R90" s="115"/>
      <c r="S90" s="115"/>
    </row>
    <row r="92" spans="2:19" x14ac:dyDescent="0.3">
      <c r="E92" s="98" t="s">
        <v>109</v>
      </c>
      <c r="F92" s="98"/>
      <c r="G92" s="98"/>
      <c r="H92" s="98"/>
      <c r="I92" s="105" t="s">
        <v>114</v>
      </c>
      <c r="J92" s="105"/>
      <c r="K92" s="108" t="s">
        <v>87</v>
      </c>
      <c r="L92" s="109"/>
      <c r="M92" s="109"/>
      <c r="N92" s="110"/>
      <c r="O92" s="66" t="s">
        <v>3</v>
      </c>
    </row>
    <row r="93" spans="2:19" x14ac:dyDescent="0.3">
      <c r="E93" s="99" t="s">
        <v>116</v>
      </c>
      <c r="F93" s="99"/>
      <c r="G93" s="99"/>
      <c r="H93" s="99"/>
      <c r="I93" s="111">
        <f ca="1">RAND()*25+50.1</f>
        <v>57.503538378543354</v>
      </c>
      <c r="J93" s="111"/>
      <c r="K93" s="100">
        <v>0.06</v>
      </c>
      <c r="L93" s="101"/>
      <c r="M93" s="101"/>
      <c r="N93" s="102"/>
      <c r="O93" s="90">
        <v>2</v>
      </c>
    </row>
    <row r="94" spans="2:19" x14ac:dyDescent="0.3">
      <c r="E94" s="99" t="s">
        <v>117</v>
      </c>
      <c r="F94" s="99"/>
      <c r="G94" s="99"/>
      <c r="H94" s="99"/>
      <c r="I94" s="99">
        <v>0</v>
      </c>
      <c r="J94" s="99"/>
      <c r="K94" s="100">
        <v>0.06</v>
      </c>
      <c r="L94" s="101"/>
      <c r="M94" s="101"/>
      <c r="N94" s="102"/>
      <c r="O94" s="90">
        <v>2</v>
      </c>
    </row>
    <row r="95" spans="2:19" x14ac:dyDescent="0.3">
      <c r="E95" s="107" t="s">
        <v>118</v>
      </c>
      <c r="F95" s="107"/>
      <c r="G95" s="107"/>
      <c r="H95" s="107"/>
      <c r="I95" s="111">
        <f ca="1">RAND()*40.1+100</f>
        <v>106.53997014817331</v>
      </c>
      <c r="J95" s="111"/>
      <c r="K95" s="100">
        <v>0.06</v>
      </c>
      <c r="L95" s="101"/>
      <c r="M95" s="101"/>
      <c r="N95" s="102"/>
      <c r="O95" s="90">
        <v>2</v>
      </c>
    </row>
    <row r="96" spans="2:19" x14ac:dyDescent="0.3">
      <c r="C96" s="91"/>
      <c r="D96" s="91"/>
      <c r="E96" s="91"/>
      <c r="F96" s="72"/>
      <c r="G96" s="72"/>
      <c r="H96" s="72"/>
      <c r="I96" s="72"/>
      <c r="J96" s="72"/>
      <c r="K96" s="87"/>
    </row>
    <row r="97" spans="2:19" x14ac:dyDescent="0.3">
      <c r="B97" s="115" t="s">
        <v>122</v>
      </c>
      <c r="C97" s="115"/>
      <c r="D97" s="115"/>
      <c r="E97" s="115"/>
      <c r="F97" s="115"/>
      <c r="G97" s="115"/>
      <c r="H97" s="115"/>
      <c r="I97" s="115"/>
      <c r="J97" s="115"/>
      <c r="K97" s="115"/>
      <c r="L97" s="115"/>
      <c r="M97" s="115"/>
      <c r="N97" s="115"/>
      <c r="O97" s="115"/>
      <c r="P97" s="115"/>
      <c r="Q97" s="115"/>
      <c r="R97" s="115"/>
      <c r="S97" s="115"/>
    </row>
    <row r="98" spans="2:19" x14ac:dyDescent="0.3">
      <c r="C98" s="82"/>
      <c r="D98" s="82"/>
      <c r="E98" s="82"/>
      <c r="F98" s="56"/>
      <c r="G98" s="56"/>
      <c r="H98" s="72"/>
      <c r="I98" s="72"/>
      <c r="J98" s="72"/>
      <c r="K98" s="87"/>
    </row>
    <row r="99" spans="2:19" x14ac:dyDescent="0.3">
      <c r="E99" s="98" t="s">
        <v>109</v>
      </c>
      <c r="F99" s="98"/>
      <c r="G99" s="98"/>
      <c r="H99" s="98"/>
      <c r="I99" s="105" t="s">
        <v>114</v>
      </c>
      <c r="J99" s="105"/>
      <c r="K99" s="108" t="s">
        <v>87</v>
      </c>
      <c r="L99" s="109"/>
      <c r="M99" s="109"/>
      <c r="N99" s="110"/>
      <c r="O99" s="66" t="s">
        <v>3</v>
      </c>
    </row>
    <row r="100" spans="2:19" x14ac:dyDescent="0.3">
      <c r="E100" s="99" t="s">
        <v>116</v>
      </c>
      <c r="F100" s="99"/>
      <c r="G100" s="99"/>
      <c r="H100" s="99"/>
      <c r="I100" s="111">
        <f ca="1">I93+(RAND()*5 - 2.5)</f>
        <v>57.27304842441297</v>
      </c>
      <c r="J100" s="111"/>
      <c r="K100" s="100">
        <v>0.06</v>
      </c>
      <c r="L100" s="101"/>
      <c r="M100" s="101"/>
      <c r="N100" s="102"/>
      <c r="O100" s="90">
        <v>2</v>
      </c>
    </row>
    <row r="101" spans="2:19" x14ac:dyDescent="0.3">
      <c r="E101" s="99" t="s">
        <v>117</v>
      </c>
      <c r="F101" s="99"/>
      <c r="G101" s="99"/>
      <c r="H101" s="99"/>
      <c r="I101" s="99">
        <v>0</v>
      </c>
      <c r="J101" s="99"/>
      <c r="K101" s="100">
        <v>0.06</v>
      </c>
      <c r="L101" s="101"/>
      <c r="M101" s="101"/>
      <c r="N101" s="102"/>
      <c r="O101" s="90">
        <v>2</v>
      </c>
    </row>
    <row r="102" spans="2:19" x14ac:dyDescent="0.3">
      <c r="E102" s="107" t="s">
        <v>118</v>
      </c>
      <c r="F102" s="107"/>
      <c r="G102" s="107"/>
      <c r="H102" s="107"/>
      <c r="I102" s="111">
        <f ca="1">I95+(RAND()*5 - 2.5)</f>
        <v>106.62450238108863</v>
      </c>
      <c r="J102" s="111"/>
      <c r="K102" s="100">
        <v>0.06</v>
      </c>
      <c r="L102" s="101"/>
      <c r="M102" s="101"/>
      <c r="N102" s="102"/>
      <c r="O102" s="90">
        <v>2</v>
      </c>
    </row>
    <row r="103" spans="2:19" x14ac:dyDescent="0.3">
      <c r="C103" s="92"/>
      <c r="D103" s="92"/>
      <c r="E103" s="92"/>
      <c r="F103" s="72"/>
      <c r="G103" s="72"/>
      <c r="H103" s="72"/>
      <c r="I103" s="72"/>
      <c r="J103" s="72"/>
      <c r="K103" s="87"/>
    </row>
    <row r="104" spans="2:19" x14ac:dyDescent="0.3">
      <c r="C104" s="119"/>
      <c r="D104" s="119"/>
      <c r="E104" s="119"/>
    </row>
    <row r="105" spans="2:19" ht="16.95" customHeight="1" x14ac:dyDescent="0.3">
      <c r="B105" s="115"/>
      <c r="C105" s="115"/>
      <c r="D105" s="115"/>
      <c r="E105" s="115"/>
      <c r="F105" s="115"/>
      <c r="G105" s="115"/>
      <c r="H105" s="115"/>
      <c r="I105" s="115"/>
      <c r="J105" s="115"/>
      <c r="K105" s="115"/>
      <c r="L105" s="115"/>
      <c r="M105" s="115"/>
      <c r="N105" s="115"/>
      <c r="O105" s="115"/>
      <c r="P105" s="115"/>
      <c r="Q105" s="115"/>
      <c r="R105" s="115"/>
      <c r="S105" s="115"/>
    </row>
    <row r="106" spans="2:19" x14ac:dyDescent="0.3">
      <c r="C106" s="119"/>
      <c r="D106" s="119"/>
      <c r="E106" s="119"/>
    </row>
    <row r="107" spans="2:19" ht="14.4" customHeight="1" x14ac:dyDescent="0.3">
      <c r="D107" s="98" t="s">
        <v>109</v>
      </c>
      <c r="E107" s="98"/>
      <c r="F107" s="98"/>
      <c r="G107" s="98"/>
      <c r="H107" s="98"/>
      <c r="I107" s="105" t="s">
        <v>114</v>
      </c>
      <c r="J107" s="105"/>
      <c r="K107" s="98" t="s">
        <v>87</v>
      </c>
      <c r="L107" s="98"/>
      <c r="M107" s="98"/>
      <c r="N107" s="98"/>
      <c r="O107" s="66" t="s">
        <v>3</v>
      </c>
    </row>
    <row r="108" spans="2:19" x14ac:dyDescent="0.3">
      <c r="D108" s="106" t="s">
        <v>115</v>
      </c>
      <c r="E108" s="106"/>
      <c r="F108" s="106"/>
      <c r="G108" s="106"/>
      <c r="H108" s="106"/>
      <c r="I108" s="103">
        <f ca="1">I93+(RAND()*5 - 2.5)</f>
        <v>59.358548308950176</v>
      </c>
      <c r="J108" s="104"/>
      <c r="K108" s="99">
        <v>0.06</v>
      </c>
      <c r="L108" s="99"/>
      <c r="M108" s="99"/>
      <c r="N108" s="99"/>
      <c r="O108" s="90">
        <v>2</v>
      </c>
    </row>
    <row r="109" spans="2:19" x14ac:dyDescent="0.3">
      <c r="D109" s="107" t="s">
        <v>119</v>
      </c>
      <c r="E109" s="107"/>
      <c r="F109" s="107"/>
      <c r="G109" s="107"/>
      <c r="H109" s="107"/>
      <c r="I109" s="103">
        <f ca="1">I95+(RAND()*5 - 2.5)</f>
        <v>106.60175505794187</v>
      </c>
      <c r="J109" s="104"/>
      <c r="K109" s="99">
        <v>0.06</v>
      </c>
      <c r="L109" s="99"/>
      <c r="M109" s="99"/>
      <c r="N109" s="99"/>
      <c r="O109" s="90">
        <v>2</v>
      </c>
    </row>
    <row r="110" spans="2:19" x14ac:dyDescent="0.3">
      <c r="D110" s="94" t="s">
        <v>120</v>
      </c>
      <c r="E110" s="95"/>
      <c r="F110" s="95"/>
      <c r="G110" s="95"/>
      <c r="H110" s="96"/>
      <c r="I110" s="103">
        <f ca="1">I93+(RAND()*5 - 2.5)</f>
        <v>55.383433481308977</v>
      </c>
      <c r="J110" s="104"/>
      <c r="K110" s="100">
        <v>0.06</v>
      </c>
      <c r="L110" s="101"/>
      <c r="M110" s="101"/>
      <c r="N110" s="102"/>
      <c r="O110" s="90">
        <v>2</v>
      </c>
    </row>
    <row r="111" spans="2:19" ht="14.4" customHeight="1" x14ac:dyDescent="0.3">
      <c r="D111" s="97" t="s">
        <v>121</v>
      </c>
      <c r="E111" s="97"/>
      <c r="F111" s="97"/>
      <c r="G111" s="97"/>
      <c r="H111" s="97"/>
      <c r="I111" s="103">
        <f ca="1">I95+(RAND()*5 - 2.5)</f>
        <v>108.98959529845207</v>
      </c>
      <c r="J111" s="104"/>
      <c r="K111" s="99">
        <v>0.06</v>
      </c>
      <c r="L111" s="99"/>
      <c r="M111" s="99"/>
      <c r="N111" s="99"/>
      <c r="O111" s="90">
        <v>2</v>
      </c>
    </row>
    <row r="116" spans="2:19" x14ac:dyDescent="0.3">
      <c r="B116" s="93" t="s">
        <v>132</v>
      </c>
      <c r="C116" s="93"/>
      <c r="D116" s="93"/>
      <c r="E116" s="93"/>
      <c r="F116" s="93"/>
      <c r="G116" s="93"/>
      <c r="H116" s="93"/>
      <c r="I116" s="93"/>
      <c r="J116" s="93"/>
      <c r="K116" s="93"/>
      <c r="L116" s="93"/>
      <c r="M116" s="93"/>
      <c r="N116" s="93"/>
      <c r="O116" s="93"/>
      <c r="P116" s="93"/>
      <c r="Q116" s="93"/>
      <c r="R116" s="93"/>
      <c r="S116" s="93"/>
    </row>
    <row r="128" spans="2:19" ht="24" customHeight="1" x14ac:dyDescent="0.3"/>
    <row r="132" ht="16.95" customHeight="1" x14ac:dyDescent="0.3"/>
  </sheetData>
  <mergeCells count="133">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E100:H100"/>
    <mergeCell ref="E101:H101"/>
    <mergeCell ref="E102:H102"/>
    <mergeCell ref="K99:N99"/>
    <mergeCell ref="K100:N100"/>
    <mergeCell ref="K101:N101"/>
    <mergeCell ref="K102:N102"/>
    <mergeCell ref="I101:J101"/>
    <mergeCell ref="I102:J102"/>
    <mergeCell ref="B116:S116"/>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2026-05-05T02:50:00Z</dcterms:modified>
</cp:coreProperties>
</file>