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15B80DDA-82DA-4A34-BDF8-129871822CF5}"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5" i="20" l="1"/>
  <c r="E5" i="20"/>
  <c r="D5" i="20"/>
  <c r="N46" i="31" l="1"/>
  <c r="K46" i="31"/>
  <c r="I46" i="31"/>
  <c r="F46" i="31"/>
  <c r="M31" i="31"/>
  <c r="I18" i="31"/>
  <c r="I19" i="31"/>
  <c r="I20" i="31"/>
  <c r="I21" i="31"/>
  <c r="I17" i="31"/>
  <c r="I12" i="31"/>
  <c r="I11" i="31"/>
  <c r="I10" i="31"/>
  <c r="I9" i="31"/>
  <c r="I8" i="31"/>
  <c r="I7" i="31"/>
  <c r="I6" i="31"/>
  <c r="I5" i="31"/>
  <c r="R1" i="31"/>
  <c r="B10" i="23"/>
  <c r="M32" i="31" s="1"/>
  <c r="B9" i="23"/>
  <c r="I13" i="31" s="1"/>
  <c r="J85" i="31"/>
  <c r="H85" i="31"/>
  <c r="F85" i="31"/>
  <c r="D85" i="31"/>
  <c r="B85" i="31"/>
  <c r="H6" i="21"/>
  <c r="H7" i="21"/>
  <c r="H5" i="21"/>
  <c r="H4" i="2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L85" i="31" l="1"/>
  <c r="N85" i="31" s="1"/>
  <c r="I12" i="25"/>
  <c r="I13" i="25"/>
  <c r="J4" i="25" l="1"/>
  <c r="H10" i="25"/>
  <c r="H6" i="25"/>
  <c r="H7" i="25"/>
  <c r="H8" i="25"/>
  <c r="H9" i="25"/>
  <c r="H5" i="25"/>
  <c r="E10" i="25"/>
  <c r="I10" i="25" l="1"/>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L6" i="2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<sst xmlns="http://schemas.openxmlformats.org/spreadsheetml/2006/main" count="965" uniqueCount="171">
  <si>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</si>
  <si>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</si>
  <si>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</si>
  <si>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</si>
  <si>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</si>
  <si>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</si>
  <si>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</si>
  <si>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</si>
  <si>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</si>
  <si>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</si>
  <si>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</si>
  <si>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</si>
  <si>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</si>
  <si>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</si>
  <si>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</si>
  <si>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</si>
  <si>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</si>
  <si>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</si>
  <si>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</si>
  <si>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</si>
  <si>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</si>
  <si>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</si>
  <si>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</si>
  <si>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</si>
  <si>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</si>
  <si>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</si>
  <si>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</si>
  <si>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</si>
  <si>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</si>
  <si>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</si>
  <si>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</si>
  <si>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</si>
  <si>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</si>
  <si>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</si>
  <si>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</si>
  <si>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</si>
  <si>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</si>
  <si>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</si>
  <si>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</si>
  <si>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</si>
  <si>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</si>
  <si>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</si>
  <si>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</si>
  <si>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</si>
  <si>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</si>
  <si>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</si>
  <si>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</si>
  <si>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</si>
  <si>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</si>
  <si>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</si>
  <si>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</si>
  <si>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</si>
  <si>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</si>
  <si>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</si>
  <si>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</si>
  <si>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</si>
  <si>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</si>
  <si>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</si>
  <si>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</si>
  <si>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</si>
  <si>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</si>
  <si>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</si>
  <si>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</si>
  <si>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</si>
  <si>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</si>
  <si>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</si>
  <si>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</si>
  <si>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</si>
  <si>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</si>
  <si>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</si>
  <si>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</si>
  <si>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</si>
  <si>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</si>
  <si>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</si>
  <si>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</si>
  <si>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</si>
  <si>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</si>
  <si>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</si>
  <si>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</si>
  <si>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</si>
  <si>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</si>
  <si>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</si>
  <si>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</si>
  <si>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</si>
  <si>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</si>
  <si>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</si>
  <si>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</si>
  <si>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</si>
  <si>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</si>
  <si>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</si>
  <si>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</si>
  <si>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</si>
  <si>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</si>
  <si>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</si>
  <si>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</si>
  <si>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</si>
  <si>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</si>
  <si>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</si>
  <si>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</si>
  <si>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</si>
  <si>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</si>
  <si>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</si>
  <si>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</si>
  <si>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</si>
  <si>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</si>
  <si>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</si>
  <si>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</si>
  <si>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</si>
  <si>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</si>
  <si>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</si>
  <si>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</si>
  <si>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</si>
  <si>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</si>
  <si>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</si>
  <si>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</si>
  <si>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</si>
  <si>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</si>
  <si>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</si>
  <si>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</si>
  <si>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</si>
  <si>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</si>
  <si>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</si>
  <si>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CLÍNICA SAGRADA FAMILIA</t>
  </si>
  <si>
    <t>901.352.353-3</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</si>
  <si>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</si>
  <si>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</si>
  <si>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</si>
  <si>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</si>
  <si>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</si>
  <si>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</si>
  <si>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</si>
  <si>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</si>
  <si>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</si>
  <si>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</si>
  <si>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</si>
  <si>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</si>
  <si>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</si>
  <si>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</si>
  <si>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</si>
  <si>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</si>
  <si>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</si>
  <si>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</si>
  <si>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</si>
  <si>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</si>
  <si>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</si>
  <si>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</si>
  <si>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</si>
  <si>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</si>
  <si>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</si>
  <si>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</si>
  <si>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</si>
  <si>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</si>
  <si>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</si>
  <si>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</si>
  <si>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</si>
  <si>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</si>
  <si>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</si>
  <si>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</si>
  <si>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Estado Físico:</t>
  </si>
  <si>
    <t>CARRERA 15 # 10- ESQ.</t>
  </si>
  <si>
    <t>QUINDÍO-ARMENIA</t>
  </si>
  <si>
    <t>ING. GABRIEL DURÁN</t>
  </si>
  <si>
    <t>CBA9447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</si>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</sst>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tint="-0.249977111117893"/>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5">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1" fontId="0" fillId="12" borderId="5" xfId="0" applyNumberFormat="1" applyFill="1" applyBorder="1" applyAlignment="1">
      <alignment horizontal="center"/>
    </xf>
    <xf numFmtId="0" fontId="0" fillId="13" borderId="5" xfId="0" applyFill="1" applyBorder="1" applyAlignment="1">
      <alignment horizontal="center"/>
    </xf>
    <xf numFmtId="164" fontId="11"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vertical="center"/>
    </xf>
    <xf numFmtId="0" fontId="10" fillId="0" borderId="0" xfId="0" applyFont="1" applyAlignment="1">
      <alignment horizontal="left"/>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1" fillId="0" borderId="19" xfId="0" applyFont="1" applyBorder="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3496.2794627159788</c:v>
                </c:pt>
              </c:numCache>
            </c:numRef>
          </c:xVal>
          <c:yVal>
            <c:numRef>
              <c:f>'CERTIFICADO '!$M$85:$M$85</c:f>
              <c:numCache>
                <c:formatCode>0.0</c:formatCode>
                <c:ptCount val="1"/>
              </c:numCache>
            </c:numRef>
          </c:yVal>
          <c:smooth val="0"/>
          <c:extLst>
            <c:ext xmlns:c16="http://schemas.microsoft.com/office/drawing/2014/chart" uri="{C3380CC4-5D6E-409C-BE32-E72D297353CC}">
              <c16:uniqueId val="{00000000-F4AD-4CA8-9FAB-2823C83B9E9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1.4610230616953257</c:v>
                  </c:pt>
                  <c:pt idx="1">
                    <c:v>0</c:v>
                  </c:pt>
                  <c:pt idx="2">
                    <c:v>0</c:v>
                  </c:pt>
                  <c:pt idx="3">
                    <c:v>0</c:v>
                  </c:pt>
                </c:numCache>
              </c:numRef>
            </c:plus>
            <c:minus>
              <c:numRef>
                <c:f>INCERTIDUMBRE!$L$4:$L$7</c:f>
                <c:numCache>
                  <c:formatCode>General</c:formatCode>
                  <c:ptCount val="4"/>
                  <c:pt idx="0">
                    <c:v>1.4610230616953257</c:v>
                  </c:pt>
                  <c:pt idx="1">
                    <c:v>0</c:v>
                  </c:pt>
                  <c:pt idx="2">
                    <c:v>0</c:v>
                  </c:pt>
                  <c:pt idx="3">
                    <c:v>0</c:v>
                  </c:pt>
                </c:numCache>
              </c:numRef>
            </c:minus>
            <c:spPr>
              <a:noFill/>
              <a:ln w="9525" cap="flat" cmpd="sng" algn="ctr">
                <a:solidFill>
                  <a:srgbClr val="FF0000"/>
                </a:solidFill>
                <a:round/>
              </a:ln>
              <a:effectLst/>
            </c:spPr>
          </c:errBars>
          <c:xVal>
            <c:numRef>
              <c:f>'CERTIFICADO '!$L$85:$L$85</c:f>
              <c:numCache>
                <c:formatCode>0.0</c:formatCode>
                <c:ptCount val="1"/>
                <c:pt idx="0">
                  <c:v>3496.2794627159788</c:v>
                </c:pt>
              </c:numCache>
            </c:numRef>
          </c:xVal>
          <c:yVal>
            <c:numRef>
              <c:f>'CERTIFICADO '!$N$85:$N$85</c:f>
              <c:numCache>
                <c:formatCode>0.0</c:formatCode>
                <c:ptCount val="1"/>
                <c:pt idx="0">
                  <c:v>3.7205372840212476</c:v>
                </c:pt>
              </c:numCache>
            </c:numRef>
          </c:yVal>
          <c:smooth val="0"/>
          <c:extLst>
            <c:ext xmlns:c16="http://schemas.microsoft.com/office/drawing/2014/chart" uri="{C3380CC4-5D6E-409C-BE32-E72D297353CC}">
              <c16:uniqueId val="{00000001-F4AD-4CA8-9FAB-2823C83B9E9D}"/>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3496.2794627159788</c:v>
                </c:pt>
              </c:numCache>
            </c:numRef>
          </c:xVal>
          <c:yVal>
            <c:numRef>
              <c:f>'CERTIFICADO '!$O$85:$O$85</c:f>
              <c:numCache>
                <c:formatCode>0.0</c:formatCode>
                <c:ptCount val="1"/>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Valor nominal ( Rpm)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Error ± Incertidumbre (Rpm)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76200</xdr:colOff>
      <xdr:row>86</xdr:row>
      <xdr:rowOff>129540</xdr:rowOff>
    </xdr:from>
    <xdr:to>
      <xdr:col>18</xdr:col>
      <xdr:colOff>220980</xdr:colOff>
      <xdr:row>97</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A3" sqref="A3:H3"/>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4" t="s">
        <v>105</v>
      </c>
      <c r="B1" s="165"/>
      <c r="C1" s="165"/>
      <c r="D1" s="165"/>
      <c r="E1" s="165"/>
      <c r="F1" s="165"/>
      <c r="G1" s="165"/>
      <c r="H1" s="166"/>
      <c r="I1"/>
      <c r="J1"/>
      <c r="K1"/>
      <c r="L1"/>
      <c r="M1"/>
      <c r="N1"/>
      <c r="O1" t="s">
        <v>117</v>
      </c>
      <c r="P1"/>
      <c r="Q1"/>
      <c r="R1"/>
      <c r="S1"/>
      <c r="T1"/>
      <c r="U1"/>
      <c r="V1"/>
      <c r="W1"/>
      <c r="X1"/>
      <c r="Y1"/>
      <c r="Z1"/>
      <c r="AA1"/>
      <c r="AB1"/>
      <c r="AC1"/>
      <c r="AD1"/>
      <c r="AE1"/>
    </row>
    <row r="2" spans="1:31" ht="14.4" x14ac:dyDescent="0.3">
      <c r="A2" s="109" t="s">
        <v>150</v>
      </c>
      <c r="B2" s="109" t="s">
        <v>151</v>
      </c>
      <c r="C2" s="109" t="s">
        <v>152</v>
      </c>
      <c r="D2" s="109" t="s">
        <v>153</v>
      </c>
      <c r="E2" s="109" t="s">
        <v>154</v>
      </c>
      <c r="F2" s="109" t="s">
        <v>155</v>
      </c>
      <c r="G2" s="109" t="s">
        <v>156</v>
      </c>
      <c r="H2" s="109" t="s">
        <v>157</v>
      </c>
      <c r="I2"/>
      <c r="J2"/>
      <c r="K2"/>
      <c r="L2"/>
      <c r="M2"/>
      <c r="N2"/>
      <c r="O2" t="s">
        <v>118</v>
      </c>
      <c r="P2"/>
      <c r="Q2"/>
      <c r="R2"/>
      <c r="S2"/>
      <c r="T2"/>
      <c r="U2"/>
      <c r="V2"/>
      <c r="W2"/>
      <c r="X2"/>
      <c r="Y2"/>
      <c r="Z2"/>
      <c r="AA2"/>
      <c r="AB2"/>
      <c r="AC2"/>
      <c r="AD2"/>
      <c r="AE2"/>
    </row>
    <row r="3" spans="1:31" ht="12.75" customHeight="1" x14ac:dyDescent="0.3">
      <c r="A3" s="110"/>
      <c r="B3" s="110"/>
      <c r="C3" s="110"/>
      <c r="D3" s="110"/>
      <c r="E3" s="110"/>
      <c r="F3" s="110"/>
      <c r="G3" s="110"/>
      <c r="H3" s="111"/>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67" t="s">
        <v>106</v>
      </c>
      <c r="B6" s="167"/>
      <c r="C6"/>
      <c r="D6" s="108" t="s">
        <v>104</v>
      </c>
      <c r="E6" s="108"/>
      <c r="H6"/>
      <c r="I6"/>
      <c r="J6"/>
      <c r="K6"/>
      <c r="L6"/>
      <c r="M6"/>
      <c r="N6"/>
      <c r="O6" t="s">
        <v>120</v>
      </c>
      <c r="P6"/>
      <c r="Q6"/>
      <c r="R6"/>
      <c r="S6"/>
      <c r="T6"/>
      <c r="U6"/>
      <c r="V6"/>
      <c r="W6"/>
      <c r="X6"/>
      <c r="Y6"/>
      <c r="Z6"/>
      <c r="AA6"/>
      <c r="AB6"/>
      <c r="AC6"/>
      <c r="AD6"/>
      <c r="AE6"/>
    </row>
    <row r="7" spans="1:31" ht="12.75" customHeight="1" x14ac:dyDescent="0.3">
      <c r="A7" s="21" t="s">
        <v>108</v>
      </c>
      <c r="B7" s="91" t="s">
        <v>117</v>
      </c>
      <c r="C7"/>
      <c r="D7" s="21" t="s">
        <v>107</v>
      </c>
      <c r="E7" s="92" t="s">
        <v>122</v>
      </c>
      <c r="H7"/>
      <c r="I7"/>
      <c r="J7"/>
      <c r="K7"/>
      <c r="L7"/>
      <c r="M7"/>
      <c r="N7"/>
      <c r="O7"/>
      <c r="P7"/>
      <c r="Q7"/>
      <c r="R7"/>
      <c r="S7"/>
      <c r="T7"/>
      <c r="U7"/>
      <c r="V7"/>
      <c r="W7"/>
      <c r="X7"/>
      <c r="Y7"/>
      <c r="Z7"/>
      <c r="AA7"/>
      <c r="AB7"/>
      <c r="AC7"/>
      <c r="AD7"/>
      <c r="AE7"/>
    </row>
    <row r="8" spans="1:31" ht="12.75" customHeight="1" x14ac:dyDescent="0.3">
      <c r="A8" s="21" t="s">
        <v>158</v>
      </c>
      <c r="B8" s="91" t="s">
        <v>69</v>
      </c>
      <c r="C8"/>
      <c r="D8" s="21" t="s">
        <v>8</v>
      </c>
      <c r="E8" s="91" t="s">
        <v>123</v>
      </c>
      <c r="H8"/>
      <c r="I8"/>
      <c r="J8"/>
      <c r="K8"/>
      <c r="L8"/>
      <c r="M8"/>
      <c r="N8"/>
      <c r="O8"/>
      <c r="P8"/>
      <c r="Q8"/>
      <c r="R8"/>
      <c r="S8"/>
      <c r="T8"/>
      <c r="U8"/>
      <c r="V8"/>
      <c r="W8"/>
      <c r="X8"/>
      <c r="Y8"/>
      <c r="Z8"/>
      <c r="AA8"/>
      <c r="AB8"/>
      <c r="AC8"/>
      <c r="AD8"/>
      <c r="AE8"/>
    </row>
    <row r="9" spans="1:31" ht="12.75" customHeight="1" x14ac:dyDescent="0.3">
      <c r="A9" s="21" t="s">
        <v>110</v>
      </c>
      <c r="B9" s="94">
        <f>H3</f>
        <v>0</v>
      </c>
      <c r="C9"/>
      <c r="D9" s="21" t="s">
        <v>109</v>
      </c>
      <c r="E9" s="91">
        <v>7466262</v>
      </c>
      <c r="H9"/>
      <c r="I9"/>
      <c r="J9"/>
      <c r="K9"/>
      <c r="L9"/>
      <c r="M9"/>
      <c r="N9"/>
      <c r="O9"/>
      <c r="P9"/>
      <c r="Q9"/>
      <c r="R9"/>
      <c r="S9"/>
      <c r="T9"/>
      <c r="U9"/>
      <c r="V9"/>
      <c r="W9"/>
      <c r="X9"/>
      <c r="Y9"/>
      <c r="Z9"/>
      <c r="AA9"/>
      <c r="AB9"/>
      <c r="AC9"/>
      <c r="AD9"/>
      <c r="AE9"/>
    </row>
    <row r="10" spans="1:31" ht="12.75" customHeight="1" x14ac:dyDescent="0.3">
      <c r="A10" s="21" t="s">
        <v>111</v>
      </c>
      <c r="B10" s="94">
        <f>H3</f>
        <v>0</v>
      </c>
      <c r="C10"/>
      <c r="D10" s="21" t="s">
        <v>5</v>
      </c>
      <c r="E10" s="93" t="s">
        <v>159</v>
      </c>
      <c r="G10"/>
      <c r="H10"/>
      <c r="I10"/>
      <c r="J10"/>
      <c r="K10"/>
      <c r="L10"/>
      <c r="M10"/>
      <c r="N10"/>
      <c r="O10"/>
      <c r="P10"/>
      <c r="Q10"/>
      <c r="R10"/>
      <c r="S10"/>
      <c r="T10"/>
      <c r="U10"/>
      <c r="V10"/>
      <c r="W10"/>
      <c r="X10"/>
      <c r="Y10"/>
      <c r="Z10"/>
      <c r="AA10"/>
      <c r="AB10"/>
      <c r="AC10"/>
      <c r="AD10"/>
      <c r="AE10"/>
    </row>
    <row r="11" spans="1:31" ht="12.75" customHeight="1" x14ac:dyDescent="0.3">
      <c r="A11" s="21" t="s">
        <v>112</v>
      </c>
      <c r="B11" s="91">
        <v>24.5</v>
      </c>
      <c r="C11"/>
      <c r="D11" s="21" t="s">
        <v>3</v>
      </c>
      <c r="E11" s="93" t="s">
        <v>160</v>
      </c>
      <c r="G11"/>
      <c r="H11"/>
      <c r="I11"/>
      <c r="J11"/>
      <c r="K11"/>
      <c r="L11"/>
      <c r="M11"/>
      <c r="N11"/>
      <c r="O11"/>
      <c r="P11"/>
      <c r="Q11"/>
      <c r="R11"/>
      <c r="S11"/>
      <c r="T11"/>
      <c r="U11"/>
      <c r="V11"/>
      <c r="W11"/>
      <c r="X11"/>
      <c r="Y11"/>
      <c r="Z11"/>
      <c r="AA11"/>
      <c r="AB11"/>
      <c r="AC11"/>
      <c r="AD11"/>
      <c r="AE11"/>
    </row>
    <row r="12" spans="1:31" ht="12.75" customHeight="1" x14ac:dyDescent="0.3">
      <c r="A12" s="21" t="s">
        <v>113</v>
      </c>
      <c r="B12" s="91">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1">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1" t="s">
        <v>161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1" t="s">
        <v>58</v>
      </c>
      <c r="B1" s="172"/>
      <c r="C1" s="172"/>
      <c r="D1" s="172"/>
      <c r="E1" s="172"/>
      <c r="F1" s="172"/>
      <c r="G1" s="172"/>
      <c r="H1" s="172"/>
      <c r="I1" s="172"/>
      <c r="J1" s="172"/>
      <c r="K1" s="173"/>
    </row>
    <row r="2" spans="1:11" ht="15" thickBot="1" x14ac:dyDescent="0.35">
      <c r="A2" s="33" t="s">
        <v>31</v>
      </c>
      <c r="B2" s="19" t="s">
        <v>30</v>
      </c>
      <c r="C2" t="e">
        <f>FIXED(A3,6)</f>
        <v>#REF!</v>
      </c>
      <c r="D2" t="e">
        <f>RIGHT(C2,1)</f>
        <v>#REF!</v>
      </c>
      <c r="E2" t="e">
        <f>D2/1000000</f>
        <v>#REF!</v>
      </c>
      <c r="F2" s="32" t="e">
        <f>A3-E2</f>
        <v>#REF!</v>
      </c>
      <c r="H2" t="e">
        <f>IF(C7=5,IF(AND(D3=0,D8=FALSE),J5,J6),J6)</f>
        <v>#REF!</v>
      </c>
      <c r="K2" s="29"/>
    </row>
    <row r="3" spans="1:11" ht="18.600000000000001" thickBot="1" x14ac:dyDescent="0.4">
      <c r="A3" s="31" t="e">
        <f>INCERTIDUMBRE!L5</f>
        <v>#REF!</v>
      </c>
      <c r="B3" s="30" t="e">
        <f>IF(A3&gt;=10,K37,IF(A3&gt;=1,K29,IF(A3&gt;=0.1,K21,IF(A3&gt;=0.01,K13,IF(A3&gt;=0.001,K5)))))</f>
        <v>#REF!</v>
      </c>
      <c r="C3" t="s">
        <v>29</v>
      </c>
      <c r="D3" t="e">
        <f>D2+0</f>
        <v>#REF!</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e">
        <f>RIGHT(F2,2)</f>
        <v>#REF!</v>
      </c>
      <c r="D5" t="e">
        <f>LEFT(C5,1)</f>
        <v>#REF!</v>
      </c>
      <c r="E5" s="32" t="e">
        <f>TRUNC(A3)</f>
        <v>#REF!</v>
      </c>
      <c r="F5" s="14" t="e">
        <f>FIXED(A3-E5,G5)</f>
        <v>#REF!</v>
      </c>
      <c r="G5" t="e">
        <f>ABS(E8-F8)</f>
        <v>#REF!</v>
      </c>
      <c r="H5" t="e">
        <f>RIGHT(A3,G5)</f>
        <v>#REF!</v>
      </c>
      <c r="I5">
        <v>5.0000000000000002E-5</v>
      </c>
      <c r="J5" s="14" t="e">
        <f>(A3-I5)</f>
        <v>#REF!</v>
      </c>
      <c r="K5" s="47" t="e">
        <f>IF(C7=5,IF(AND(D3=0,D8=FALSE),J5,J6),J6)</f>
        <v>#REF!</v>
      </c>
    </row>
    <row r="6" spans="1:11" hidden="1" x14ac:dyDescent="0.3">
      <c r="A6" s="33"/>
      <c r="C6" t="e">
        <f>RIGHT(C5,1)</f>
        <v>#REF!</v>
      </c>
      <c r="D6" t="e">
        <f>D5+0</f>
        <v>#REF!</v>
      </c>
      <c r="J6" t="e">
        <f>FIXED(A3,4)</f>
        <v>#REF!</v>
      </c>
      <c r="K6" s="29"/>
    </row>
    <row r="7" spans="1:11" hidden="1" x14ac:dyDescent="0.3">
      <c r="A7" s="33"/>
      <c r="C7" t="e">
        <f>C6+0</f>
        <v>#REF!</v>
      </c>
      <c r="D7" t="s">
        <v>35</v>
      </c>
      <c r="E7" t="s">
        <v>34</v>
      </c>
      <c r="F7" t="s">
        <v>33</v>
      </c>
      <c r="K7" s="29"/>
    </row>
    <row r="8" spans="1:11" hidden="1" x14ac:dyDescent="0.3">
      <c r="A8" s="33"/>
      <c r="D8" t="e">
        <f>ISODD(D5)</f>
        <v>#REF!</v>
      </c>
      <c r="E8" t="e">
        <f>LEN(A3)</f>
        <v>#REF!</v>
      </c>
      <c r="F8" t="e">
        <f>LEN(E5)+1</f>
        <v>#REF!</v>
      </c>
      <c r="K8" s="29"/>
    </row>
    <row r="9" spans="1:11" hidden="1" x14ac:dyDescent="0.3">
      <c r="A9" s="33"/>
      <c r="K9" s="29"/>
    </row>
    <row r="10" spans="1:11" hidden="1" x14ac:dyDescent="0.3">
      <c r="A10" s="168" t="s">
        <v>48</v>
      </c>
      <c r="B10" s="169"/>
      <c r="C10" s="169"/>
      <c r="D10" s="169"/>
      <c r="E10" s="169"/>
      <c r="F10" s="169"/>
      <c r="G10" s="169"/>
      <c r="H10" s="169"/>
      <c r="I10" s="169"/>
      <c r="J10" s="169"/>
      <c r="K10" s="170"/>
    </row>
    <row r="11" spans="1:11" hidden="1" x14ac:dyDescent="0.3">
      <c r="A11" s="44" t="e">
        <f>K5</f>
        <v>#REF!</v>
      </c>
      <c r="C11" t="e">
        <f>FIXED(A3,5)</f>
        <v>#REF!</v>
      </c>
      <c r="D11" t="e">
        <f>RIGHT(C11,1)</f>
        <v>#REF!</v>
      </c>
      <c r="E11" t="e">
        <f>D11+0</f>
        <v>#REF!</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e">
        <f>RIGHT(A11,2)</f>
        <v>#REF!</v>
      </c>
      <c r="D13" t="e">
        <f>LEFT(C13,1)</f>
        <v>#REF!</v>
      </c>
      <c r="E13" s="38" t="e">
        <f>TRUNC(A11)</f>
        <v>#REF!</v>
      </c>
      <c r="F13" s="14" t="e">
        <f>FIXED(A11-E13,G13)</f>
        <v>#REF!</v>
      </c>
      <c r="G13" t="e">
        <f>ABS(E16-F16)</f>
        <v>#REF!</v>
      </c>
      <c r="H13" t="e">
        <f>RIGHT(A11,G13)</f>
        <v>#REF!</v>
      </c>
      <c r="I13">
        <v>5.0000000000000001E-4</v>
      </c>
      <c r="J13" s="46" t="e">
        <f>(A11-I13)</f>
        <v>#REF!</v>
      </c>
      <c r="K13" s="45" t="e">
        <f>IF(C15=5,IF(AND(E11=0,D16=FALSE),J13,J14),J14)</f>
        <v>#REF!</v>
      </c>
    </row>
    <row r="14" spans="1:11" hidden="1" x14ac:dyDescent="0.3">
      <c r="A14" s="33"/>
      <c r="C14" t="e">
        <f>RIGHT(C13,1)</f>
        <v>#REF!</v>
      </c>
      <c r="D14" t="e">
        <f>D13+0</f>
        <v>#REF!</v>
      </c>
      <c r="J14" t="e">
        <f>FIXED(A11,3)</f>
        <v>#REF!</v>
      </c>
      <c r="K14" s="29"/>
    </row>
    <row r="15" spans="1:11" hidden="1" x14ac:dyDescent="0.3">
      <c r="A15" s="33"/>
      <c r="C15" t="e">
        <f>C14+0</f>
        <v>#REF!</v>
      </c>
      <c r="D15" t="s">
        <v>35</v>
      </c>
      <c r="E15" t="s">
        <v>34</v>
      </c>
      <c r="F15" t="s">
        <v>33</v>
      </c>
      <c r="K15" s="29"/>
    </row>
    <row r="16" spans="1:11" hidden="1" x14ac:dyDescent="0.3">
      <c r="A16" s="33"/>
      <c r="D16" t="e">
        <f>ISODD(D13)</f>
        <v>#REF!</v>
      </c>
      <c r="E16" t="e">
        <f>LEN(A11)</f>
        <v>#REF!</v>
      </c>
      <c r="F16" t="e">
        <f>LEN(E13)+1</f>
        <v>#REF!</v>
      </c>
      <c r="K16" s="29"/>
    </row>
    <row r="17" spans="1:11" hidden="1" x14ac:dyDescent="0.3">
      <c r="A17" s="33"/>
      <c r="K17" s="29"/>
    </row>
    <row r="18" spans="1:11" hidden="1" x14ac:dyDescent="0.3">
      <c r="A18" s="168" t="s">
        <v>47</v>
      </c>
      <c r="B18" s="169"/>
      <c r="C18" s="169"/>
      <c r="D18" s="169"/>
      <c r="E18" s="169"/>
      <c r="F18" s="169"/>
      <c r="G18" s="169"/>
      <c r="H18" s="169"/>
      <c r="I18" s="169"/>
      <c r="J18" s="169"/>
      <c r="K18" s="170"/>
    </row>
    <row r="19" spans="1:11" hidden="1" x14ac:dyDescent="0.3">
      <c r="A19" s="44" t="e">
        <f>K13</f>
        <v>#REF!</v>
      </c>
      <c r="C19" t="e">
        <f>FIXED(A11,4)</f>
        <v>#REF!</v>
      </c>
      <c r="D19" t="e">
        <f>RIGHT(C19,1)</f>
        <v>#REF!</v>
      </c>
      <c r="E19" t="e">
        <f>D19+0</f>
        <v>#REF!</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e">
        <f>RIGHT(A19,2)</f>
        <v>#REF!</v>
      </c>
      <c r="D21" t="e">
        <f>LEFT(C21,1)</f>
        <v>#REF!</v>
      </c>
      <c r="E21" s="38" t="e">
        <f>TRUNC(A19)</f>
        <v>#REF!</v>
      </c>
      <c r="F21" s="14" t="e">
        <f>FIXED(A19-E21,G21)</f>
        <v>#REF!</v>
      </c>
      <c r="G21" t="e">
        <f>ABS(E24-F24)</f>
        <v>#REF!</v>
      </c>
      <c r="H21" t="e">
        <f>RIGHT(A19,G21)</f>
        <v>#REF!</v>
      </c>
      <c r="I21">
        <v>5.0000000000000001E-3</v>
      </c>
      <c r="J21" s="3" t="e">
        <f>(A19-I21)</f>
        <v>#REF!</v>
      </c>
      <c r="K21" s="43" t="e">
        <f>IF(C23=5,IF(AND(E19=0,D24=FALSE),J21,J22),J22)</f>
        <v>#REF!</v>
      </c>
    </row>
    <row r="22" spans="1:11" ht="18" hidden="1" x14ac:dyDescent="0.35">
      <c r="A22" s="33"/>
      <c r="C22" t="e">
        <f>RIGHT(C21,1)</f>
        <v>#REF!</v>
      </c>
      <c r="D22" t="e">
        <f>D21+0</f>
        <v>#REF!</v>
      </c>
      <c r="J22" t="e">
        <f>FIXED(A19,2)</f>
        <v>#REF!</v>
      </c>
      <c r="K22" s="43"/>
    </row>
    <row r="23" spans="1:11" hidden="1" x14ac:dyDescent="0.3">
      <c r="A23" s="33"/>
      <c r="C23" t="e">
        <f>C22+0</f>
        <v>#REF!</v>
      </c>
      <c r="D23" t="s">
        <v>35</v>
      </c>
      <c r="E23" t="s">
        <v>34</v>
      </c>
      <c r="F23" t="s">
        <v>33</v>
      </c>
      <c r="K23" s="29"/>
    </row>
    <row r="24" spans="1:11" hidden="1" x14ac:dyDescent="0.3">
      <c r="A24" s="33"/>
      <c r="D24" t="e">
        <f>ISODD(D21)</f>
        <v>#REF!</v>
      </c>
      <c r="E24" t="e">
        <f>LEN(A19)</f>
        <v>#REF!</v>
      </c>
      <c r="F24" t="e">
        <f>LEN(E21)+1</f>
        <v>#REF!</v>
      </c>
      <c r="K24" s="29"/>
    </row>
    <row r="25" spans="1:11" hidden="1" x14ac:dyDescent="0.3">
      <c r="A25" s="33"/>
      <c r="K25" s="29"/>
    </row>
    <row r="26" spans="1:11" hidden="1" x14ac:dyDescent="0.3">
      <c r="A26" s="168" t="s">
        <v>46</v>
      </c>
      <c r="B26" s="169"/>
      <c r="C26" s="169"/>
      <c r="D26" s="169"/>
      <c r="E26" s="169"/>
      <c r="F26" s="169"/>
      <c r="G26" s="169"/>
      <c r="H26" s="169"/>
      <c r="I26" s="169"/>
      <c r="J26" s="169"/>
      <c r="K26" s="170"/>
    </row>
    <row r="27" spans="1:11" hidden="1" x14ac:dyDescent="0.3">
      <c r="A27" s="41" t="e">
        <f>K21</f>
        <v>#REF!</v>
      </c>
      <c r="C27" t="e">
        <f>FIXED(A19,3)</f>
        <v>#REF!</v>
      </c>
      <c r="D27" t="e">
        <f>RIGHT(C27,1)</f>
        <v>#REF!</v>
      </c>
      <c r="E27" t="e">
        <f>D27+0</f>
        <v>#REF!</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e">
        <f>RIGHT(A27,2)</f>
        <v>#REF!</v>
      </c>
      <c r="D29" t="e">
        <f>LEFT(C29,1)</f>
        <v>#REF!</v>
      </c>
      <c r="E29" s="38" t="e">
        <f>TRUNC(A27)</f>
        <v>#REF!</v>
      </c>
      <c r="F29" s="14" t="e">
        <f>FIXED(A27-E29,G29)</f>
        <v>#REF!</v>
      </c>
      <c r="G29" t="e">
        <f>ABS(E32-F32)</f>
        <v>#REF!</v>
      </c>
      <c r="H29" t="e">
        <f>RIGHT(A27,G29)</f>
        <v>#REF!</v>
      </c>
      <c r="I29">
        <v>0.05</v>
      </c>
      <c r="J29" s="3" t="e">
        <f>(A27-I29)</f>
        <v>#REF!</v>
      </c>
      <c r="K29" s="43" t="e">
        <f>IF(C31=5,IF(AND(E27=0,D32=FALSE),J29,J30),J30)</f>
        <v>#REF!</v>
      </c>
    </row>
    <row r="30" spans="1:11" hidden="1" x14ac:dyDescent="0.3">
      <c r="A30" s="33"/>
      <c r="C30" t="e">
        <f>RIGHT(C29,1)</f>
        <v>#REF!</v>
      </c>
      <c r="D30" t="e">
        <f>D29+0</f>
        <v>#REF!</v>
      </c>
      <c r="J30" t="e">
        <f>FIXED(A27,1)</f>
        <v>#REF!</v>
      </c>
      <c r="K30" s="42"/>
    </row>
    <row r="31" spans="1:11" hidden="1" x14ac:dyDescent="0.3">
      <c r="A31" s="33"/>
      <c r="C31" t="e">
        <f>C30+0</f>
        <v>#REF!</v>
      </c>
      <c r="D31" t="s">
        <v>35</v>
      </c>
      <c r="E31" t="s">
        <v>34</v>
      </c>
      <c r="F31" t="s">
        <v>33</v>
      </c>
      <c r="K31" s="29"/>
    </row>
    <row r="32" spans="1:11" hidden="1" x14ac:dyDescent="0.3">
      <c r="A32" s="33"/>
      <c r="D32" t="e">
        <f>ISODD(D29)</f>
        <v>#REF!</v>
      </c>
      <c r="E32" t="e">
        <f>LEN(A27)</f>
        <v>#REF!</v>
      </c>
      <c r="F32" t="e">
        <f>LEN(E29)+1</f>
        <v>#REF!</v>
      </c>
      <c r="K32" s="29"/>
    </row>
    <row r="33" spans="1:11" hidden="1" x14ac:dyDescent="0.3">
      <c r="A33" s="33"/>
      <c r="K33" s="29"/>
    </row>
    <row r="34" spans="1:11" hidden="1" x14ac:dyDescent="0.3">
      <c r="A34" s="168" t="s">
        <v>45</v>
      </c>
      <c r="B34" s="169"/>
      <c r="C34" s="169"/>
      <c r="D34" s="169"/>
      <c r="E34" s="169"/>
      <c r="F34" s="169"/>
      <c r="G34" s="169"/>
      <c r="H34" s="169"/>
      <c r="I34" s="169"/>
      <c r="J34" s="169"/>
      <c r="K34" s="170"/>
    </row>
    <row r="35" spans="1:11" hidden="1" x14ac:dyDescent="0.3">
      <c r="A35" s="41" t="e">
        <f>K29</f>
        <v>#REF!</v>
      </c>
      <c r="C35" t="e">
        <f>FIXED(A27,2)</f>
        <v>#REF!</v>
      </c>
      <c r="D35" t="e">
        <f>RIGHT(C35,1)</f>
        <v>#REF!</v>
      </c>
      <c r="E35" t="e">
        <f>D35+0</f>
        <v>#REF!</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e">
        <f>RIGHT(A35,2)</f>
        <v>#REF!</v>
      </c>
      <c r="D37" t="e">
        <f>RIGHT(E37,1)</f>
        <v>#REF!</v>
      </c>
      <c r="E37" s="38" t="e">
        <f>TRUNC(A35)</f>
        <v>#REF!</v>
      </c>
      <c r="F37" s="14" t="e">
        <f>FIXED(A35-E37,G37)</f>
        <v>#REF!</v>
      </c>
      <c r="G37" t="e">
        <f>ABS(E40-F40)</f>
        <v>#REF!</v>
      </c>
      <c r="H37" t="e">
        <f>RIGHT(A35,G37)</f>
        <v>#REF!</v>
      </c>
      <c r="I37">
        <v>0.5</v>
      </c>
      <c r="J37" s="12" t="e">
        <f>(A35-I37)</f>
        <v>#REF!</v>
      </c>
      <c r="K37" s="37" t="e">
        <f>IF(C39=5,IF(AND(E35=0,D40=FALSE),J37,J38),J38)</f>
        <v>#REF!</v>
      </c>
    </row>
    <row r="38" spans="1:11" hidden="1" x14ac:dyDescent="0.3">
      <c r="A38" s="33"/>
      <c r="C38" t="e">
        <f>RIGHT(C37,1)</f>
        <v>#REF!</v>
      </c>
      <c r="D38" t="e">
        <f>D37+0</f>
        <v>#REF!</v>
      </c>
      <c r="J38" t="e">
        <f>FIXED(A35,0)</f>
        <v>#REF!</v>
      </c>
      <c r="K38" s="36"/>
    </row>
    <row r="39" spans="1:11" hidden="1" x14ac:dyDescent="0.3">
      <c r="A39" s="33"/>
      <c r="C39" t="e">
        <f>C38+0</f>
        <v>#REF!</v>
      </c>
      <c r="D39" t="s">
        <v>35</v>
      </c>
      <c r="E39" t="s">
        <v>34</v>
      </c>
      <c r="F39" t="s">
        <v>33</v>
      </c>
      <c r="K39" s="29"/>
    </row>
    <row r="40" spans="1:11" ht="15" hidden="1" thickBot="1" x14ac:dyDescent="0.35">
      <c r="A40" s="35"/>
      <c r="B40" s="35"/>
      <c r="C40" s="35"/>
      <c r="D40" s="35" t="e">
        <f>ISODD(D37)</f>
        <v>#REF!</v>
      </c>
      <c r="E40" s="35" t="e">
        <f>LEN(A35)</f>
        <v>#REF!</v>
      </c>
      <c r="F40" s="35" t="e">
        <f>LEN(E37)+1</f>
        <v>#REF!</v>
      </c>
      <c r="G40" s="35"/>
      <c r="H40" s="35"/>
      <c r="I40" s="35"/>
      <c r="J40" s="35"/>
      <c r="K40" s="34"/>
    </row>
    <row r="41" spans="1:11" ht="15" thickBot="1" x14ac:dyDescent="0.35">
      <c r="A41" s="171" t="s">
        <v>57</v>
      </c>
      <c r="B41" s="172"/>
      <c r="C41" s="172"/>
      <c r="D41" s="172"/>
      <c r="E41" s="172"/>
      <c r="F41" s="172"/>
      <c r="G41" s="172"/>
      <c r="H41" s="172"/>
      <c r="I41" s="172"/>
      <c r="J41" s="172"/>
      <c r="K41" s="173"/>
    </row>
    <row r="42" spans="1:11" ht="15" thickBot="1" x14ac:dyDescent="0.35">
      <c r="A42" s="33" t="s">
        <v>31</v>
      </c>
      <c r="B42" s="19" t="s">
        <v>30</v>
      </c>
      <c r="C42" t="e">
        <f>FIXED(A43,6)</f>
        <v>#REF!</v>
      </c>
      <c r="D42" t="e">
        <f>RIGHT(C42,1)</f>
        <v>#REF!</v>
      </c>
      <c r="E42" t="e">
        <f>D42/1000000</f>
        <v>#REF!</v>
      </c>
      <c r="F42" s="32" t="e">
        <f>A43-E42</f>
        <v>#REF!</v>
      </c>
      <c r="H42" t="e">
        <f>IF(C47=5,IF(AND(D43=0,D48=FALSE),J45,J46),J46)</f>
        <v>#REF!</v>
      </c>
      <c r="K42" s="29"/>
    </row>
    <row r="43" spans="1:11" ht="18.600000000000001" thickBot="1" x14ac:dyDescent="0.4">
      <c r="A43" s="31" t="e">
        <f>INCERTIDUMBRE!L6</f>
        <v>#REF!</v>
      </c>
      <c r="B43" s="30" t="e">
        <f>IF(A43&gt;=10,K77,IF(A43&gt;=1,K69,IF(A43&gt;=0.1,K61,IF(A43&gt;=0.01,K53,IF(A43&gt;=0.001,K45)))))</f>
        <v>#REF!</v>
      </c>
      <c r="C43" t="s">
        <v>29</v>
      </c>
      <c r="D43" t="e">
        <f>D42+0</f>
        <v>#REF!</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e">
        <f>RIGHT(F42,2)</f>
        <v>#REF!</v>
      </c>
      <c r="D45" t="e">
        <f>LEFT(C45,1)</f>
        <v>#REF!</v>
      </c>
      <c r="E45" s="32" t="e">
        <f>TRUNC(A43)</f>
        <v>#REF!</v>
      </c>
      <c r="F45" s="14" t="e">
        <f>FIXED(A43-E45,G45)</f>
        <v>#REF!</v>
      </c>
      <c r="G45" t="e">
        <f>ABS(E48-F48)</f>
        <v>#REF!</v>
      </c>
      <c r="H45" t="e">
        <f>RIGHT(A43,G45)</f>
        <v>#REF!</v>
      </c>
      <c r="I45">
        <v>5.0000000000000002E-5</v>
      </c>
      <c r="J45" s="14" t="e">
        <f>(A43-I45)</f>
        <v>#REF!</v>
      </c>
      <c r="K45" s="47" t="e">
        <f>IF(C47=5,IF(AND(D43=0,D48=FALSE),J45,J46),J46)</f>
        <v>#REF!</v>
      </c>
    </row>
    <row r="46" spans="1:11" hidden="1" x14ac:dyDescent="0.3">
      <c r="A46" s="33"/>
      <c r="C46" t="e">
        <f>RIGHT(C45,1)</f>
        <v>#REF!</v>
      </c>
      <c r="D46" t="e">
        <f>D45+0</f>
        <v>#REF!</v>
      </c>
      <c r="J46" t="e">
        <f>FIXED(A43,4)</f>
        <v>#REF!</v>
      </c>
      <c r="K46" s="29"/>
    </row>
    <row r="47" spans="1:11" hidden="1" x14ac:dyDescent="0.3">
      <c r="A47" s="33"/>
      <c r="C47" t="e">
        <f>C46+0</f>
        <v>#REF!</v>
      </c>
      <c r="D47" t="s">
        <v>35</v>
      </c>
      <c r="E47" t="s">
        <v>34</v>
      </c>
      <c r="F47" t="s">
        <v>33</v>
      </c>
      <c r="K47" s="29"/>
    </row>
    <row r="48" spans="1:11" hidden="1" x14ac:dyDescent="0.3">
      <c r="A48" s="33"/>
      <c r="D48" t="e">
        <f>ISODD(D45)</f>
        <v>#REF!</v>
      </c>
      <c r="E48" t="e">
        <f>LEN(A43)</f>
        <v>#REF!</v>
      </c>
      <c r="F48" t="e">
        <f>LEN(E45)+1</f>
        <v>#REF!</v>
      </c>
      <c r="K48" s="29"/>
    </row>
    <row r="49" spans="1:11" hidden="1" x14ac:dyDescent="0.3">
      <c r="A49" s="33"/>
      <c r="K49" s="29"/>
    </row>
    <row r="50" spans="1:11" hidden="1" x14ac:dyDescent="0.3">
      <c r="A50" s="168" t="s">
        <v>48</v>
      </c>
      <c r="B50" s="169"/>
      <c r="C50" s="169"/>
      <c r="D50" s="169"/>
      <c r="E50" s="169"/>
      <c r="F50" s="169"/>
      <c r="G50" s="169"/>
      <c r="H50" s="169"/>
      <c r="I50" s="169"/>
      <c r="J50" s="169"/>
      <c r="K50" s="170"/>
    </row>
    <row r="51" spans="1:11" hidden="1" x14ac:dyDescent="0.3">
      <c r="A51" s="44" t="e">
        <f>K45</f>
        <v>#REF!</v>
      </c>
      <c r="C51" t="e">
        <f>FIXED(A43,5)</f>
        <v>#REF!</v>
      </c>
      <c r="D51" t="e">
        <f>RIGHT(C51,1)</f>
        <v>#REF!</v>
      </c>
      <c r="E51" t="e">
        <f>D51+0</f>
        <v>#REF!</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e">
        <f>RIGHT(A51,2)</f>
        <v>#REF!</v>
      </c>
      <c r="D53" t="e">
        <f>LEFT(C53,1)</f>
        <v>#REF!</v>
      </c>
      <c r="E53" s="38" t="e">
        <f>TRUNC(A51)</f>
        <v>#REF!</v>
      </c>
      <c r="F53" s="14" t="e">
        <f>FIXED(A51-E53,G53)</f>
        <v>#REF!</v>
      </c>
      <c r="G53" t="e">
        <f>ABS(E56-F56)</f>
        <v>#REF!</v>
      </c>
      <c r="H53" t="e">
        <f>RIGHT(A51,G53)</f>
        <v>#REF!</v>
      </c>
      <c r="I53">
        <v>5.0000000000000001E-4</v>
      </c>
      <c r="J53" s="46" t="e">
        <f>(A51-I53)</f>
        <v>#REF!</v>
      </c>
      <c r="K53" s="45" t="e">
        <f>IF(C55=5,IF(AND(E51=0,D56=FALSE),J53,J54),J54)</f>
        <v>#REF!</v>
      </c>
    </row>
    <row r="54" spans="1:11" hidden="1" x14ac:dyDescent="0.3">
      <c r="A54" s="33"/>
      <c r="C54" t="e">
        <f>RIGHT(C53,1)</f>
        <v>#REF!</v>
      </c>
      <c r="D54" t="e">
        <f>D53+0</f>
        <v>#REF!</v>
      </c>
      <c r="J54" t="e">
        <f>FIXED(A51,3)</f>
        <v>#REF!</v>
      </c>
      <c r="K54" s="29"/>
    </row>
    <row r="55" spans="1:11" hidden="1" x14ac:dyDescent="0.3">
      <c r="A55" s="33"/>
      <c r="C55" t="e">
        <f>C54+0</f>
        <v>#REF!</v>
      </c>
      <c r="D55" t="s">
        <v>35</v>
      </c>
      <c r="E55" t="s">
        <v>34</v>
      </c>
      <c r="F55" t="s">
        <v>33</v>
      </c>
      <c r="K55" s="29"/>
    </row>
    <row r="56" spans="1:11" hidden="1" x14ac:dyDescent="0.3">
      <c r="A56" s="33"/>
      <c r="D56" t="e">
        <f>ISODD(D53)</f>
        <v>#REF!</v>
      </c>
      <c r="E56" t="e">
        <f>LEN(A51)</f>
        <v>#REF!</v>
      </c>
      <c r="F56" t="e">
        <f>LEN(E53)+1</f>
        <v>#REF!</v>
      </c>
      <c r="K56" s="29"/>
    </row>
    <row r="57" spans="1:11" hidden="1" x14ac:dyDescent="0.3">
      <c r="A57" s="33"/>
      <c r="K57" s="29"/>
    </row>
    <row r="58" spans="1:11" hidden="1" x14ac:dyDescent="0.3">
      <c r="A58" s="168" t="s">
        <v>47</v>
      </c>
      <c r="B58" s="169"/>
      <c r="C58" s="169"/>
      <c r="D58" s="169"/>
      <c r="E58" s="169"/>
      <c r="F58" s="169"/>
      <c r="G58" s="169"/>
      <c r="H58" s="169"/>
      <c r="I58" s="169"/>
      <c r="J58" s="169"/>
      <c r="K58" s="170"/>
    </row>
    <row r="59" spans="1:11" hidden="1" x14ac:dyDescent="0.3">
      <c r="A59" s="44" t="e">
        <f>K53</f>
        <v>#REF!</v>
      </c>
      <c r="C59" t="e">
        <f>FIXED(A51,4)</f>
        <v>#REF!</v>
      </c>
      <c r="D59" t="e">
        <f>RIGHT(C59,1)</f>
        <v>#REF!</v>
      </c>
      <c r="E59" t="e">
        <f>D59+0</f>
        <v>#REF!</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e">
        <f>RIGHT(A59,2)</f>
        <v>#REF!</v>
      </c>
      <c r="D61" t="e">
        <f>LEFT(C61,1)</f>
        <v>#REF!</v>
      </c>
      <c r="E61" s="38" t="e">
        <f>TRUNC(A59)</f>
        <v>#REF!</v>
      </c>
      <c r="F61" s="14" t="e">
        <f>FIXED(A59-E61,G61)</f>
        <v>#REF!</v>
      </c>
      <c r="G61" t="e">
        <f>ABS(E64-F64)</f>
        <v>#REF!</v>
      </c>
      <c r="H61" t="e">
        <f>RIGHT(A59,G61)</f>
        <v>#REF!</v>
      </c>
      <c r="I61">
        <v>5.0000000000000001E-3</v>
      </c>
      <c r="J61" s="3" t="e">
        <f>(A59-I61)</f>
        <v>#REF!</v>
      </c>
      <c r="K61" s="43" t="e">
        <f>IF(C63=5,IF(AND(E59=0,D64=FALSE),J61,J62),J62)</f>
        <v>#REF!</v>
      </c>
    </row>
    <row r="62" spans="1:11" ht="18" hidden="1" x14ac:dyDescent="0.35">
      <c r="A62" s="33"/>
      <c r="C62" t="e">
        <f>RIGHT(C61,1)</f>
        <v>#REF!</v>
      </c>
      <c r="D62" t="e">
        <f>D61+0</f>
        <v>#REF!</v>
      </c>
      <c r="J62" t="e">
        <f>FIXED(A59,2)</f>
        <v>#REF!</v>
      </c>
      <c r="K62" s="43"/>
    </row>
    <row r="63" spans="1:11" hidden="1" x14ac:dyDescent="0.3">
      <c r="A63" s="33"/>
      <c r="C63" t="e">
        <f>C62+0</f>
        <v>#REF!</v>
      </c>
      <c r="D63" t="s">
        <v>35</v>
      </c>
      <c r="E63" t="s">
        <v>34</v>
      </c>
      <c r="F63" t="s">
        <v>33</v>
      </c>
      <c r="K63" s="29"/>
    </row>
    <row r="64" spans="1:11" hidden="1" x14ac:dyDescent="0.3">
      <c r="A64" s="33"/>
      <c r="D64" t="e">
        <f>ISODD(D61)</f>
        <v>#REF!</v>
      </c>
      <c r="E64" t="e">
        <f>LEN(A59)</f>
        <v>#REF!</v>
      </c>
      <c r="F64" t="e">
        <f>LEN(E61)+1</f>
        <v>#REF!</v>
      </c>
      <c r="K64" s="29"/>
    </row>
    <row r="65" spans="1:11" hidden="1" x14ac:dyDescent="0.3">
      <c r="A65" s="33"/>
      <c r="K65" s="29"/>
    </row>
    <row r="66" spans="1:11" hidden="1" x14ac:dyDescent="0.3">
      <c r="A66" s="168" t="s">
        <v>46</v>
      </c>
      <c r="B66" s="169"/>
      <c r="C66" s="169"/>
      <c r="D66" s="169"/>
      <c r="E66" s="169"/>
      <c r="F66" s="169"/>
      <c r="G66" s="169"/>
      <c r="H66" s="169"/>
      <c r="I66" s="169"/>
      <c r="J66" s="169"/>
      <c r="K66" s="170"/>
    </row>
    <row r="67" spans="1:11" hidden="1" x14ac:dyDescent="0.3">
      <c r="A67" s="41" t="e">
        <f>K61</f>
        <v>#REF!</v>
      </c>
      <c r="C67" t="e">
        <f>FIXED(A59,3)</f>
        <v>#REF!</v>
      </c>
      <c r="D67" t="e">
        <f>RIGHT(C67,1)</f>
        <v>#REF!</v>
      </c>
      <c r="E67" t="e">
        <f>D67+0</f>
        <v>#REF!</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e">
        <f>RIGHT(A67,2)</f>
        <v>#REF!</v>
      </c>
      <c r="D69" t="e">
        <f>LEFT(C69,1)</f>
        <v>#REF!</v>
      </c>
      <c r="E69" s="38" t="e">
        <f>TRUNC(A67)</f>
        <v>#REF!</v>
      </c>
      <c r="F69" s="14" t="e">
        <f>FIXED(A67-E69,G69)</f>
        <v>#REF!</v>
      </c>
      <c r="G69" t="e">
        <f>ABS(E72-F72)</f>
        <v>#REF!</v>
      </c>
      <c r="H69" t="e">
        <f>RIGHT(A67,G69)</f>
        <v>#REF!</v>
      </c>
      <c r="I69">
        <v>0.05</v>
      </c>
      <c r="J69" s="3" t="e">
        <f>(A67-I69)</f>
        <v>#REF!</v>
      </c>
      <c r="K69" s="43" t="e">
        <f>IF(C71=5,IF(AND(E67=0,D72=FALSE),J69,J70),J70)</f>
        <v>#REF!</v>
      </c>
    </row>
    <row r="70" spans="1:11" hidden="1" x14ac:dyDescent="0.3">
      <c r="A70" s="33"/>
      <c r="C70" t="e">
        <f>RIGHT(C69,1)</f>
        <v>#REF!</v>
      </c>
      <c r="D70" t="e">
        <f>D69+0</f>
        <v>#REF!</v>
      </c>
      <c r="J70" t="e">
        <f>FIXED(A67,1)</f>
        <v>#REF!</v>
      </c>
      <c r="K70" s="42"/>
    </row>
    <row r="71" spans="1:11" hidden="1" x14ac:dyDescent="0.3">
      <c r="A71" s="33"/>
      <c r="C71" t="e">
        <f>C70+0</f>
        <v>#REF!</v>
      </c>
      <c r="D71" t="s">
        <v>35</v>
      </c>
      <c r="E71" t="s">
        <v>34</v>
      </c>
      <c r="F71" t="s">
        <v>33</v>
      </c>
      <c r="K71" s="29"/>
    </row>
    <row r="72" spans="1:11" hidden="1" x14ac:dyDescent="0.3">
      <c r="A72" s="33"/>
      <c r="D72" t="e">
        <f>ISODD(D69)</f>
        <v>#REF!</v>
      </c>
      <c r="E72" t="e">
        <f>LEN(A67)</f>
        <v>#REF!</v>
      </c>
      <c r="F72" t="e">
        <f>LEN(E69)+1</f>
        <v>#REF!</v>
      </c>
      <c r="K72" s="29"/>
    </row>
    <row r="73" spans="1:11" hidden="1" x14ac:dyDescent="0.3">
      <c r="A73" s="33"/>
      <c r="K73" s="29"/>
    </row>
    <row r="74" spans="1:11" hidden="1" x14ac:dyDescent="0.3">
      <c r="A74" s="168" t="s">
        <v>45</v>
      </c>
      <c r="B74" s="169"/>
      <c r="C74" s="169"/>
      <c r="D74" s="169"/>
      <c r="E74" s="169"/>
      <c r="F74" s="169"/>
      <c r="G74" s="169"/>
      <c r="H74" s="169"/>
      <c r="I74" s="169"/>
      <c r="J74" s="169"/>
      <c r="K74" s="170"/>
    </row>
    <row r="75" spans="1:11" hidden="1" x14ac:dyDescent="0.3">
      <c r="A75" s="41" t="e">
        <f>K69</f>
        <v>#REF!</v>
      </c>
      <c r="C75" t="e">
        <f>FIXED(A67,2)</f>
        <v>#REF!</v>
      </c>
      <c r="D75" t="e">
        <f>RIGHT(C75,1)</f>
        <v>#REF!</v>
      </c>
      <c r="E75" t="e">
        <f>D75+0</f>
        <v>#REF!</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e">
        <f>RIGHT(A75,2)</f>
        <v>#REF!</v>
      </c>
      <c r="D77" t="e">
        <f>RIGHT(E77,1)</f>
        <v>#REF!</v>
      </c>
      <c r="E77" s="38" t="e">
        <f>TRUNC(A75)</f>
        <v>#REF!</v>
      </c>
      <c r="F77" s="14" t="e">
        <f>FIXED(A75-E77,G77)</f>
        <v>#REF!</v>
      </c>
      <c r="G77" t="e">
        <f>ABS(E80-F80)</f>
        <v>#REF!</v>
      </c>
      <c r="H77" t="e">
        <f>RIGHT(A75,G77)</f>
        <v>#REF!</v>
      </c>
      <c r="I77">
        <v>0.5</v>
      </c>
      <c r="J77" s="12" t="e">
        <f>(A75-I77)</f>
        <v>#REF!</v>
      </c>
      <c r="K77" s="37" t="e">
        <f>IF(C79=5,IF(AND(E75=0,D80=FALSE),J77,J78),J78)</f>
        <v>#REF!</v>
      </c>
    </row>
    <row r="78" spans="1:11" hidden="1" x14ac:dyDescent="0.3">
      <c r="A78" s="33"/>
      <c r="C78" t="e">
        <f>RIGHT(C77,1)</f>
        <v>#REF!</v>
      </c>
      <c r="D78" t="e">
        <f>D77+0</f>
        <v>#REF!</v>
      </c>
      <c r="J78" t="e">
        <f>FIXED(A75,0)</f>
        <v>#REF!</v>
      </c>
      <c r="K78" s="36"/>
    </row>
    <row r="79" spans="1:11" hidden="1" x14ac:dyDescent="0.3">
      <c r="A79" s="33"/>
      <c r="C79" t="e">
        <f>C78+0</f>
        <v>#REF!</v>
      </c>
      <c r="D79" t="s">
        <v>35</v>
      </c>
      <c r="E79" t="s">
        <v>34</v>
      </c>
      <c r="F79" t="s">
        <v>33</v>
      </c>
      <c r="K79" s="29"/>
    </row>
    <row r="80" spans="1:11" ht="15" hidden="1" thickBot="1" x14ac:dyDescent="0.35">
      <c r="A80" s="35"/>
      <c r="B80" s="35"/>
      <c r="C80" s="35"/>
      <c r="D80" s="35" t="e">
        <f>ISODD(D77)</f>
        <v>#REF!</v>
      </c>
      <c r="E80" s="35" t="e">
        <f>LEN(A75)</f>
        <v>#REF!</v>
      </c>
      <c r="F80" s="35" t="e">
        <f>LEN(E77)+1</f>
        <v>#REF!</v>
      </c>
      <c r="G80" s="35"/>
      <c r="H80" s="35"/>
      <c r="I80" s="35"/>
      <c r="J80" s="35"/>
      <c r="K80" s="34"/>
    </row>
    <row r="81" spans="1:11" ht="15" thickBot="1" x14ac:dyDescent="0.35">
      <c r="A81" s="171" t="s">
        <v>56</v>
      </c>
      <c r="B81" s="172"/>
      <c r="C81" s="172"/>
      <c r="D81" s="172"/>
      <c r="E81" s="172"/>
      <c r="F81" s="172"/>
      <c r="G81" s="172"/>
      <c r="H81" s="172"/>
      <c r="I81" s="172"/>
      <c r="J81" s="172"/>
      <c r="K81" s="173"/>
    </row>
    <row r="82" spans="1:11" ht="15" thickBot="1" x14ac:dyDescent="0.35">
      <c r="A82" s="33" t="s">
        <v>31</v>
      </c>
      <c r="B82" s="19" t="s">
        <v>30</v>
      </c>
      <c r="C82" t="e">
        <f>FIXED(A83,6)</f>
        <v>#REF!</v>
      </c>
      <c r="D82" t="e">
        <f>RIGHT(C82,1)</f>
        <v>#REF!</v>
      </c>
      <c r="E82" t="e">
        <f>D82/1000000</f>
        <v>#REF!</v>
      </c>
      <c r="F82" s="32" t="e">
        <f>A83-E82</f>
        <v>#REF!</v>
      </c>
      <c r="H82" t="e">
        <f>IF(C87=5,IF(AND(D83=0,D88=FALSE),J85,J86),J86)</f>
        <v>#REF!</v>
      </c>
      <c r="K82" s="29"/>
    </row>
    <row r="83" spans="1:11" ht="18.600000000000001" thickBot="1" x14ac:dyDescent="0.4">
      <c r="A83" s="31" t="e">
        <f>INCERTIDUMBRE!L7</f>
        <v>#REF!</v>
      </c>
      <c r="B83" s="30" t="e">
        <f>IF(A83&gt;=10,K117,IF(A83&gt;=1,K109,IF(A83&gt;=0.1,K101,IF(A83&gt;=0.01,K93,IF(A83&gt;=0.001,K85)))))</f>
        <v>#REF!</v>
      </c>
      <c r="C83" t="s">
        <v>29</v>
      </c>
      <c r="D83" t="e">
        <f>D82+0</f>
        <v>#REF!</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e">
        <f>RIGHT(F82,2)</f>
        <v>#REF!</v>
      </c>
      <c r="D85" t="e">
        <f>LEFT(C85,1)</f>
        <v>#REF!</v>
      </c>
      <c r="E85" s="32" t="e">
        <f>TRUNC(A83)</f>
        <v>#REF!</v>
      </c>
      <c r="F85" s="14" t="e">
        <f>FIXED(A83-E85,G85)</f>
        <v>#REF!</v>
      </c>
      <c r="G85" t="e">
        <f>ABS(E88-F88)</f>
        <v>#REF!</v>
      </c>
      <c r="H85" t="e">
        <f>RIGHT(A83,G85)</f>
        <v>#REF!</v>
      </c>
      <c r="I85">
        <v>5.0000000000000002E-5</v>
      </c>
      <c r="J85" s="14" t="e">
        <f>(A83-I85)</f>
        <v>#REF!</v>
      </c>
      <c r="K85" s="47" t="e">
        <f>IF(C87=5,IF(AND(D83=0,D88=FALSE),J85,J86),J86)</f>
        <v>#REF!</v>
      </c>
    </row>
    <row r="86" spans="1:11" hidden="1" x14ac:dyDescent="0.3">
      <c r="A86" s="33"/>
      <c r="C86" t="e">
        <f>RIGHT(C85,1)</f>
        <v>#REF!</v>
      </c>
      <c r="D86" t="e">
        <f>D85+0</f>
        <v>#REF!</v>
      </c>
      <c r="J86" t="e">
        <f>FIXED(A83,4)</f>
        <v>#REF!</v>
      </c>
      <c r="K86" s="29"/>
    </row>
    <row r="87" spans="1:11" hidden="1" x14ac:dyDescent="0.3">
      <c r="A87" s="33"/>
      <c r="C87" t="e">
        <f>C86+0</f>
        <v>#REF!</v>
      </c>
      <c r="D87" t="s">
        <v>35</v>
      </c>
      <c r="E87" t="s">
        <v>34</v>
      </c>
      <c r="F87" t="s">
        <v>33</v>
      </c>
      <c r="K87" s="29"/>
    </row>
    <row r="88" spans="1:11" hidden="1" x14ac:dyDescent="0.3">
      <c r="A88" s="33"/>
      <c r="D88" t="e">
        <f>ISODD(D85)</f>
        <v>#REF!</v>
      </c>
      <c r="E88" t="e">
        <f>LEN(A83)</f>
        <v>#REF!</v>
      </c>
      <c r="F88" t="e">
        <f>LEN(E85)+1</f>
        <v>#REF!</v>
      </c>
      <c r="K88" s="29"/>
    </row>
    <row r="89" spans="1:11" hidden="1" x14ac:dyDescent="0.3">
      <c r="A89" s="33"/>
      <c r="K89" s="29"/>
    </row>
    <row r="90" spans="1:11" hidden="1" x14ac:dyDescent="0.3">
      <c r="A90" s="168" t="s">
        <v>48</v>
      </c>
      <c r="B90" s="169"/>
      <c r="C90" s="169"/>
      <c r="D90" s="169"/>
      <c r="E90" s="169"/>
      <c r="F90" s="169"/>
      <c r="G90" s="169"/>
      <c r="H90" s="169"/>
      <c r="I90" s="169"/>
      <c r="J90" s="169"/>
      <c r="K90" s="170"/>
    </row>
    <row r="91" spans="1:11" hidden="1" x14ac:dyDescent="0.3">
      <c r="A91" s="44" t="e">
        <f>K85</f>
        <v>#REF!</v>
      </c>
      <c r="C91" t="e">
        <f>FIXED(A83,5)</f>
        <v>#REF!</v>
      </c>
      <c r="D91" t="e">
        <f>RIGHT(C91,1)</f>
        <v>#REF!</v>
      </c>
      <c r="E91" t="e">
        <f>D91+0</f>
        <v>#REF!</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e">
        <f>RIGHT(A91,2)</f>
        <v>#REF!</v>
      </c>
      <c r="D93" t="e">
        <f>LEFT(C93,1)</f>
        <v>#REF!</v>
      </c>
      <c r="E93" s="38" t="e">
        <f>TRUNC(A91)</f>
        <v>#REF!</v>
      </c>
      <c r="F93" s="14" t="e">
        <f>FIXED(A91-E93,G93)</f>
        <v>#REF!</v>
      </c>
      <c r="G93" t="e">
        <f>ABS(E96-F96)</f>
        <v>#REF!</v>
      </c>
      <c r="H93" t="e">
        <f>RIGHT(A91,G93)</f>
        <v>#REF!</v>
      </c>
      <c r="I93">
        <v>5.0000000000000001E-4</v>
      </c>
      <c r="J93" s="46" t="e">
        <f>(A91-I93)</f>
        <v>#REF!</v>
      </c>
      <c r="K93" s="45" t="e">
        <f>IF(C95=5,IF(AND(E91=0,D96=FALSE),J93,J94),J94)</f>
        <v>#REF!</v>
      </c>
    </row>
    <row r="94" spans="1:11" hidden="1" x14ac:dyDescent="0.3">
      <c r="A94" s="33"/>
      <c r="C94" t="e">
        <f>RIGHT(C93,1)</f>
        <v>#REF!</v>
      </c>
      <c r="D94" t="e">
        <f>D93+0</f>
        <v>#REF!</v>
      </c>
      <c r="J94" t="e">
        <f>FIXED(A91,3)</f>
        <v>#REF!</v>
      </c>
      <c r="K94" s="29"/>
    </row>
    <row r="95" spans="1:11" hidden="1" x14ac:dyDescent="0.3">
      <c r="A95" s="33"/>
      <c r="C95" t="e">
        <f>C94+0</f>
        <v>#REF!</v>
      </c>
      <c r="D95" t="s">
        <v>35</v>
      </c>
      <c r="E95" t="s">
        <v>34</v>
      </c>
      <c r="F95" t="s">
        <v>33</v>
      </c>
      <c r="K95" s="29"/>
    </row>
    <row r="96" spans="1:11" hidden="1" x14ac:dyDescent="0.3">
      <c r="A96" s="33"/>
      <c r="D96" t="e">
        <f>ISODD(D93)</f>
        <v>#REF!</v>
      </c>
      <c r="E96" t="e">
        <f>LEN(A91)</f>
        <v>#REF!</v>
      </c>
      <c r="F96" t="e">
        <f>LEN(E93)+1</f>
        <v>#REF!</v>
      </c>
      <c r="K96" s="29"/>
    </row>
    <row r="97" spans="1:11" hidden="1" x14ac:dyDescent="0.3">
      <c r="A97" s="33"/>
      <c r="K97" s="29"/>
    </row>
    <row r="98" spans="1:11" hidden="1" x14ac:dyDescent="0.3">
      <c r="A98" s="168" t="s">
        <v>47</v>
      </c>
      <c r="B98" s="169"/>
      <c r="C98" s="169"/>
      <c r="D98" s="169"/>
      <c r="E98" s="169"/>
      <c r="F98" s="169"/>
      <c r="G98" s="169"/>
      <c r="H98" s="169"/>
      <c r="I98" s="169"/>
      <c r="J98" s="169"/>
      <c r="K98" s="170"/>
    </row>
    <row r="99" spans="1:11" hidden="1" x14ac:dyDescent="0.3">
      <c r="A99" s="44" t="e">
        <f>K93</f>
        <v>#REF!</v>
      </c>
      <c r="C99" t="e">
        <f>FIXED(A91,4)</f>
        <v>#REF!</v>
      </c>
      <c r="D99" t="e">
        <f>RIGHT(C99,1)</f>
        <v>#REF!</v>
      </c>
      <c r="E99" t="e">
        <f>D99+0</f>
        <v>#REF!</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e">
        <f>RIGHT(A99,2)</f>
        <v>#REF!</v>
      </c>
      <c r="D101" t="e">
        <f>LEFT(C101,1)</f>
        <v>#REF!</v>
      </c>
      <c r="E101" s="38" t="e">
        <f>TRUNC(A99)</f>
        <v>#REF!</v>
      </c>
      <c r="F101" s="14" t="e">
        <f>FIXED(A99-E101,G101)</f>
        <v>#REF!</v>
      </c>
      <c r="G101" t="e">
        <f>ABS(E104-F104)</f>
        <v>#REF!</v>
      </c>
      <c r="H101" t="e">
        <f>RIGHT(A99,G101)</f>
        <v>#REF!</v>
      </c>
      <c r="I101">
        <v>5.0000000000000001E-3</v>
      </c>
      <c r="J101" s="3" t="e">
        <f>(A99-I101)</f>
        <v>#REF!</v>
      </c>
      <c r="K101" s="43" t="e">
        <f>IF(C103=5,IF(AND(E99=0,D104=FALSE),J101,J102),J102)</f>
        <v>#REF!</v>
      </c>
    </row>
    <row r="102" spans="1:11" ht="18" hidden="1" x14ac:dyDescent="0.35">
      <c r="A102" s="33"/>
      <c r="C102" t="e">
        <f>RIGHT(C101,1)</f>
        <v>#REF!</v>
      </c>
      <c r="D102" t="e">
        <f>D101+0</f>
        <v>#REF!</v>
      </c>
      <c r="J102" t="e">
        <f>FIXED(A99,2)</f>
        <v>#REF!</v>
      </c>
      <c r="K102" s="43"/>
    </row>
    <row r="103" spans="1:11" hidden="1" x14ac:dyDescent="0.3">
      <c r="A103" s="33"/>
      <c r="C103" t="e">
        <f>C102+0</f>
        <v>#REF!</v>
      </c>
      <c r="D103" t="s">
        <v>35</v>
      </c>
      <c r="E103" t="s">
        <v>34</v>
      </c>
      <c r="F103" t="s">
        <v>33</v>
      </c>
      <c r="K103" s="29"/>
    </row>
    <row r="104" spans="1:11" hidden="1" x14ac:dyDescent="0.3">
      <c r="A104" s="33"/>
      <c r="D104" t="e">
        <f>ISODD(D101)</f>
        <v>#REF!</v>
      </c>
      <c r="E104" t="e">
        <f>LEN(A99)</f>
        <v>#REF!</v>
      </c>
      <c r="F104" t="e">
        <f>LEN(E101)+1</f>
        <v>#REF!</v>
      </c>
      <c r="K104" s="29"/>
    </row>
    <row r="105" spans="1:11" hidden="1" x14ac:dyDescent="0.3">
      <c r="A105" s="33"/>
      <c r="K105" s="29"/>
    </row>
    <row r="106" spans="1:11" hidden="1" x14ac:dyDescent="0.3">
      <c r="A106" s="168" t="s">
        <v>46</v>
      </c>
      <c r="B106" s="169"/>
      <c r="C106" s="169"/>
      <c r="D106" s="169"/>
      <c r="E106" s="169"/>
      <c r="F106" s="169"/>
      <c r="G106" s="169"/>
      <c r="H106" s="169"/>
      <c r="I106" s="169"/>
      <c r="J106" s="169"/>
      <c r="K106" s="170"/>
    </row>
    <row r="107" spans="1:11" hidden="1" x14ac:dyDescent="0.3">
      <c r="A107" s="41" t="e">
        <f>K101</f>
        <v>#REF!</v>
      </c>
      <c r="C107" t="e">
        <f>FIXED(A99,3)</f>
        <v>#REF!</v>
      </c>
      <c r="D107" t="e">
        <f>RIGHT(C107,1)</f>
        <v>#REF!</v>
      </c>
      <c r="E107" t="e">
        <f>D107+0</f>
        <v>#REF!</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e">
        <f>RIGHT(A107,2)</f>
        <v>#REF!</v>
      </c>
      <c r="D109" t="e">
        <f>LEFT(C109,1)</f>
        <v>#REF!</v>
      </c>
      <c r="E109" s="38" t="e">
        <f>TRUNC(A107)</f>
        <v>#REF!</v>
      </c>
      <c r="F109" s="14" t="e">
        <f>FIXED(A107-E109,G109)</f>
        <v>#REF!</v>
      </c>
      <c r="G109" t="e">
        <f>ABS(E112-F112)</f>
        <v>#REF!</v>
      </c>
      <c r="H109" t="e">
        <f>RIGHT(A107,G109)</f>
        <v>#REF!</v>
      </c>
      <c r="I109">
        <v>0.05</v>
      </c>
      <c r="J109" s="3" t="e">
        <f>(A107-I109)</f>
        <v>#REF!</v>
      </c>
      <c r="K109" s="43" t="e">
        <f>IF(C111=5,IF(AND(E107=0,D112=FALSE),J109,J110),J110)</f>
        <v>#REF!</v>
      </c>
    </row>
    <row r="110" spans="1:11" hidden="1" x14ac:dyDescent="0.3">
      <c r="A110" s="33"/>
      <c r="C110" t="e">
        <f>RIGHT(C109,1)</f>
        <v>#REF!</v>
      </c>
      <c r="D110" t="e">
        <f>D109+0</f>
        <v>#REF!</v>
      </c>
      <c r="J110" t="e">
        <f>FIXED(A107,1)</f>
        <v>#REF!</v>
      </c>
      <c r="K110" s="42"/>
    </row>
    <row r="111" spans="1:11" hidden="1" x14ac:dyDescent="0.3">
      <c r="A111" s="33"/>
      <c r="C111" t="e">
        <f>C110+0</f>
        <v>#REF!</v>
      </c>
      <c r="D111" t="s">
        <v>35</v>
      </c>
      <c r="E111" t="s">
        <v>34</v>
      </c>
      <c r="F111" t="s">
        <v>33</v>
      </c>
      <c r="K111" s="29"/>
    </row>
    <row r="112" spans="1:11" hidden="1" x14ac:dyDescent="0.3">
      <c r="A112" s="33"/>
      <c r="D112" t="e">
        <f>ISODD(D109)</f>
        <v>#REF!</v>
      </c>
      <c r="E112" t="e">
        <f>LEN(A107)</f>
        <v>#REF!</v>
      </c>
      <c r="F112" t="e">
        <f>LEN(E109)+1</f>
        <v>#REF!</v>
      </c>
      <c r="K112" s="29"/>
    </row>
    <row r="113" spans="1:11" hidden="1" x14ac:dyDescent="0.3">
      <c r="A113" s="33"/>
      <c r="K113" s="29"/>
    </row>
    <row r="114" spans="1:11" hidden="1" x14ac:dyDescent="0.3">
      <c r="A114" s="168" t="s">
        <v>45</v>
      </c>
      <c r="B114" s="169"/>
      <c r="C114" s="169"/>
      <c r="D114" s="169"/>
      <c r="E114" s="169"/>
      <c r="F114" s="169"/>
      <c r="G114" s="169"/>
      <c r="H114" s="169"/>
      <c r="I114" s="169"/>
      <c r="J114" s="169"/>
      <c r="K114" s="170"/>
    </row>
    <row r="115" spans="1:11" hidden="1" x14ac:dyDescent="0.3">
      <c r="A115" s="41" t="e">
        <f>K109</f>
        <v>#REF!</v>
      </c>
      <c r="C115" t="e">
        <f>FIXED(A107,2)</f>
        <v>#REF!</v>
      </c>
      <c r="D115" t="e">
        <f>RIGHT(C115,1)</f>
        <v>#REF!</v>
      </c>
      <c r="E115" t="e">
        <f>D115+0</f>
        <v>#REF!</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e">
        <f>RIGHT(A115,2)</f>
        <v>#REF!</v>
      </c>
      <c r="D117" t="e">
        <f>RIGHT(E117,1)</f>
        <v>#REF!</v>
      </c>
      <c r="E117" s="38" t="e">
        <f>TRUNC(A115)</f>
        <v>#REF!</v>
      </c>
      <c r="F117" s="14" t="e">
        <f>FIXED(A115-E117,G117)</f>
        <v>#REF!</v>
      </c>
      <c r="G117" t="e">
        <f>ABS(E120-F120)</f>
        <v>#REF!</v>
      </c>
      <c r="H117" t="e">
        <f>RIGHT(A115,G117)</f>
        <v>#REF!</v>
      </c>
      <c r="I117">
        <v>0.5</v>
      </c>
      <c r="J117" s="12" t="e">
        <f>(A115-I117)</f>
        <v>#REF!</v>
      </c>
      <c r="K117" s="37" t="e">
        <f>IF(C119=5,IF(AND(E115=0,D120=FALSE),J117,J118),J118)</f>
        <v>#REF!</v>
      </c>
    </row>
    <row r="118" spans="1:11" hidden="1" x14ac:dyDescent="0.3">
      <c r="A118" s="33"/>
      <c r="C118" t="e">
        <f>RIGHT(C117,1)</f>
        <v>#REF!</v>
      </c>
      <c r="D118" t="e">
        <f>D117+0</f>
        <v>#REF!</v>
      </c>
      <c r="J118" t="e">
        <f>FIXED(A115,0)</f>
        <v>#REF!</v>
      </c>
      <c r="K118" s="36"/>
    </row>
    <row r="119" spans="1:11" hidden="1" x14ac:dyDescent="0.3">
      <c r="A119" s="33"/>
      <c r="C119" t="e">
        <f>C118+0</f>
        <v>#REF!</v>
      </c>
      <c r="D119" t="s">
        <v>35</v>
      </c>
      <c r="E119" t="s">
        <v>34</v>
      </c>
      <c r="F119" t="s">
        <v>33</v>
      </c>
      <c r="K119" s="29"/>
    </row>
    <row r="120" spans="1:11" ht="15" hidden="1" thickBot="1" x14ac:dyDescent="0.35">
      <c r="A120" s="35"/>
      <c r="B120" s="35"/>
      <c r="C120" s="35"/>
      <c r="D120" s="35" t="e">
        <f>ISODD(D117)</f>
        <v>#REF!</v>
      </c>
      <c r="E120" s="35" t="e">
        <f>LEN(A115)</f>
        <v>#REF!</v>
      </c>
      <c r="F120" s="35" t="e">
        <f>LEN(E117)+1</f>
        <v>#REF!</v>
      </c>
      <c r="G120" s="35"/>
      <c r="H120" s="35"/>
      <c r="I120" s="35"/>
      <c r="J120" s="35"/>
      <c r="K120" s="34"/>
    </row>
    <row r="121" spans="1:11" ht="15" hidden="1" thickBot="1" x14ac:dyDescent="0.35"/>
    <row r="122" spans="1:11" ht="15" thickBot="1" x14ac:dyDescent="0.35">
      <c r="A122" s="171" t="s">
        <v>55</v>
      </c>
      <c r="B122" s="172"/>
      <c r="C122" s="172"/>
      <c r="D122" s="172"/>
      <c r="E122" s="172"/>
      <c r="F122" s="172"/>
      <c r="G122" s="172"/>
      <c r="H122" s="172"/>
      <c r="I122" s="172"/>
      <c r="J122" s="172"/>
      <c r="K122" s="173"/>
    </row>
    <row r="123" spans="1:11" ht="15" thickBot="1" x14ac:dyDescent="0.35">
      <c r="A123" s="33" t="s">
        <v>31</v>
      </c>
      <c r="B123" s="19" t="s">
        <v>30</v>
      </c>
      <c r="C123" t="str">
        <f>FIXED(A124,6)</f>
        <v>0,000000</v>
      </c>
      <c r="D123" t="str">
        <f>RIGHT(C123,1)</f>
        <v>0</v>
      </c>
      <c r="E123">
        <f>D123/1000000</f>
        <v>0</v>
      </c>
      <c r="F123" s="32">
        <f>A124-E123</f>
        <v>0</v>
      </c>
      <c r="H123" t="str">
        <f>IF(C128=5,IF(AND(D124=0,D129=FALSE),J126,J127),J127)</f>
        <v>0,0000</v>
      </c>
      <c r="K123" s="29"/>
    </row>
    <row r="124" spans="1:11" ht="18.600000000000001" thickBot="1" x14ac:dyDescent="0.4">
      <c r="A124" s="31">
        <f>INCERTIDUMBRE!L8</f>
        <v>0</v>
      </c>
      <c r="B124" s="30" t="b">
        <f>IF(A124&gt;=10,K158,IF(A124&gt;=1,K150,IF(A124&gt;=0.1,K142,IF(A124&gt;=0.01,K134,IF(A124&gt;=0.001,K126)))))</f>
        <v>0</v>
      </c>
      <c r="C124" t="s">
        <v>29</v>
      </c>
      <c r="D124">
        <f>D123+0</f>
        <v>0</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RIGHT(F123,2)</f>
        <v>0</v>
      </c>
      <c r="D126" t="str">
        <f>LEFT(C126,1)</f>
        <v>0</v>
      </c>
      <c r="E126" s="32">
        <f>TRUNC(A124)</f>
        <v>0</v>
      </c>
      <c r="F126" s="14" t="str">
        <f>FIXED(A124-E126,G126)</f>
        <v>0,0</v>
      </c>
      <c r="G126">
        <f>ABS(E129-F129)</f>
        <v>1</v>
      </c>
      <c r="H126" t="str">
        <f>RIGHT(A124,G126)</f>
        <v>0</v>
      </c>
      <c r="I126">
        <v>5.0000000000000002E-5</v>
      </c>
      <c r="J126" s="14">
        <f>(A124-I126)</f>
        <v>-5.0000000000000002E-5</v>
      </c>
      <c r="K126" s="47" t="str">
        <f>IF(C128=5,IF(AND(D124=0,D129=FALSE),J126,J127),J127)</f>
        <v>0,0000</v>
      </c>
    </row>
    <row r="127" spans="1:11" hidden="1" x14ac:dyDescent="0.3">
      <c r="A127" s="33"/>
      <c r="C127" t="str">
        <f>RIGHT(C126,1)</f>
        <v>0</v>
      </c>
      <c r="D127">
        <f>D126+0</f>
        <v>0</v>
      </c>
      <c r="J127" t="str">
        <f>FIXED(A124,4)</f>
        <v>0,0000</v>
      </c>
      <c r="K127" s="29"/>
    </row>
    <row r="128" spans="1:11" hidden="1" x14ac:dyDescent="0.3">
      <c r="A128" s="33"/>
      <c r="C128">
        <f>C127+0</f>
        <v>0</v>
      </c>
      <c r="D128" t="s">
        <v>35</v>
      </c>
      <c r="E128" t="s">
        <v>34</v>
      </c>
      <c r="F128" t="s">
        <v>33</v>
      </c>
      <c r="K128" s="29"/>
    </row>
    <row r="129" spans="1:11" hidden="1" x14ac:dyDescent="0.3">
      <c r="A129" s="33"/>
      <c r="D129" t="b">
        <f>ISODD(D126)</f>
        <v>0</v>
      </c>
      <c r="E129">
        <f>LEN(A124)</f>
        <v>1</v>
      </c>
      <c r="F129">
        <f>LEN(E126)+1</f>
        <v>2</v>
      </c>
      <c r="K129" s="29"/>
    </row>
    <row r="130" spans="1:11" hidden="1" x14ac:dyDescent="0.3">
      <c r="A130" s="33"/>
      <c r="K130" s="29"/>
    </row>
    <row r="131" spans="1:11" hidden="1" x14ac:dyDescent="0.3">
      <c r="A131" s="168" t="s">
        <v>48</v>
      </c>
      <c r="B131" s="169"/>
      <c r="C131" s="169"/>
      <c r="D131" s="169"/>
      <c r="E131" s="169"/>
      <c r="F131" s="169"/>
      <c r="G131" s="169"/>
      <c r="H131" s="169"/>
      <c r="I131" s="169"/>
      <c r="J131" s="169"/>
      <c r="K131" s="170"/>
    </row>
    <row r="132" spans="1:11" hidden="1" x14ac:dyDescent="0.3">
      <c r="A132" s="44" t="str">
        <f>K126</f>
        <v>0,0000</v>
      </c>
      <c r="C132" t="str">
        <f>FIXED(A124,5)</f>
        <v>0,00000</v>
      </c>
      <c r="D132" t="str">
        <f>RIGHT(C132,1)</f>
        <v>0</v>
      </c>
      <c r="E132">
        <f>D132+0</f>
        <v>0</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RIGHT(A132,2)</f>
        <v>00</v>
      </c>
      <c r="D134" t="str">
        <f>LEFT(C134,1)</f>
        <v>0</v>
      </c>
      <c r="E134" s="38">
        <f>TRUNC(A132)</f>
        <v>0</v>
      </c>
      <c r="F134" s="14" t="str">
        <f>FIXED(A132-E134,G134)</f>
        <v>0,0000</v>
      </c>
      <c r="G134">
        <f>ABS(E137-F137)</f>
        <v>4</v>
      </c>
      <c r="H134" t="str">
        <f>RIGHT(A132,G134)</f>
        <v>0000</v>
      </c>
      <c r="I134">
        <v>5.0000000000000001E-4</v>
      </c>
      <c r="J134" s="46">
        <f>(A132-I134)</f>
        <v>-5.0000000000000001E-4</v>
      </c>
      <c r="K134" s="45" t="str">
        <f>IF(C136=5,IF(AND(E132=0,D137=FALSE),J134,J135),J135)</f>
        <v>0,000</v>
      </c>
    </row>
    <row r="135" spans="1:11" hidden="1" x14ac:dyDescent="0.3">
      <c r="A135" s="33"/>
      <c r="C135" t="str">
        <f>RIGHT(C134,1)</f>
        <v>0</v>
      </c>
      <c r="D135">
        <f>D134+0</f>
        <v>0</v>
      </c>
      <c r="J135" t="str">
        <f>FIXED(A132,3)</f>
        <v>0,000</v>
      </c>
      <c r="K135" s="29"/>
    </row>
    <row r="136" spans="1:11" hidden="1" x14ac:dyDescent="0.3">
      <c r="A136" s="33"/>
      <c r="C136">
        <f>C135+0</f>
        <v>0</v>
      </c>
      <c r="D136" t="s">
        <v>35</v>
      </c>
      <c r="E136" t="s">
        <v>34</v>
      </c>
      <c r="F136" t="s">
        <v>33</v>
      </c>
      <c r="K136" s="29"/>
    </row>
    <row r="137" spans="1:11" hidden="1" x14ac:dyDescent="0.3">
      <c r="A137" s="33"/>
      <c r="D137" t="b">
        <f>ISODD(D134)</f>
        <v>0</v>
      </c>
      <c r="E137">
        <f>LEN(A132)</f>
        <v>6</v>
      </c>
      <c r="F137">
        <f>LEN(E134)+1</f>
        <v>2</v>
      </c>
      <c r="K137" s="29"/>
    </row>
    <row r="138" spans="1:11" hidden="1" x14ac:dyDescent="0.3">
      <c r="A138" s="33"/>
      <c r="K138" s="29"/>
    </row>
    <row r="139" spans="1:11" hidden="1" x14ac:dyDescent="0.3">
      <c r="A139" s="168" t="s">
        <v>47</v>
      </c>
      <c r="B139" s="169"/>
      <c r="C139" s="169"/>
      <c r="D139" s="169"/>
      <c r="E139" s="169"/>
      <c r="F139" s="169"/>
      <c r="G139" s="169"/>
      <c r="H139" s="169"/>
      <c r="I139" s="169"/>
      <c r="J139" s="169"/>
      <c r="K139" s="170"/>
    </row>
    <row r="140" spans="1:11" hidden="1" x14ac:dyDescent="0.3">
      <c r="A140" s="44" t="str">
        <f>K134</f>
        <v>0,000</v>
      </c>
      <c r="C140" t="str">
        <f>FIXED(A132,4)</f>
        <v>0,0000</v>
      </c>
      <c r="D140" t="str">
        <f>RIGHT(C140,1)</f>
        <v>0</v>
      </c>
      <c r="E140">
        <f>D140+0</f>
        <v>0</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RIGHT(A140,2)</f>
        <v>00</v>
      </c>
      <c r="D142" t="str">
        <f>LEFT(C142,1)</f>
        <v>0</v>
      </c>
      <c r="E142" s="38">
        <f>TRUNC(A140)</f>
        <v>0</v>
      </c>
      <c r="F142" s="14" t="str">
        <f>FIXED(A140-E142,G142)</f>
        <v>0,000</v>
      </c>
      <c r="G142">
        <f>ABS(E145-F145)</f>
        <v>3</v>
      </c>
      <c r="H142" t="str">
        <f>RIGHT(A140,G142)</f>
        <v>000</v>
      </c>
      <c r="I142">
        <v>5.0000000000000001E-3</v>
      </c>
      <c r="J142" s="3">
        <f>(A140-I142)</f>
        <v>-5.0000000000000001E-3</v>
      </c>
      <c r="K142" s="43" t="str">
        <f>IF(C144=5,IF(AND(E140=0,D145=FALSE),J142,J143),J143)</f>
        <v>0,00</v>
      </c>
    </row>
    <row r="143" spans="1:11" ht="18" hidden="1" x14ac:dyDescent="0.35">
      <c r="A143" s="33"/>
      <c r="C143" t="str">
        <f>RIGHT(C142,1)</f>
        <v>0</v>
      </c>
      <c r="D143">
        <f>D142+0</f>
        <v>0</v>
      </c>
      <c r="J143" t="str">
        <f>FIXED(A140,2)</f>
        <v>0,00</v>
      </c>
      <c r="K143" s="43"/>
    </row>
    <row r="144" spans="1:11" hidden="1" x14ac:dyDescent="0.3">
      <c r="A144" s="33"/>
      <c r="C144">
        <f>C143+0</f>
        <v>0</v>
      </c>
      <c r="D144" t="s">
        <v>35</v>
      </c>
      <c r="E144" t="s">
        <v>34</v>
      </c>
      <c r="F144" t="s">
        <v>33</v>
      </c>
      <c r="K144" s="29"/>
    </row>
    <row r="145" spans="1:11" hidden="1" x14ac:dyDescent="0.3">
      <c r="A145" s="33"/>
      <c r="D145" t="b">
        <f>ISODD(D142)</f>
        <v>0</v>
      </c>
      <c r="E145">
        <f>LEN(A140)</f>
        <v>5</v>
      </c>
      <c r="F145">
        <f>LEN(E142)+1</f>
        <v>2</v>
      </c>
      <c r="K145" s="29"/>
    </row>
    <row r="146" spans="1:11" hidden="1" x14ac:dyDescent="0.3">
      <c r="A146" s="33"/>
      <c r="K146" s="29"/>
    </row>
    <row r="147" spans="1:11" hidden="1" x14ac:dyDescent="0.3">
      <c r="A147" s="168" t="s">
        <v>46</v>
      </c>
      <c r="B147" s="169"/>
      <c r="C147" s="169"/>
      <c r="D147" s="169"/>
      <c r="E147" s="169"/>
      <c r="F147" s="169"/>
      <c r="G147" s="169"/>
      <c r="H147" s="169"/>
      <c r="I147" s="169"/>
      <c r="J147" s="169"/>
      <c r="K147" s="170"/>
    </row>
    <row r="148" spans="1:11" hidden="1" x14ac:dyDescent="0.3">
      <c r="A148" s="41" t="str">
        <f>K142</f>
        <v>0,00</v>
      </c>
      <c r="C148" t="str">
        <f>FIXED(A140,3)</f>
        <v>0,000</v>
      </c>
      <c r="D148" t="str">
        <f>RIGHT(C148,1)</f>
        <v>0</v>
      </c>
      <c r="E148">
        <f>D148+0</f>
        <v>0</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RIGHT(A148,2)</f>
        <v>00</v>
      </c>
      <c r="D150" t="str">
        <f>LEFT(C150,1)</f>
        <v>0</v>
      </c>
      <c r="E150" s="38">
        <f>TRUNC(A148)</f>
        <v>0</v>
      </c>
      <c r="F150" s="14" t="str">
        <f>FIXED(A148-E150,G150)</f>
        <v>0,00</v>
      </c>
      <c r="G150">
        <f>ABS(E153-F153)</f>
        <v>2</v>
      </c>
      <c r="H150" t="str">
        <f>RIGHT(A148,G150)</f>
        <v>00</v>
      </c>
      <c r="I150">
        <v>0.05</v>
      </c>
      <c r="J150" s="3">
        <f>(A148-I150)</f>
        <v>-0.05</v>
      </c>
      <c r="K150" s="43" t="str">
        <f>IF(C152=5,IF(AND(E148=0,D153=FALSE),J150,J151),J151)</f>
        <v>0,0</v>
      </c>
    </row>
    <row r="151" spans="1:11" hidden="1" x14ac:dyDescent="0.3">
      <c r="A151" s="33"/>
      <c r="C151" t="str">
        <f>RIGHT(C150,1)</f>
        <v>0</v>
      </c>
      <c r="D151">
        <f>D150+0</f>
        <v>0</v>
      </c>
      <c r="J151" t="str">
        <f>FIXED(A148,1)</f>
        <v>0,0</v>
      </c>
      <c r="K151" s="42"/>
    </row>
    <row r="152" spans="1:11" hidden="1" x14ac:dyDescent="0.3">
      <c r="A152" s="33"/>
      <c r="C152">
        <f>C151+0</f>
        <v>0</v>
      </c>
      <c r="D152" t="s">
        <v>35</v>
      </c>
      <c r="E152" t="s">
        <v>34</v>
      </c>
      <c r="F152" t="s">
        <v>33</v>
      </c>
      <c r="K152" s="29"/>
    </row>
    <row r="153" spans="1:11" hidden="1" x14ac:dyDescent="0.3">
      <c r="A153" s="33"/>
      <c r="D153" t="b">
        <f>ISODD(D150)</f>
        <v>0</v>
      </c>
      <c r="E153">
        <f>LEN(A148)</f>
        <v>4</v>
      </c>
      <c r="F153">
        <f>LEN(E150)+1</f>
        <v>2</v>
      </c>
      <c r="K153" s="29"/>
    </row>
    <row r="154" spans="1:11" hidden="1" x14ac:dyDescent="0.3">
      <c r="A154" s="33"/>
      <c r="K154" s="29"/>
    </row>
    <row r="155" spans="1:11" hidden="1" x14ac:dyDescent="0.3">
      <c r="A155" s="168" t="s">
        <v>45</v>
      </c>
      <c r="B155" s="169"/>
      <c r="C155" s="169"/>
      <c r="D155" s="169"/>
      <c r="E155" s="169"/>
      <c r="F155" s="169"/>
      <c r="G155" s="169"/>
      <c r="H155" s="169"/>
      <c r="I155" s="169"/>
      <c r="J155" s="169"/>
      <c r="K155" s="170"/>
    </row>
    <row r="156" spans="1:11" hidden="1" x14ac:dyDescent="0.3">
      <c r="A156" s="41" t="str">
        <f>K150</f>
        <v>0,0</v>
      </c>
      <c r="C156" t="str">
        <f>FIXED(A148,2)</f>
        <v>0,00</v>
      </c>
      <c r="D156" t="str">
        <f>RIGHT(C156,1)</f>
        <v>0</v>
      </c>
      <c r="E156">
        <f>D156+0</f>
        <v>0</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RIGHT(A156,2)</f>
        <v>,0</v>
      </c>
      <c r="D158" t="str">
        <f>RIGHT(E158,1)</f>
        <v>0</v>
      </c>
      <c r="E158" s="38">
        <f>TRUNC(A156)</f>
        <v>0</v>
      </c>
      <c r="F158" s="14" t="str">
        <f>FIXED(A156-E158,G158)</f>
        <v>0,0</v>
      </c>
      <c r="G158">
        <f>ABS(E161-F161)</f>
        <v>1</v>
      </c>
      <c r="H158" t="str">
        <f>RIGHT(A156,G158)</f>
        <v>0</v>
      </c>
      <c r="I158">
        <v>0.5</v>
      </c>
      <c r="J158" s="12">
        <f>(A156-I158)</f>
        <v>-0.5</v>
      </c>
      <c r="K158" s="37" t="str">
        <f>IF(C160=5,IF(AND(E156=0,D161=FALSE),J158,J159),J159)</f>
        <v>0</v>
      </c>
    </row>
    <row r="159" spans="1:11" hidden="1" x14ac:dyDescent="0.3">
      <c r="A159" s="33"/>
      <c r="C159" t="str">
        <f>RIGHT(C158,1)</f>
        <v>0</v>
      </c>
      <c r="D159">
        <f>D158+0</f>
        <v>0</v>
      </c>
      <c r="J159" t="str">
        <f>FIXED(A156,0)</f>
        <v>0</v>
      </c>
      <c r="K159" s="36"/>
    </row>
    <row r="160" spans="1:11" hidden="1" x14ac:dyDescent="0.3">
      <c r="A160" s="33"/>
      <c r="C160">
        <f>C159+0</f>
        <v>0</v>
      </c>
      <c r="D160" t="s">
        <v>35</v>
      </c>
      <c r="E160" t="s">
        <v>34</v>
      </c>
      <c r="F160" t="s">
        <v>33</v>
      </c>
      <c r="K160" s="29"/>
    </row>
    <row r="161" spans="1:11" ht="15" hidden="1" thickBot="1" x14ac:dyDescent="0.35">
      <c r="A161" s="35"/>
      <c r="B161" s="35"/>
      <c r="C161" s="35"/>
      <c r="D161" s="35" t="b">
        <f>ISODD(D158)</f>
        <v>0</v>
      </c>
      <c r="E161" s="35">
        <f>LEN(A156)</f>
        <v>3</v>
      </c>
      <c r="F161" s="35">
        <f>LEN(E158)+1</f>
        <v>2</v>
      </c>
      <c r="G161" s="35"/>
      <c r="H161" s="35"/>
      <c r="I161" s="35"/>
      <c r="J161" s="35"/>
      <c r="K161" s="34"/>
    </row>
    <row r="162" spans="1:11" ht="15" thickBot="1" x14ac:dyDescent="0.35">
      <c r="A162" s="171" t="s">
        <v>54</v>
      </c>
      <c r="B162" s="172"/>
      <c r="C162" s="172"/>
      <c r="D162" s="172"/>
      <c r="E162" s="172"/>
      <c r="F162" s="172"/>
      <c r="G162" s="172"/>
      <c r="H162" s="172"/>
      <c r="I162" s="172"/>
      <c r="J162" s="172"/>
      <c r="K162" s="173"/>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68" t="s">
        <v>48</v>
      </c>
      <c r="B171" s="169"/>
      <c r="C171" s="169"/>
      <c r="D171" s="169"/>
      <c r="E171" s="169"/>
      <c r="F171" s="169"/>
      <c r="G171" s="169"/>
      <c r="H171" s="169"/>
      <c r="I171" s="169"/>
      <c r="J171" s="169"/>
      <c r="K171" s="170"/>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68" t="s">
        <v>47</v>
      </c>
      <c r="B179" s="169"/>
      <c r="C179" s="169"/>
      <c r="D179" s="169"/>
      <c r="E179" s="169"/>
      <c r="F179" s="169"/>
      <c r="G179" s="169"/>
      <c r="H179" s="169"/>
      <c r="I179" s="169"/>
      <c r="J179" s="169"/>
      <c r="K179" s="170"/>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68" t="s">
        <v>46</v>
      </c>
      <c r="B187" s="169"/>
      <c r="C187" s="169"/>
      <c r="D187" s="169"/>
      <c r="E187" s="169"/>
      <c r="F187" s="169"/>
      <c r="G187" s="169"/>
      <c r="H187" s="169"/>
      <c r="I187" s="169"/>
      <c r="J187" s="169"/>
      <c r="K187" s="170"/>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68" t="s">
        <v>45</v>
      </c>
      <c r="B195" s="169"/>
      <c r="C195" s="169"/>
      <c r="D195" s="169"/>
      <c r="E195" s="169"/>
      <c r="F195" s="169"/>
      <c r="G195" s="169"/>
      <c r="H195" s="169"/>
      <c r="I195" s="169"/>
      <c r="J195" s="169"/>
      <c r="K195" s="170"/>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1" t="s">
        <v>54</v>
      </c>
      <c r="B202" s="172"/>
      <c r="C202" s="172"/>
      <c r="D202" s="172"/>
      <c r="E202" s="172"/>
      <c r="F202" s="172"/>
      <c r="G202" s="172"/>
      <c r="H202" s="172"/>
      <c r="I202" s="172"/>
      <c r="J202" s="172"/>
      <c r="K202" s="173"/>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68" t="s">
        <v>48</v>
      </c>
      <c r="B211" s="169"/>
      <c r="C211" s="169"/>
      <c r="D211" s="169"/>
      <c r="E211" s="169"/>
      <c r="F211" s="169"/>
      <c r="G211" s="169"/>
      <c r="H211" s="169"/>
      <c r="I211" s="169"/>
      <c r="J211" s="169"/>
      <c r="K211" s="170"/>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68" t="s">
        <v>47</v>
      </c>
      <c r="B219" s="169"/>
      <c r="C219" s="169"/>
      <c r="D219" s="169"/>
      <c r="E219" s="169"/>
      <c r="F219" s="169"/>
      <c r="G219" s="169"/>
      <c r="H219" s="169"/>
      <c r="I219" s="169"/>
      <c r="J219" s="169"/>
      <c r="K219" s="170"/>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68" t="s">
        <v>46</v>
      </c>
      <c r="B227" s="169"/>
      <c r="C227" s="169"/>
      <c r="D227" s="169"/>
      <c r="E227" s="169"/>
      <c r="F227" s="169"/>
      <c r="G227" s="169"/>
      <c r="H227" s="169"/>
      <c r="I227" s="169"/>
      <c r="J227" s="169"/>
      <c r="K227" s="170"/>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68" t="s">
        <v>45</v>
      </c>
      <c r="B235" s="169"/>
      <c r="C235" s="169"/>
      <c r="D235" s="169"/>
      <c r="E235" s="169"/>
      <c r="F235" s="169"/>
      <c r="G235" s="169"/>
      <c r="H235" s="169"/>
      <c r="I235" s="169"/>
      <c r="J235" s="169"/>
      <c r="K235" s="170"/>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71" t="s">
        <v>53</v>
      </c>
      <c r="B242" s="172"/>
      <c r="C242" s="172"/>
      <c r="D242" s="172"/>
      <c r="E242" s="172"/>
      <c r="F242" s="172"/>
      <c r="G242" s="172"/>
      <c r="H242" s="172"/>
      <c r="I242" s="172"/>
      <c r="J242" s="172"/>
      <c r="K242" s="173"/>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68" t="s">
        <v>48</v>
      </c>
      <c r="B251" s="169"/>
      <c r="C251" s="169"/>
      <c r="D251" s="169"/>
      <c r="E251" s="169"/>
      <c r="F251" s="169"/>
      <c r="G251" s="169"/>
      <c r="H251" s="169"/>
      <c r="I251" s="169"/>
      <c r="J251" s="169"/>
      <c r="K251" s="170"/>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68" t="s">
        <v>47</v>
      </c>
      <c r="B259" s="169"/>
      <c r="C259" s="169"/>
      <c r="D259" s="169"/>
      <c r="E259" s="169"/>
      <c r="F259" s="169"/>
      <c r="G259" s="169"/>
      <c r="H259" s="169"/>
      <c r="I259" s="169"/>
      <c r="J259" s="169"/>
      <c r="K259" s="170"/>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68" t="s">
        <v>46</v>
      </c>
      <c r="B267" s="169"/>
      <c r="C267" s="169"/>
      <c r="D267" s="169"/>
      <c r="E267" s="169"/>
      <c r="F267" s="169"/>
      <c r="G267" s="169"/>
      <c r="H267" s="169"/>
      <c r="I267" s="169"/>
      <c r="J267" s="169"/>
      <c r="K267" s="170"/>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68" t="s">
        <v>45</v>
      </c>
      <c r="B275" s="169"/>
      <c r="C275" s="169"/>
      <c r="D275" s="169"/>
      <c r="E275" s="169"/>
      <c r="F275" s="169"/>
      <c r="G275" s="169"/>
      <c r="H275" s="169"/>
      <c r="I275" s="169"/>
      <c r="J275" s="169"/>
      <c r="K275" s="170"/>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71" t="s">
        <v>52</v>
      </c>
      <c r="B282" s="172"/>
      <c r="C282" s="172"/>
      <c r="D282" s="172"/>
      <c r="E282" s="172"/>
      <c r="F282" s="172"/>
      <c r="G282" s="172"/>
      <c r="H282" s="172"/>
      <c r="I282" s="172"/>
      <c r="J282" s="172"/>
      <c r="K282" s="173"/>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68" t="s">
        <v>48</v>
      </c>
      <c r="B291" s="169"/>
      <c r="C291" s="169"/>
      <c r="D291" s="169"/>
      <c r="E291" s="169"/>
      <c r="F291" s="169"/>
      <c r="G291" s="169"/>
      <c r="H291" s="169"/>
      <c r="I291" s="169"/>
      <c r="J291" s="169"/>
      <c r="K291" s="170"/>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68" t="s">
        <v>47</v>
      </c>
      <c r="B299" s="169"/>
      <c r="C299" s="169"/>
      <c r="D299" s="169"/>
      <c r="E299" s="169"/>
      <c r="F299" s="169"/>
      <c r="G299" s="169"/>
      <c r="H299" s="169"/>
      <c r="I299" s="169"/>
      <c r="J299" s="169"/>
      <c r="K299" s="170"/>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68" t="s">
        <v>46</v>
      </c>
      <c r="B307" s="169"/>
      <c r="C307" s="169"/>
      <c r="D307" s="169"/>
      <c r="E307" s="169"/>
      <c r="F307" s="169"/>
      <c r="G307" s="169"/>
      <c r="H307" s="169"/>
      <c r="I307" s="169"/>
      <c r="J307" s="169"/>
      <c r="K307" s="170"/>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68" t="s">
        <v>45</v>
      </c>
      <c r="B315" s="169"/>
      <c r="C315" s="169"/>
      <c r="D315" s="169"/>
      <c r="E315" s="169"/>
      <c r="F315" s="169"/>
      <c r="G315" s="169"/>
      <c r="H315" s="169"/>
      <c r="I315" s="169"/>
      <c r="J315" s="169"/>
      <c r="K315" s="170"/>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71" t="s">
        <v>51</v>
      </c>
      <c r="B322" s="172"/>
      <c r="C322" s="172"/>
      <c r="D322" s="172"/>
      <c r="E322" s="172"/>
      <c r="F322" s="172"/>
      <c r="G322" s="172"/>
      <c r="H322" s="172"/>
      <c r="I322" s="172"/>
      <c r="J322" s="172"/>
      <c r="K322" s="173"/>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68" t="s">
        <v>48</v>
      </c>
      <c r="B331" s="169"/>
      <c r="C331" s="169"/>
      <c r="D331" s="169"/>
      <c r="E331" s="169"/>
      <c r="F331" s="169"/>
      <c r="G331" s="169"/>
      <c r="H331" s="169"/>
      <c r="I331" s="169"/>
      <c r="J331" s="169"/>
      <c r="K331" s="170"/>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68" t="s">
        <v>47</v>
      </c>
      <c r="B339" s="169"/>
      <c r="C339" s="169"/>
      <c r="D339" s="169"/>
      <c r="E339" s="169"/>
      <c r="F339" s="169"/>
      <c r="G339" s="169"/>
      <c r="H339" s="169"/>
      <c r="I339" s="169"/>
      <c r="J339" s="169"/>
      <c r="K339" s="170"/>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68" t="s">
        <v>46</v>
      </c>
      <c r="B347" s="169"/>
      <c r="C347" s="169"/>
      <c r="D347" s="169"/>
      <c r="E347" s="169"/>
      <c r="F347" s="169"/>
      <c r="G347" s="169"/>
      <c r="H347" s="169"/>
      <c r="I347" s="169"/>
      <c r="J347" s="169"/>
      <c r="K347" s="170"/>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68" t="s">
        <v>45</v>
      </c>
      <c r="B355" s="169"/>
      <c r="C355" s="169"/>
      <c r="D355" s="169"/>
      <c r="E355" s="169"/>
      <c r="F355" s="169"/>
      <c r="G355" s="169"/>
      <c r="H355" s="169"/>
      <c r="I355" s="169"/>
      <c r="J355" s="169"/>
      <c r="K355" s="170"/>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71" t="s">
        <v>50</v>
      </c>
      <c r="B362" s="172"/>
      <c r="C362" s="172"/>
      <c r="D362" s="172"/>
      <c r="E362" s="172"/>
      <c r="F362" s="172"/>
      <c r="G362" s="172"/>
      <c r="H362" s="172"/>
      <c r="I362" s="172"/>
      <c r="J362" s="172"/>
      <c r="K362" s="173"/>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68" t="s">
        <v>48</v>
      </c>
      <c r="B371" s="169"/>
      <c r="C371" s="169"/>
      <c r="D371" s="169"/>
      <c r="E371" s="169"/>
      <c r="F371" s="169"/>
      <c r="G371" s="169"/>
      <c r="H371" s="169"/>
      <c r="I371" s="169"/>
      <c r="J371" s="169"/>
      <c r="K371" s="170"/>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68" t="s">
        <v>47</v>
      </c>
      <c r="B379" s="169"/>
      <c r="C379" s="169"/>
      <c r="D379" s="169"/>
      <c r="E379" s="169"/>
      <c r="F379" s="169"/>
      <c r="G379" s="169"/>
      <c r="H379" s="169"/>
      <c r="I379" s="169"/>
      <c r="J379" s="169"/>
      <c r="K379" s="170"/>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68" t="s">
        <v>46</v>
      </c>
      <c r="B387" s="169"/>
      <c r="C387" s="169"/>
      <c r="D387" s="169"/>
      <c r="E387" s="169"/>
      <c r="F387" s="169"/>
      <c r="G387" s="169"/>
      <c r="H387" s="169"/>
      <c r="I387" s="169"/>
      <c r="J387" s="169"/>
      <c r="K387" s="170"/>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68" t="s">
        <v>45</v>
      </c>
      <c r="B395" s="169"/>
      <c r="C395" s="169"/>
      <c r="D395" s="169"/>
      <c r="E395" s="169"/>
      <c r="F395" s="169"/>
      <c r="G395" s="169"/>
      <c r="H395" s="169"/>
      <c r="I395" s="169"/>
      <c r="J395" s="169"/>
      <c r="K395" s="170"/>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71" t="s">
        <v>49</v>
      </c>
      <c r="B402" s="172"/>
      <c r="C402" s="172"/>
      <c r="D402" s="172"/>
      <c r="E402" s="172"/>
      <c r="F402" s="172"/>
      <c r="G402" s="172"/>
      <c r="H402" s="172"/>
      <c r="I402" s="172"/>
      <c r="J402" s="172"/>
      <c r="K402" s="173"/>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68" t="s">
        <v>48</v>
      </c>
      <c r="B411" s="169"/>
      <c r="C411" s="169"/>
      <c r="D411" s="169"/>
      <c r="E411" s="169"/>
      <c r="F411" s="169"/>
      <c r="G411" s="169"/>
      <c r="H411" s="169"/>
      <c r="I411" s="169"/>
      <c r="J411" s="169"/>
      <c r="K411" s="170"/>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68" t="s">
        <v>47</v>
      </c>
      <c r="B419" s="169"/>
      <c r="C419" s="169"/>
      <c r="D419" s="169"/>
      <c r="E419" s="169"/>
      <c r="F419" s="169"/>
      <c r="G419" s="169"/>
      <c r="H419" s="169"/>
      <c r="I419" s="169"/>
      <c r="J419" s="169"/>
      <c r="K419" s="170"/>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68" t="s">
        <v>46</v>
      </c>
      <c r="B427" s="169"/>
      <c r="C427" s="169"/>
      <c r="D427" s="169"/>
      <c r="E427" s="169"/>
      <c r="F427" s="169"/>
      <c r="G427" s="169"/>
      <c r="H427" s="169"/>
      <c r="I427" s="169"/>
      <c r="J427" s="169"/>
      <c r="K427" s="170"/>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68" t="s">
        <v>45</v>
      </c>
      <c r="B435" s="169"/>
      <c r="C435" s="169"/>
      <c r="D435" s="169"/>
      <c r="E435" s="169"/>
      <c r="F435" s="169"/>
      <c r="G435" s="169"/>
      <c r="H435" s="169"/>
      <c r="I435" s="169"/>
      <c r="J435" s="169"/>
      <c r="K435" s="170"/>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71" t="s">
        <v>32</v>
      </c>
      <c r="B442" s="172"/>
      <c r="C442" s="172"/>
      <c r="D442" s="172"/>
      <c r="E442" s="172"/>
      <c r="F442" s="172"/>
      <c r="G442" s="172"/>
      <c r="H442" s="172"/>
      <c r="I442" s="172"/>
      <c r="J442" s="172"/>
      <c r="K442" s="173"/>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68" t="s">
        <v>48</v>
      </c>
      <c r="D451" s="169"/>
      <c r="E451" s="169"/>
      <c r="F451" s="169"/>
      <c r="G451" s="169"/>
      <c r="H451" s="169"/>
      <c r="I451" s="169"/>
      <c r="J451" s="169"/>
      <c r="K451" s="169"/>
      <c r="L451" s="169"/>
      <c r="M451" s="170"/>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68" t="s">
        <v>47</v>
      </c>
      <c r="D459" s="169"/>
      <c r="E459" s="169"/>
      <c r="F459" s="169"/>
      <c r="G459" s="169"/>
      <c r="H459" s="169"/>
      <c r="I459" s="169"/>
      <c r="J459" s="169"/>
      <c r="K459" s="169"/>
      <c r="L459" s="169"/>
      <c r="M459" s="170"/>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68" t="s">
        <v>46</v>
      </c>
      <c r="D467" s="169"/>
      <c r="E467" s="169"/>
      <c r="F467" s="169"/>
      <c r="G467" s="169"/>
      <c r="H467" s="169"/>
      <c r="I467" s="169"/>
      <c r="J467" s="169"/>
      <c r="K467" s="169"/>
      <c r="L467" s="169"/>
      <c r="M467" s="170"/>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68" t="s">
        <v>45</v>
      </c>
      <c r="D475" s="169"/>
      <c r="E475" s="169"/>
      <c r="F475" s="169"/>
      <c r="G475" s="169"/>
      <c r="H475" s="169"/>
      <c r="I475" s="169"/>
      <c r="J475" s="169"/>
      <c r="K475" s="169"/>
      <c r="L475" s="169"/>
      <c r="M475" s="170"/>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0">
        <v>1.49</v>
      </c>
      <c r="E4" s="100">
        <f t="shared" ref="E4:E9" si="0">C4-D4</f>
        <v>1.0000000000000009E-2</v>
      </c>
      <c r="F4" s="102">
        <v>7.7000000000000002E-3</v>
      </c>
      <c r="G4" s="24">
        <v>2</v>
      </c>
      <c r="H4" s="6">
        <v>0</v>
      </c>
      <c r="I4" s="6">
        <f>E4-H4</f>
        <v>1.0000000000000009E-2</v>
      </c>
      <c r="J4" s="6">
        <f>6-3-1</f>
        <v>2</v>
      </c>
      <c r="K4" s="6">
        <f>(SQRT(SUMSQ(I4:I14)/J4))</f>
        <v>1.6340134638375945E-2</v>
      </c>
    </row>
    <row r="5" spans="1:11" x14ac:dyDescent="0.3">
      <c r="C5" s="25">
        <v>10</v>
      </c>
      <c r="D5" s="100">
        <v>10</v>
      </c>
      <c r="E5" s="100">
        <f t="shared" si="0"/>
        <v>0</v>
      </c>
      <c r="F5" s="102">
        <v>7.7000000000000002E-3</v>
      </c>
      <c r="G5" s="24">
        <v>2</v>
      </c>
      <c r="H5" s="6">
        <f>$K$16*(C5)^3-$K$17*(C5)^2+$K$18*(C5)+$K$19</f>
        <v>0</v>
      </c>
      <c r="I5" s="6">
        <f>E5-H5</f>
        <v>0</v>
      </c>
      <c r="J5" s="3"/>
      <c r="K5" s="3"/>
    </row>
    <row r="6" spans="1:11" x14ac:dyDescent="0.3">
      <c r="C6" s="25">
        <v>31.1</v>
      </c>
      <c r="D6" s="100">
        <v>31.1</v>
      </c>
      <c r="E6" s="100">
        <f t="shared" si="0"/>
        <v>0</v>
      </c>
      <c r="F6" s="102">
        <v>7.7000000000000002E-3</v>
      </c>
      <c r="G6" s="24">
        <v>2</v>
      </c>
      <c r="H6" s="6">
        <f t="shared" ref="H6:H9" si="1">$K$16*(C6)^3-$K$17*(C6)^2+$K$18*(C6)+$K$19</f>
        <v>0</v>
      </c>
      <c r="I6" s="6">
        <f>E6-H6</f>
        <v>0</v>
      </c>
      <c r="J6" s="3"/>
      <c r="K6" s="3"/>
    </row>
    <row r="7" spans="1:11" x14ac:dyDescent="0.3">
      <c r="C7" s="25">
        <v>50</v>
      </c>
      <c r="D7" s="100">
        <v>50.01</v>
      </c>
      <c r="E7" s="101">
        <f t="shared" si="0"/>
        <v>-9.9999999999980105E-3</v>
      </c>
      <c r="F7" s="102">
        <v>7.7000000000000002E-3</v>
      </c>
      <c r="G7" s="17">
        <v>2</v>
      </c>
      <c r="H7" s="6">
        <f t="shared" si="1"/>
        <v>0</v>
      </c>
      <c r="I7" s="6">
        <f t="shared" ref="I7:I9" si="2">E7-H7</f>
        <v>-9.9999999999980105E-3</v>
      </c>
      <c r="J7" s="3"/>
      <c r="K7" s="3"/>
    </row>
    <row r="8" spans="1:11" x14ac:dyDescent="0.3">
      <c r="C8" s="25">
        <v>70</v>
      </c>
      <c r="D8" s="100">
        <v>69.989999999999995</v>
      </c>
      <c r="E8" s="101">
        <f t="shared" si="0"/>
        <v>1.0000000000005116E-2</v>
      </c>
      <c r="F8" s="102">
        <v>7.7000000000000002E-3</v>
      </c>
      <c r="G8" s="17">
        <v>2</v>
      </c>
      <c r="H8" s="6">
        <f t="shared" si="1"/>
        <v>0</v>
      </c>
      <c r="I8" s="6">
        <f t="shared" si="2"/>
        <v>1.0000000000005116E-2</v>
      </c>
      <c r="J8" s="3"/>
      <c r="K8" s="3"/>
    </row>
    <row r="9" spans="1:11" x14ac:dyDescent="0.3">
      <c r="C9" s="25">
        <v>90</v>
      </c>
      <c r="D9" s="100">
        <v>89.99</v>
      </c>
      <c r="E9" s="101">
        <f t="shared" si="0"/>
        <v>1.0000000000005116E-2</v>
      </c>
      <c r="F9" s="102">
        <v>7.7000000000000002E-3</v>
      </c>
      <c r="G9" s="17">
        <v>2</v>
      </c>
      <c r="H9" s="6">
        <f t="shared" si="1"/>
        <v>0</v>
      </c>
      <c r="I9" s="6">
        <f t="shared" si="2"/>
        <v>1.0000000000005116E-2</v>
      </c>
      <c r="J9" s="3"/>
      <c r="K9" s="3"/>
    </row>
    <row r="10" spans="1:11" x14ac:dyDescent="0.3">
      <c r="C10" s="25">
        <v>110</v>
      </c>
      <c r="D10" s="100">
        <v>109.997</v>
      </c>
      <c r="E10" s="101">
        <f t="shared" ref="E10:E13" si="3">C10-D10</f>
        <v>3.0000000000001137E-3</v>
      </c>
      <c r="F10" s="102">
        <v>7.7999999999999996E-3</v>
      </c>
      <c r="G10" s="17">
        <v>2</v>
      </c>
      <c r="H10" s="6">
        <f>$K$16*(C10)^3-$K$17*(C10)^2+$K$18*(C10)+$K$19</f>
        <v>0</v>
      </c>
      <c r="I10" s="6">
        <f t="shared" ref="I10:I13" si="4">E10-H10</f>
        <v>3.0000000000001137E-3</v>
      </c>
      <c r="J10" s="3"/>
      <c r="K10" s="3"/>
    </row>
    <row r="11" spans="1:11" x14ac:dyDescent="0.3">
      <c r="C11" s="23">
        <v>120</v>
      </c>
      <c r="D11" s="100">
        <v>119.995</v>
      </c>
      <c r="E11" s="101">
        <f t="shared" si="3"/>
        <v>4.9999999999954525E-3</v>
      </c>
      <c r="F11" s="102">
        <v>7.7999999999999996E-3</v>
      </c>
      <c r="G11" s="17">
        <v>2</v>
      </c>
      <c r="H11" s="6">
        <f>$K$16*(C11)^3-$K$17*(C11)^2+$K$18*(C11)+$K$19</f>
        <v>0</v>
      </c>
      <c r="I11" s="6">
        <f t="shared" si="4"/>
        <v>4.9999999999954525E-3</v>
      </c>
      <c r="J11" s="3"/>
      <c r="K11" s="3"/>
    </row>
    <row r="12" spans="1:11" x14ac:dyDescent="0.3">
      <c r="C12" s="23">
        <v>131.4</v>
      </c>
      <c r="D12" s="100">
        <v>131.38999999999999</v>
      </c>
      <c r="E12" s="101">
        <f t="shared" si="3"/>
        <v>1.0000000000019327E-2</v>
      </c>
      <c r="F12" s="102">
        <v>7.7999999999999996E-3</v>
      </c>
      <c r="G12" s="17">
        <v>2</v>
      </c>
      <c r="H12" s="6">
        <f>$K$16*(C12)^3-$K$17*(C12)^2+$K$18*(C12)+$K$19</f>
        <v>0</v>
      </c>
      <c r="I12" s="6">
        <f t="shared" si="4"/>
        <v>1.0000000000019327E-2</v>
      </c>
      <c r="J12" s="3"/>
      <c r="K12" s="3"/>
    </row>
    <row r="13" spans="1:11" x14ac:dyDescent="0.3">
      <c r="C13" s="23">
        <v>150</v>
      </c>
      <c r="D13" s="100">
        <v>150</v>
      </c>
      <c r="E13" s="101">
        <f t="shared" si="3"/>
        <v>0</v>
      </c>
      <c r="F13" s="102">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6"/>
    </row>
    <row r="17" spans="11:11" x14ac:dyDescent="0.3">
      <c r="K17" s="97"/>
    </row>
    <row r="34" spans="2:17" x14ac:dyDescent="0.3">
      <c r="B34" s="179" t="s">
        <v>13</v>
      </c>
      <c r="C34" s="179"/>
      <c r="D34" s="179"/>
      <c r="E34" s="179"/>
      <c r="F34" s="179"/>
      <c r="G34" s="179"/>
      <c r="H34" s="179"/>
      <c r="I34" s="179"/>
      <c r="J34" s="179"/>
      <c r="K34" s="179"/>
      <c r="L34" s="179"/>
      <c r="M34" s="179"/>
      <c r="N34" s="4"/>
      <c r="O34" s="4"/>
      <c r="P34" s="4"/>
      <c r="Q34" s="4"/>
    </row>
    <row r="35" spans="2:17" x14ac:dyDescent="0.3">
      <c r="B35" s="174" t="s">
        <v>12</v>
      </c>
      <c r="C35" s="174"/>
      <c r="D35" s="174"/>
      <c r="E35" s="174"/>
      <c r="F35" s="174"/>
      <c r="G35" s="175" t="s">
        <v>127</v>
      </c>
      <c r="H35" s="176"/>
      <c r="I35" s="176"/>
      <c r="J35" s="176"/>
      <c r="K35" s="176"/>
      <c r="L35" s="176"/>
      <c r="M35" s="177"/>
      <c r="N35" s="9"/>
      <c r="O35" s="9"/>
      <c r="P35" s="9"/>
      <c r="Q35" s="9"/>
    </row>
    <row r="36" spans="2:17" x14ac:dyDescent="0.3">
      <c r="B36" s="174" t="s">
        <v>7</v>
      </c>
      <c r="C36" s="174"/>
      <c r="D36" s="174"/>
      <c r="E36" s="174"/>
      <c r="F36" s="174"/>
      <c r="G36" s="175" t="s">
        <v>128</v>
      </c>
      <c r="H36" s="176"/>
      <c r="I36" s="176"/>
      <c r="J36" s="176"/>
      <c r="K36" s="176"/>
      <c r="L36" s="176"/>
      <c r="M36" s="177"/>
      <c r="N36" s="9"/>
      <c r="O36" s="9"/>
      <c r="P36" s="9"/>
      <c r="Q36" s="9"/>
    </row>
    <row r="37" spans="2:17" x14ac:dyDescent="0.3">
      <c r="B37" s="174" t="s">
        <v>6</v>
      </c>
      <c r="C37" s="174"/>
      <c r="D37" s="174"/>
      <c r="E37" s="174"/>
      <c r="F37" s="174"/>
      <c r="G37" s="175" t="s">
        <v>129</v>
      </c>
      <c r="H37" s="176"/>
      <c r="I37" s="176"/>
      <c r="J37" s="176"/>
      <c r="K37" s="176"/>
      <c r="L37" s="176"/>
      <c r="M37" s="177"/>
      <c r="N37" s="9"/>
      <c r="O37" s="9"/>
      <c r="P37" s="9"/>
      <c r="Q37" s="9"/>
    </row>
    <row r="38" spans="2:17" x14ac:dyDescent="0.3">
      <c r="B38" s="174" t="s">
        <v>4</v>
      </c>
      <c r="C38" s="174"/>
      <c r="D38" s="174"/>
      <c r="E38" s="174"/>
      <c r="F38" s="174"/>
      <c r="G38" s="175" t="s">
        <v>130</v>
      </c>
      <c r="H38" s="176"/>
      <c r="I38" s="176"/>
      <c r="J38" s="176"/>
      <c r="K38" s="176"/>
      <c r="L38" s="176"/>
      <c r="M38" s="177"/>
      <c r="N38" s="9"/>
      <c r="O38" s="9"/>
      <c r="P38" s="9"/>
      <c r="Q38" s="9"/>
    </row>
    <row r="39" spans="2:17" x14ac:dyDescent="0.3">
      <c r="B39" s="2" t="s">
        <v>11</v>
      </c>
      <c r="C39" s="2"/>
      <c r="D39" s="2"/>
      <c r="E39" s="2"/>
      <c r="F39" s="2"/>
      <c r="G39" s="180">
        <v>45089</v>
      </c>
      <c r="H39" s="180"/>
      <c r="I39" s="180"/>
      <c r="J39" s="180"/>
      <c r="K39" s="180"/>
      <c r="L39" s="180"/>
      <c r="M39" s="180"/>
      <c r="N39" s="10"/>
      <c r="O39" s="10"/>
      <c r="P39" s="10"/>
      <c r="Q39" s="10"/>
    </row>
    <row r="40" spans="2:17" x14ac:dyDescent="0.3">
      <c r="B40" s="174" t="s">
        <v>10</v>
      </c>
      <c r="C40" s="174"/>
      <c r="D40" s="174"/>
      <c r="E40" s="174"/>
      <c r="F40" s="174"/>
      <c r="G40" s="178" t="s">
        <v>131</v>
      </c>
      <c r="H40" s="178"/>
      <c r="I40" s="178"/>
      <c r="J40" s="178"/>
      <c r="K40" s="178"/>
      <c r="L40" s="178"/>
      <c r="M40" s="178"/>
      <c r="N40" s="9"/>
      <c r="O40" s="9"/>
      <c r="P40" s="9"/>
      <c r="Q40" s="9"/>
    </row>
    <row r="41" spans="2:17" x14ac:dyDescent="0.3">
      <c r="B41" s="174" t="s">
        <v>132</v>
      </c>
      <c r="C41" s="174"/>
      <c r="D41" s="174"/>
      <c r="E41" s="174"/>
      <c r="F41" s="174"/>
      <c r="G41" s="175">
        <v>0.7</v>
      </c>
      <c r="H41" s="176"/>
      <c r="I41" s="176"/>
      <c r="J41" s="176"/>
      <c r="K41" s="176"/>
      <c r="L41" s="176"/>
      <c r="M41" s="177"/>
      <c r="N41" s="5"/>
      <c r="O41" s="5"/>
      <c r="P41" s="5"/>
      <c r="Q41" s="5"/>
    </row>
    <row r="42" spans="2:17" x14ac:dyDescent="0.3">
      <c r="B42" s="2" t="s">
        <v>124</v>
      </c>
      <c r="C42" s="2"/>
      <c r="D42" s="2"/>
      <c r="E42" s="2"/>
      <c r="F42" s="2"/>
      <c r="G42" s="175">
        <v>0.7</v>
      </c>
      <c r="H42" s="176"/>
      <c r="I42" s="176"/>
      <c r="J42" s="176"/>
      <c r="K42" s="176"/>
      <c r="L42" s="176"/>
      <c r="M42" s="177"/>
      <c r="N42" s="5"/>
      <c r="O42" s="5"/>
      <c r="P42" s="5"/>
      <c r="Q42" s="5"/>
    </row>
    <row r="43" spans="2:17" x14ac:dyDescent="0.3">
      <c r="B43" s="2" t="s">
        <v>121</v>
      </c>
      <c r="C43" s="2"/>
      <c r="D43" s="2"/>
      <c r="E43" s="2"/>
      <c r="F43" s="2"/>
      <c r="G43" s="175">
        <v>1</v>
      </c>
      <c r="H43" s="176"/>
      <c r="I43" s="176"/>
      <c r="J43" s="176"/>
      <c r="K43" s="176"/>
      <c r="L43" s="176"/>
      <c r="M43" s="177"/>
    </row>
    <row r="44" spans="2:17" x14ac:dyDescent="0.3">
      <c r="B44" s="174" t="s">
        <v>9</v>
      </c>
      <c r="C44" s="174"/>
      <c r="D44" s="174"/>
      <c r="E44" s="174"/>
      <c r="F44" s="174"/>
      <c r="G44" s="175">
        <v>2</v>
      </c>
      <c r="H44" s="176"/>
      <c r="I44" s="176"/>
      <c r="J44" s="176"/>
      <c r="K44" s="176"/>
      <c r="L44" s="176"/>
      <c r="M44" s="177"/>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31"/>
      <c r="D85" s="131"/>
      <c r="E85" s="131"/>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B40:F40"/>
    <mergeCell ref="G40:M40"/>
    <mergeCell ref="G37:M37"/>
    <mergeCell ref="G35:M35"/>
    <mergeCell ref="B34:M34"/>
    <mergeCell ref="G38:M38"/>
    <mergeCell ref="G39:M39"/>
    <mergeCell ref="G36:M36"/>
    <mergeCell ref="B35:F35"/>
    <mergeCell ref="B36:F36"/>
    <mergeCell ref="B37:F37"/>
    <mergeCell ref="B38:F38"/>
    <mergeCell ref="C85:E85"/>
    <mergeCell ref="B41:F41"/>
    <mergeCell ref="G41:M41"/>
    <mergeCell ref="G42:M42"/>
    <mergeCell ref="G43:M43"/>
    <mergeCell ref="B44:F44"/>
    <mergeCell ref="G44:M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6"/>
  <sheetViews>
    <sheetView zoomScaleNormal="100" workbookViewId="0">
      <selection activeCell="C10" sqref="C10"/>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1" t="s">
        <v>133</v>
      </c>
      <c r="C3" s="181"/>
      <c r="D3" s="181"/>
      <c r="E3" s="181"/>
      <c r="F3" s="181"/>
      <c r="G3" s="19"/>
      <c r="H3" s="19"/>
      <c r="I3" s="19"/>
      <c r="J3"/>
      <c r="K3"/>
      <c r="L3"/>
      <c r="M3"/>
      <c r="N3"/>
      <c r="O3"/>
      <c r="P3"/>
      <c r="Q3"/>
      <c r="R3"/>
      <c r="S3"/>
      <c r="T3"/>
      <c r="U3"/>
      <c r="V3"/>
      <c r="W3"/>
      <c r="X3"/>
      <c r="Y3"/>
      <c r="Z3"/>
      <c r="AA3"/>
      <c r="AB3"/>
      <c r="AC3"/>
    </row>
    <row r="4" spans="1:29" x14ac:dyDescent="0.3">
      <c r="A4"/>
      <c r="B4" s="22" t="s">
        <v>134</v>
      </c>
      <c r="C4" s="22" t="s">
        <v>135</v>
      </c>
      <c r="D4" s="22" t="s">
        <v>136</v>
      </c>
      <c r="E4" s="22" t="s">
        <v>137</v>
      </c>
      <c r="F4" s="22" t="s">
        <v>138</v>
      </c>
      <c r="G4"/>
      <c r="H4"/>
      <c r="I4"/>
      <c r="J4"/>
      <c r="K4"/>
      <c r="L4"/>
      <c r="M4"/>
      <c r="N4"/>
      <c r="O4"/>
      <c r="P4"/>
      <c r="Q4"/>
      <c r="R4"/>
      <c r="S4"/>
      <c r="T4"/>
      <c r="U4"/>
      <c r="V4"/>
      <c r="W4"/>
      <c r="X4"/>
      <c r="Y4"/>
      <c r="Z4"/>
      <c r="AA4"/>
      <c r="AB4"/>
      <c r="AC4"/>
    </row>
    <row r="5" spans="1:29" x14ac:dyDescent="0.3">
      <c r="A5"/>
      <c r="B5" s="113">
        <v>3500</v>
      </c>
      <c r="C5" s="28">
        <v>3496</v>
      </c>
      <c r="D5" s="112">
        <f ca="1">C5+((RAND()*(0.9-0.1)+0.1)*RANDBETWEEN(-1,1))</f>
        <v>3496.7132161589407</v>
      </c>
      <c r="E5" s="112">
        <f ca="1">C5+((RAND()*(0.9-0.1)+0.1)*RANDBETWEEN(-1,1))</f>
        <v>3495.6637342805816</v>
      </c>
      <c r="F5" s="112">
        <f ca="1">C5+((RAND()*(0.9-0.1)+0.1)*RANDBETWEEN(-1,1))</f>
        <v>3496.7409004243927</v>
      </c>
      <c r="G5"/>
      <c r="H5"/>
      <c r="I5"/>
      <c r="J5"/>
      <c r="K5"/>
      <c r="L5"/>
      <c r="M5"/>
      <c r="N5"/>
      <c r="O5"/>
      <c r="P5"/>
      <c r="Q5"/>
      <c r="R5"/>
      <c r="S5"/>
      <c r="T5"/>
      <c r="U5"/>
      <c r="V5"/>
      <c r="W5"/>
      <c r="X5"/>
      <c r="Y5"/>
      <c r="Z5"/>
      <c r="AA5"/>
      <c r="AB5"/>
      <c r="AC5"/>
    </row>
    <row r="6" spans="1:29" x14ac:dyDescent="0.3">
      <c r="A6"/>
      <c r="B6"/>
      <c r="C6"/>
      <c r="D6"/>
      <c r="E6"/>
      <c r="F6"/>
      <c r="G6"/>
      <c r="H6"/>
      <c r="I6"/>
      <c r="J6"/>
      <c r="K6"/>
      <c r="L6"/>
      <c r="M6"/>
      <c r="N6"/>
      <c r="O6"/>
      <c r="P6"/>
      <c r="Q6"/>
      <c r="R6"/>
      <c r="S6"/>
      <c r="T6"/>
      <c r="U6"/>
      <c r="V6"/>
      <c r="W6"/>
      <c r="X6"/>
      <c r="Y6"/>
      <c r="Z6"/>
      <c r="AA6"/>
      <c r="AB6"/>
      <c r="AC6"/>
    </row>
    <row r="7" spans="1:29" x14ac:dyDescent="0.3">
      <c r="A7"/>
      <c r="B7"/>
      <c r="C7"/>
      <c r="D7"/>
      <c r="E7"/>
      <c r="F7"/>
      <c r="G7"/>
      <c r="H7"/>
      <c r="I7"/>
      <c r="J7"/>
      <c r="K7"/>
      <c r="L7"/>
      <c r="M7"/>
      <c r="N7"/>
      <c r="O7"/>
      <c r="P7"/>
      <c r="Q7"/>
      <c r="R7"/>
      <c r="S7"/>
      <c r="T7"/>
      <c r="U7"/>
      <c r="V7"/>
      <c r="W7"/>
      <c r="X7"/>
      <c r="Y7"/>
      <c r="Z7"/>
      <c r="AA7"/>
      <c r="AB7"/>
      <c r="AC7"/>
    </row>
    <row r="8" spans="1:29" x14ac:dyDescent="0.3">
      <c r="A8"/>
      <c r="B8"/>
      <c r="C8"/>
      <c r="D8"/>
      <c r="E8"/>
      <c r="F8"/>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row>
    <row r="10" spans="1:29" customFormat="1" x14ac:dyDescent="0.3"/>
    <row r="11" spans="1:29" customFormat="1" x14ac:dyDescent="0.3"/>
    <row r="12" spans="1:29" customFormat="1" x14ac:dyDescent="0.3"/>
    <row r="13" spans="1:29" customFormat="1" x14ac:dyDescent="0.3"/>
    <row r="14" spans="1:29" customFormat="1" x14ac:dyDescent="0.3"/>
    <row r="15" spans="1:29" customFormat="1" x14ac:dyDescent="0.3">
      <c r="K15" s="3"/>
    </row>
    <row r="16" spans="1:29" customForma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H17" sqref="H1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2" t="s">
        <v>126</v>
      </c>
      <c r="C2" s="183"/>
      <c r="D2" s="183"/>
      <c r="E2" s="183"/>
      <c r="F2" s="183"/>
      <c r="G2" s="183"/>
      <c r="H2" s="183"/>
      <c r="I2" s="183"/>
      <c r="J2" s="183"/>
      <c r="K2" s="183"/>
      <c r="L2" s="184"/>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3500</v>
      </c>
      <c r="C4" s="99">
        <f>PATRON!$G$41/2</f>
        <v>0.35</v>
      </c>
      <c r="D4" s="99">
        <f>PATRON!$G$42/SQRT(3)</f>
        <v>0.40414518843273806</v>
      </c>
      <c r="E4" s="8">
        <v>0</v>
      </c>
      <c r="F4" s="8">
        <f>PATRON!G$43/SQRT(12)</f>
        <v>0.28867513459481292</v>
      </c>
      <c r="G4" s="8">
        <f>PATRON!$G$43/SQRT(12)</f>
        <v>0.28867513459481292</v>
      </c>
      <c r="H4" s="98">
        <f ca="1">STDEVA(MEDIDA!C5:F5)/SQRT(4)</f>
        <v>0.26743966980213968</v>
      </c>
      <c r="I4" s="8">
        <f ca="1">SQRT(SUMSQ(C4:H4))</f>
        <v>0.72389500411584384</v>
      </c>
      <c r="J4" s="15">
        <f ca="1">I4^4/(C4^4/200+D4^4/200+E4^4/200+F4^4/200+G4^4/200+H4^4/3)</f>
        <v>138.47126879380315</v>
      </c>
      <c r="K4" s="11">
        <f ca="1">TINV(0.0455,J4)</f>
        <v>2.0182803492058916</v>
      </c>
      <c r="L4" s="8">
        <f ca="1">I4*K4</f>
        <v>1.4610230616953257</v>
      </c>
    </row>
    <row r="5" spans="1:12" x14ac:dyDescent="0.3">
      <c r="A5" s="54"/>
      <c r="B5" s="7" t="e">
        <f>MEDIDA!#REF!</f>
        <v>#REF!</v>
      </c>
      <c r="C5" s="99">
        <f>PATRON!$G$41/2</f>
        <v>0.35</v>
      </c>
      <c r="D5" s="99">
        <f>PATRON!$G$42/SQRT(3)</f>
        <v>0.40414518843273806</v>
      </c>
      <c r="E5" s="8">
        <v>0</v>
      </c>
      <c r="F5" s="8">
        <f>PATRON!G$43/SQRT(12)</f>
        <v>0.28867513459481292</v>
      </c>
      <c r="G5" s="8">
        <f>PATRON!$G$43/SQRT(12)</f>
        <v>0.28867513459481292</v>
      </c>
      <c r="H5" s="98" t="e">
        <f>STDEVA(MEDIDA!#REF!)/SQRT(4)</f>
        <v>#REF!</v>
      </c>
      <c r="I5" s="8" t="e">
        <f>SQRT(SUMSQ(C5:H5))</f>
        <v>#REF!</v>
      </c>
      <c r="J5" s="15" t="e">
        <f>I5^4/(C5^4/200+D5^4/200+E5^4/200+F5^4/200+G5^4/200+H5^4/3)</f>
        <v>#REF!</v>
      </c>
      <c r="K5" s="11" t="e">
        <f>TINV(0.0455,J5)</f>
        <v>#REF!</v>
      </c>
      <c r="L5" s="8" t="e">
        <f>I5*K5</f>
        <v>#REF!</v>
      </c>
    </row>
    <row r="6" spans="1:12" x14ac:dyDescent="0.3">
      <c r="A6" s="54"/>
      <c r="B6" s="7" t="e">
        <f>MEDIDA!#REF!</f>
        <v>#REF!</v>
      </c>
      <c r="C6" s="99">
        <f>PATRON!$G$41/2</f>
        <v>0.35</v>
      </c>
      <c r="D6" s="99">
        <f>PATRON!$G$42/SQRT(3)</f>
        <v>0.40414518843273806</v>
      </c>
      <c r="E6" s="8">
        <v>0</v>
      </c>
      <c r="F6" s="8">
        <f>PATRON!G$43/SQRT(12)</f>
        <v>0.28867513459481292</v>
      </c>
      <c r="G6" s="8">
        <f>PATRON!$G$43/SQRT(12)</f>
        <v>0.28867513459481292</v>
      </c>
      <c r="H6" s="98" t="e">
        <f>STDEVA(MEDIDA!#REF!)/SQRT(4)</f>
        <v>#REF!</v>
      </c>
      <c r="I6" s="8" t="e">
        <f>SQRT(SUMSQ(C6:H6))</f>
        <v>#REF!</v>
      </c>
      <c r="J6" s="15" t="e">
        <f>I6^4/(C6^4/200+D6^4/200+E6^4/200+F6^4/200+G6^4/200+H6^4/3)</f>
        <v>#REF!</v>
      </c>
      <c r="K6" s="11" t="e">
        <f t="shared" ref="K6:K7" si="0">TINV(0.0455,J6)</f>
        <v>#REF!</v>
      </c>
      <c r="L6" s="8" t="e">
        <f t="shared" ref="L6:L7" si="1">I6*K6</f>
        <v>#REF!</v>
      </c>
    </row>
    <row r="7" spans="1:12" x14ac:dyDescent="0.3">
      <c r="A7" s="54"/>
      <c r="B7" s="7" t="e">
        <f>MEDIDA!#REF!</f>
        <v>#REF!</v>
      </c>
      <c r="C7" s="99">
        <f>PATRON!$G$41/2</f>
        <v>0.35</v>
      </c>
      <c r="D7" s="99">
        <f>PATRON!$G$42/SQRT(3)</f>
        <v>0.40414518843273806</v>
      </c>
      <c r="E7" s="8">
        <v>0</v>
      </c>
      <c r="F7" s="8">
        <f>PATRON!G$43/SQRT(12)</f>
        <v>0.28867513459481292</v>
      </c>
      <c r="G7" s="8">
        <f>PATRON!$G$43/SQRT(12)</f>
        <v>0.28867513459481292</v>
      </c>
      <c r="H7" s="98" t="e">
        <f>STDEVA(MEDIDA!#REF!)/SQRT(4)</f>
        <v>#REF!</v>
      </c>
      <c r="I7" s="8" t="e">
        <f>SQRT(SUMSQ(C7:H7))</f>
        <v>#REF!</v>
      </c>
      <c r="J7" s="15" t="e">
        <f>I7^4/(C7^4/200+D7^4/200+E7^4/200+F7^4/200+G7^4/200+H7^4/3)</f>
        <v>#REF!</v>
      </c>
      <c r="K7" s="11" t="e">
        <f t="shared" si="0"/>
        <v>#REF!</v>
      </c>
      <c r="L7" s="8" t="e">
        <f t="shared" si="1"/>
        <v>#REF!</v>
      </c>
    </row>
    <row r="8" spans="1:12" x14ac:dyDescent="0.3">
      <c r="A8" s="54"/>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48"/>
  <sheetViews>
    <sheetView tabSelected="1" view="pageLayout" topLeftCell="A69" zoomScaleNormal="100" workbookViewId="0">
      <selection activeCell="R80" sqref="R80"/>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37"/>
      <c r="J1" s="137"/>
      <c r="K1" s="137"/>
      <c r="M1" s="65"/>
      <c r="O1" s="121" t="s">
        <v>80</v>
      </c>
      <c r="P1" s="121"/>
      <c r="Q1" s="121"/>
      <c r="R1" s="122">
        <f>INFORMACIÓN!G3</f>
        <v>0</v>
      </c>
      <c r="S1" s="122"/>
    </row>
    <row r="2" spans="1:27" ht="16.95" customHeight="1" x14ac:dyDescent="0.3">
      <c r="G2" s="139"/>
      <c r="H2" s="139"/>
      <c r="I2" s="139"/>
      <c r="J2" s="138"/>
      <c r="K2" s="138"/>
    </row>
    <row r="3" spans="1:27" ht="16.95" customHeight="1" x14ac:dyDescent="0.3">
      <c r="B3" s="84"/>
      <c r="C3" s="140" t="s">
        <v>71</v>
      </c>
      <c r="D3" s="140"/>
      <c r="E3" s="140"/>
      <c r="F3" s="140"/>
      <c r="G3" s="140"/>
      <c r="H3" s="140"/>
      <c r="I3" s="140"/>
      <c r="J3" s="140"/>
      <c r="K3" s="140"/>
      <c r="L3" s="140"/>
      <c r="M3" s="140"/>
      <c r="N3" s="140"/>
      <c r="O3" s="140"/>
      <c r="P3" s="140"/>
      <c r="Q3" s="140"/>
      <c r="R3" s="140"/>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21" t="s">
        <v>62</v>
      </c>
      <c r="D5" s="121"/>
      <c r="E5" s="121"/>
      <c r="F5" s="121"/>
      <c r="G5" s="121"/>
      <c r="H5" s="53"/>
      <c r="I5" s="135">
        <f>INFORMACIÓN!A3</f>
        <v>0</v>
      </c>
      <c r="J5" s="135"/>
      <c r="K5" s="135"/>
      <c r="L5" s="135"/>
      <c r="M5" s="135"/>
      <c r="N5" s="135"/>
      <c r="O5" s="135"/>
      <c r="P5" s="135"/>
      <c r="Q5" s="135"/>
      <c r="R5" s="135"/>
      <c r="S5"/>
      <c r="T5"/>
      <c r="U5"/>
      <c r="V5"/>
      <c r="W5"/>
      <c r="X5"/>
      <c r="Y5"/>
      <c r="Z5"/>
      <c r="AA5"/>
    </row>
    <row r="6" spans="1:27" s="55" customFormat="1" ht="16.95" customHeight="1" x14ac:dyDescent="0.3">
      <c r="B6" s="79"/>
      <c r="C6" s="121" t="s">
        <v>63</v>
      </c>
      <c r="D6" s="121"/>
      <c r="E6" s="121"/>
      <c r="F6" s="121"/>
      <c r="G6" s="121"/>
      <c r="H6" s="53"/>
      <c r="I6" s="135">
        <f>INFORMACIÓN!B3</f>
        <v>0</v>
      </c>
      <c r="J6" s="135"/>
      <c r="K6" s="135"/>
      <c r="L6" s="135"/>
      <c r="M6" s="135"/>
      <c r="N6" s="135"/>
      <c r="O6" s="135"/>
      <c r="P6" s="135"/>
      <c r="Q6" s="135"/>
      <c r="R6" s="135"/>
      <c r="S6"/>
      <c r="T6"/>
      <c r="U6"/>
      <c r="V6"/>
      <c r="W6"/>
      <c r="X6"/>
      <c r="Y6"/>
      <c r="Z6"/>
      <c r="AA6"/>
    </row>
    <row r="7" spans="1:27" s="55" customFormat="1" ht="16.95" customHeight="1" x14ac:dyDescent="0.3">
      <c r="B7" s="79"/>
      <c r="C7" s="121" t="s">
        <v>64</v>
      </c>
      <c r="D7" s="121"/>
      <c r="E7" s="121"/>
      <c r="F7" s="121"/>
      <c r="G7" s="121"/>
      <c r="H7" s="53"/>
      <c r="I7" s="135">
        <f>INFORMACIÓN!C3</f>
        <v>0</v>
      </c>
      <c r="J7" s="135"/>
      <c r="K7" s="135"/>
      <c r="L7" s="135"/>
      <c r="M7" s="135"/>
      <c r="N7" s="135"/>
      <c r="O7" s="135"/>
      <c r="P7" s="135"/>
      <c r="Q7" s="135"/>
      <c r="R7" s="135"/>
      <c r="S7"/>
      <c r="T7"/>
      <c r="U7"/>
      <c r="V7"/>
      <c r="W7"/>
      <c r="X7"/>
      <c r="Y7"/>
      <c r="Z7"/>
      <c r="AA7"/>
    </row>
    <row r="8" spans="1:27" s="55" customFormat="1" ht="16.95" customHeight="1" x14ac:dyDescent="0.3">
      <c r="B8" s="79"/>
      <c r="C8" s="121" t="s">
        <v>65</v>
      </c>
      <c r="D8" s="121"/>
      <c r="E8" s="121"/>
      <c r="F8" s="121"/>
      <c r="G8" s="121"/>
      <c r="H8" s="53"/>
      <c r="I8" s="135">
        <f>INFORMACIÓN!D3</f>
        <v>0</v>
      </c>
      <c r="J8" s="135"/>
      <c r="K8" s="135"/>
      <c r="L8" s="135"/>
      <c r="M8" s="135"/>
      <c r="N8" s="135"/>
      <c r="O8" s="135"/>
      <c r="P8" s="135"/>
      <c r="Q8" s="135"/>
      <c r="R8" s="135"/>
      <c r="S8"/>
      <c r="T8"/>
      <c r="U8"/>
      <c r="V8"/>
      <c r="W8"/>
      <c r="X8"/>
      <c r="Y8"/>
      <c r="Z8"/>
      <c r="AA8"/>
    </row>
    <row r="9" spans="1:27" s="55" customFormat="1" ht="16.95" customHeight="1" x14ac:dyDescent="0.3">
      <c r="B9" s="79"/>
      <c r="C9" s="121" t="s">
        <v>66</v>
      </c>
      <c r="D9" s="121"/>
      <c r="E9" s="121"/>
      <c r="F9" s="121"/>
      <c r="G9" s="121"/>
      <c r="H9" s="53"/>
      <c r="I9" s="135">
        <f>INFORMACIÓN!F3</f>
        <v>0</v>
      </c>
      <c r="J9" s="135"/>
      <c r="K9" s="135"/>
      <c r="L9" s="135"/>
      <c r="M9" s="135"/>
      <c r="N9" s="135"/>
      <c r="O9" s="135"/>
      <c r="P9" s="135"/>
      <c r="Q9" s="135"/>
      <c r="R9" s="135"/>
      <c r="S9"/>
      <c r="T9"/>
      <c r="U9"/>
      <c r="V9"/>
      <c r="W9"/>
      <c r="X9"/>
      <c r="Y9"/>
      <c r="Z9"/>
      <c r="AA9"/>
    </row>
    <row r="10" spans="1:27" s="55" customFormat="1" ht="16.95" customHeight="1" x14ac:dyDescent="0.3">
      <c r="B10" s="79"/>
      <c r="C10" s="121" t="s">
        <v>68</v>
      </c>
      <c r="D10" s="121"/>
      <c r="E10" s="121"/>
      <c r="F10" s="121"/>
      <c r="G10" s="121"/>
      <c r="H10" s="53"/>
      <c r="I10" s="135">
        <f>INFORMACIÓN!E3</f>
        <v>0</v>
      </c>
      <c r="J10" s="135"/>
      <c r="K10" s="135"/>
      <c r="L10" s="135"/>
      <c r="M10" s="135"/>
      <c r="N10" s="135"/>
      <c r="O10" s="135"/>
      <c r="P10" s="135"/>
      <c r="Q10" s="135"/>
      <c r="R10" s="135"/>
      <c r="S10"/>
      <c r="T10"/>
      <c r="U10"/>
      <c r="V10"/>
      <c r="W10"/>
      <c r="X10"/>
      <c r="Y10"/>
      <c r="Z10"/>
      <c r="AA10"/>
    </row>
    <row r="11" spans="1:27" s="55" customFormat="1" ht="16.95" customHeight="1" x14ac:dyDescent="0.3">
      <c r="B11" s="79"/>
      <c r="C11" s="121" t="s">
        <v>67</v>
      </c>
      <c r="D11" s="121"/>
      <c r="E11" s="121"/>
      <c r="F11" s="121"/>
      <c r="G11" s="121"/>
      <c r="H11" s="53"/>
      <c r="I11" s="135" t="str">
        <f>INFORMACIÓN!B8</f>
        <v>BUEN ESTADO</v>
      </c>
      <c r="J11" s="135"/>
      <c r="K11" s="135"/>
      <c r="L11" s="135"/>
      <c r="M11" s="135"/>
      <c r="N11" s="135"/>
      <c r="O11" s="135"/>
      <c r="P11" s="135"/>
      <c r="Q11" s="135"/>
      <c r="R11" s="135"/>
      <c r="S11"/>
      <c r="T11"/>
      <c r="U11"/>
      <c r="V11"/>
      <c r="W11"/>
      <c r="X11"/>
      <c r="Y11"/>
      <c r="Z11"/>
      <c r="AA11"/>
    </row>
    <row r="12" spans="1:27" s="55" customFormat="1" ht="16.95" customHeight="1" x14ac:dyDescent="0.3">
      <c r="B12" s="79"/>
      <c r="C12" s="121" t="s">
        <v>77</v>
      </c>
      <c r="D12" s="121"/>
      <c r="E12" s="121"/>
      <c r="F12" s="121"/>
      <c r="G12" s="121"/>
      <c r="H12" s="80"/>
      <c r="I12" s="125">
        <f>INFORMACIÓN!H3</f>
        <v>0</v>
      </c>
      <c r="J12" s="125"/>
      <c r="K12" s="125"/>
      <c r="L12" s="125"/>
      <c r="M12" s="125"/>
      <c r="N12" s="125"/>
      <c r="O12" s="125"/>
      <c r="P12" s="125"/>
      <c r="Q12" s="125"/>
      <c r="R12" s="125"/>
      <c r="S12"/>
      <c r="T12"/>
      <c r="U12"/>
      <c r="V12"/>
      <c r="W12"/>
      <c r="X12"/>
      <c r="Y12"/>
      <c r="Z12"/>
      <c r="AA12"/>
    </row>
    <row r="13" spans="1:27" s="55" customFormat="1" ht="16.95" customHeight="1" x14ac:dyDescent="0.3">
      <c r="B13" s="79"/>
      <c r="C13" s="121" t="s">
        <v>76</v>
      </c>
      <c r="D13" s="121"/>
      <c r="E13" s="121"/>
      <c r="F13" s="121"/>
      <c r="G13" s="121"/>
      <c r="H13" s="80"/>
      <c r="I13" s="125">
        <f>INFORMACIÓN!B9</f>
        <v>0</v>
      </c>
      <c r="J13" s="125"/>
      <c r="K13" s="125"/>
      <c r="L13" s="125"/>
      <c r="M13" s="125"/>
      <c r="N13" s="125"/>
      <c r="O13" s="125"/>
      <c r="P13" s="125"/>
      <c r="Q13" s="125"/>
      <c r="R13" s="125"/>
      <c r="S13"/>
      <c r="T13"/>
      <c r="U13"/>
      <c r="V13"/>
      <c r="W13"/>
      <c r="X13"/>
      <c r="Y13"/>
      <c r="Z13"/>
      <c r="AA13"/>
    </row>
    <row r="14" spans="1:27" ht="16.95" customHeight="1" x14ac:dyDescent="0.3"/>
    <row r="15" spans="1:27" ht="16.95" customHeight="1" x14ac:dyDescent="0.3">
      <c r="B15" s="65"/>
      <c r="C15" s="120" t="s">
        <v>70</v>
      </c>
      <c r="D15" s="120"/>
      <c r="E15" s="120"/>
      <c r="F15" s="120"/>
      <c r="G15" s="120"/>
      <c r="H15" s="120"/>
      <c r="I15" s="120"/>
      <c r="J15" s="120"/>
      <c r="K15" s="120"/>
      <c r="L15" s="120"/>
      <c r="M15" s="120"/>
      <c r="N15" s="120"/>
      <c r="O15" s="120"/>
      <c r="P15" s="120"/>
      <c r="Q15" s="120"/>
      <c r="R15" s="120"/>
    </row>
    <row r="16" spans="1:27" ht="16.95" customHeight="1" x14ac:dyDescent="0.3"/>
    <row r="17" spans="1:18" ht="16.95" customHeight="1" x14ac:dyDescent="0.3">
      <c r="B17" s="52"/>
      <c r="C17" s="124" t="s">
        <v>72</v>
      </c>
      <c r="D17" s="124"/>
      <c r="E17" s="124"/>
      <c r="F17" s="124"/>
      <c r="G17" s="124"/>
      <c r="H17" s="51"/>
      <c r="I17" s="136" t="str">
        <f>INFORMACIÓN!E7</f>
        <v>CLÍNICA SAGRADA FAMILIA</v>
      </c>
      <c r="J17" s="136"/>
      <c r="K17" s="136"/>
      <c r="L17" s="136"/>
      <c r="M17" s="136"/>
      <c r="N17" s="136"/>
      <c r="O17" s="136"/>
      <c r="P17" s="136"/>
      <c r="Q17" s="136"/>
      <c r="R17" s="136"/>
    </row>
    <row r="18" spans="1:18" ht="16.95" customHeight="1" x14ac:dyDescent="0.3">
      <c r="B18" s="52"/>
      <c r="C18" s="124" t="s">
        <v>73</v>
      </c>
      <c r="D18" s="124"/>
      <c r="E18" s="124"/>
      <c r="F18" s="124"/>
      <c r="G18" s="124"/>
      <c r="H18" s="51"/>
      <c r="I18" s="136" t="str">
        <f>INFORMACIÓN!E8</f>
        <v>901.352.353-3</v>
      </c>
      <c r="J18" s="136"/>
      <c r="K18" s="136"/>
      <c r="L18" s="136"/>
      <c r="M18" s="136"/>
      <c r="N18" s="136"/>
      <c r="O18" s="136"/>
      <c r="P18" s="136"/>
      <c r="Q18" s="136"/>
      <c r="R18" s="136"/>
    </row>
    <row r="19" spans="1:18" ht="16.95" customHeight="1" x14ac:dyDescent="0.3">
      <c r="B19" s="52"/>
      <c r="C19" s="124" t="s">
        <v>90</v>
      </c>
      <c r="D19" s="124"/>
      <c r="E19" s="124"/>
      <c r="F19" s="124"/>
      <c r="G19" s="124"/>
      <c r="H19" s="51"/>
      <c r="I19" s="136">
        <f>INFORMACIÓN!E9</f>
        <v>7466262</v>
      </c>
      <c r="J19" s="136"/>
      <c r="K19" s="136"/>
      <c r="L19" s="136"/>
      <c r="M19" s="136"/>
      <c r="N19" s="136"/>
      <c r="O19" s="136"/>
      <c r="P19" s="136"/>
      <c r="Q19" s="136"/>
      <c r="R19" s="136"/>
    </row>
    <row r="20" spans="1:18" ht="16.95" customHeight="1" x14ac:dyDescent="0.3">
      <c r="B20" s="52"/>
      <c r="C20" s="124" t="s">
        <v>74</v>
      </c>
      <c r="D20" s="124"/>
      <c r="E20" s="124"/>
      <c r="F20" s="124"/>
      <c r="G20" s="124"/>
      <c r="H20" s="51"/>
      <c r="I20" s="136" t="str">
        <f>INFORMACIÓN!E10</f>
        <v>CARRERA 15 # 10- ESQ.</v>
      </c>
      <c r="J20" s="136"/>
      <c r="K20" s="136"/>
      <c r="L20" s="136"/>
      <c r="M20" s="136"/>
      <c r="N20" s="136"/>
      <c r="O20" s="136"/>
      <c r="P20" s="136"/>
      <c r="Q20" s="136"/>
      <c r="R20" s="136"/>
    </row>
    <row r="21" spans="1:18" ht="16.95" customHeight="1" x14ac:dyDescent="0.3">
      <c r="B21" s="52"/>
      <c r="C21" s="124" t="s">
        <v>75</v>
      </c>
      <c r="D21" s="124"/>
      <c r="E21" s="124"/>
      <c r="F21" s="124"/>
      <c r="G21" s="124"/>
      <c r="H21" s="51"/>
      <c r="I21" s="136" t="str">
        <f>INFORMACIÓN!E11</f>
        <v>QUINDÍO-ARMENIA</v>
      </c>
      <c r="J21" s="136"/>
      <c r="K21" s="136"/>
      <c r="L21" s="136"/>
      <c r="M21" s="136"/>
      <c r="N21" s="136"/>
      <c r="O21" s="136"/>
      <c r="P21" s="136"/>
      <c r="Q21" s="136"/>
      <c r="R21" s="136"/>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32" t="s">
        <v>163</v>
      </c>
      <c r="D23" s="132"/>
      <c r="E23" s="132"/>
      <c r="F23" s="132"/>
      <c r="G23" s="132"/>
      <c r="H23" s="132"/>
      <c r="I23" s="132"/>
      <c r="J23" s="132"/>
      <c r="K23" s="132"/>
      <c r="L23" s="132"/>
      <c r="M23" s="132"/>
      <c r="N23" s="132"/>
      <c r="O23" s="132"/>
      <c r="P23" s="132"/>
      <c r="Q23" s="132"/>
      <c r="R23" s="132"/>
    </row>
    <row r="24" spans="1:18" ht="16.95" customHeight="1" x14ac:dyDescent="0.3">
      <c r="A24" s="78"/>
      <c r="B24" s="78"/>
      <c r="C24" s="133"/>
      <c r="D24" s="133"/>
      <c r="E24" s="133"/>
      <c r="F24" s="133"/>
      <c r="G24" s="133"/>
      <c r="H24" s="133"/>
      <c r="I24" s="133"/>
      <c r="J24" s="133"/>
      <c r="K24" s="133"/>
      <c r="L24" s="133"/>
      <c r="M24" s="133"/>
      <c r="N24" s="133"/>
      <c r="O24" s="133"/>
      <c r="P24" s="133"/>
      <c r="Q24" s="133"/>
      <c r="R24" s="133"/>
    </row>
    <row r="25" spans="1:18" ht="16.95" customHeight="1" x14ac:dyDescent="0.3">
      <c r="A25" s="78"/>
      <c r="B25" s="78"/>
      <c r="C25" s="133"/>
      <c r="D25" s="133"/>
      <c r="E25" s="133"/>
      <c r="F25" s="133"/>
      <c r="G25" s="133"/>
      <c r="H25" s="133"/>
      <c r="I25" s="133"/>
      <c r="J25" s="133"/>
      <c r="K25" s="133"/>
      <c r="L25" s="133"/>
      <c r="M25" s="133"/>
      <c r="N25" s="133"/>
      <c r="O25" s="133"/>
      <c r="P25" s="133"/>
      <c r="Q25" s="133"/>
      <c r="R25" s="133"/>
    </row>
    <row r="26" spans="1:18" ht="16.95" customHeight="1" x14ac:dyDescent="0.3">
      <c r="A26" s="78"/>
      <c r="B26" s="78"/>
      <c r="C26" s="133"/>
      <c r="D26" s="133"/>
      <c r="E26" s="133"/>
      <c r="F26" s="133"/>
      <c r="G26" s="133"/>
      <c r="H26" s="133"/>
      <c r="I26" s="133"/>
      <c r="J26" s="133"/>
      <c r="K26" s="133"/>
      <c r="L26" s="133"/>
      <c r="M26" s="133"/>
      <c r="N26" s="133"/>
      <c r="O26" s="133"/>
      <c r="P26" s="133"/>
      <c r="Q26" s="133"/>
      <c r="R26" s="133"/>
    </row>
    <row r="27" spans="1:18" ht="16.95" customHeight="1" x14ac:dyDescent="0.3">
      <c r="A27" s="78"/>
      <c r="B27" s="78"/>
      <c r="C27" s="133"/>
      <c r="D27" s="133"/>
      <c r="E27" s="133"/>
      <c r="F27" s="133"/>
      <c r="G27" s="133"/>
      <c r="H27" s="133"/>
      <c r="I27" s="133"/>
      <c r="J27" s="133"/>
      <c r="K27" s="133"/>
      <c r="L27" s="133"/>
      <c r="M27" s="133"/>
      <c r="N27" s="133"/>
      <c r="O27" s="133"/>
      <c r="P27" s="133"/>
      <c r="Q27" s="133"/>
      <c r="R27" s="133"/>
    </row>
    <row r="28" spans="1:18" ht="16.95" customHeight="1" x14ac:dyDescent="0.3">
      <c r="A28" s="78"/>
      <c r="B28" s="78"/>
      <c r="C28" s="134"/>
      <c r="D28" s="134"/>
      <c r="E28" s="134"/>
      <c r="F28" s="134"/>
      <c r="G28" s="134"/>
      <c r="H28" s="134"/>
      <c r="I28" s="134"/>
      <c r="J28" s="134"/>
      <c r="K28" s="134"/>
      <c r="L28" s="134"/>
      <c r="M28" s="134"/>
      <c r="N28" s="134"/>
      <c r="O28" s="134"/>
      <c r="P28" s="134"/>
      <c r="Q28" s="134"/>
      <c r="R28" s="134"/>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24" t="s">
        <v>78</v>
      </c>
      <c r="J31" s="124"/>
      <c r="K31" s="124"/>
      <c r="L31" s="124"/>
      <c r="M31" s="136" t="str">
        <f>INFORMACIÓN!B15</f>
        <v>ING. GABRIEL DURÁN</v>
      </c>
      <c r="N31" s="136"/>
      <c r="O31" s="136"/>
      <c r="P31" s="136"/>
      <c r="Q31" s="136"/>
      <c r="R31" s="136"/>
    </row>
    <row r="32" spans="1:18" ht="16.95" customHeight="1" x14ac:dyDescent="0.3">
      <c r="F32" s="52"/>
      <c r="G32" s="52"/>
      <c r="H32" s="52"/>
      <c r="I32" s="124" t="s">
        <v>79</v>
      </c>
      <c r="J32" s="124"/>
      <c r="K32" s="124"/>
      <c r="L32" s="124"/>
      <c r="M32" s="130">
        <f>INFORMACIÓN!B10</f>
        <v>0</v>
      </c>
      <c r="N32" s="130"/>
      <c r="O32" s="130"/>
      <c r="P32" s="64"/>
      <c r="Q32" s="64"/>
      <c r="R32" s="52"/>
    </row>
    <row r="33" spans="1:19" ht="16.95" customHeight="1" x14ac:dyDescent="0.3">
      <c r="I33" s="124" t="s">
        <v>83</v>
      </c>
      <c r="J33" s="124"/>
      <c r="K33" s="124"/>
      <c r="L33" s="124"/>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24" t="str">
        <f>O1</f>
        <v>CERTIFICADO N°:</v>
      </c>
      <c r="P38" s="124"/>
      <c r="Q38" s="124"/>
      <c r="R38" s="126">
        <f>R1</f>
        <v>0</v>
      </c>
      <c r="S38" s="126"/>
    </row>
    <row r="39" spans="1:19" ht="16.95" customHeight="1" x14ac:dyDescent="0.3"/>
    <row r="40" spans="1:19" ht="16.95" customHeight="1" x14ac:dyDescent="0.3">
      <c r="B40" s="129" t="s">
        <v>84</v>
      </c>
      <c r="C40" s="129"/>
      <c r="D40" s="129"/>
      <c r="E40" s="129"/>
      <c r="F40" s="129"/>
      <c r="G40" s="129"/>
      <c r="H40" s="129"/>
      <c r="I40" s="129"/>
      <c r="J40" s="129"/>
      <c r="K40" s="129"/>
      <c r="L40" s="129"/>
      <c r="M40" s="129"/>
      <c r="N40" s="129"/>
      <c r="O40" s="129"/>
      <c r="P40" s="129"/>
      <c r="Q40" s="129"/>
      <c r="R40" s="129"/>
      <c r="S40" s="129"/>
    </row>
    <row r="41" spans="1:19" ht="16.95" customHeight="1" x14ac:dyDescent="0.3">
      <c r="B41" s="127" t="s">
        <v>164</v>
      </c>
      <c r="C41" s="127"/>
      <c r="D41" s="127"/>
      <c r="E41" s="127"/>
      <c r="F41" s="127"/>
      <c r="G41" s="127"/>
      <c r="H41" s="127"/>
      <c r="I41" s="127"/>
      <c r="J41" s="127"/>
      <c r="K41" s="127"/>
      <c r="L41" s="127"/>
      <c r="M41" s="127"/>
      <c r="N41" s="127"/>
      <c r="O41" s="127"/>
      <c r="P41" s="127"/>
      <c r="Q41" s="127"/>
      <c r="R41" s="127"/>
      <c r="S41" s="127"/>
    </row>
    <row r="42" spans="1:19" ht="16.95" customHeight="1" x14ac:dyDescent="0.3">
      <c r="A42" s="87"/>
      <c r="B42" s="128"/>
      <c r="C42" s="128"/>
      <c r="D42" s="128"/>
      <c r="E42" s="128"/>
      <c r="F42" s="128"/>
      <c r="G42" s="128"/>
      <c r="H42" s="128"/>
      <c r="I42" s="128"/>
      <c r="J42" s="128"/>
      <c r="K42" s="128"/>
      <c r="L42" s="128"/>
      <c r="M42" s="128"/>
      <c r="N42" s="128"/>
      <c r="O42" s="128"/>
      <c r="P42" s="128"/>
      <c r="Q42" s="128"/>
      <c r="R42" s="128"/>
      <c r="S42" s="128"/>
    </row>
    <row r="43" spans="1:19" ht="16.95" customHeight="1" x14ac:dyDescent="0.3">
      <c r="A43" s="87"/>
      <c r="B43" s="128"/>
      <c r="C43" s="128"/>
      <c r="D43" s="128"/>
      <c r="E43" s="128"/>
      <c r="F43" s="128"/>
      <c r="G43" s="128"/>
      <c r="H43" s="128"/>
      <c r="I43" s="128"/>
      <c r="J43" s="128"/>
      <c r="K43" s="128"/>
      <c r="L43" s="128"/>
      <c r="M43" s="128"/>
      <c r="N43" s="128"/>
      <c r="O43" s="128"/>
      <c r="P43" s="128"/>
      <c r="Q43" s="128"/>
      <c r="R43" s="128"/>
      <c r="S43" s="128"/>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46" t="s">
        <v>85</v>
      </c>
      <c r="G45" s="147"/>
      <c r="H45" s="147"/>
      <c r="I45" s="147"/>
      <c r="J45" s="148"/>
      <c r="K45" s="155" t="s">
        <v>86</v>
      </c>
      <c r="L45" s="156"/>
      <c r="M45" s="156"/>
      <c r="N45" s="156"/>
      <c r="O45" s="157"/>
    </row>
    <row r="46" spans="1:19" ht="16.95" customHeight="1" x14ac:dyDescent="0.3">
      <c r="E46" s="76"/>
      <c r="F46" s="150">
        <f>AVERAGE(INFORMACIÓN!B11:B12)</f>
        <v>24.65</v>
      </c>
      <c r="G46" s="151"/>
      <c r="H46" s="72" t="s">
        <v>87</v>
      </c>
      <c r="I46" s="73">
        <f>ABS(INFORMACIÓN!B11-INFORMACIÓN!B12)</f>
        <v>0.30000000000000071</v>
      </c>
      <c r="J46" s="77"/>
      <c r="K46" s="152">
        <f>AVERAGE(INFORMACIÓN!B13:B14)</f>
        <v>62</v>
      </c>
      <c r="L46" s="153"/>
      <c r="M46" s="72" t="s">
        <v>87</v>
      </c>
      <c r="N46" s="74">
        <f>ABS(INFORMACIÓN!B13-INFORMACIÓN!B14)</f>
        <v>2</v>
      </c>
      <c r="O46" s="75"/>
    </row>
    <row r="47" spans="1:19" ht="11.4" customHeight="1" x14ac:dyDescent="0.3">
      <c r="E47" s="51"/>
      <c r="F47" s="67"/>
      <c r="G47" s="68"/>
      <c r="H47" s="69"/>
      <c r="I47" s="70"/>
      <c r="K47" s="71"/>
      <c r="L47" s="68"/>
      <c r="M47" s="66"/>
    </row>
    <row r="48" spans="1:19" ht="16.95" customHeight="1" x14ac:dyDescent="0.3">
      <c r="B48" s="53"/>
      <c r="D48" s="53"/>
      <c r="F48" s="149" t="s">
        <v>165</v>
      </c>
      <c r="G48" s="149"/>
      <c r="H48" s="149"/>
      <c r="I48" s="149"/>
      <c r="J48" s="149"/>
      <c r="K48" s="154" t="s">
        <v>166</v>
      </c>
      <c r="L48" s="154"/>
      <c r="M48" s="154"/>
      <c r="N48" s="154"/>
      <c r="O48" s="154"/>
      <c r="P48" s="154"/>
    </row>
    <row r="49" spans="1:19" ht="13.2" customHeight="1" x14ac:dyDescent="0.3"/>
    <row r="50" spans="1:19" ht="16.95" customHeight="1" x14ac:dyDescent="0.3">
      <c r="B50" s="131" t="s">
        <v>88</v>
      </c>
      <c r="C50" s="131"/>
      <c r="D50" s="131"/>
      <c r="E50" s="131"/>
      <c r="F50" s="131"/>
      <c r="G50" s="131"/>
      <c r="H50" s="131"/>
      <c r="I50" s="131"/>
      <c r="J50" s="131"/>
      <c r="K50" s="131"/>
      <c r="L50" s="131"/>
      <c r="M50" s="131"/>
      <c r="N50" s="131"/>
      <c r="O50" s="131"/>
      <c r="P50" s="131"/>
      <c r="Q50" s="131"/>
      <c r="R50" s="131"/>
      <c r="S50" s="131"/>
    </row>
    <row r="51" spans="1:19" ht="16.95" customHeight="1" x14ac:dyDescent="0.3">
      <c r="B51" s="127" t="s">
        <v>167</v>
      </c>
      <c r="C51" s="127"/>
      <c r="D51" s="127"/>
      <c r="E51" s="127"/>
      <c r="F51" s="127"/>
      <c r="G51" s="127"/>
      <c r="H51" s="127"/>
      <c r="I51" s="127"/>
      <c r="J51" s="127"/>
      <c r="K51" s="127"/>
      <c r="L51" s="127"/>
      <c r="M51" s="127"/>
      <c r="N51" s="127"/>
      <c r="O51" s="127"/>
      <c r="P51" s="127"/>
      <c r="Q51" s="127"/>
      <c r="R51" s="127"/>
      <c r="S51" s="127"/>
    </row>
    <row r="52" spans="1:19" ht="16.95" customHeight="1" x14ac:dyDescent="0.3">
      <c r="A52" s="87"/>
      <c r="B52" s="128"/>
      <c r="C52" s="128"/>
      <c r="D52" s="128"/>
      <c r="E52" s="128"/>
      <c r="F52" s="128"/>
      <c r="G52" s="128"/>
      <c r="H52" s="128"/>
      <c r="I52" s="128"/>
      <c r="J52" s="128"/>
      <c r="K52" s="128"/>
      <c r="L52" s="128"/>
      <c r="M52" s="128"/>
      <c r="N52" s="128"/>
      <c r="O52" s="128"/>
      <c r="P52" s="128"/>
      <c r="Q52" s="128"/>
      <c r="R52" s="128"/>
      <c r="S52" s="128"/>
    </row>
    <row r="53" spans="1:19" ht="16.95" customHeight="1" x14ac:dyDescent="0.3">
      <c r="A53" s="87"/>
      <c r="B53" s="128"/>
      <c r="C53" s="128"/>
      <c r="D53" s="128"/>
      <c r="E53" s="128"/>
      <c r="F53" s="128"/>
      <c r="G53" s="128"/>
      <c r="H53" s="128"/>
      <c r="I53" s="128"/>
      <c r="J53" s="128"/>
      <c r="K53" s="128"/>
      <c r="L53" s="128"/>
      <c r="M53" s="128"/>
      <c r="N53" s="128"/>
      <c r="O53" s="128"/>
      <c r="P53" s="128"/>
      <c r="Q53" s="128"/>
      <c r="R53" s="128"/>
      <c r="S53" s="128"/>
    </row>
    <row r="54" spans="1:19" ht="16.95" customHeight="1" x14ac:dyDescent="0.3">
      <c r="A54" s="87"/>
      <c r="B54" s="128"/>
      <c r="C54" s="128"/>
      <c r="D54" s="128"/>
      <c r="E54" s="128"/>
      <c r="F54" s="128"/>
      <c r="G54" s="128"/>
      <c r="H54" s="128"/>
      <c r="I54" s="128"/>
      <c r="J54" s="128"/>
      <c r="K54" s="128"/>
      <c r="L54" s="128"/>
      <c r="M54" s="128"/>
      <c r="N54" s="128"/>
      <c r="O54" s="128"/>
      <c r="P54" s="128"/>
      <c r="Q54" s="128"/>
      <c r="R54" s="128"/>
      <c r="S54" s="128"/>
    </row>
    <row r="55" spans="1:19" ht="16.95" customHeight="1" x14ac:dyDescent="0.3">
      <c r="A55" s="87"/>
      <c r="B55" s="128"/>
      <c r="C55" s="128"/>
      <c r="D55" s="128"/>
      <c r="E55" s="128"/>
      <c r="F55" s="128"/>
      <c r="G55" s="128"/>
      <c r="H55" s="128"/>
      <c r="I55" s="128"/>
      <c r="J55" s="128"/>
      <c r="K55" s="128"/>
      <c r="L55" s="128"/>
      <c r="M55" s="128"/>
      <c r="N55" s="128"/>
      <c r="O55" s="128"/>
      <c r="P55" s="128"/>
      <c r="Q55" s="128"/>
      <c r="R55" s="128"/>
      <c r="S55" s="128"/>
    </row>
    <row r="56" spans="1:19" ht="16.95" customHeight="1" x14ac:dyDescent="0.3">
      <c r="A56" s="87"/>
      <c r="B56" s="128"/>
      <c r="C56" s="128"/>
      <c r="D56" s="128"/>
      <c r="E56" s="128"/>
      <c r="F56" s="128"/>
      <c r="G56" s="128"/>
      <c r="H56" s="128"/>
      <c r="I56" s="128"/>
      <c r="J56" s="128"/>
      <c r="K56" s="128"/>
      <c r="L56" s="128"/>
      <c r="M56" s="128"/>
      <c r="N56" s="128"/>
      <c r="O56" s="128"/>
      <c r="P56" s="128"/>
      <c r="Q56" s="128"/>
      <c r="R56" s="128"/>
      <c r="S56" s="128"/>
    </row>
    <row r="57" spans="1:19" ht="16.95" customHeight="1" x14ac:dyDescent="0.3">
      <c r="A57" s="87"/>
      <c r="B57" s="128"/>
      <c r="C57" s="128"/>
      <c r="D57" s="128"/>
      <c r="E57" s="128"/>
      <c r="F57" s="128"/>
      <c r="G57" s="128"/>
      <c r="H57" s="128"/>
      <c r="I57" s="128"/>
      <c r="J57" s="128"/>
      <c r="K57" s="128"/>
      <c r="L57" s="128"/>
      <c r="M57" s="128"/>
      <c r="N57" s="128"/>
      <c r="O57" s="128"/>
      <c r="P57" s="128"/>
      <c r="Q57" s="128"/>
      <c r="R57" s="128"/>
      <c r="S57" s="128"/>
    </row>
    <row r="58" spans="1:19" ht="16.95" customHeight="1" x14ac:dyDescent="0.3">
      <c r="A58" s="87"/>
      <c r="B58" s="128"/>
      <c r="C58" s="128"/>
      <c r="D58" s="128"/>
      <c r="E58" s="128"/>
      <c r="F58" s="128"/>
      <c r="G58" s="128"/>
      <c r="H58" s="128"/>
      <c r="I58" s="128"/>
      <c r="J58" s="128"/>
      <c r="K58" s="128"/>
      <c r="L58" s="128"/>
      <c r="M58" s="128"/>
      <c r="N58" s="128"/>
      <c r="O58" s="128"/>
      <c r="P58" s="128"/>
      <c r="Q58" s="128"/>
      <c r="R58" s="128"/>
      <c r="S58" s="128"/>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29" t="s">
        <v>89</v>
      </c>
      <c r="C60" s="129"/>
      <c r="D60" s="129"/>
      <c r="E60" s="129"/>
      <c r="F60" s="129"/>
      <c r="G60" s="129"/>
      <c r="H60" s="129"/>
      <c r="I60" s="129"/>
      <c r="J60" s="129"/>
      <c r="K60" s="129"/>
      <c r="L60" s="129"/>
      <c r="M60" s="129"/>
      <c r="N60" s="129"/>
      <c r="O60" s="129"/>
      <c r="P60" s="129"/>
      <c r="Q60" s="129"/>
      <c r="R60" s="129"/>
      <c r="S60" s="129"/>
    </row>
    <row r="61" spans="1:19" ht="16.95" customHeight="1" x14ac:dyDescent="0.3">
      <c r="B61" s="127" t="s">
        <v>168</v>
      </c>
      <c r="C61" s="127"/>
      <c r="D61" s="127"/>
      <c r="E61" s="127"/>
      <c r="F61" s="127"/>
      <c r="G61" s="127"/>
      <c r="H61" s="127"/>
      <c r="I61" s="127"/>
      <c r="J61" s="127"/>
      <c r="K61" s="127"/>
      <c r="L61" s="127"/>
      <c r="M61" s="127"/>
      <c r="N61" s="127"/>
      <c r="O61" s="127"/>
      <c r="P61" s="127"/>
      <c r="Q61" s="127"/>
      <c r="R61" s="127"/>
      <c r="S61" s="127"/>
    </row>
    <row r="62" spans="1:19" ht="16.95" customHeight="1" x14ac:dyDescent="0.3">
      <c r="A62" s="87"/>
      <c r="B62" s="128"/>
      <c r="C62" s="128"/>
      <c r="D62" s="128"/>
      <c r="E62" s="128"/>
      <c r="F62" s="128"/>
      <c r="G62" s="128"/>
      <c r="H62" s="128"/>
      <c r="I62" s="128"/>
      <c r="J62" s="128"/>
      <c r="K62" s="128"/>
      <c r="L62" s="128"/>
      <c r="M62" s="128"/>
      <c r="N62" s="128"/>
      <c r="O62" s="128"/>
      <c r="P62" s="128"/>
      <c r="Q62" s="128"/>
      <c r="R62" s="128"/>
      <c r="S62" s="128"/>
    </row>
    <row r="63" spans="1:19" ht="13.8" customHeight="1" x14ac:dyDescent="0.3"/>
    <row r="64" spans="1:19" ht="15" customHeight="1" x14ac:dyDescent="0.3">
      <c r="B64" s="129" t="s">
        <v>95</v>
      </c>
      <c r="C64" s="129"/>
      <c r="D64" s="129"/>
      <c r="E64" s="129"/>
      <c r="F64" s="129"/>
      <c r="G64" s="129"/>
      <c r="H64" s="129"/>
      <c r="I64" s="129"/>
      <c r="J64" s="129"/>
      <c r="K64" s="129"/>
      <c r="L64" s="129"/>
      <c r="M64" s="129"/>
      <c r="N64" s="129"/>
      <c r="O64" s="129"/>
      <c r="P64" s="129"/>
      <c r="Q64" s="129"/>
      <c r="R64" s="129"/>
      <c r="S64" s="129"/>
    </row>
    <row r="65" spans="1:19" ht="19.2" customHeight="1" x14ac:dyDescent="0.3">
      <c r="B65" s="127" t="s">
        <v>169</v>
      </c>
      <c r="C65" s="127"/>
      <c r="D65" s="127"/>
      <c r="E65" s="127"/>
      <c r="F65" s="127"/>
      <c r="G65" s="127"/>
      <c r="H65" s="127"/>
      <c r="I65" s="127"/>
      <c r="J65" s="127"/>
      <c r="K65" s="127"/>
      <c r="L65" s="127"/>
      <c r="M65" s="127"/>
      <c r="N65" s="127"/>
      <c r="O65" s="127"/>
      <c r="P65" s="127"/>
      <c r="Q65" s="127"/>
      <c r="R65" s="127"/>
      <c r="S65" s="127"/>
    </row>
    <row r="66" spans="1:19" ht="16.95" customHeight="1" x14ac:dyDescent="0.3">
      <c r="A66" s="87"/>
      <c r="B66" s="128"/>
      <c r="C66" s="128"/>
      <c r="D66" s="128"/>
      <c r="E66" s="128"/>
      <c r="F66" s="128"/>
      <c r="G66" s="128"/>
      <c r="H66" s="128"/>
      <c r="I66" s="128"/>
      <c r="J66" s="128"/>
      <c r="K66" s="128"/>
      <c r="L66" s="128"/>
      <c r="M66" s="128"/>
      <c r="N66" s="128"/>
      <c r="O66" s="128"/>
      <c r="P66" s="128"/>
      <c r="Q66" s="128"/>
      <c r="R66" s="128"/>
      <c r="S66" s="128"/>
    </row>
    <row r="67" spans="1:19" ht="16.95" customHeight="1" x14ac:dyDescent="0.3">
      <c r="A67" s="87"/>
      <c r="B67" s="128"/>
      <c r="C67" s="128"/>
      <c r="D67" s="128"/>
      <c r="E67" s="128"/>
      <c r="F67" s="128"/>
      <c r="G67" s="128"/>
      <c r="H67" s="128"/>
      <c r="I67" s="128"/>
      <c r="J67" s="128"/>
      <c r="K67" s="128"/>
      <c r="L67" s="128"/>
      <c r="M67" s="128"/>
      <c r="N67" s="128"/>
      <c r="O67" s="128"/>
      <c r="P67" s="128"/>
      <c r="Q67" s="128"/>
      <c r="R67" s="128"/>
      <c r="S67" s="128"/>
    </row>
    <row r="68" spans="1:19" ht="16.95" customHeight="1" x14ac:dyDescent="0.3">
      <c r="A68" s="87"/>
      <c r="B68" s="128"/>
      <c r="C68" s="128"/>
      <c r="D68" s="128"/>
      <c r="E68" s="128"/>
      <c r="F68" s="128"/>
      <c r="G68" s="128"/>
      <c r="H68" s="128"/>
      <c r="I68" s="128"/>
      <c r="J68" s="128"/>
      <c r="K68" s="128"/>
      <c r="L68" s="128"/>
      <c r="M68" s="128"/>
      <c r="N68" s="128"/>
      <c r="O68" s="128"/>
      <c r="P68" s="128"/>
      <c r="Q68" s="128"/>
      <c r="R68" s="128"/>
      <c r="S68" s="128"/>
    </row>
    <row r="69" spans="1:19" ht="16.95" customHeight="1" x14ac:dyDescent="0.3"/>
    <row r="70" spans="1:19" ht="16.95" customHeight="1" x14ac:dyDescent="0.3">
      <c r="B70" s="142" t="s">
        <v>91</v>
      </c>
      <c r="C70" s="142"/>
      <c r="D70" s="142"/>
      <c r="E70" s="142"/>
      <c r="F70" s="142"/>
      <c r="G70" s="142"/>
      <c r="H70" s="142" t="s">
        <v>92</v>
      </c>
      <c r="I70" s="142"/>
      <c r="J70" s="142"/>
      <c r="K70" s="142"/>
      <c r="L70" s="142"/>
      <c r="M70" s="142" t="s">
        <v>93</v>
      </c>
      <c r="N70" s="142"/>
      <c r="O70" s="142"/>
      <c r="P70" s="142" t="s">
        <v>94</v>
      </c>
      <c r="Q70" s="142"/>
      <c r="R70" s="142"/>
      <c r="S70" s="142"/>
    </row>
    <row r="71" spans="1:19" ht="16.95" customHeight="1" x14ac:dyDescent="0.3">
      <c r="B71" s="145" t="str">
        <f>PATRON!G35</f>
        <v>Tacómetro óptico</v>
      </c>
      <c r="C71" s="145"/>
      <c r="D71" s="145"/>
      <c r="E71" s="145"/>
      <c r="F71" s="145"/>
      <c r="G71" s="145"/>
      <c r="H71" s="143" t="str">
        <f>PATRON!G38</f>
        <v>I.483223</v>
      </c>
      <c r="I71" s="143"/>
      <c r="J71" s="143"/>
      <c r="K71" s="143"/>
      <c r="L71" s="143"/>
      <c r="M71" s="144">
        <v>45754</v>
      </c>
      <c r="N71" s="144"/>
      <c r="O71" s="144"/>
      <c r="P71" s="141" t="s">
        <v>162</v>
      </c>
      <c r="Q71" s="141"/>
      <c r="R71" s="141"/>
      <c r="S71" s="14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4" t="str">
        <f>O1</f>
        <v>CERTIFICADO N°:</v>
      </c>
      <c r="P76" s="124"/>
      <c r="Q76" s="124"/>
      <c r="R76" s="126">
        <f>R1</f>
        <v>0</v>
      </c>
      <c r="S76" s="126"/>
    </row>
    <row r="77" spans="1:19" ht="16.95" customHeight="1" x14ac:dyDescent="0.3"/>
    <row r="78" spans="1:19" ht="16.95" customHeight="1" x14ac:dyDescent="0.3">
      <c r="B78" s="123" t="s">
        <v>96</v>
      </c>
      <c r="C78" s="123"/>
      <c r="D78" s="123"/>
      <c r="E78" s="123"/>
      <c r="F78" s="123"/>
      <c r="G78" s="123"/>
      <c r="H78" s="123"/>
      <c r="I78" s="123"/>
      <c r="J78" s="123"/>
      <c r="K78" s="123"/>
      <c r="L78" s="123"/>
      <c r="M78" s="123"/>
      <c r="N78" s="123"/>
      <c r="O78" s="123"/>
      <c r="P78" s="123"/>
      <c r="Q78" s="123"/>
      <c r="R78" s="123"/>
      <c r="S78" s="123"/>
    </row>
    <row r="79" spans="1:19" ht="16.649999999999999" customHeight="1" x14ac:dyDescent="0.3"/>
    <row r="80" spans="1:19" ht="16.2" customHeight="1" x14ac:dyDescent="0.3"/>
    <row r="81" spans="2:19" ht="16.95" customHeight="1" x14ac:dyDescent="0.3">
      <c r="B81" s="52" t="s">
        <v>139</v>
      </c>
      <c r="C81" s="52"/>
      <c r="D81" s="52"/>
      <c r="E81" s="52"/>
      <c r="F81" s="52"/>
      <c r="G81" s="52"/>
      <c r="H81" s="52"/>
      <c r="I81" s="160" t="s">
        <v>140</v>
      </c>
      <c r="J81" s="160"/>
      <c r="K81" s="160"/>
      <c r="L81" s="160"/>
      <c r="M81" s="160"/>
      <c r="N81" s="159">
        <v>3500</v>
      </c>
      <c r="O81" s="159"/>
      <c r="P81" s="161" t="s">
        <v>141</v>
      </c>
      <c r="Q81" s="161"/>
      <c r="R81" s="161"/>
      <c r="S81" s="90">
        <v>1</v>
      </c>
    </row>
    <row r="82" spans="2:19" ht="16.95" customHeight="1" x14ac:dyDescent="0.3"/>
    <row r="83" spans="2:19" ht="16.95" customHeight="1" x14ac:dyDescent="0.3">
      <c r="B83" s="116" t="s">
        <v>142</v>
      </c>
      <c r="C83" s="116"/>
      <c r="D83" s="158" t="s">
        <v>125</v>
      </c>
      <c r="E83" s="158"/>
      <c r="F83" s="158"/>
      <c r="G83" s="158"/>
      <c r="H83" s="158"/>
      <c r="I83" s="158"/>
      <c r="J83" s="158"/>
      <c r="K83" s="158"/>
      <c r="L83" s="162" t="s">
        <v>149</v>
      </c>
      <c r="M83" s="163"/>
      <c r="N83" s="163"/>
      <c r="O83" s="163"/>
      <c r="P83" s="163"/>
      <c r="Q83" s="163"/>
      <c r="R83" s="163"/>
      <c r="S83" s="163"/>
    </row>
    <row r="84" spans="2:19" ht="24" customHeight="1" x14ac:dyDescent="0.3">
      <c r="B84" s="116"/>
      <c r="C84" s="116"/>
      <c r="D84" s="115" t="s">
        <v>143</v>
      </c>
      <c r="E84" s="115"/>
      <c r="F84" s="115" t="s">
        <v>144</v>
      </c>
      <c r="G84" s="115"/>
      <c r="H84" s="115" t="s">
        <v>145</v>
      </c>
      <c r="I84" s="115"/>
      <c r="J84" s="115" t="s">
        <v>146</v>
      </c>
      <c r="K84" s="115"/>
      <c r="L84" s="116" t="s">
        <v>147</v>
      </c>
      <c r="M84" s="116"/>
      <c r="N84" s="116" t="s">
        <v>148</v>
      </c>
      <c r="O84" s="116"/>
      <c r="P84" s="115" t="s">
        <v>97</v>
      </c>
      <c r="Q84" s="115"/>
      <c r="R84" s="115"/>
      <c r="S84" s="89" t="s">
        <v>14</v>
      </c>
    </row>
    <row r="85" spans="2:19" ht="16.95" customHeight="1" x14ac:dyDescent="0.3">
      <c r="B85" s="117">
        <f>MEDIDA!B5</f>
        <v>3500</v>
      </c>
      <c r="C85" s="117"/>
      <c r="D85" s="118">
        <f>MEDIDA!C5</f>
        <v>3496</v>
      </c>
      <c r="E85" s="118"/>
      <c r="F85" s="118">
        <f ca="1">MEDIDA!D5</f>
        <v>3496.7132161589407</v>
      </c>
      <c r="G85" s="118"/>
      <c r="H85" s="118">
        <f ca="1">MEDIDA!E5</f>
        <v>3495.6637342805816</v>
      </c>
      <c r="I85" s="118"/>
      <c r="J85" s="118">
        <f ca="1">MEDIDA!F5</f>
        <v>3496.7409004243927</v>
      </c>
      <c r="K85" s="118"/>
      <c r="L85" s="114">
        <f ca="1">AVERAGE(D85:K85)</f>
        <v>3496.2794627159788</v>
      </c>
      <c r="M85" s="114"/>
      <c r="N85" s="114">
        <f ca="1">B85-L85</f>
        <v>3.7205372840212476</v>
      </c>
      <c r="O85" s="114"/>
      <c r="P85" s="114">
        <f ca="1">INCERTIDUMBRE!L4</f>
        <v>1.4610230616953257</v>
      </c>
      <c r="Q85" s="114"/>
      <c r="R85" s="114"/>
      <c r="S85" s="95">
        <v>2</v>
      </c>
    </row>
    <row r="86" spans="2:19" ht="16.95" customHeight="1" x14ac:dyDescent="0.3">
      <c r="B86" s="103"/>
      <c r="C86" s="103"/>
      <c r="D86" s="107"/>
      <c r="E86" s="107"/>
      <c r="F86" s="107"/>
      <c r="G86" s="107"/>
      <c r="H86" s="107"/>
      <c r="I86" s="107"/>
      <c r="J86" s="107"/>
      <c r="K86" s="107"/>
      <c r="L86" s="104"/>
      <c r="M86" s="104"/>
      <c r="N86" s="104"/>
      <c r="O86" s="104"/>
      <c r="P86" s="104"/>
      <c r="Q86" s="104"/>
      <c r="R86" s="104"/>
      <c r="S86" s="106"/>
    </row>
    <row r="87" spans="2:19" ht="16.95" customHeight="1" x14ac:dyDescent="0.3">
      <c r="B87" s="103"/>
      <c r="C87" s="103"/>
      <c r="D87" s="104"/>
      <c r="E87" s="104"/>
      <c r="F87" s="104"/>
      <c r="G87" s="104"/>
      <c r="H87" s="104"/>
      <c r="I87" s="104"/>
      <c r="J87" s="104"/>
      <c r="K87" s="104"/>
      <c r="L87" s="104"/>
      <c r="M87" s="104"/>
      <c r="N87" s="104"/>
      <c r="O87" s="104"/>
      <c r="P87" s="105"/>
      <c r="Q87" s="105"/>
      <c r="R87" s="105"/>
      <c r="S87" s="106"/>
    </row>
    <row r="88" spans="2:19" ht="16.95" customHeight="1" x14ac:dyDescent="0.3">
      <c r="B88" s="103"/>
      <c r="C88" s="103"/>
      <c r="D88" s="104"/>
      <c r="E88" s="104"/>
      <c r="F88" s="104"/>
      <c r="G88" s="104"/>
      <c r="H88" s="104"/>
      <c r="I88" s="104"/>
      <c r="J88" s="104"/>
      <c r="K88" s="104"/>
      <c r="L88" s="104"/>
      <c r="M88" s="104"/>
      <c r="N88" s="104"/>
      <c r="O88" s="104"/>
      <c r="P88" s="105"/>
      <c r="Q88" s="105"/>
      <c r="R88" s="105"/>
      <c r="S88" s="106"/>
    </row>
    <row r="89" spans="2:19" ht="16.95" customHeight="1" x14ac:dyDescent="0.3">
      <c r="B89" s="103"/>
      <c r="C89" s="103"/>
      <c r="D89" s="104"/>
      <c r="E89" s="104"/>
      <c r="F89" s="104"/>
      <c r="G89" s="104"/>
      <c r="H89" s="104"/>
      <c r="I89" s="104"/>
      <c r="J89" s="104"/>
      <c r="K89" s="104"/>
      <c r="L89" s="104"/>
      <c r="M89" s="104"/>
      <c r="N89" s="104"/>
      <c r="O89" s="104"/>
      <c r="P89" s="105"/>
      <c r="Q89" s="105"/>
      <c r="R89" s="105"/>
      <c r="S89" s="106"/>
    </row>
    <row r="90" spans="2:19" ht="16.95" customHeight="1" x14ac:dyDescent="0.3">
      <c r="B90" s="103"/>
      <c r="C90" s="103"/>
      <c r="D90" s="104"/>
      <c r="E90" s="104"/>
      <c r="F90" s="104"/>
      <c r="G90" s="104"/>
      <c r="H90" s="104"/>
      <c r="I90" s="104"/>
      <c r="J90" s="104"/>
      <c r="K90" s="104"/>
      <c r="L90" s="104"/>
      <c r="M90" s="104"/>
      <c r="N90" s="104"/>
      <c r="O90" s="104"/>
      <c r="P90" s="105"/>
      <c r="Q90" s="105"/>
      <c r="R90" s="105"/>
      <c r="S90" s="106"/>
    </row>
    <row r="91" spans="2:19" ht="16.95" customHeight="1" x14ac:dyDescent="0.3">
      <c r="B91" s="103"/>
      <c r="C91" s="103"/>
      <c r="D91" s="104"/>
      <c r="E91" s="104"/>
      <c r="F91" s="104"/>
      <c r="G91" s="104"/>
      <c r="H91" s="104"/>
      <c r="I91" s="104"/>
      <c r="J91" s="104"/>
      <c r="K91" s="104"/>
      <c r="L91" s="104"/>
      <c r="M91" s="104"/>
      <c r="N91" s="104"/>
      <c r="O91" s="104"/>
      <c r="P91" s="105"/>
      <c r="Q91" s="105"/>
      <c r="R91" s="105"/>
      <c r="S91" s="106"/>
    </row>
    <row r="92" spans="2:19" ht="16.95" customHeight="1" x14ac:dyDescent="0.3">
      <c r="B92" s="103"/>
      <c r="C92" s="103"/>
      <c r="D92" s="104"/>
      <c r="E92" s="104"/>
      <c r="F92" s="104"/>
      <c r="G92" s="104"/>
      <c r="H92" s="104"/>
      <c r="I92" s="104"/>
      <c r="J92" s="104"/>
      <c r="K92" s="104"/>
      <c r="L92" s="104"/>
      <c r="M92" s="104"/>
      <c r="N92" s="104"/>
      <c r="O92" s="104"/>
      <c r="P92" s="105"/>
      <c r="Q92" s="105"/>
      <c r="R92" s="105"/>
      <c r="S92" s="106"/>
    </row>
    <row r="93" spans="2:19" ht="16.95" customHeight="1" x14ac:dyDescent="0.3">
      <c r="B93" s="103"/>
      <c r="C93" s="103"/>
      <c r="D93" s="104"/>
      <c r="E93" s="104"/>
      <c r="F93" s="104"/>
      <c r="G93" s="104"/>
      <c r="H93" s="104"/>
      <c r="I93" s="104"/>
      <c r="J93" s="104"/>
      <c r="K93" s="104"/>
      <c r="L93" s="104"/>
      <c r="M93" s="104"/>
      <c r="N93" s="104"/>
      <c r="O93" s="104"/>
      <c r="P93" s="105"/>
      <c r="Q93" s="105"/>
      <c r="R93" s="105"/>
      <c r="S93" s="106"/>
    </row>
    <row r="94" spans="2:19" ht="16.95" customHeight="1" x14ac:dyDescent="0.3"/>
    <row r="95" spans="2:19" ht="16.95" customHeight="1" x14ac:dyDescent="0.3"/>
    <row r="96" spans="2:19" ht="16.8" customHeight="1" x14ac:dyDescent="0.3"/>
    <row r="97" spans="2:20" ht="16.8" customHeight="1" x14ac:dyDescent="0.3"/>
    <row r="98" spans="2:20" ht="16.649999999999999" customHeight="1" x14ac:dyDescent="0.3"/>
    <row r="99" spans="2:20" x14ac:dyDescent="0.3">
      <c r="B99" s="123" t="s">
        <v>98</v>
      </c>
      <c r="C99" s="123"/>
      <c r="D99" s="123"/>
      <c r="E99" s="123"/>
      <c r="F99" s="123"/>
      <c r="G99" s="123"/>
      <c r="H99" s="123"/>
      <c r="I99" s="123"/>
      <c r="J99" s="123"/>
      <c r="K99" s="123"/>
      <c r="L99" s="123"/>
      <c r="M99" s="123"/>
      <c r="N99" s="123"/>
      <c r="O99" s="123"/>
      <c r="P99" s="123"/>
      <c r="Q99" s="123"/>
      <c r="R99" s="123"/>
      <c r="S99" s="123"/>
    </row>
    <row r="100" spans="2:20" ht="16.649999999999999" customHeight="1" x14ac:dyDescent="0.3"/>
    <row r="101" spans="2:20" ht="16.8" customHeight="1" x14ac:dyDescent="0.3">
      <c r="B101" s="121" t="s">
        <v>99</v>
      </c>
      <c r="C101" s="121"/>
      <c r="D101" s="121"/>
      <c r="E101" s="121"/>
      <c r="F101" s="121"/>
      <c r="G101" s="121"/>
      <c r="I101" s="78" t="s">
        <v>100</v>
      </c>
      <c r="J101" s="78"/>
      <c r="K101" s="78"/>
      <c r="L101" s="78"/>
      <c r="M101" s="78"/>
      <c r="N101" s="78"/>
      <c r="O101" s="78"/>
      <c r="P101" s="78"/>
      <c r="Q101" s="78"/>
      <c r="R101" s="78"/>
      <c r="S101" s="78"/>
    </row>
    <row r="102" spans="2:20" ht="16.8" customHeight="1" x14ac:dyDescent="0.3">
      <c r="B102" s="122" t="s">
        <v>101</v>
      </c>
      <c r="C102" s="122"/>
      <c r="D102" s="122"/>
      <c r="E102" s="122"/>
      <c r="F102" s="122"/>
      <c r="G102" s="122"/>
      <c r="I102" s="78" t="s">
        <v>100</v>
      </c>
    </row>
    <row r="103" spans="2:20" ht="24" customHeight="1" x14ac:dyDescent="0.3">
      <c r="B103" s="121" t="s">
        <v>102</v>
      </c>
      <c r="C103" s="121"/>
      <c r="D103" s="121"/>
      <c r="E103" s="121"/>
      <c r="F103" s="121"/>
      <c r="G103" s="121"/>
      <c r="I103" s="78" t="s">
        <v>100</v>
      </c>
      <c r="J103" s="78"/>
      <c r="K103" s="78"/>
      <c r="L103" s="78"/>
      <c r="M103" s="78"/>
      <c r="N103" s="78"/>
      <c r="O103" s="78"/>
      <c r="P103" s="78"/>
      <c r="Q103" s="78"/>
      <c r="R103" s="78"/>
      <c r="S103" s="78"/>
    </row>
    <row r="104" spans="2:20" ht="16.8" customHeight="1" x14ac:dyDescent="0.3">
      <c r="B104" s="119" t="s">
        <v>103</v>
      </c>
      <c r="C104" s="119"/>
      <c r="D104" s="119"/>
      <c r="E104" s="119"/>
      <c r="F104" s="119"/>
      <c r="G104" s="119"/>
      <c r="I104" s="78" t="s">
        <v>100</v>
      </c>
      <c r="J104" s="88"/>
      <c r="K104" s="88"/>
      <c r="L104" s="88"/>
      <c r="M104" s="88"/>
      <c r="N104" s="88"/>
      <c r="O104" s="88"/>
      <c r="P104" s="88"/>
      <c r="Q104" s="88"/>
      <c r="R104" s="88"/>
      <c r="S104" s="88"/>
      <c r="T104" s="88"/>
    </row>
    <row r="105" spans="2:20" ht="16.8" customHeight="1" x14ac:dyDescent="0.3"/>
    <row r="106" spans="2:20" ht="16.8" customHeight="1" x14ac:dyDescent="0.3"/>
    <row r="107" spans="2:20" ht="16.8" customHeight="1" x14ac:dyDescent="0.3"/>
    <row r="108" spans="2:20" ht="16.649999999999999" customHeight="1" x14ac:dyDescent="0.3">
      <c r="B108" s="120" t="s">
        <v>170</v>
      </c>
      <c r="C108" s="120"/>
      <c r="D108" s="120"/>
      <c r="E108" s="120"/>
      <c r="F108" s="120"/>
      <c r="G108" s="120"/>
      <c r="H108" s="120"/>
      <c r="I108" s="120"/>
      <c r="J108" s="120"/>
      <c r="K108" s="120"/>
      <c r="L108" s="120"/>
      <c r="M108" s="120"/>
      <c r="N108" s="120"/>
      <c r="O108" s="120"/>
      <c r="P108" s="120"/>
      <c r="Q108" s="120"/>
      <c r="R108" s="120"/>
      <c r="S108" s="120"/>
    </row>
    <row r="112" spans="2:20" ht="24" customHeight="1" x14ac:dyDescent="0.3"/>
    <row r="113" ht="16.8" customHeight="1" x14ac:dyDescent="0.3"/>
    <row r="114" ht="16.8" customHeight="1" x14ac:dyDescent="0.3"/>
    <row r="115" ht="16.8" customHeight="1" x14ac:dyDescent="0.3"/>
    <row r="116" ht="16.8" customHeight="1" x14ac:dyDescent="0.3"/>
    <row r="117" ht="16.8" customHeight="1" x14ac:dyDescent="0.3"/>
    <row r="122" ht="24" customHeight="1" x14ac:dyDescent="0.3"/>
    <row r="134" ht="16.2" customHeight="1" x14ac:dyDescent="0.3"/>
    <row r="139" ht="16.8" customHeight="1" x14ac:dyDescent="0.3"/>
    <row r="140" ht="24" customHeight="1" x14ac:dyDescent="0.3"/>
    <row r="144" ht="16.8" customHeight="1" x14ac:dyDescent="0.3"/>
    <row r="148" ht="24" customHeight="1" x14ac:dyDescent="0.3"/>
  </sheetData>
  <mergeCells count="95">
    <mergeCell ref="K46:L46"/>
    <mergeCell ref="K48:P48"/>
    <mergeCell ref="K45:O45"/>
    <mergeCell ref="B51:S58"/>
    <mergeCell ref="D83:K83"/>
    <mergeCell ref="N81:O81"/>
    <mergeCell ref="I81:M81"/>
    <mergeCell ref="P81:R81"/>
    <mergeCell ref="B83:C84"/>
    <mergeCell ref="D84:E84"/>
    <mergeCell ref="F84:G84"/>
    <mergeCell ref="H84:I84"/>
    <mergeCell ref="L83:S83"/>
    <mergeCell ref="M31:R31"/>
    <mergeCell ref="I31:L31"/>
    <mergeCell ref="B65:S68"/>
    <mergeCell ref="P71:S71"/>
    <mergeCell ref="H70:L70"/>
    <mergeCell ref="H71:L71"/>
    <mergeCell ref="M70:O70"/>
    <mergeCell ref="M71:O71"/>
    <mergeCell ref="P70:S70"/>
    <mergeCell ref="B70:G70"/>
    <mergeCell ref="B71:G71"/>
    <mergeCell ref="B60:S60"/>
    <mergeCell ref="B64:S64"/>
    <mergeCell ref="F45:J45"/>
    <mergeCell ref="F48:J48"/>
    <mergeCell ref="F46:G46"/>
    <mergeCell ref="C3:R3"/>
    <mergeCell ref="I9:R9"/>
    <mergeCell ref="I10:R10"/>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I11:R11"/>
    <mergeCell ref="I12:R12"/>
    <mergeCell ref="C19:G19"/>
    <mergeCell ref="C20:G20"/>
    <mergeCell ref="C21:G21"/>
    <mergeCell ref="I17:R17"/>
    <mergeCell ref="I18:R18"/>
    <mergeCell ref="I19:R19"/>
    <mergeCell ref="I20:R20"/>
    <mergeCell ref="C15:R15"/>
    <mergeCell ref="C17:G17"/>
    <mergeCell ref="I21:R21"/>
    <mergeCell ref="B99:S99"/>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B104:G104"/>
    <mergeCell ref="B108:S108"/>
    <mergeCell ref="B101:G101"/>
    <mergeCell ref="B102:G102"/>
    <mergeCell ref="B103:G103"/>
    <mergeCell ref="B85:C85"/>
    <mergeCell ref="D85:E85"/>
    <mergeCell ref="F85:G85"/>
    <mergeCell ref="H85:I85"/>
    <mergeCell ref="J85:K85"/>
    <mergeCell ref="L85:M85"/>
    <mergeCell ref="J84:K84"/>
    <mergeCell ref="N84:O84"/>
    <mergeCell ref="P84:R84"/>
    <mergeCell ref="L84:M84"/>
    <mergeCell ref="N85:O85"/>
    <mergeCell ref="P85:R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2024-08-01T11:04:45Z</cp:lastPrinted>
  <dcterms:created xsi:type="dcterms:W3CDTF">2012-07-25T22:15:54Z</dcterms:created>
  <dcterms:modified xsi:type="dcterms:W3CDTF">2026-05-05T01:17:47Z</dcterms:modified>
</cp:coreProperties>
</file>