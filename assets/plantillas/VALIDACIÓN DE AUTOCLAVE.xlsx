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C77D3E9F-EFBF-41DC-A4C6-F51D45550DF2}" xr6:coauthVersionLast="47" xr6:coauthVersionMax="47" xr10:uidLastSave="{00000000-0000-0000-0000-000000000000}"/>
  <bookViews>
    <workbookView xWindow="-108" yWindow="-108" windowWidth="23256" windowHeight="12456" activeTab="4" xr2:uid="{00000000-000D-0000-FFFF-FFFF00000000}"/>
  </bookViews>
  <sheets>
    <sheet name="INFORMACIÓN" sheetId="23" r:id="rId1"/>
    <sheet name="Redondeo" sheetId="29" state="hidden" r:id="rId2"/>
    <sheet name="INCERTIDUMBRE" sheetId="21" r:id="rId3"/>
    <sheet name="MEDIDA" sheetId="20" r:id="rId4"/>
    <sheet name="CERTIFICADO " sheetId="32" r:id="rId5"/>
    <sheet name="Hoja1" sheetId="33" r:id="rId6"/>
  </sheets>
  <externalReferences>
    <externalReference r:id="rId7"/>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752" i="32" l="1"/>
  <c r="K749" i="32"/>
  <c r="K597" i="32"/>
  <c r="K594" i="32"/>
  <c r="K585" i="32"/>
  <c r="I591" i="32" s="1"/>
  <c r="K582" i="32"/>
  <c r="I588" i="32" s="1"/>
  <c r="K764" i="32"/>
  <c r="K761" i="32"/>
  <c r="I758" i="32"/>
  <c r="I755" i="32"/>
  <c r="O752" i="32"/>
  <c r="O749" i="32"/>
  <c r="G743" i="32"/>
  <c r="G742" i="32"/>
  <c r="G741" i="32"/>
  <c r="G740" i="32"/>
  <c r="K391" i="32"/>
  <c r="K388" i="32"/>
  <c r="I385" i="32"/>
  <c r="I382" i="32"/>
  <c r="O379" i="32"/>
  <c r="O376" i="32"/>
  <c r="G368" i="32"/>
  <c r="G369" i="32"/>
  <c r="G370" i="32"/>
  <c r="G367" i="32"/>
  <c r="B4" i="33"/>
  <c r="B5" i="33" s="1"/>
  <c r="B6" i="33" s="1"/>
  <c r="B7" i="33" s="1"/>
  <c r="B8" i="33" s="1"/>
  <c r="B9" i="33" s="1"/>
  <c r="B10" i="33" s="1"/>
  <c r="B11" i="33" s="1"/>
  <c r="B12" i="33" s="1"/>
  <c r="B13" i="33" s="1"/>
  <c r="B14" i="33" s="1"/>
  <c r="B15" i="33" s="1"/>
  <c r="B16" i="33" s="1"/>
  <c r="B17" i="33" s="1"/>
  <c r="B18" i="33" s="1"/>
  <c r="B19" i="33" s="1"/>
  <c r="B20" i="33" s="1"/>
  <c r="B21" i="33" s="1"/>
  <c r="B22" i="33" s="1"/>
  <c r="B23" i="33" s="1"/>
  <c r="B24" i="33" s="1"/>
  <c r="B25" i="33" s="1"/>
  <c r="B26" i="33" s="1"/>
  <c r="B27" i="33" s="1"/>
  <c r="B28" i="33" s="1"/>
  <c r="B29" i="33" s="1"/>
  <c r="B30" i="33" s="1"/>
  <c r="B31" i="33" s="1"/>
  <c r="B32" i="33" s="1"/>
  <c r="B33" i="33" s="1"/>
  <c r="B34" i="33" s="1"/>
  <c r="B35" i="33" s="1"/>
  <c r="B36" i="33" s="1"/>
  <c r="B37" i="33" s="1"/>
  <c r="B38" i="33" s="1"/>
  <c r="B39" i="33" s="1"/>
  <c r="B40" i="33" s="1"/>
  <c r="B41" i="33" s="1"/>
  <c r="B42" i="33" s="1"/>
  <c r="B43" i="33" s="1"/>
  <c r="B44" i="33" s="1"/>
  <c r="B45" i="33" s="1"/>
  <c r="B46" i="33" s="1"/>
  <c r="B3" i="33"/>
  <c r="O582" i="32" l="1"/>
  <c r="O585" i="32"/>
  <c r="N46" i="32"/>
  <c r="I46" i="32"/>
  <c r="K46" i="32"/>
  <c r="F46" i="32"/>
  <c r="M32" i="32"/>
  <c r="M31" i="32"/>
  <c r="I21" i="32"/>
  <c r="I20" i="32"/>
  <c r="I19" i="32"/>
  <c r="I18" i="32"/>
  <c r="I17" i="32"/>
  <c r="I13" i="32"/>
  <c r="I12" i="32"/>
  <c r="I11" i="32"/>
  <c r="I10" i="32"/>
  <c r="I9" i="32"/>
  <c r="I8" i="32"/>
  <c r="I7" i="32"/>
  <c r="I6" i="32"/>
  <c r="I5" i="32"/>
  <c r="R1" i="32"/>
  <c r="B10" i="23"/>
  <c r="B9" i="23"/>
  <c r="K219" i="32" l="1"/>
  <c r="G219" i="32"/>
  <c r="C219" i="32"/>
  <c r="O219" i="32" s="1"/>
  <c r="K216" i="32"/>
  <c r="G216" i="32"/>
  <c r="C216" i="32"/>
  <c r="O216" i="32" s="1"/>
  <c r="C225" i="32" l="1"/>
  <c r="I225" i="32" s="1"/>
  <c r="G231" i="32"/>
  <c r="C231" i="32"/>
  <c r="C222" i="32"/>
  <c r="I222" i="32" s="1"/>
  <c r="G228" i="32"/>
  <c r="C228" i="32"/>
  <c r="K231" i="32" l="1"/>
  <c r="K228" i="32"/>
  <c r="R38" i="32"/>
  <c r="G6" i="21"/>
  <c r="G7" i="21"/>
  <c r="G8" i="21"/>
  <c r="G9" i="21"/>
  <c r="G10" i="21"/>
  <c r="G11" i="21"/>
  <c r="G5" i="21"/>
  <c r="E6" i="21"/>
  <c r="E7" i="21"/>
  <c r="E8" i="21"/>
  <c r="E9" i="21"/>
  <c r="E10" i="21"/>
  <c r="E11" i="21"/>
  <c r="E5" i="21"/>
  <c r="D6" i="21"/>
  <c r="D7" i="21"/>
  <c r="D8" i="21"/>
  <c r="D9" i="21"/>
  <c r="D10" i="21"/>
  <c r="D11" i="21"/>
  <c r="D5" i="21"/>
  <c r="O38" i="32"/>
  <c r="O75" i="32"/>
  <c r="O114" i="32" s="1"/>
  <c r="O156" i="32" s="1"/>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I5" i="21"/>
  <c r="B5" i="21"/>
  <c r="N3" i="21"/>
  <c r="B7" i="21"/>
  <c r="B8" i="21"/>
  <c r="B9" i="21"/>
  <c r="B10" i="21"/>
  <c r="B11" i="21"/>
  <c r="B6" i="21"/>
  <c r="E12" i="21"/>
  <c r="F12" i="21"/>
  <c r="G12" i="21"/>
  <c r="H12" i="21"/>
  <c r="D12" i="21"/>
  <c r="F164" i="29"/>
  <c r="G163" i="29"/>
  <c r="H163" i="29"/>
  <c r="E166" i="29"/>
  <c r="I166" i="29"/>
  <c r="I406" i="29"/>
  <c r="J406" i="29"/>
  <c r="F364" i="29"/>
  <c r="G363" i="29"/>
  <c r="H363" i="29"/>
  <c r="E366" i="29"/>
  <c r="G403" i="29"/>
  <c r="H403" i="29"/>
  <c r="E406" i="29"/>
  <c r="F404" i="29"/>
  <c r="J166" i="29"/>
  <c r="H166" i="29"/>
  <c r="E167" i="29"/>
  <c r="E168" i="29"/>
  <c r="F166" i="29"/>
  <c r="F444" i="29"/>
  <c r="G443" i="29"/>
  <c r="H443" i="29"/>
  <c r="J366" i="29"/>
  <c r="D324" i="29"/>
  <c r="G329" i="29"/>
  <c r="I326" i="29"/>
  <c r="E332" i="29"/>
  <c r="F332" i="29"/>
  <c r="G332" i="29"/>
  <c r="L326" i="29"/>
  <c r="E323" i="29"/>
  <c r="F323" i="29"/>
  <c r="L327" i="29"/>
  <c r="H5" i="21"/>
  <c r="C5" i="21"/>
  <c r="H406" i="29"/>
  <c r="F406" i="29"/>
  <c r="E407" i="29"/>
  <c r="E408" i="29"/>
  <c r="F169" i="29"/>
  <c r="F167" i="29"/>
  <c r="M166" i="29"/>
  <c r="C172" i="29"/>
  <c r="J163" i="29"/>
  <c r="F366" i="29"/>
  <c r="E367" i="29"/>
  <c r="E368" i="29"/>
  <c r="H326" i="29"/>
  <c r="J326" i="29"/>
  <c r="F324" i="29"/>
  <c r="G323" i="29"/>
  <c r="H323" i="29"/>
  <c r="E326" i="29"/>
  <c r="J5" i="21"/>
  <c r="K5" i="21" s="1"/>
  <c r="L5" i="21" s="1"/>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I334" i="29"/>
  <c r="J334" i="29"/>
  <c r="E335" i="29"/>
  <c r="E336" i="29"/>
  <c r="M334" i="29"/>
  <c r="C340" i="29"/>
  <c r="F334"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F337" i="29"/>
  <c r="F335" i="29"/>
  <c r="G345" i="29"/>
  <c r="E342" i="29"/>
  <c r="E348" i="29"/>
  <c r="F348" i="29"/>
  <c r="G348" i="29"/>
  <c r="L342" i="29"/>
  <c r="L343" i="29"/>
  <c r="G342" i="29"/>
  <c r="H345" i="29"/>
  <c r="H422" i="29"/>
  <c r="J422" i="29"/>
  <c r="H190" i="29"/>
  <c r="D364" i="29"/>
  <c r="C388" i="29"/>
  <c r="F385" i="29"/>
  <c r="F383" i="29"/>
  <c r="F423" i="29"/>
  <c r="F425" i="29"/>
  <c r="D404" i="29"/>
  <c r="C428" i="29"/>
  <c r="E191" i="29"/>
  <c r="E192" i="29"/>
  <c r="M190" i="29"/>
  <c r="C196" i="29"/>
  <c r="F190" i="29"/>
  <c r="H382" i="29"/>
  <c r="J382" i="29"/>
  <c r="F342" i="29"/>
  <c r="E343" i="29"/>
  <c r="E344" i="29"/>
  <c r="M342" i="29"/>
  <c r="C348" i="29"/>
  <c r="I342" i="29"/>
  <c r="J34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H342" i="29"/>
  <c r="L350" i="29"/>
  <c r="E350" i="29"/>
  <c r="G350" i="29"/>
  <c r="H353" i="29"/>
  <c r="G353" i="29"/>
  <c r="L351" i="29"/>
  <c r="E356" i="29"/>
  <c r="F356" i="29"/>
  <c r="G356" i="29"/>
  <c r="F345" i="29"/>
  <c r="F343" i="29"/>
  <c r="F430" i="29"/>
  <c r="E431" i="29"/>
  <c r="E432" i="29"/>
  <c r="M430" i="29"/>
  <c r="C436" i="29"/>
  <c r="H390" i="29"/>
  <c r="H201" i="29"/>
  <c r="I198" i="29"/>
  <c r="F198" i="29"/>
  <c r="E391" i="29"/>
  <c r="E392" i="29"/>
  <c r="M390" i="29"/>
  <c r="C396" i="29"/>
  <c r="F390" i="29"/>
  <c r="I430" i="29"/>
  <c r="J430" i="29"/>
  <c r="I350" i="29"/>
  <c r="J350" i="29"/>
  <c r="E351" i="29"/>
  <c r="E352" i="29"/>
  <c r="M350" i="29"/>
  <c r="C356" i="29"/>
  <c r="F350"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350" i="29"/>
  <c r="F353" i="29"/>
  <c r="F351" i="29"/>
  <c r="G358" i="29"/>
  <c r="L359" i="29"/>
  <c r="G361" i="29"/>
  <c r="L358" i="29"/>
  <c r="E358" i="29"/>
  <c r="E359" i="29"/>
  <c r="E360" i="29"/>
  <c r="M358" i="29"/>
  <c r="H441" i="29"/>
  <c r="F438" i="29"/>
  <c r="M438" i="29"/>
  <c r="F398" i="29"/>
  <c r="H401" i="29"/>
  <c r="I398" i="29"/>
  <c r="I438" i="29"/>
  <c r="J438" i="29"/>
  <c r="H361" i="29"/>
  <c r="I358" i="29"/>
  <c r="F358" i="29"/>
  <c r="J398" i="29"/>
  <c r="H398" i="29"/>
  <c r="F401" i="29"/>
  <c r="F399" i="29"/>
  <c r="F441" i="29"/>
  <c r="F439" i="29"/>
  <c r="H438" i="29"/>
  <c r="J358" i="29"/>
  <c r="H358" i="29"/>
  <c r="F359" i="29"/>
  <c r="F361" i="29"/>
  <c r="O199" i="32" l="1"/>
  <c r="M5" i="21"/>
  <c r="C3" i="29" s="1"/>
  <c r="R75" i="32"/>
  <c r="R114" i="32" s="1"/>
  <c r="R156" i="32" s="1"/>
  <c r="I11" i="21"/>
  <c r="I10" i="21"/>
  <c r="I9" i="21"/>
  <c r="I8" i="21"/>
  <c r="I7" i="21"/>
  <c r="I6" i="21"/>
  <c r="O237" i="32" l="1"/>
  <c r="O274" i="32" s="1"/>
  <c r="O317" i="32" s="1"/>
  <c r="O360" i="32" s="1"/>
  <c r="R199" i="32"/>
  <c r="E11" i="29"/>
  <c r="F11" i="29" s="1"/>
  <c r="G11" i="29" s="1"/>
  <c r="L5" i="29"/>
  <c r="E2" i="29"/>
  <c r="F2" i="29" s="1"/>
  <c r="D3" i="29"/>
  <c r="N5" i="21" s="1"/>
  <c r="G8" i="29"/>
  <c r="L6" i="29"/>
  <c r="G5" i="29"/>
  <c r="H8" i="29" s="1"/>
  <c r="C6" i="21"/>
  <c r="H6" i="21"/>
  <c r="J6" i="21" s="1"/>
  <c r="H11" i="21"/>
  <c r="J11" i="21" s="1"/>
  <c r="C11" i="21"/>
  <c r="H10" i="21"/>
  <c r="J10" i="21" s="1"/>
  <c r="K10" i="21" s="1"/>
  <c r="L10" i="21" s="1"/>
  <c r="C10" i="21"/>
  <c r="H9" i="21"/>
  <c r="J9" i="21" s="1"/>
  <c r="C9" i="21"/>
  <c r="H8" i="21"/>
  <c r="J8" i="21" s="1"/>
  <c r="C8" i="21"/>
  <c r="C7" i="21"/>
  <c r="H7" i="21"/>
  <c r="J7" i="21" s="1"/>
  <c r="K7" i="21" s="1"/>
  <c r="L7" i="21" s="1"/>
  <c r="O399" i="32" l="1"/>
  <c r="O435" i="32" s="1"/>
  <c r="O478" i="32" s="1"/>
  <c r="R237" i="32"/>
  <c r="R274" i="32" s="1"/>
  <c r="R317" i="32" s="1"/>
  <c r="R360" i="32" s="1"/>
  <c r="I5" i="29"/>
  <c r="J5" i="29" s="1"/>
  <c r="F3" i="29"/>
  <c r="G2" i="29"/>
  <c r="H2" i="29" s="1"/>
  <c r="E5" i="29" s="1"/>
  <c r="H5" i="29"/>
  <c r="K11" i="21"/>
  <c r="L11" i="21" s="1"/>
  <c r="M10" i="21"/>
  <c r="K9" i="21"/>
  <c r="L9" i="21" s="1"/>
  <c r="K8" i="21"/>
  <c r="L8" i="21" s="1"/>
  <c r="M7" i="21"/>
  <c r="K6" i="21"/>
  <c r="L6" i="21" s="1"/>
  <c r="O564" i="32" l="1"/>
  <c r="O607" i="32" s="1"/>
  <c r="O649" i="32" s="1"/>
  <c r="O692" i="32" s="1"/>
  <c r="O735" i="32" s="1"/>
  <c r="O778" i="32" s="1"/>
  <c r="O820" i="32" s="1"/>
  <c r="O863" i="32" s="1"/>
  <c r="O521" i="32"/>
  <c r="R399" i="32"/>
  <c r="R435" i="32" s="1"/>
  <c r="R478" i="32" s="1"/>
  <c r="F5" i="29"/>
  <c r="E6" i="29"/>
  <c r="E7" i="29" s="1"/>
  <c r="M11" i="21"/>
  <c r="C244" i="29"/>
  <c r="M9" i="21"/>
  <c r="M8" i="21"/>
  <c r="C83" i="29"/>
  <c r="M6" i="21"/>
  <c r="R564" i="32" l="1"/>
  <c r="R607" i="32" s="1"/>
  <c r="R649" i="32" s="1"/>
  <c r="R692" i="32" s="1"/>
  <c r="R735" i="32" s="1"/>
  <c r="R778" i="32" s="1"/>
  <c r="R820" i="32" s="1"/>
  <c r="R863" i="32" s="1"/>
  <c r="R521" i="32"/>
  <c r="M5" i="29"/>
  <c r="C11" i="29" s="1"/>
  <c r="J2" i="29"/>
  <c r="F8" i="29"/>
  <c r="F6" i="29"/>
  <c r="C284" i="29"/>
  <c r="E252" i="29"/>
  <c r="F252" i="29" s="1"/>
  <c r="G252" i="29" s="1"/>
  <c r="L247" i="29"/>
  <c r="G249" i="29"/>
  <c r="E243" i="29"/>
  <c r="F243" i="29" s="1"/>
  <c r="L246" i="29"/>
  <c r="G246" i="29"/>
  <c r="H249" i="29" s="1"/>
  <c r="C204" i="29"/>
  <c r="C124" i="29"/>
  <c r="G85" i="29"/>
  <c r="H88" i="29" s="1"/>
  <c r="L86" i="29"/>
  <c r="E91" i="29"/>
  <c r="F91" i="29" s="1"/>
  <c r="G91" i="29" s="1"/>
  <c r="G88" i="29"/>
  <c r="L85" i="29"/>
  <c r="E82" i="29"/>
  <c r="F82" i="29" s="1"/>
  <c r="C43" i="29"/>
  <c r="L14" i="29" l="1"/>
  <c r="G16" i="29"/>
  <c r="L13" i="29"/>
  <c r="G13" i="29"/>
  <c r="H16" i="29" s="1"/>
  <c r="E13" i="29"/>
  <c r="E19" i="29"/>
  <c r="F19" i="29" s="1"/>
  <c r="G19" i="29" s="1"/>
  <c r="G289" i="29"/>
  <c r="E292" i="29"/>
  <c r="F292" i="29" s="1"/>
  <c r="G292" i="29" s="1"/>
  <c r="E283" i="29"/>
  <c r="F283" i="29" s="1"/>
  <c r="L286" i="29"/>
  <c r="G286" i="29"/>
  <c r="H289" i="29" s="1"/>
  <c r="L287" i="29"/>
  <c r="I246" i="29"/>
  <c r="J246" i="29" s="1"/>
  <c r="F244" i="29"/>
  <c r="G243" i="29"/>
  <c r="H243" i="29" s="1"/>
  <c r="E246" i="29" s="1"/>
  <c r="G209" i="29"/>
  <c r="E212" i="29"/>
  <c r="F212" i="29" s="1"/>
  <c r="G212" i="29" s="1"/>
  <c r="L207" i="29"/>
  <c r="E203" i="29"/>
  <c r="F203" i="29" s="1"/>
  <c r="L206" i="29"/>
  <c r="G206" i="29"/>
  <c r="H209" i="29" s="1"/>
  <c r="G129" i="29"/>
  <c r="G126" i="29"/>
  <c r="H129" i="29" s="1"/>
  <c r="E132" i="29"/>
  <c r="F132" i="29" s="1"/>
  <c r="G132" i="29" s="1"/>
  <c r="E123" i="29"/>
  <c r="F123" i="29" s="1"/>
  <c r="L127" i="29"/>
  <c r="L126" i="29"/>
  <c r="I85" i="29"/>
  <c r="J85" i="29" s="1"/>
  <c r="G82" i="29"/>
  <c r="H82" i="29" s="1"/>
  <c r="E85" i="29" s="1"/>
  <c r="F83" i="29"/>
  <c r="E42" i="29"/>
  <c r="F42" i="29" s="1"/>
  <c r="E51" i="29"/>
  <c r="F51" i="29" s="1"/>
  <c r="G51" i="29" s="1"/>
  <c r="L46" i="29"/>
  <c r="L45" i="29"/>
  <c r="G45" i="29"/>
  <c r="H48" i="29" s="1"/>
  <c r="G48" i="29"/>
  <c r="F13" i="29" l="1"/>
  <c r="E14" i="29"/>
  <c r="E15" i="29" s="1"/>
  <c r="M13" i="29" s="1"/>
  <c r="C19" i="29" s="1"/>
  <c r="I13" i="29"/>
  <c r="J13" i="29" s="1"/>
  <c r="I45" i="29"/>
  <c r="J45" i="29" s="1"/>
  <c r="G283" i="29"/>
  <c r="H283" i="29" s="1"/>
  <c r="E286" i="29" s="1"/>
  <c r="F284" i="29"/>
  <c r="I286" i="29"/>
  <c r="H246" i="29"/>
  <c r="E247" i="29"/>
  <c r="E248" i="29" s="1"/>
  <c r="F246" i="29"/>
  <c r="F204" i="29"/>
  <c r="G203" i="29"/>
  <c r="H203" i="29" s="1"/>
  <c r="E206" i="29" s="1"/>
  <c r="I206" i="29"/>
  <c r="J206" i="29" s="1"/>
  <c r="G123" i="29"/>
  <c r="H123" i="29" s="1"/>
  <c r="E126" i="29" s="1"/>
  <c r="F124" i="29"/>
  <c r="I126" i="29"/>
  <c r="J126" i="29" s="1"/>
  <c r="H85" i="29"/>
  <c r="F85" i="29"/>
  <c r="E86" i="29"/>
  <c r="E87" i="29" s="1"/>
  <c r="F43" i="29"/>
  <c r="G42" i="29"/>
  <c r="H42" i="29" s="1"/>
  <c r="E45" i="29" s="1"/>
  <c r="G24" i="29" l="1"/>
  <c r="L22" i="29"/>
  <c r="E21" i="29"/>
  <c r="L21" i="29"/>
  <c r="E27" i="29"/>
  <c r="F27" i="29" s="1"/>
  <c r="G27" i="29" s="1"/>
  <c r="G21" i="29"/>
  <c r="H24" i="29" s="1"/>
  <c r="F16" i="29"/>
  <c r="F14" i="29"/>
  <c r="H13" i="29"/>
  <c r="H45" i="29"/>
  <c r="J286" i="29"/>
  <c r="H286" i="29"/>
  <c r="E287" i="29"/>
  <c r="E288" i="29" s="1"/>
  <c r="F286" i="29"/>
  <c r="F249" i="29"/>
  <c r="M246" i="29" s="1"/>
  <c r="C252" i="29" s="1"/>
  <c r="F247" i="29"/>
  <c r="H206" i="29"/>
  <c r="F206" i="29"/>
  <c r="E207" i="29"/>
  <c r="E208" i="29" s="1"/>
  <c r="H126" i="29"/>
  <c r="F126" i="29"/>
  <c r="E127" i="29"/>
  <c r="E128" i="29" s="1"/>
  <c r="F86" i="29"/>
  <c r="F88" i="29"/>
  <c r="M85" i="29"/>
  <c r="C91" i="29" s="1"/>
  <c r="J82" i="29"/>
  <c r="E46" i="29"/>
  <c r="E47" i="29" s="1"/>
  <c r="F45" i="29"/>
  <c r="E22" i="29" l="1"/>
  <c r="E23" i="29" s="1"/>
  <c r="M21" i="29" s="1"/>
  <c r="C27" i="29" s="1"/>
  <c r="F21" i="29"/>
  <c r="I21" i="29"/>
  <c r="J21" i="29" s="1"/>
  <c r="J243" i="29"/>
  <c r="F289" i="29"/>
  <c r="J283" i="29" s="1"/>
  <c r="F287" i="29"/>
  <c r="G254" i="29"/>
  <c r="H257" i="29" s="1"/>
  <c r="E254" i="29"/>
  <c r="L254" i="29"/>
  <c r="E260" i="29"/>
  <c r="F260" i="29" s="1"/>
  <c r="G260" i="29" s="1"/>
  <c r="L255" i="29"/>
  <c r="G257" i="29"/>
  <c r="F209" i="29"/>
  <c r="M206" i="29" s="1"/>
  <c r="C212" i="29" s="1"/>
  <c r="F207" i="29"/>
  <c r="F129" i="29"/>
  <c r="M126" i="29" s="1"/>
  <c r="C132" i="29" s="1"/>
  <c r="F127" i="29"/>
  <c r="G93" i="29"/>
  <c r="H96" i="29" s="1"/>
  <c r="G96" i="29"/>
  <c r="E99" i="29"/>
  <c r="F99" i="29" s="1"/>
  <c r="G99" i="29" s="1"/>
  <c r="E93" i="29"/>
  <c r="L93" i="29"/>
  <c r="L94" i="29"/>
  <c r="F46" i="29"/>
  <c r="F48" i="29"/>
  <c r="M45" i="29" s="1"/>
  <c r="C51" i="29" s="1"/>
  <c r="H21" i="29" l="1"/>
  <c r="F22" i="29"/>
  <c r="F24" i="29"/>
  <c r="E35" i="29"/>
  <c r="F35" i="29" s="1"/>
  <c r="G35" i="29" s="1"/>
  <c r="E29" i="29"/>
  <c r="L29" i="29"/>
  <c r="G29" i="29"/>
  <c r="H32" i="29" s="1"/>
  <c r="G32" i="29"/>
  <c r="L30" i="29"/>
  <c r="M286" i="29"/>
  <c r="C292" i="29" s="1"/>
  <c r="E294" i="29" s="1"/>
  <c r="J42" i="29"/>
  <c r="I254" i="29"/>
  <c r="J254" i="29" s="1"/>
  <c r="F254" i="29"/>
  <c r="E255" i="29"/>
  <c r="E256" i="29" s="1"/>
  <c r="M254" i="29" s="1"/>
  <c r="C260" i="29" s="1"/>
  <c r="G214" i="29"/>
  <c r="H217" i="29" s="1"/>
  <c r="L215" i="29"/>
  <c r="E214" i="29"/>
  <c r="L214" i="29"/>
  <c r="E220" i="29"/>
  <c r="F220" i="29" s="1"/>
  <c r="G220" i="29" s="1"/>
  <c r="G217" i="29"/>
  <c r="J203" i="29"/>
  <c r="E140" i="29"/>
  <c r="F140" i="29" s="1"/>
  <c r="G140" i="29" s="1"/>
  <c r="G137" i="29"/>
  <c r="E134" i="29"/>
  <c r="L134" i="29"/>
  <c r="G134" i="29"/>
  <c r="H137" i="29" s="1"/>
  <c r="L135" i="29"/>
  <c r="J123" i="29"/>
  <c r="F93" i="29"/>
  <c r="E94" i="29"/>
  <c r="E95" i="29" s="1"/>
  <c r="I93" i="29"/>
  <c r="E53" i="29"/>
  <c r="L53" i="29"/>
  <c r="G56" i="29"/>
  <c r="G53" i="29"/>
  <c r="H56" i="29" s="1"/>
  <c r="E59" i="29"/>
  <c r="F59" i="29" s="1"/>
  <c r="G59" i="29" s="1"/>
  <c r="L54" i="29"/>
  <c r="E30" i="29" l="1"/>
  <c r="E31" i="29" s="1"/>
  <c r="M29" i="29" s="1"/>
  <c r="C35" i="29" s="1"/>
  <c r="F29" i="29"/>
  <c r="I29" i="29"/>
  <c r="J29" i="29" s="1"/>
  <c r="E300" i="29"/>
  <c r="F300" i="29" s="1"/>
  <c r="G300" i="29" s="1"/>
  <c r="G294" i="29"/>
  <c r="H297" i="29" s="1"/>
  <c r="G297" i="29"/>
  <c r="L295" i="29"/>
  <c r="L294" i="29"/>
  <c r="I214" i="29"/>
  <c r="J214" i="29" s="1"/>
  <c r="E295" i="29"/>
  <c r="E296" i="29" s="1"/>
  <c r="F294" i="29"/>
  <c r="H254" i="29"/>
  <c r="E262" i="29"/>
  <c r="L262" i="29"/>
  <c r="G262" i="29"/>
  <c r="H265" i="29" s="1"/>
  <c r="E268" i="29"/>
  <c r="F268" i="29" s="1"/>
  <c r="G268" i="29" s="1"/>
  <c r="L263" i="29"/>
  <c r="G265" i="29"/>
  <c r="F255" i="29"/>
  <c r="F257" i="29"/>
  <c r="E215" i="29"/>
  <c r="E216" i="29" s="1"/>
  <c r="F214" i="29"/>
  <c r="E135" i="29"/>
  <c r="E136" i="29" s="1"/>
  <c r="F134" i="29"/>
  <c r="I134" i="29"/>
  <c r="J134" i="29" s="1"/>
  <c r="J93" i="29"/>
  <c r="H93" i="29"/>
  <c r="F96" i="29"/>
  <c r="M93" i="29" s="1"/>
  <c r="C99" i="29" s="1"/>
  <c r="F94" i="29"/>
  <c r="I53" i="29"/>
  <c r="J53" i="29" s="1"/>
  <c r="E54" i="29"/>
  <c r="E55" i="29" s="1"/>
  <c r="F53" i="29"/>
  <c r="H29" i="29" l="1"/>
  <c r="F30" i="29"/>
  <c r="F32" i="29"/>
  <c r="G37" i="29"/>
  <c r="L37" i="29"/>
  <c r="L38" i="29"/>
  <c r="G40" i="29"/>
  <c r="E37" i="29"/>
  <c r="E38" i="29" s="1"/>
  <c r="E39" i="29" s="1"/>
  <c r="M37" i="29" s="1"/>
  <c r="I294" i="29"/>
  <c r="J294" i="29" s="1"/>
  <c r="H214" i="29"/>
  <c r="F295" i="29"/>
  <c r="F297" i="29"/>
  <c r="M294" i="29" s="1"/>
  <c r="C300" i="29" s="1"/>
  <c r="I262" i="29"/>
  <c r="J262" i="29" s="1"/>
  <c r="E263" i="29"/>
  <c r="E264" i="29" s="1"/>
  <c r="F262" i="29"/>
  <c r="F215" i="29"/>
  <c r="F217" i="29"/>
  <c r="M214" i="29" s="1"/>
  <c r="C220" i="29" s="1"/>
  <c r="H134" i="29"/>
  <c r="F137" i="29"/>
  <c r="M134" i="29" s="1"/>
  <c r="C140" i="29" s="1"/>
  <c r="F135" i="29"/>
  <c r="G104" i="29"/>
  <c r="L101" i="29"/>
  <c r="G101" i="29"/>
  <c r="H104" i="29" s="1"/>
  <c r="L102" i="29"/>
  <c r="E107" i="29"/>
  <c r="F107" i="29" s="1"/>
  <c r="G107" i="29" s="1"/>
  <c r="E101" i="29"/>
  <c r="E102" i="29" s="1"/>
  <c r="E103" i="29" s="1"/>
  <c r="H53" i="29"/>
  <c r="F56" i="29"/>
  <c r="M53" i="29" s="1"/>
  <c r="C59" i="29" s="1"/>
  <c r="F54" i="29"/>
  <c r="F37" i="29" l="1"/>
  <c r="H40" i="29"/>
  <c r="I37" i="29" s="1"/>
  <c r="H294" i="29"/>
  <c r="E222" i="29"/>
  <c r="E223" i="29" s="1"/>
  <c r="E224" i="29" s="1"/>
  <c r="G222" i="29"/>
  <c r="H225" i="29" s="1"/>
  <c r="G225" i="29"/>
  <c r="L222" i="29"/>
  <c r="L223" i="29"/>
  <c r="E228" i="29"/>
  <c r="F228" i="29" s="1"/>
  <c r="G228" i="29" s="1"/>
  <c r="E148" i="29"/>
  <c r="F148" i="29" s="1"/>
  <c r="G148" i="29" s="1"/>
  <c r="G145" i="29"/>
  <c r="G142" i="29"/>
  <c r="H145" i="29" s="1"/>
  <c r="E142" i="29"/>
  <c r="F142" i="29" s="1"/>
  <c r="L142" i="29"/>
  <c r="L143" i="29"/>
  <c r="E61" i="29"/>
  <c r="F61" i="29" s="1"/>
  <c r="E67" i="29"/>
  <c r="F67" i="29" s="1"/>
  <c r="G67" i="29" s="1"/>
  <c r="L61" i="29"/>
  <c r="G61" i="29"/>
  <c r="H64" i="29" s="1"/>
  <c r="L62" i="29"/>
  <c r="G64" i="29"/>
  <c r="M101" i="29"/>
  <c r="C107" i="29" s="1"/>
  <c r="G305" i="29"/>
  <c r="E302" i="29"/>
  <c r="F302" i="29" s="1"/>
  <c r="E308" i="29"/>
  <c r="F308" i="29" s="1"/>
  <c r="G308" i="29" s="1"/>
  <c r="G302" i="29"/>
  <c r="H305" i="29" s="1"/>
  <c r="I302" i="29" s="1"/>
  <c r="L302" i="29"/>
  <c r="L303" i="29"/>
  <c r="F263" i="29"/>
  <c r="F265" i="29"/>
  <c r="M262" i="29" s="1"/>
  <c r="C268" i="29" s="1"/>
  <c r="H262" i="29"/>
  <c r="F101" i="29"/>
  <c r="F102" i="29" s="1"/>
  <c r="I101" i="29"/>
  <c r="J101" i="29" s="1"/>
  <c r="J37" i="29" l="1"/>
  <c r="H37" i="29"/>
  <c r="F222" i="29"/>
  <c r="F38" i="29"/>
  <c r="F40" i="29"/>
  <c r="E143" i="29"/>
  <c r="E144" i="29" s="1"/>
  <c r="I142" i="29"/>
  <c r="J142" i="29" s="1"/>
  <c r="E62" i="29"/>
  <c r="E63" i="29" s="1"/>
  <c r="I61" i="29"/>
  <c r="J61" i="29" s="1"/>
  <c r="I222" i="29"/>
  <c r="J222" i="29" s="1"/>
  <c r="E303" i="29"/>
  <c r="E304" i="29" s="1"/>
  <c r="G270" i="29"/>
  <c r="H273" i="29" s="1"/>
  <c r="L270" i="29"/>
  <c r="E270" i="29"/>
  <c r="F270" i="29" s="1"/>
  <c r="G273" i="29"/>
  <c r="E276" i="29"/>
  <c r="F276" i="29" s="1"/>
  <c r="G276" i="29" s="1"/>
  <c r="L271" i="29"/>
  <c r="F104" i="29"/>
  <c r="J302" i="29"/>
  <c r="H302" i="29"/>
  <c r="F305" i="29"/>
  <c r="F303" i="29"/>
  <c r="F223" i="29"/>
  <c r="F225" i="29"/>
  <c r="M222" i="29" s="1"/>
  <c r="F145" i="29"/>
  <c r="F143" i="29"/>
  <c r="H101" i="29"/>
  <c r="L109" i="29"/>
  <c r="L110" i="29"/>
  <c r="G112" i="29"/>
  <c r="E109" i="29"/>
  <c r="G109" i="29"/>
  <c r="H112" i="29" s="1"/>
  <c r="E115" i="29"/>
  <c r="F115" i="29" s="1"/>
  <c r="G115" i="29" s="1"/>
  <c r="F64" i="29"/>
  <c r="F62" i="29"/>
  <c r="H61" i="29"/>
  <c r="H222" i="29" l="1"/>
  <c r="M142" i="29"/>
  <c r="C148" i="29" s="1"/>
  <c r="G150" i="29" s="1"/>
  <c r="H153" i="29" s="1"/>
  <c r="H142" i="29"/>
  <c r="M61" i="29"/>
  <c r="C67" i="29" s="1"/>
  <c r="E69" i="29" s="1"/>
  <c r="I270" i="29"/>
  <c r="J270" i="29" s="1"/>
  <c r="M302" i="29"/>
  <c r="C308" i="29" s="1"/>
  <c r="G310" i="29" s="1"/>
  <c r="H313" i="29" s="1"/>
  <c r="E271" i="29"/>
  <c r="E272" i="29" s="1"/>
  <c r="M270" i="29" s="1"/>
  <c r="C276" i="29" s="1"/>
  <c r="H270" i="29"/>
  <c r="D244" i="29"/>
  <c r="N10" i="21" s="1"/>
  <c r="F273" i="29"/>
  <c r="F271" i="29"/>
  <c r="C228" i="29"/>
  <c r="L231" i="29" s="1"/>
  <c r="E110" i="29"/>
  <c r="E111" i="29" s="1"/>
  <c r="F109" i="29"/>
  <c r="I109" i="29"/>
  <c r="J109" i="29" s="1"/>
  <c r="E75" i="29" l="1"/>
  <c r="F75" i="29" s="1"/>
  <c r="G75" i="29" s="1"/>
  <c r="G69" i="29"/>
  <c r="H72" i="29" s="1"/>
  <c r="G72" i="29"/>
  <c r="L70" i="29"/>
  <c r="L69" i="29"/>
  <c r="L310" i="29"/>
  <c r="E310" i="29"/>
  <c r="F310" i="29" s="1"/>
  <c r="F313" i="29" s="1"/>
  <c r="E316" i="29"/>
  <c r="F316" i="29" s="1"/>
  <c r="G316" i="29" s="1"/>
  <c r="G313" i="29"/>
  <c r="I310" i="29" s="1"/>
  <c r="J310" i="29" s="1"/>
  <c r="E150" i="29"/>
  <c r="F150" i="29" s="1"/>
  <c r="L151" i="29"/>
  <c r="L150" i="29"/>
  <c r="E156" i="29"/>
  <c r="F156" i="29" s="1"/>
  <c r="G156" i="29" s="1"/>
  <c r="G153" i="29"/>
  <c r="I150" i="29" s="1"/>
  <c r="J150" i="29" s="1"/>
  <c r="L311" i="29"/>
  <c r="E236" i="29"/>
  <c r="F236" i="29" s="1"/>
  <c r="G236" i="29" s="1"/>
  <c r="L230" i="29"/>
  <c r="G233" i="29"/>
  <c r="E230" i="29"/>
  <c r="E231" i="29" s="1"/>
  <c r="E232" i="29" s="1"/>
  <c r="G230" i="29"/>
  <c r="H233" i="29" s="1"/>
  <c r="L279" i="29"/>
  <c r="G281" i="29"/>
  <c r="L278" i="29"/>
  <c r="E278" i="29"/>
  <c r="E279" i="29" s="1"/>
  <c r="E280" i="29" s="1"/>
  <c r="G278" i="29"/>
  <c r="F112" i="29"/>
  <c r="M109" i="29" s="1"/>
  <c r="F110" i="29"/>
  <c r="H109" i="29"/>
  <c r="I69" i="29"/>
  <c r="J69" i="29" s="1"/>
  <c r="F69" i="29"/>
  <c r="E70" i="29"/>
  <c r="E71" i="29" s="1"/>
  <c r="M69" i="29" s="1"/>
  <c r="E151" i="29" l="1"/>
  <c r="E152" i="29" s="1"/>
  <c r="M150" i="29" s="1"/>
  <c r="F311" i="29"/>
  <c r="E311" i="29"/>
  <c r="E312" i="29" s="1"/>
  <c r="M310" i="29" s="1"/>
  <c r="C316" i="29" s="1"/>
  <c r="E318" i="29" s="1"/>
  <c r="E319" i="29" s="1"/>
  <c r="E320" i="29" s="1"/>
  <c r="H310" i="29"/>
  <c r="F230" i="29"/>
  <c r="F233" i="29" s="1"/>
  <c r="M230" i="29" s="1"/>
  <c r="I230" i="29"/>
  <c r="J230" i="29" s="1"/>
  <c r="C115" i="29"/>
  <c r="E117" i="29" s="1"/>
  <c r="E118" i="29" s="1"/>
  <c r="E119" i="29" s="1"/>
  <c r="D83" i="29"/>
  <c r="N7" i="21" s="1"/>
  <c r="C75" i="29"/>
  <c r="L77" i="29" s="1"/>
  <c r="D43" i="29"/>
  <c r="N6" i="21" s="1"/>
  <c r="D284" i="29"/>
  <c r="N11" i="21" s="1"/>
  <c r="H281" i="29"/>
  <c r="I278" i="29" s="1"/>
  <c r="F278" i="29"/>
  <c r="F153" i="29"/>
  <c r="F151" i="29"/>
  <c r="H150" i="29"/>
  <c r="F72" i="29"/>
  <c r="F70" i="29"/>
  <c r="H69" i="29"/>
  <c r="C156" i="29" l="1"/>
  <c r="E158" i="29" s="1"/>
  <c r="E159" i="29" s="1"/>
  <c r="E160" i="29" s="1"/>
  <c r="D124" i="29"/>
  <c r="N8" i="21" s="1"/>
  <c r="G117" i="29"/>
  <c r="H120" i="29" s="1"/>
  <c r="L318" i="29"/>
  <c r="G120" i="29"/>
  <c r="L118" i="29"/>
  <c r="M117" i="29" s="1"/>
  <c r="L117" i="29"/>
  <c r="G80" i="29"/>
  <c r="L78" i="29"/>
  <c r="G77" i="29"/>
  <c r="H80" i="29" s="1"/>
  <c r="E77" i="29"/>
  <c r="E78" i="29" s="1"/>
  <c r="E79" i="29" s="1"/>
  <c r="G321" i="29"/>
  <c r="G318" i="29"/>
  <c r="F318" i="29" s="1"/>
  <c r="L319" i="29"/>
  <c r="H230" i="29"/>
  <c r="F231" i="29"/>
  <c r="C236" i="29"/>
  <c r="D204" i="29"/>
  <c r="N9" i="21" s="1"/>
  <c r="J278" i="29"/>
  <c r="H278" i="29"/>
  <c r="F281" i="29"/>
  <c r="M278" i="29" s="1"/>
  <c r="F279" i="29"/>
  <c r="F117" i="29"/>
  <c r="I77" i="29" l="1"/>
  <c r="J77" i="29" s="1"/>
  <c r="L158" i="29"/>
  <c r="L159" i="29"/>
  <c r="M158" i="29" s="1"/>
  <c r="G158" i="29"/>
  <c r="G161" i="29"/>
  <c r="I117" i="29"/>
  <c r="J117" i="29" s="1"/>
  <c r="M77" i="29"/>
  <c r="H321" i="29"/>
  <c r="I318" i="29" s="1"/>
  <c r="J318" i="29" s="1"/>
  <c r="F77" i="29"/>
  <c r="F78" i="29" s="1"/>
  <c r="L239" i="29"/>
  <c r="E238" i="29"/>
  <c r="E239" i="29" s="1"/>
  <c r="E240" i="29" s="1"/>
  <c r="G241" i="29"/>
  <c r="G238" i="29"/>
  <c r="L238" i="29"/>
  <c r="F319" i="29"/>
  <c r="F321" i="29"/>
  <c r="M318" i="29" s="1"/>
  <c r="F120" i="29"/>
  <c r="F118" i="29"/>
  <c r="H117" i="29" l="1"/>
  <c r="H77" i="29"/>
  <c r="H318" i="29"/>
  <c r="F158" i="29"/>
  <c r="H161" i="29"/>
  <c r="I158" i="29" s="1"/>
  <c r="J158" i="29" s="1"/>
  <c r="F80" i="29"/>
  <c r="M238" i="29"/>
  <c r="F238" i="29"/>
  <c r="H241" i="29"/>
  <c r="I238" i="29" s="1"/>
  <c r="H158" i="29" l="1"/>
  <c r="F161" i="29"/>
  <c r="F159" i="29"/>
  <c r="H238" i="29"/>
  <c r="J238" i="29"/>
  <c r="F239" i="29"/>
  <c r="F24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A5A3A74-B542-4C7C-88C7-1059EC5AA9BC}">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<sst xmlns="http://schemas.openxmlformats.org/spreadsheetml/2006/main" count="1249" uniqueCount="271">
  <si>
    <t>Incertidumbre Expandida</t>
  </si>
  <si>
    <t>Factor de cobertura (k)</t>
  </si>
  <si>
    <t>Veff</t>
  </si>
  <si>
    <t>Fecha de emisión:</t>
  </si>
  <si>
    <t>Fecha de calibración:</t>
  </si>
  <si>
    <t>Lugar de calibración:</t>
  </si>
  <si>
    <t>Ciudad:</t>
  </si>
  <si>
    <t>Dirección:</t>
  </si>
  <si>
    <t>Telefono:</t>
  </si>
  <si>
    <t>Nit:</t>
  </si>
  <si>
    <t>k</t>
  </si>
  <si>
    <t>Lectura instrumento</t>
  </si>
  <si>
    <t>δ(Pat)cal</t>
  </si>
  <si>
    <t>δ(Pat)der</t>
  </si>
  <si>
    <t>δ(Inst)res</t>
  </si>
  <si>
    <t>δ(Ins)hist</t>
  </si>
  <si>
    <t>correcciones debidas al Patrón,</t>
  </si>
  <si>
    <t>correcciones debidas al Instrumento</t>
  </si>
  <si>
    <t>u(rep)</t>
  </si>
  <si>
    <t>δ(Pat),int</t>
  </si>
  <si>
    <t>u(comb)</t>
  </si>
  <si>
    <t>±</t>
  </si>
  <si>
    <t>Promedio lecturas patrón</t>
  </si>
  <si>
    <t xml:space="preserve">INDCREDIUMBRE </t>
  </si>
  <si>
    <t>Digital</t>
  </si>
  <si>
    <t>Análogo</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</si>
  <si>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</si>
  <si>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</si>
  <si>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</si>
  <si>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</si>
  <si>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</si>
  <si>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</si>
  <si>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</si>
  <si>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</si>
  <si>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</si>
  <si>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</si>
  <si>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</si>
  <si>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</si>
  <si>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</si>
  <si>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</si>
  <si>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</si>
  <si>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</si>
  <si>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</si>
  <si>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</si>
  <si>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</si>
  <si>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</si>
  <si>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</si>
  <si>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</si>
  <si>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</si>
  <si>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</si>
  <si>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</si>
  <si>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</si>
  <si>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</si>
  <si>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</si>
  <si>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</si>
  <si>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</si>
  <si>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REVISÓ Y AUTORIZÓ:</t>
  </si>
  <si>
    <t>Solicitante:</t>
  </si>
  <si>
    <t>CERTIFICADO</t>
  </si>
  <si>
    <t>SERIE</t>
  </si>
  <si>
    <t>PATRÓN</t>
  </si>
  <si>
    <t>HUMEDAD RELATIVA (%HR)</t>
  </si>
  <si>
    <t>TEMPERATURA AMBIENTE (°C)</t>
  </si>
  <si>
    <t>DIRECTOR DE LABORATORIO</t>
  </si>
  <si>
    <t>ING. JOHAN SEBASTIÁN PÉREZ</t>
  </si>
  <si>
    <t>NÚMERO DE PÁGINAS:</t>
  </si>
  <si>
    <t>FECHA DE EMISIÓN:</t>
  </si>
  <si>
    <t>CIUDAD:</t>
  </si>
  <si>
    <t>DIRECCIÓN:</t>
  </si>
  <si>
    <t>TELÉFONO:</t>
  </si>
  <si>
    <t>NIT:</t>
  </si>
  <si>
    <t>NOMBRE:</t>
  </si>
  <si>
    <t>FECHA DE CALIBRACIÓN:</t>
  </si>
  <si>
    <t>FECHA DE RECEPCIÓN:</t>
  </si>
  <si>
    <t>ESTADO FÍSICO:</t>
  </si>
  <si>
    <t>UBICACIÓN:</t>
  </si>
  <si>
    <t>CÓDIGO INTERNO:</t>
  </si>
  <si>
    <t xml:space="preserve">SERIE: </t>
  </si>
  <si>
    <t>MODELO:</t>
  </si>
  <si>
    <t>MARCA:</t>
  </si>
  <si>
    <t>INSTRUMENTO:</t>
  </si>
  <si>
    <t>CERTIFICADO N°:</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</si>
  <si>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</si>
  <si>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</si>
  <si>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</si>
  <si>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</si>
  <si>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</si>
  <si>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</si>
  <si>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</si>
  <si>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</si>
  <si>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</si>
  <si>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</si>
  <si>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</si>
  <si>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</si>
  <si>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</si>
  <si>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 xml:space="preserve"> INCERTIDUMBRE DE MEDICIÓN</t>
  </si>
  <si>
    <t>PROCEDIMIENTO DE VALIDACIÓN</t>
  </si>
  <si>
    <t xml:space="preserve"> CONDICIONES AMBIENTALES</t>
  </si>
  <si>
    <t xml:space="preserve"> EQUIPO BAJO PRUEBA</t>
  </si>
  <si>
    <t xml:space="preserve"> DATOS DEL CLIENTE</t>
  </si>
  <si>
    <t xml:space="preserve"> TRAZABILIDAD </t>
  </si>
  <si>
    <t>1.  OBJETIVO</t>
  </si>
  <si>
    <t>2.  ALCANCE</t>
  </si>
  <si>
    <t>3. NORMATIVIDAD Y DOCUMENTACIÓN DE REFERENCIA</t>
  </si>
  <si>
    <t>4. CALIFICACIÓN DE INSTALACIÓN (IQ)</t>
  </si>
  <si>
    <t>Indicador de temperatura:</t>
  </si>
  <si>
    <t>Indicador de presión:</t>
  </si>
  <si>
    <t>Indicador de tiempo:</t>
  </si>
  <si>
    <t>No tiene</t>
  </si>
  <si>
    <t>4.1 CARACTERÍSTICAS DEL EQUIPO:</t>
  </si>
  <si>
    <t>Método de esterilización:</t>
  </si>
  <si>
    <t>Tensión de operación:</t>
  </si>
  <si>
    <t>Capacidad volumétrica:</t>
  </si>
  <si>
    <t>CRITERIO</t>
  </si>
  <si>
    <t>RESULTADO</t>
  </si>
  <si>
    <t>PASA</t>
  </si>
  <si>
    <t>FALLA</t>
  </si>
  <si>
    <t>El esterilizador se encuentra totalmente nivelado sobre una superficie plana.</t>
  </si>
  <si>
    <t>El indicador de presión se encuentra ubicado de manera visible.</t>
  </si>
  <si>
    <t>El esterilizador cuenta con válvula de drenaje y seguridad para eventos de sobrepresión.</t>
  </si>
  <si>
    <t>El cable de red se encuentra en buen estado, sin peladuras ni quiebres.</t>
  </si>
  <si>
    <t>El panel de control se encuentra debidamente instalado y operando en cada etapa del proceso.</t>
  </si>
  <si>
    <t>La compuerta, empaque y bisagras se encuentran debidamente instaladas, garantizando la hermeticidad adecuada para la operación y desempeño del equipo.</t>
  </si>
  <si>
    <t>El esterilizador cuenta con temporizador, alarmas visuales y sonoras.</t>
  </si>
  <si>
    <t>4.3 COMPONENTES DEL EQUIPO</t>
  </si>
  <si>
    <t>ACCESORIO</t>
  </si>
  <si>
    <t>OBSERVACIONES</t>
  </si>
  <si>
    <t>Chasis/Carcasa</t>
  </si>
  <si>
    <t>Cables/Sensores</t>
  </si>
  <si>
    <t>Puerta</t>
  </si>
  <si>
    <t>Soporte de base</t>
  </si>
  <si>
    <t>Válvula de seguridad</t>
  </si>
  <si>
    <t>Controles e interruptores</t>
  </si>
  <si>
    <t>Alarmas</t>
  </si>
  <si>
    <t>5.1 PROCEDIMIENTO:</t>
  </si>
  <si>
    <t>Incertidumbre Expandida ±</t>
  </si>
  <si>
    <t>Promedio Patrón             (°C)</t>
  </si>
  <si>
    <t>Promedio Patrón             (Bar)</t>
  </si>
  <si>
    <t>Equipo bajo prueba  (°C)</t>
  </si>
  <si>
    <t>Error                              (°C)</t>
  </si>
  <si>
    <t>Equipo bajo prueba  (Bar)</t>
  </si>
  <si>
    <t>Error                              (Bar)</t>
  </si>
  <si>
    <t>Temperatura Mínima (°C)</t>
  </si>
  <si>
    <t>Temperatura Máxima (°C)</t>
  </si>
  <si>
    <t>Presión Mínima (Bar)</t>
  </si>
  <si>
    <t>Presión Máxima (Bar)</t>
  </si>
  <si>
    <t>Promedio (Bar)</t>
  </si>
  <si>
    <t>Diferencia                    (°C)</t>
  </si>
  <si>
    <t>Diferencia (Bar)</t>
  </si>
  <si>
    <t>LÍMITE</t>
  </si>
  <si>
    <t>ACEPTACIÓN</t>
  </si>
  <si>
    <t>± 1°C respecto a la referencia</t>
  </si>
  <si>
    <t>Indicación temperatura</t>
  </si>
  <si>
    <t>Operación temperatura</t>
  </si>
  <si>
    <t>Estabilidad temperatura</t>
  </si>
  <si>
    <t>Operación presión</t>
  </si>
  <si>
    <t>6.1 PROCEDIMIENTO:</t>
  </si>
  <si>
    <t>VALIDADO POR:</t>
  </si>
  <si>
    <t>Presión (Bar)</t>
  </si>
  <si>
    <t>Hasta + 3 °C respecto a la programada</t>
  </si>
  <si>
    <t xml:space="preserve">≥ 15 minutos </t>
  </si>
  <si>
    <t>0,7 °C</t>
  </si>
  <si>
    <t>0,41 °C</t>
  </si>
  <si>
    <t>0,57 °C</t>
  </si>
  <si>
    <t>0,03 Bar</t>
  </si>
  <si>
    <t>TEMPERATURA (°C)</t>
  </si>
  <si>
    <t>TIEMPO (hh:mm:ss)</t>
  </si>
  <si>
    <t>Intrumento</t>
  </si>
  <si>
    <t>Marca</t>
  </si>
  <si>
    <t>Modelo</t>
  </si>
  <si>
    <t>Serie</t>
  </si>
  <si>
    <t>Ubicación</t>
  </si>
  <si>
    <t>Inventario</t>
  </si>
  <si>
    <t>Número de Certificado</t>
  </si>
  <si>
    <t>Fecha de Recepción</t>
  </si>
  <si>
    <t>Estado Físico:</t>
  </si>
  <si>
    <t>ING. GABRIEL DURÁN</t>
  </si>
  <si>
    <t>Bar</t>
  </si>
  <si>
    <t>°C</t>
  </si>
  <si>
    <t>Litros</t>
  </si>
  <si>
    <t>V</t>
  </si>
  <si>
    <t>Hora de Inicio</t>
  </si>
  <si>
    <t>DATALOGGERS DE TEMPERATURA</t>
  </si>
  <si>
    <t>T29020   -     T39340</t>
  </si>
  <si>
    <t>NC-25-05-23-127                           NC-25-08-05-114</t>
  </si>
  <si>
    <t>DATALOGGER DE PRESIÓN</t>
  </si>
  <si>
    <t>T35841</t>
  </si>
  <si>
    <t>NC-25-08-05-036</t>
  </si>
  <si>
    <t>5. CALIFICACIÓN DE OPERACIÓN (OQ) CICLO DE 121 °C</t>
  </si>
  <si>
    <t>CALIBRACIÓN</t>
  </si>
  <si>
    <t>PARÁMETROS PROGRAMADOS EN EL CICLO</t>
  </si>
  <si>
    <t>Temperatura programada</t>
  </si>
  <si>
    <t>Presión en la cámara</t>
  </si>
  <si>
    <t>Tiempo de esterilización</t>
  </si>
  <si>
    <t>Tiempo de secado</t>
  </si>
  <si>
    <t>min</t>
  </si>
  <si>
    <t>Variación de ±  1 °C en periodo estable</t>
  </si>
  <si>
    <t>Estabilidad de presión</t>
  </si>
  <si>
    <t>± 0,05 Bar respecto a la referencia</t>
  </si>
  <si>
    <t>±0,05 Bar respecto al valor de referencia</t>
  </si>
  <si>
    <t>6. CALIFICACIÓN DE DESEMPEÑO (PQ) CON CARGA  CICLO DE 121 °C</t>
  </si>
  <si>
    <t>Presión programada</t>
  </si>
  <si>
    <t xml:space="preserve">≥ 3 minutos </t>
  </si>
  <si>
    <t>7. CALIFICACIÓN DE OPERACIÓN (OQ) CICLO DE 134 °C</t>
  </si>
  <si>
    <t>7.1 PROCEDIMIENTO:</t>
  </si>
  <si>
    <t>8. CALIFICACIÓN DE DESEMPEÑO (PQ) CON CARGA  CICLO DE 134 °C</t>
  </si>
  <si>
    <t>8.1 PROCEDIMIENTO:</t>
  </si>
  <si>
    <t>La validación fue realizada en:</t>
  </si>
  <si>
    <t>En sitio (instalaciones del cliente)</t>
  </si>
  <si>
    <t>Desviación ST</t>
  </si>
  <si>
    <t>DESAFÍO QUÍMICO</t>
  </si>
  <si>
    <t>DESAFÍO BIOLÓGICO</t>
  </si>
  <si>
    <t>Este certificado expresa fielmente los resultados de las mediciones realizadas. No podrá reproducirse total ni parcialmente, excepto cuando se haya obtenido permiso por escrito de BTM COLOMBIA ZOMAC S.A.S. Cuando se autorice su reproducción, deberá hacerse en su totalidad para garantizar que el certificado no sea sacado de contexto.
Los resultados consignados en este certificado corresponden al momento y a las condiciones en que se realizaron las mediciones. BTM COLOMBIA ZOMAC S.A.S. no se responsabiliza por los daños que pueda ocasionar el uso inadecuado de los equipos calibrados.
El usuario es responsable de calibrar sus instrumentos a intervalos apropiados. El laboratorio no se hace responsable de la manera en que la información suministrada por el cliente pueda afectar los resultados de medición.</t>
  </si>
  <si>
    <t>El laboratorio de metrología BTM COLOMBIA ZOMAC S.A.S. registra las condiciones ambientales de humedad y temperatura, tomando los valores máximos y mínimos alcanzados durante la ejecución de la validación. A continuación, se presentan el promedio y la variación resultante.</t>
  </si>
  <si>
    <t>La incertidumbre expandida de la medición reportada se establece como la incertidumbre estándar de medición multiplicada por el factor de cobertura «k». La probabilidad de cobertura debe ser aproximadamente del 95 % y no inferior a este valor. La incertidumbre de medición se ha estimado con un nivel de confianza del 95,45 %, empleando una distribución t de Student. Cuando se realiza una declaración de cumplimiento, el laboratorio toma como referencia las especificaciones del fabricante, la norma o los requisitos declarados por el cliente. La regla de decisión aplicada en estos casos es |Error| + U ≤ EMP, según la norma ASME B89.7.3.1. Si se cumple esta condición, la medición se considera conforme y se registra como «PASA»; en caso contrario, se registra como «FALLA». El laboratorio no determina la probabilidad de una aceptación falsa o de un rechazo falso; sin embargo, esta puede calcularse de acuerdo con el numeral 8 de la guía JCGM 106:2012.</t>
  </si>
  <si>
    <t>La validación se ejecutó mediante el método de comparación directa con un patrón de referencia, de acuerdo con el procedimiento interno para autoclaves BTM-P-025.</t>
  </si>
  <si>
    <t>El laboratorio BTM COLOMBIA ZOMAC S.A.S. establece la trazabilidad metrológica de sus mediciones al Sistema Internacional de Unidades (SI) mediante una cadena documentada de calibraciones referidas a patrones primarios de medida. Esta vinculación se logra mediante el uso de patrones calibrados por institutos nacionales de metrología (INM) y por laboratorios acreditados por un organismo de acreditación.</t>
  </si>
  <si>
    <t>El presente sistema de validación se diseñó con el fin de evidenciar que el proceso de esterilización evaluado sea conforme y eficaz para la esterilización de los productos.</t>
  </si>
  <si>
    <t>El propósito de la validación es comprobar la eficacia de la esterilización y la repetitividad de su operación mediante la aplicación de tres protocolos: instalación, operación y desempeño.</t>
  </si>
  <si>
    <t>» NTC 4618. Validación de autoclaves de calor húmedo.</t>
  </si>
  <si>
    <t>» NTC 4954. Esterilizadores de vapor para hospitales.</t>
  </si>
  <si>
    <t>» GTC 130. Esterilización de productos para la salud: indicadores biológicos.</t>
  </si>
  <si>
    <t>» Resolución 2183 de 2004. Manual de buenas prácticas de esterilización.</t>
  </si>
  <si>
    <t>» ISO 17665-1. Esterilización por vapor.</t>
  </si>
  <si>
    <t>Este proceso busca determinar la idoneidad del lugar de instalación, las características físicas del esterilizador y las condiciones en las que se encuentra.</t>
  </si>
  <si>
    <t>Analógico</t>
  </si>
  <si>
    <t>Calor húmedo</t>
  </si>
  <si>
    <t>4.2 INSTALACIÓN FÍSICA Y ELÉCTRICA:</t>
  </si>
  <si>
    <t>El esterilizador se encuentra a una altura adecuada para facilitar su manejo por parte del operador (aproximadamente 80 cm).</t>
  </si>
  <si>
    <t>La cámara se encuentra libre de soldaduras y en condiciones adecuadas.</t>
  </si>
  <si>
    <t>El voltaje de la red eléctrica a la que está conectado el equipo es acorde con sus requerimientos, según la ficha técnica.</t>
  </si>
  <si>
    <t>Cuenta con una instalación eléctrica de tres pines y polo a tierra.</t>
  </si>
  <si>
    <t>Indicador/display</t>
  </si>
  <si>
    <t>Mediante esta prueba se establece el comportamiento de los parámetros operacionales del equipo y se califica su rendimiento durante un ciclo sin carga.</t>
  </si>
  <si>
    <t>» Programe los equipos patrón de medición y ubíquelos dentro de la cámara de esterilización, verificando que no entren en contacto con las paredes interiores.</t>
  </si>
  <si>
    <t>» Cierre el esterilizador correctamente y verifique que quede completamente sellado para evitar fugas.</t>
  </si>
  <si>
    <t>» Inicie el ciclo de operación de acuerdo con el manual del fabricante.</t>
  </si>
  <si>
    <t>» Cuando el equipo alcance el periodo estable, registre cada minuto los valores de temperatura y presión que muestra la pantalla del esterilizador, especificando la hora en que se tomó cada medición.</t>
  </si>
  <si>
    <t>» Una vez finalizado el ciclo de esterilización, retire los equipos patrón de medición y descargue los datos para su análisis. Realice, como mínimo, tres ciclos con el mismo procedimiento.</t>
  </si>
  <si>
    <t>Temperatura promedio (°C)</t>
  </si>
  <si>
    <t>» Los datos registrados anteriormente corresponden únicamente al periodo estable de esterilización.</t>
  </si>
  <si>
    <t>» La temperatura máxima registrada durante el periodo estable del proceso de esterilización fue de 123,59 °C, valor que se encuentra dentro del máximo permitido de trabajo (121 °C + 3 °C) para la operación de temperatura.</t>
  </si>
  <si>
    <t>» La temperatura mínima registrada durante el periodo estable del proceso de esterilización fue de 123,02 °C, valor que se encuentra dentro del límite permitido de trabajo (≥ 121 °C).</t>
  </si>
  <si>
    <t>» La diferencia de temperatura entre el indicador del esterilizador y el equipo patrón de medición fue de 0,7 °C, valor que se encuentra dentro del máximo permitido (± 1 °C) para el indicador de operación.</t>
  </si>
  <si>
    <t>» La presión promedio durante el proceso de esterilización fue de 1,97 bar, valor que se encuentra dentro del máximo permitido de trabajo (2,05 bar ± 0,05 bar).</t>
  </si>
  <si>
    <t>» El tiempo de esterilización registrado por el equipo patrón de medición fue de 37 minutos, valor que se encuentra dentro del límite permitido de trabajo (≥ 15 minutos).</t>
  </si>
  <si>
    <t>Mediante esta prueba se establece el comportamiento de los parámetros operacionales del equipo y se califica su desempeño durante un ciclo con carga e indicadores químico y biológico.</t>
  </si>
  <si>
    <t>» Ingrese el instrumental que se va a esterilizar, el indicador químico y el indicador biológico.</t>
  </si>
  <si>
    <t>» Una vez finalizado el ciclo de esterilización, retire los equipos patrón de medición y descargue los datos para su análisis.</t>
  </si>
  <si>
    <t>» La temperatura máxima registrada durante el periodo estable del proceso de esterilización fue de 123,59 °C, valor que se encuentra dentro del máximo permitido de trabajo (134 °C + 3 °C) para la operación de temperatura.</t>
  </si>
  <si>
    <t>» La temperatura mínima registrada durante el periodo estable del proceso de esterilización fue de 123,02 °C, valor que se encuentra dentro del límite permitido de trabajo (≥ 134 °C).</t>
  </si>
  <si>
    <t>» La presión promedio durante el proceso de esterilización fue de 1,97 bar, valor que se encuentra dentro del máximo permitido de trabajo (3,04 bar ± 0,05 bar).</t>
  </si>
  <si>
    <t>» El tiempo de esterilización registrado por el equipo patrón de medición fue de 37 minutos, valor que se encuentra dentro del límite permitido de trabajo (≥ 3 minutos).</t>
  </si>
  <si>
    <t xml:space="preserve">5.2 </t>
  </si>
  <si>
    <t>5.3 ANÁLISIS DE RESULTADOS</t>
  </si>
  <si>
    <t>5.4 CRITERIOS DE ACEPTACIÓN.</t>
  </si>
  <si>
    <t>5.5 COMPORTAMIENTO GRÁFICO DEL CICLO DE ESTERILIZACIÓN.</t>
  </si>
  <si>
    <t>6.2 PARÁMETROS PROGRAMADOS EN EL CICLO</t>
  </si>
  <si>
    <t>6.3 ANÁLISIS DE RESULTADOS</t>
  </si>
  <si>
    <t>6.4 CRITERIOS DE ACEPTACIÓN.</t>
  </si>
  <si>
    <t>6.5 COMPORTAMIENTO GRÁFICO DEL CICLO DE ESTERILIZACIÓN.</t>
  </si>
  <si>
    <t>6.6  DESAFÍO QUÍMICO Y BIOLÓGICO</t>
  </si>
  <si>
    <t xml:space="preserve">7.2 </t>
  </si>
  <si>
    <t>7.3 ANÁLISIS DE RESULTADOS</t>
  </si>
  <si>
    <t>7.4 CRITERIOS DE ACEPTACIÓN.</t>
  </si>
  <si>
    <t>7.5 COMPORTAMIENTO GRÁFICO DEL CICLO DE ESTERILIZACIÓN.</t>
  </si>
  <si>
    <t>8.2 PARÁMETROS PROGRAMADOS EN EL CICLO</t>
  </si>
  <si>
    <t>8.3 ANÁLISIS DE RESULTADOS</t>
  </si>
  <si>
    <t>8.4 CRITERIOS DE ACEPTACIÓN.</t>
  </si>
  <si>
    <t>8.5 COMPORTAMIENTO GRÁFICO DEL CICLO DE ESTERILIZACIÓN.</t>
  </si>
  <si>
    <t>8.6  DESAFÍO QUÍMICO Y BIOLÓGICO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</si>
</sst>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
    <numFmt numFmtId="168" formatCode="0.000000"/>
    <numFmt numFmtId="169" formatCode="h:mm:ss;@"/>
  </numFmts>
  <fonts count="29" x14ac:knownFonts="1">
    <font>
      <sz val="11"/>
      <color theme="1"/>
      <name val="Calibri"/>
      <family val="2"/>
      <scheme val="minor"/>
    </font>
    <font>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8"/>
      <name val="Calibri"/>
      <family val="2"/>
      <scheme val="minor"/>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4" tint="0.39997558519241921"/>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indexed="64"/>
      </patternFill>
    </fill>
    <fill>
      <patternFill patternType="solid">
        <fgColor theme="0"/>
        <bgColor rgb="FF11E987"/>
      </patternFill>
    </fill>
  </fills>
  <borders count="34">
    <border>
      <left/>
      <right/>
      <top/>
      <bottom/>
      <diagonal/>
    </border>
    <border>
      <left/>
      <right style="thick">
        <color rgb="FF00B0F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top/>
      <bottom style="thin">
        <color auto="1"/>
      </bottom>
      <diagonal/>
    </border>
    <border>
      <left style="thin">
        <color auto="1"/>
      </left>
      <right/>
      <top style="thin">
        <color auto="1"/>
      </top>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5" fillId="0" borderId="0"/>
    <xf numFmtId="0" fontId="9" fillId="0" borderId="0"/>
    <xf numFmtId="0" fontId="10" fillId="3" borderId="0">
      <alignment vertical="center"/>
    </xf>
    <xf numFmtId="0" fontId="9" fillId="0" borderId="0"/>
    <xf numFmtId="0" fontId="12" fillId="0" borderId="0"/>
  </cellStyleXfs>
  <cellXfs count="229">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3" fillId="2" borderId="5" xfId="0" applyFont="1" applyFill="1" applyBorder="1" applyAlignment="1">
      <alignment horizontal="center" vertical="center" wrapText="1"/>
    </xf>
    <xf numFmtId="1" fontId="4" fillId="0" borderId="5" xfId="0" applyNumberFormat="1" applyFont="1" applyBorder="1" applyAlignment="1">
      <alignment horizontal="center" vertical="center"/>
    </xf>
    <xf numFmtId="164" fontId="4" fillId="0" borderId="5" xfId="0" applyNumberFormat="1" applyFont="1" applyBorder="1" applyAlignment="1">
      <alignment horizontal="center" vertical="center"/>
    </xf>
    <xf numFmtId="2" fontId="4" fillId="0" borderId="5" xfId="0" applyNumberFormat="1" applyFont="1" applyBorder="1" applyAlignment="1">
      <alignment horizontal="center" vertical="center"/>
    </xf>
    <xf numFmtId="0" fontId="2" fillId="0" borderId="0" xfId="0" applyFont="1" applyAlignment="1">
      <alignment vertical="center"/>
    </xf>
    <xf numFmtId="0" fontId="2" fillId="0" borderId="1" xfId="0" applyFont="1" applyBorder="1" applyAlignment="1">
      <alignment vertical="center"/>
    </xf>
    <xf numFmtId="0" fontId="6" fillId="0" borderId="0" xfId="0" applyFont="1" applyAlignment="1">
      <alignment vertical="center"/>
    </xf>
    <xf numFmtId="0" fontId="3" fillId="6" borderId="5" xfId="0" applyFont="1" applyFill="1" applyBorder="1" applyAlignment="1">
      <alignment horizontal="center" vertical="center" wrapText="1"/>
    </xf>
    <xf numFmtId="0" fontId="11" fillId="2" borderId="5" xfId="0" applyFont="1" applyFill="1" applyBorder="1" applyAlignment="1">
      <alignment horizontal="center" vertical="center" wrapText="1"/>
    </xf>
    <xf numFmtId="2" fontId="4" fillId="0" borderId="6" xfId="0" applyNumberFormat="1" applyFont="1" applyBorder="1" applyAlignment="1">
      <alignment horizontal="center" vertical="center"/>
    </xf>
    <xf numFmtId="10" fontId="0" fillId="0" borderId="0" xfId="0" applyNumberFormat="1"/>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0" fontId="7" fillId="0" borderId="0" xfId="0" applyFont="1"/>
    <xf numFmtId="167" fontId="0" fillId="0" borderId="0" xfId="0" applyNumberFormat="1"/>
    <xf numFmtId="167" fontId="4" fillId="0" borderId="5" xfId="0" applyNumberFormat="1" applyFont="1" applyBorder="1" applyAlignment="1">
      <alignment horizontal="center" vertical="center"/>
    </xf>
    <xf numFmtId="1" fontId="0" fillId="0" borderId="5"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13" fillId="0" borderId="0" xfId="0" applyFont="1" applyAlignment="1">
      <alignment horizontal="center"/>
    </xf>
    <xf numFmtId="0" fontId="7" fillId="0" borderId="0" xfId="0" applyFont="1" applyAlignment="1">
      <alignment horizontal="center"/>
    </xf>
    <xf numFmtId="0" fontId="0" fillId="0" borderId="7" xfId="0" applyBorder="1"/>
    <xf numFmtId="168" fontId="15" fillId="5" borderId="8" xfId="0" applyNumberFormat="1" applyFont="1" applyFill="1" applyBorder="1"/>
    <xf numFmtId="0" fontId="0" fillId="0" borderId="9" xfId="0" applyBorder="1"/>
    <xf numFmtId="0" fontId="0" fillId="7" borderId="0" xfId="0" applyFill="1" applyAlignment="1">
      <alignment horizontal="right"/>
    </xf>
    <xf numFmtId="0" fontId="0" fillId="0" borderId="0" xfId="0" applyAlignment="1">
      <alignment wrapText="1"/>
    </xf>
    <xf numFmtId="0" fontId="0" fillId="0" borderId="10" xfId="0" applyBorder="1"/>
    <xf numFmtId="1" fontId="0" fillId="0" borderId="0" xfId="0" applyNumberFormat="1"/>
    <xf numFmtId="2" fontId="0" fillId="0" borderId="0" xfId="0" applyNumberFormat="1"/>
    <xf numFmtId="0" fontId="0" fillId="0" borderId="11" xfId="0" applyBorder="1"/>
    <xf numFmtId="168" fontId="0" fillId="0" borderId="0" xfId="0" applyNumberFormat="1"/>
    <xf numFmtId="0" fontId="0" fillId="0" borderId="15" xfId="0" applyBorder="1"/>
    <xf numFmtId="0" fontId="0" fillId="7" borderId="0" xfId="0" applyFill="1"/>
    <xf numFmtId="0" fontId="0" fillId="0" borderId="15" xfId="0" applyBorder="1" applyAlignment="1">
      <alignment wrapText="1"/>
    </xf>
    <xf numFmtId="166" fontId="15" fillId="0" borderId="15" xfId="0" applyNumberFormat="1" applyFont="1" applyBorder="1"/>
    <xf numFmtId="166" fontId="0" fillId="0" borderId="7" xfId="0" applyNumberFormat="1" applyBorder="1"/>
    <xf numFmtId="167" fontId="15" fillId="0" borderId="15" xfId="0" applyNumberFormat="1" applyFont="1" applyBorder="1"/>
    <xf numFmtId="2" fontId="15" fillId="0" borderId="15" xfId="0" applyNumberFormat="1" applyFont="1" applyBorder="1"/>
    <xf numFmtId="2" fontId="0" fillId="0" borderId="7" xfId="0" applyNumberFormat="1" applyBorder="1"/>
    <xf numFmtId="2" fontId="0" fillId="0" borderId="15" xfId="0" applyNumberFormat="1" applyBorder="1"/>
    <xf numFmtId="164" fontId="15" fillId="0" borderId="15" xfId="0" applyNumberFormat="1" applyFont="1" applyBorder="1"/>
    <xf numFmtId="1"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16" fillId="0" borderId="0" xfId="0" applyFont="1"/>
    <xf numFmtId="0" fontId="16" fillId="0" borderId="0" xfId="0" applyFont="1" applyAlignment="1">
      <alignment vertical="center"/>
    </xf>
    <xf numFmtId="0" fontId="13" fillId="0" borderId="0" xfId="0" applyFont="1"/>
    <xf numFmtId="0" fontId="7" fillId="0" borderId="0" xfId="0" applyFont="1" applyAlignment="1">
      <alignment vertical="center"/>
    </xf>
    <xf numFmtId="0" fontId="13" fillId="0" borderId="0" xfId="0" applyFont="1" applyAlignment="1">
      <alignment vertical="center"/>
    </xf>
    <xf numFmtId="164" fontId="13" fillId="0" borderId="0" xfId="0" applyNumberFormat="1" applyFont="1" applyAlignment="1">
      <alignment horizontal="left" vertical="center"/>
    </xf>
    <xf numFmtId="0" fontId="8" fillId="0" borderId="0" xfId="0" applyFont="1" applyAlignment="1">
      <alignment vertical="center"/>
    </xf>
    <xf numFmtId="0" fontId="13" fillId="0" borderId="0" xfId="0" applyFont="1" applyAlignment="1">
      <alignment vertical="center" wrapText="1"/>
    </xf>
    <xf numFmtId="1" fontId="13" fillId="0" borderId="0" xfId="0" applyNumberFormat="1" applyFont="1" applyAlignment="1">
      <alignment horizontal="left"/>
    </xf>
    <xf numFmtId="164" fontId="17" fillId="0" borderId="0" xfId="0" applyNumberFormat="1" applyFont="1" applyAlignment="1">
      <alignment horizontal="center" vertical="center"/>
    </xf>
    <xf numFmtId="1" fontId="13" fillId="0" borderId="0" xfId="0" applyNumberFormat="1" applyFont="1"/>
    <xf numFmtId="164" fontId="13" fillId="0" borderId="0" xfId="0" applyNumberFormat="1" applyFont="1" applyAlignment="1">
      <alignment vertical="center"/>
    </xf>
    <xf numFmtId="164" fontId="13" fillId="0" borderId="0" xfId="0" applyNumberFormat="1" applyFont="1" applyAlignment="1">
      <alignment horizontal="right" vertical="center"/>
    </xf>
    <xf numFmtId="0" fontId="0" fillId="0" borderId="29" xfId="0" applyBorder="1"/>
    <xf numFmtId="1" fontId="13" fillId="0" borderId="20" xfId="0" applyNumberFormat="1" applyFont="1" applyBorder="1" applyAlignment="1">
      <alignment horizontal="left"/>
    </xf>
    <xf numFmtId="164" fontId="17" fillId="0" borderId="20" xfId="0" applyNumberFormat="1" applyFont="1" applyBorder="1" applyAlignment="1">
      <alignment horizontal="center" vertical="center"/>
    </xf>
    <xf numFmtId="164" fontId="13" fillId="0" borderId="29" xfId="0" applyNumberFormat="1" applyFont="1" applyBorder="1" applyAlignment="1">
      <alignment vertical="center"/>
    </xf>
    <xf numFmtId="164" fontId="13" fillId="0" borderId="20" xfId="0" applyNumberFormat="1" applyFont="1" applyBorder="1" applyAlignment="1">
      <alignment horizontal="left" vertical="center"/>
    </xf>
    <xf numFmtId="0" fontId="0" fillId="0" borderId="30" xfId="0" applyBorder="1"/>
    <xf numFmtId="0" fontId="14" fillId="0" borderId="0" xfId="0" applyFont="1"/>
    <xf numFmtId="165" fontId="0" fillId="0" borderId="0" xfId="0" applyNumberFormat="1" applyAlignment="1">
      <alignment horizontal="left"/>
    </xf>
    <xf numFmtId="165" fontId="13" fillId="0" borderId="0" xfId="0" applyNumberFormat="1" applyFont="1" applyAlignment="1">
      <alignment horizontal="left"/>
    </xf>
    <xf numFmtId="165" fontId="13" fillId="0" borderId="0" xfId="0" applyNumberFormat="1" applyFont="1"/>
    <xf numFmtId="0" fontId="18" fillId="0" borderId="0" xfId="0" applyFont="1" applyAlignment="1">
      <alignment vertical="center"/>
    </xf>
    <xf numFmtId="0" fontId="0" fillId="0" borderId="26" xfId="0" applyBorder="1"/>
    <xf numFmtId="0" fontId="13" fillId="0" borderId="0" xfId="0" applyFont="1" applyAlignment="1">
      <alignment horizontal="left"/>
    </xf>
    <xf numFmtId="0" fontId="8" fillId="0" borderId="0" xfId="0" applyFont="1" applyAlignment="1">
      <alignment vertical="center" wrapText="1"/>
    </xf>
    <xf numFmtId="0" fontId="8" fillId="0" borderId="0" xfId="0" applyFont="1" applyAlignment="1">
      <alignment horizontal="justify" vertical="center" wrapText="1"/>
    </xf>
    <xf numFmtId="0" fontId="0" fillId="0" borderId="0" xfId="0" applyAlignment="1">
      <alignment horizontal="right" vertical="center"/>
    </xf>
    <xf numFmtId="165" fontId="13" fillId="0" borderId="0" xfId="0" applyNumberFormat="1" applyFont="1" applyAlignment="1">
      <alignment vertical="center"/>
    </xf>
    <xf numFmtId="0" fontId="19" fillId="0" borderId="0" xfId="0" applyFont="1" applyAlignment="1">
      <alignment horizontal="center" vertical="center"/>
    </xf>
    <xf numFmtId="0" fontId="20" fillId="0" borderId="0" xfId="0" applyFont="1" applyAlignment="1">
      <alignment vertical="center"/>
    </xf>
    <xf numFmtId="0" fontId="22" fillId="0" borderId="0" xfId="0" applyFont="1" applyAlignment="1">
      <alignment horizontal="center"/>
    </xf>
    <xf numFmtId="0" fontId="23" fillId="0" borderId="0" xfId="0" applyFont="1" applyAlignment="1">
      <alignment horizontal="right" vertical="center"/>
    </xf>
    <xf numFmtId="0" fontId="23" fillId="0" borderId="0" xfId="0" applyFont="1"/>
    <xf numFmtId="0" fontId="24" fillId="0" borderId="0" xfId="0" applyFont="1"/>
    <xf numFmtId="0" fontId="0" fillId="0" borderId="5" xfId="0" applyBorder="1" applyAlignment="1">
      <alignment horizontal="left" vertical="center"/>
    </xf>
    <xf numFmtId="0" fontId="16" fillId="0" borderId="0" xfId="0" applyFont="1" applyAlignment="1">
      <alignment horizontal="left" vertical="center"/>
    </xf>
    <xf numFmtId="0" fontId="13" fillId="0" borderId="0" xfId="0" applyFont="1" applyAlignment="1">
      <alignment horizontal="left" vertical="center"/>
    </xf>
    <xf numFmtId="0" fontId="16" fillId="0" borderId="0" xfId="0" applyFont="1" applyAlignment="1">
      <alignment horizontal="left"/>
    </xf>
    <xf numFmtId="0" fontId="13" fillId="0" borderId="0" xfId="0" applyFont="1" applyAlignment="1">
      <alignment horizontal="center" vertical="center"/>
    </xf>
    <xf numFmtId="0" fontId="7" fillId="0" borderId="5" xfId="0" applyFont="1" applyBorder="1" applyAlignment="1">
      <alignment horizontal="center"/>
    </xf>
    <xf numFmtId="0" fontId="17" fillId="0" borderId="0" xfId="0" applyFont="1" applyAlignment="1">
      <alignment horizontal="center" vertical="center" wrapText="1"/>
    </xf>
    <xf numFmtId="0" fontId="13" fillId="0" borderId="0" xfId="0" applyFont="1" applyAlignment="1">
      <alignment horizontal="center" vertical="center" wrapText="1"/>
    </xf>
    <xf numFmtId="0" fontId="16" fillId="0" borderId="0" xfId="0" applyFont="1" applyAlignment="1">
      <alignment horizontal="center" vertical="center"/>
    </xf>
    <xf numFmtId="0" fontId="8" fillId="0" borderId="5" xfId="0" applyFont="1" applyBorder="1" applyAlignment="1">
      <alignment horizontal="center"/>
    </xf>
    <xf numFmtId="19" fontId="0" fillId="0" borderId="0" xfId="0" applyNumberFormat="1"/>
    <xf numFmtId="0" fontId="7" fillId="10" borderId="5" xfId="0" applyFont="1" applyFill="1" applyBorder="1" applyAlignment="1">
      <alignment horizontal="center"/>
    </xf>
    <xf numFmtId="0" fontId="7" fillId="0" borderId="5" xfId="0" applyFont="1" applyBorder="1" applyAlignment="1">
      <alignment horizontal="center" vertical="center"/>
    </xf>
    <xf numFmtId="21" fontId="8" fillId="0" borderId="27" xfId="0" applyNumberFormat="1" applyFont="1" applyBorder="1" applyAlignment="1">
      <alignment horizontal="center"/>
    </xf>
    <xf numFmtId="21" fontId="8" fillId="0" borderId="5" xfId="0" applyNumberFormat="1" applyFont="1" applyBorder="1" applyAlignment="1">
      <alignment horizontal="center"/>
    </xf>
    <xf numFmtId="2" fontId="8" fillId="0" borderId="5" xfId="0" applyNumberFormat="1" applyFont="1" applyBorder="1" applyAlignment="1">
      <alignment horizontal="center"/>
    </xf>
    <xf numFmtId="0" fontId="0" fillId="0" borderId="5" xfId="0" applyBorder="1" applyAlignment="1">
      <alignment horizontal="center"/>
    </xf>
    <xf numFmtId="0" fontId="8" fillId="0" borderId="2" xfId="0" applyFont="1" applyBorder="1" applyAlignment="1">
      <alignment horizontal="center" vertical="center" wrapText="1"/>
    </xf>
    <xf numFmtId="0" fontId="28" fillId="12" borderId="33" xfId="0" applyFont="1" applyFill="1" applyBorder="1" applyAlignment="1">
      <alignment horizontal="center" vertical="center" wrapText="1"/>
    </xf>
    <xf numFmtId="0" fontId="28" fillId="11" borderId="33" xfId="0" applyFont="1" applyFill="1" applyBorder="1" applyAlignment="1">
      <alignment horizontal="center" vertical="center" wrapText="1"/>
    </xf>
    <xf numFmtId="49" fontId="28" fillId="11" borderId="33" xfId="0" applyNumberFormat="1" applyFont="1" applyFill="1" applyBorder="1" applyAlignment="1">
      <alignment horizontal="center" vertical="center" wrapText="1"/>
    </xf>
    <xf numFmtId="1" fontId="28" fillId="11" borderId="33" xfId="0" applyNumberFormat="1" applyFont="1" applyFill="1" applyBorder="1" applyAlignment="1">
      <alignment horizontal="center" vertical="center" shrinkToFit="1"/>
    </xf>
    <xf numFmtId="49" fontId="27" fillId="11" borderId="5" xfId="0" applyNumberFormat="1" applyFont="1" applyFill="1" applyBorder="1" applyAlignment="1">
      <alignment horizontal="center" vertical="center"/>
    </xf>
    <xf numFmtId="0" fontId="27" fillId="11" borderId="5" xfId="0" applyFont="1" applyFill="1" applyBorder="1" applyAlignment="1">
      <alignment horizontal="center" vertical="center"/>
    </xf>
    <xf numFmtId="165" fontId="0" fillId="11" borderId="5" xfId="0" applyNumberFormat="1" applyFill="1" applyBorder="1" applyAlignment="1">
      <alignment horizontal="center" vertical="center"/>
    </xf>
    <xf numFmtId="0" fontId="7" fillId="0" borderId="5" xfId="0" applyFont="1" applyBorder="1"/>
    <xf numFmtId="0" fontId="0" fillId="0" borderId="32" xfId="0" applyBorder="1" applyAlignment="1">
      <alignment vertical="center"/>
    </xf>
    <xf numFmtId="165" fontId="0" fillId="0" borderId="5" xfId="0" applyNumberFormat="1" applyBorder="1" applyAlignment="1">
      <alignment horizontal="left" vertical="center"/>
    </xf>
    <xf numFmtId="0" fontId="0" fillId="0" borderId="5" xfId="0" applyBorder="1" applyAlignment="1">
      <alignment vertical="center"/>
    </xf>
    <xf numFmtId="169" fontId="0" fillId="0" borderId="0" xfId="0" applyNumberFormat="1"/>
    <xf numFmtId="169" fontId="8" fillId="0" borderId="5" xfId="0" applyNumberFormat="1" applyFont="1" applyBorder="1" applyAlignment="1">
      <alignment horizontal="center"/>
    </xf>
    <xf numFmtId="2" fontId="13" fillId="0" borderId="0" xfId="0" applyNumberFormat="1" applyFont="1" applyAlignment="1">
      <alignment horizontal="center"/>
    </xf>
    <xf numFmtId="2" fontId="0" fillId="0" borderId="0" xfId="0" applyNumberFormat="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2" fontId="0" fillId="0" borderId="2" xfId="0" applyNumberForma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5" xfId="0" applyFont="1" applyBorder="1" applyAlignment="1">
      <alignment horizontal="center"/>
    </xf>
    <xf numFmtId="164" fontId="13" fillId="0" borderId="2" xfId="0" applyNumberFormat="1" applyFont="1" applyBorder="1" applyAlignment="1">
      <alignment horizontal="center"/>
    </xf>
    <xf numFmtId="164" fontId="13" fillId="0" borderId="3" xfId="0" applyNumberFormat="1" applyFont="1" applyBorder="1" applyAlignment="1">
      <alignment horizontal="center"/>
    </xf>
    <xf numFmtId="164" fontId="13" fillId="0" borderId="4" xfId="0" applyNumberFormat="1" applyFont="1" applyBorder="1" applyAlignment="1">
      <alignment horizontal="center"/>
    </xf>
    <xf numFmtId="0" fontId="0" fillId="0" borderId="0" xfId="0" applyAlignment="1">
      <alignment horizontal="justify" wrapText="1"/>
    </xf>
    <xf numFmtId="0" fontId="16" fillId="0" borderId="5"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xf>
    <xf numFmtId="2" fontId="13" fillId="0" borderId="5" xfId="0" applyNumberFormat="1" applyFont="1" applyBorder="1" applyAlignment="1">
      <alignment horizontal="center"/>
    </xf>
    <xf numFmtId="2" fontId="13" fillId="0" borderId="2" xfId="0" applyNumberFormat="1" applyFont="1" applyBorder="1" applyAlignment="1">
      <alignment horizontal="center"/>
    </xf>
    <xf numFmtId="2" fontId="13" fillId="0" borderId="3" xfId="0" applyNumberFormat="1" applyFont="1" applyBorder="1" applyAlignment="1">
      <alignment horizontal="center"/>
    </xf>
    <xf numFmtId="2" fontId="13" fillId="0" borderId="4" xfId="0" applyNumberFormat="1" applyFont="1" applyBorder="1" applyAlignment="1">
      <alignment horizontal="center"/>
    </xf>
    <xf numFmtId="0" fontId="7" fillId="0" borderId="0" xfId="0" applyFont="1" applyAlignment="1">
      <alignment horizontal="center"/>
    </xf>
    <xf numFmtId="0" fontId="13" fillId="0" borderId="0" xfId="0" applyFont="1" applyAlignment="1">
      <alignment horizontal="justify" vertical="center" wrapText="1"/>
    </xf>
    <xf numFmtId="0" fontId="25" fillId="0" borderId="21" xfId="0" applyFont="1" applyBorder="1" applyAlignment="1">
      <alignment horizontal="center" vertical="center" wrapText="1"/>
    </xf>
    <xf numFmtId="0" fontId="16" fillId="0" borderId="21" xfId="0" applyFont="1" applyBorder="1" applyAlignment="1">
      <alignment horizontal="center" vertical="center"/>
    </xf>
    <xf numFmtId="0" fontId="25" fillId="0" borderId="21" xfId="0" applyFont="1" applyBorder="1" applyAlignment="1">
      <alignment horizontal="center" vertical="center"/>
    </xf>
    <xf numFmtId="165" fontId="25" fillId="0" borderId="21" xfId="0" applyNumberFormat="1" applyFont="1" applyBorder="1" applyAlignment="1">
      <alignment horizontal="center" vertical="center"/>
    </xf>
    <xf numFmtId="0" fontId="13" fillId="0" borderId="0" xfId="0" applyFont="1" applyAlignment="1">
      <alignment horizontal="justify" vertical="top" wrapText="1"/>
    </xf>
    <xf numFmtId="0" fontId="16" fillId="0" borderId="0" xfId="0" applyFont="1" applyAlignment="1">
      <alignment horizontal="left"/>
    </xf>
    <xf numFmtId="0" fontId="16" fillId="0" borderId="0" xfId="0" applyFont="1" applyAlignment="1">
      <alignment horizontal="right"/>
    </xf>
    <xf numFmtId="0" fontId="7" fillId="0" borderId="0" xfId="0" applyFont="1" applyAlignment="1">
      <alignment horizontal="center" vertical="center"/>
    </xf>
    <xf numFmtId="0" fontId="16" fillId="0" borderId="22" xfId="0" applyFont="1" applyBorder="1" applyAlignment="1">
      <alignment vertical="center"/>
    </xf>
    <xf numFmtId="0" fontId="16" fillId="0" borderId="23" xfId="0" applyFont="1" applyBorder="1" applyAlignment="1">
      <alignment vertical="center"/>
    </xf>
    <xf numFmtId="0" fontId="16" fillId="0" borderId="24" xfId="0" applyFont="1" applyBorder="1" applyAlignment="1">
      <alignment vertical="center"/>
    </xf>
    <xf numFmtId="0" fontId="13" fillId="0" borderId="0" xfId="0" applyFont="1" applyAlignment="1">
      <alignment horizontal="center" vertical="center"/>
    </xf>
    <xf numFmtId="164" fontId="13" fillId="0" borderId="22" xfId="0" applyNumberFormat="1" applyFont="1" applyBorder="1" applyAlignment="1">
      <alignment horizontal="right" vertical="center"/>
    </xf>
    <xf numFmtId="164" fontId="13" fillId="0" borderId="23" xfId="0" applyNumberFormat="1" applyFont="1" applyBorder="1" applyAlignment="1">
      <alignment horizontal="right" vertical="center"/>
    </xf>
    <xf numFmtId="1" fontId="13" fillId="0" borderId="22" xfId="0" applyNumberFormat="1" applyFont="1" applyBorder="1" applyAlignment="1">
      <alignment horizontal="right"/>
    </xf>
    <xf numFmtId="1" fontId="13" fillId="0" borderId="23" xfId="0" applyNumberFormat="1" applyFont="1" applyBorder="1" applyAlignment="1">
      <alignment horizontal="right"/>
    </xf>
    <xf numFmtId="164" fontId="13" fillId="0" borderId="0" xfId="0" applyNumberFormat="1" applyFont="1" applyAlignment="1">
      <alignment horizontal="left" vertical="center"/>
    </xf>
    <xf numFmtId="0" fontId="16" fillId="0" borderId="22"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1" fontId="13" fillId="0" borderId="0" xfId="0" applyNumberFormat="1" applyFont="1" applyAlignment="1">
      <alignment horizontal="left" vertical="center"/>
    </xf>
    <xf numFmtId="0" fontId="13" fillId="0" borderId="0" xfId="0" applyFont="1" applyAlignment="1">
      <alignment horizontal="left" vertical="center"/>
    </xf>
    <xf numFmtId="0" fontId="13" fillId="0" borderId="28" xfId="0" applyFont="1" applyBorder="1" applyAlignment="1">
      <alignment horizontal="justify" vertical="center" wrapText="1"/>
    </xf>
    <xf numFmtId="165" fontId="13" fillId="0" borderId="0" xfId="0" applyNumberFormat="1" applyFont="1" applyAlignment="1">
      <alignment horizontal="left"/>
    </xf>
    <xf numFmtId="0" fontId="13" fillId="0" borderId="0" xfId="0" applyFont="1" applyAlignment="1">
      <alignment horizontal="left"/>
    </xf>
    <xf numFmtId="0" fontId="16" fillId="0" borderId="0" xfId="0" applyFont="1" applyAlignment="1">
      <alignment horizontal="right" vertical="center"/>
    </xf>
    <xf numFmtId="0" fontId="22" fillId="0" borderId="0" xfId="0" applyFont="1" applyAlignment="1">
      <alignment horizontal="left" vertical="center"/>
    </xf>
    <xf numFmtId="0" fontId="21" fillId="0" borderId="0" xfId="0" applyFont="1" applyAlignment="1">
      <alignment horizontal="left"/>
    </xf>
    <xf numFmtId="0" fontId="21" fillId="0" borderId="0" xfId="0" applyFont="1" applyAlignment="1">
      <alignment horizontal="right"/>
    </xf>
    <xf numFmtId="0" fontId="20" fillId="0" borderId="20" xfId="0" applyFont="1" applyBorder="1" applyAlignment="1">
      <alignment horizontal="center" vertical="center"/>
    </xf>
    <xf numFmtId="49" fontId="13" fillId="0" borderId="0" xfId="0" applyNumberFormat="1" applyFont="1" applyAlignment="1">
      <alignment horizontal="left" vertical="center"/>
    </xf>
    <xf numFmtId="0" fontId="16" fillId="0" borderId="0" xfId="0" applyFont="1" applyAlignment="1">
      <alignment horizontal="left" vertical="center"/>
    </xf>
    <xf numFmtId="0" fontId="7" fillId="0" borderId="25" xfId="0" applyFont="1" applyBorder="1" applyAlignment="1">
      <alignment horizontal="center" vertical="center"/>
    </xf>
    <xf numFmtId="165" fontId="13" fillId="0" borderId="0" xfId="0" applyNumberFormat="1" applyFont="1" applyAlignment="1">
      <alignment horizontal="left" vertical="center"/>
    </xf>
    <xf numFmtId="0" fontId="8" fillId="0" borderId="31" xfId="0" applyFont="1" applyBorder="1" applyAlignment="1">
      <alignment horizontal="justify" vertical="center" wrapText="1"/>
    </xf>
    <xf numFmtId="0" fontId="8" fillId="0" borderId="0" xfId="0" applyFont="1" applyAlignment="1">
      <alignment horizontal="justify" vertical="center" wrapText="1"/>
    </xf>
    <xf numFmtId="0" fontId="8" fillId="0" borderId="20" xfId="0" applyFont="1" applyBorder="1" applyAlignment="1">
      <alignment horizontal="justify" vertical="center" wrapText="1"/>
    </xf>
    <xf numFmtId="0" fontId="13" fillId="0" borderId="5" xfId="0" applyFont="1" applyBorder="1" applyAlignment="1">
      <alignment horizontal="center"/>
    </xf>
    <xf numFmtId="0" fontId="16" fillId="0" borderId="5" xfId="0" applyFont="1" applyBorder="1" applyAlignment="1">
      <alignment horizontal="right"/>
    </xf>
    <xf numFmtId="0" fontId="13" fillId="0" borderId="5" xfId="0" applyFont="1" applyBorder="1" applyAlignment="1">
      <alignment horizontal="justify" vertical="center" wrapText="1"/>
    </xf>
    <xf numFmtId="0" fontId="13" fillId="0" borderId="5" xfId="0" applyFont="1" applyBorder="1" applyAlignment="1">
      <alignment horizontal="center" vertical="center"/>
    </xf>
    <xf numFmtId="0" fontId="7" fillId="0" borderId="5" xfId="0" applyFont="1" applyBorder="1" applyAlignment="1">
      <alignment horizontal="right"/>
    </xf>
    <xf numFmtId="0" fontId="0" fillId="0" borderId="5" xfId="0" applyBorder="1" applyAlignment="1">
      <alignment horizontal="center"/>
    </xf>
    <xf numFmtId="0" fontId="13" fillId="0" borderId="5" xfId="0" applyFont="1" applyBorder="1" applyAlignment="1">
      <alignment horizontal="left" vertical="center"/>
    </xf>
    <xf numFmtId="0" fontId="7" fillId="0" borderId="5" xfId="0" applyFont="1" applyBorder="1" applyAlignment="1">
      <alignment horizontal="center"/>
    </xf>
    <xf numFmtId="0" fontId="16" fillId="0" borderId="5" xfId="0" applyFont="1" applyBorder="1" applyAlignment="1">
      <alignment horizontal="center"/>
    </xf>
    <xf numFmtId="164" fontId="13" fillId="0" borderId="5" xfId="0" applyNumberFormat="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167" fontId="13" fillId="0" borderId="5" xfId="0" applyNumberFormat="1" applyFont="1" applyBorder="1" applyAlignment="1">
      <alignment horizontal="center" vertical="center"/>
    </xf>
    <xf numFmtId="0" fontId="16" fillId="0" borderId="2" xfId="0" applyFont="1" applyBorder="1" applyAlignment="1">
      <alignment horizontal="center"/>
    </xf>
    <xf numFmtId="0" fontId="16" fillId="0" borderId="3" xfId="0" applyFont="1" applyBorder="1" applyAlignment="1">
      <alignment horizontal="center"/>
    </xf>
    <xf numFmtId="0" fontId="16" fillId="0" borderId="4" xfId="0" applyFont="1" applyBorder="1" applyAlignment="1">
      <alignment horizont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3" fillId="0" borderId="0" xfId="0" applyFont="1" applyAlignment="1">
      <alignment horizontal="left" vertical="center" wrapText="1"/>
    </xf>
    <xf numFmtId="0" fontId="0" fillId="0" borderId="5" xfId="0" applyBorder="1" applyAlignment="1">
      <alignment horizontal="center" vertical="center"/>
    </xf>
    <xf numFmtId="0" fontId="7" fillId="0" borderId="5" xfId="0" applyFont="1" applyBorder="1" applyAlignment="1">
      <alignment horizontal="center" vertical="center"/>
    </xf>
    <xf numFmtId="0" fontId="7" fillId="10" borderId="2" xfId="0" applyFont="1" applyFill="1" applyBorder="1" applyAlignment="1">
      <alignment horizontal="center"/>
    </xf>
    <xf numFmtId="0" fontId="7" fillId="10" borderId="3" xfId="0" applyFont="1" applyFill="1" applyBorder="1" applyAlignment="1">
      <alignment horizontal="center"/>
    </xf>
    <xf numFmtId="0" fontId="7" fillId="10" borderId="4" xfId="0" applyFont="1" applyFill="1" applyBorder="1" applyAlignment="1">
      <alignment horizontal="center"/>
    </xf>
    <xf numFmtId="0" fontId="7" fillId="10" borderId="5" xfId="0" applyFont="1" applyFill="1" applyBorder="1" applyAlignment="1">
      <alignment horizontal="center"/>
    </xf>
    <xf numFmtId="0" fontId="0" fillId="8" borderId="7" xfId="0" applyFill="1" applyBorder="1" applyAlignment="1">
      <alignment horizontal="center"/>
    </xf>
    <xf numFmtId="0" fontId="0" fillId="8" borderId="0" xfId="0" applyFill="1" applyAlignment="1">
      <alignment horizontal="center"/>
    </xf>
    <xf numFmtId="0" fontId="0" fillId="8" borderId="15" xfId="0" applyFill="1" applyBorder="1" applyAlignment="1">
      <alignment horizontal="center"/>
    </xf>
    <xf numFmtId="0" fontId="0" fillId="9" borderId="12" xfId="0" applyFill="1" applyBorder="1" applyAlignment="1">
      <alignment horizontal="center"/>
    </xf>
    <xf numFmtId="0" fontId="0" fillId="9" borderId="13" xfId="0" applyFill="1" applyBorder="1" applyAlignment="1">
      <alignment horizontal="center"/>
    </xf>
    <xf numFmtId="0" fontId="0" fillId="9" borderId="14" xfId="0" applyFill="1" applyBorder="1" applyAlignment="1">
      <alignment horizontal="center"/>
    </xf>
    <xf numFmtId="0" fontId="6" fillId="4" borderId="5" xfId="0" applyFont="1" applyFill="1" applyBorder="1" applyAlignment="1">
      <alignment horizontal="center" vertical="center"/>
    </xf>
    <xf numFmtId="0" fontId="7" fillId="0" borderId="5" xfId="0" applyFont="1" applyBorder="1" applyAlignment="1">
      <alignment horizontal="center" vertical="center" wrapText="1"/>
    </xf>
    <xf numFmtId="0" fontId="25" fillId="0" borderId="0" xfId="0" applyFont="1" applyBorder="1" applyAlignment="1">
      <alignment horizontal="center" vertical="center"/>
    </xf>
    <xf numFmtId="165" fontId="25" fillId="0" borderId="0" xfId="0" applyNumberFormat="1" applyFont="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8183597672859"/>
          <c:y val="0.18300925925925926"/>
          <c:w val="0.86484165160288817"/>
          <c:h val="0.58584463400408282"/>
        </c:manualLayout>
      </c:layout>
      <c:lineChart>
        <c:grouping val="stacked"/>
        <c:varyColors val="0"/>
        <c:ser>
          <c:idx val="1"/>
          <c:order val="1"/>
          <c:tx>
            <c:strRef>
              <c:f>Hoja1!$C$2</c:f>
              <c:strCache>
                <c:ptCount val="1"/>
                <c:pt idx="0">
                  <c:v>TEMPERATURA (°C)</c:v>
                </c:pt>
              </c:strCache>
            </c:strRef>
          </c:tx>
          <c:spPr>
            <a:ln w="9525" cap="rnd">
              <a:solidFill>
                <a:schemeClr val="accent2"/>
              </a:solidFill>
              <a:round/>
            </a:ln>
            <a:effectLst>
              <a:outerShdw blurRad="40000" dist="23000" dir="5400000" rotWithShape="0">
                <a:srgbClr val="000000">
                  <a:alpha val="35000"/>
                </a:srgbClr>
              </a:outerShdw>
            </a:effectLst>
          </c:spPr>
          <c:marker>
            <c:symbol val="none"/>
          </c:marker>
          <c:cat>
            <c:numRef>
              <c:f>Hoja1!$B$3:$B$46</c:f>
              <c:numCache>
                <c:formatCode>h:mm:ss;@</c:formatCode>
                <c:ptCount val="44"/>
                <c:pt idx="0">
                  <c:v>0.34320601851851851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Hoja1!$C$3:$C$46</c:f>
              <c:numCache>
                <c:formatCode>General</c:formatCode>
                <c:ptCount val="44"/>
                <c:pt idx="0">
                  <c:v>93.05</c:v>
                </c:pt>
                <c:pt idx="1">
                  <c:v>104.67</c:v>
                </c:pt>
                <c:pt idx="2">
                  <c:v>114.34</c:v>
                </c:pt>
                <c:pt idx="3" formatCode="0.00">
                  <c:v>122.96</c:v>
                </c:pt>
                <c:pt idx="4" formatCode="0.00">
                  <c:v>123.08</c:v>
                </c:pt>
                <c:pt idx="5" formatCode="0.00">
                  <c:v>123.15</c:v>
                </c:pt>
                <c:pt idx="6" formatCode="0.00">
                  <c:v>123.22</c:v>
                </c:pt>
                <c:pt idx="7" formatCode="0.00">
                  <c:v>123.1</c:v>
                </c:pt>
                <c:pt idx="8" formatCode="0.00">
                  <c:v>123.33</c:v>
                </c:pt>
                <c:pt idx="9" formatCode="0.00">
                  <c:v>123.21</c:v>
                </c:pt>
                <c:pt idx="10" formatCode="0.00">
                  <c:v>123.45</c:v>
                </c:pt>
                <c:pt idx="11" formatCode="0.00">
                  <c:v>123.38</c:v>
                </c:pt>
                <c:pt idx="12" formatCode="0.00">
                  <c:v>123.29</c:v>
                </c:pt>
                <c:pt idx="13" formatCode="0.00">
                  <c:v>123.51</c:v>
                </c:pt>
                <c:pt idx="14" formatCode="0.00">
                  <c:v>123.76</c:v>
                </c:pt>
                <c:pt idx="15" formatCode="0.00">
                  <c:v>123.12</c:v>
                </c:pt>
                <c:pt idx="16" formatCode="0.00">
                  <c:v>123.18</c:v>
                </c:pt>
                <c:pt idx="17" formatCode="0.00">
                  <c:v>123.07</c:v>
                </c:pt>
                <c:pt idx="18" formatCode="0.00">
                  <c:v>123.26</c:v>
                </c:pt>
                <c:pt idx="19" formatCode="0.00">
                  <c:v>123.61</c:v>
                </c:pt>
                <c:pt idx="20" formatCode="0.00">
                  <c:v>123.3</c:v>
                </c:pt>
                <c:pt idx="21" formatCode="0.00">
                  <c:v>123.43</c:v>
                </c:pt>
                <c:pt idx="22" formatCode="0.00">
                  <c:v>123.72</c:v>
                </c:pt>
                <c:pt idx="23" formatCode="0.00">
                  <c:v>123.28</c:v>
                </c:pt>
                <c:pt idx="24" formatCode="0.00">
                  <c:v>123.37</c:v>
                </c:pt>
                <c:pt idx="25" formatCode="0.00">
                  <c:v>123.47</c:v>
                </c:pt>
                <c:pt idx="26" formatCode="0.00">
                  <c:v>123.65</c:v>
                </c:pt>
                <c:pt idx="27" formatCode="0.00">
                  <c:v>123.52</c:v>
                </c:pt>
                <c:pt idx="28" formatCode="0.00">
                  <c:v>123.14</c:v>
                </c:pt>
                <c:pt idx="29" formatCode="0.00">
                  <c:v>123.34</c:v>
                </c:pt>
                <c:pt idx="30" formatCode="0.00">
                  <c:v>123.09</c:v>
                </c:pt>
                <c:pt idx="31" formatCode="0.00">
                  <c:v>123.19</c:v>
                </c:pt>
                <c:pt idx="32" formatCode="0.00">
                  <c:v>123.53</c:v>
                </c:pt>
                <c:pt idx="33" formatCode="0.00">
                  <c:v>123.77</c:v>
                </c:pt>
                <c:pt idx="34" formatCode="0.00">
                  <c:v>123.63</c:v>
                </c:pt>
                <c:pt idx="35" formatCode="0.00">
                  <c:v>123.49</c:v>
                </c:pt>
                <c:pt idx="36" formatCode="0.00">
                  <c:v>123.22</c:v>
                </c:pt>
                <c:pt idx="37" formatCode="0.00">
                  <c:v>123.4</c:v>
                </c:pt>
                <c:pt idx="38" formatCode="0.00">
                  <c:v>123.68</c:v>
                </c:pt>
                <c:pt idx="39" formatCode="0.00">
                  <c:v>123.24</c:v>
                </c:pt>
                <c:pt idx="40" formatCode="0.00">
                  <c:v>119.43</c:v>
                </c:pt>
                <c:pt idx="41" formatCode="0.00">
                  <c:v>115.22</c:v>
                </c:pt>
                <c:pt idx="42" formatCode="0.00">
                  <c:v>111.7</c:v>
                </c:pt>
                <c:pt idx="43" formatCode="0.00">
                  <c:v>107.1</c:v>
                </c:pt>
              </c:numCache>
            </c:numRef>
          </c:val>
          <c:smooth val="0"/>
          <c:extLst>
            <c:ext xmlns:c16="http://schemas.microsoft.com/office/drawing/2014/chart" uri="{C3380CC4-5D6E-409C-BE32-E72D297353CC}">
              <c16:uniqueId val="{00000001-BE46-4E48-BFC1-3821CCAC0F3E}"/>
            </c:ext>
          </c:extLst>
        </c:ser>
        <c:dLbls>
          <c:showLegendKey val="0"/>
          <c:showVal val="0"/>
          <c:showCatName val="0"/>
          <c:showSerName val="0"/>
          <c:showPercent val="0"/>
          <c:showBubbleSize val="0"/>
        </c:dLbls>
        <c:smooth val="0"/>
        <c:axId val="1458151823"/>
        <c:axId val="1458147023"/>
        <c:extLst>
          <c:ext xmlns:c15="http://schemas.microsoft.com/office/drawing/2012/chart" uri="{02D57815-91ED-43cb-92C2-25804820EDAC}">
            <c15:filteredLineSeries>
              <c15:ser>
                <c:idx val="0"/>
                <c:order val="0"/>
                <c:tx>
                  <c:strRef>
                    <c:extLst>
                      <c:ext uri="{02D57815-91ED-43cb-92C2-25804820EDAC}">
                        <c15:formulaRef>
                          <c15:sqref>Hoja1!#REF!</c15:sqref>
                        </c15:formulaRef>
                      </c:ext>
                    </c:extLst>
                    <c:strCache>
                      <c:ptCount val="1"/>
                      <c:pt idx="0">
                        <c:v>#REF!</c:v>
                      </c:pt>
                    </c:strCache>
                  </c:strRef>
                </c:tx>
                <c:spPr>
                  <a:ln w="9525" cap="rnd">
                    <a:solidFill>
                      <a:schemeClr val="accent1"/>
                    </a:solidFill>
                    <a:round/>
                  </a:ln>
                  <a:effectLst>
                    <a:outerShdw blurRad="40000" dist="23000" dir="5400000" rotWithShape="0">
                      <a:srgbClr val="000000">
                        <a:alpha val="35000"/>
                      </a:srgbClr>
                    </a:outerShdw>
                  </a:effectLst>
                </c:spPr>
                <c:marker>
                  <c:symbol val="none"/>
                </c:marker>
                <c:cat>
                  <c:numRef>
                    <c:extLst>
                      <c:ext uri="{02D57815-91ED-43cb-92C2-25804820EDAC}">
                        <c15:formulaRef>
                          <c15:sqref>Hoja1!$B$3:$B$46</c15:sqref>
                        </c15:formulaRef>
                      </c:ext>
                    </c:extLst>
                    <c:numCache>
                      <c:formatCode>h:mm:ss;@</c:formatCode>
                      <c:ptCount val="44"/>
                      <c:pt idx="0">
                        <c:v>0.34320601851851851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extLst>
                      <c:ext uri="{02D57815-91ED-43cb-92C2-25804820EDAC}">
                        <c15:formulaRef>
                          <c15:sqref>Hoja1!#REF!</c15:sqref>
                        </c15:formulaRef>
                      </c:ext>
                    </c:extLst>
                    <c:numCache>
                      <c:formatCode>General</c:formatCode>
                      <c:ptCount val="1"/>
                      <c:pt idx="0">
                        <c:v>1</c:v>
                      </c:pt>
                    </c:numCache>
                  </c:numRef>
                </c:val>
                <c:smooth val="0"/>
                <c:extLst>
                  <c:ext xmlns:c16="http://schemas.microsoft.com/office/drawing/2014/chart" uri="{C3380CC4-5D6E-409C-BE32-E72D297353CC}">
                    <c16:uniqueId val="{00000000-BE46-4E48-BFC1-3821CCAC0F3E}"/>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Hoja1!#REF!</c15:sqref>
                        </c15:formulaRef>
                      </c:ext>
                    </c:extLst>
                    <c:strCache>
                      <c:ptCount val="1"/>
                      <c:pt idx="0">
                        <c:v>#REF!</c:v>
                      </c:pt>
                    </c:strCache>
                  </c:strRef>
                </c:tx>
                <c:spPr>
                  <a:ln w="9525" cap="rnd">
                    <a:solidFill>
                      <a:schemeClr val="accent3"/>
                    </a:solidFill>
                    <a:round/>
                  </a:ln>
                  <a:effectLst>
                    <a:outerShdw blurRad="40000" dist="23000" dir="5400000" rotWithShape="0">
                      <a:srgbClr val="000000">
                        <a:alpha val="35000"/>
                      </a:srgbClr>
                    </a:outerShdw>
                  </a:effectLst>
                </c:spPr>
                <c:marker>
                  <c:symbol val="none"/>
                </c:marker>
                <c:cat>
                  <c:numRef>
                    <c:extLst xmlns:c15="http://schemas.microsoft.com/office/drawing/2012/chart">
                      <c:ext xmlns:c15="http://schemas.microsoft.com/office/drawing/2012/chart" uri="{02D57815-91ED-43cb-92C2-25804820EDAC}">
                        <c15:formulaRef>
                          <c15:sqref>Hoja1!$B$3:$B$46</c15:sqref>
                        </c15:formulaRef>
                      </c:ext>
                    </c:extLst>
                    <c:numCache>
                      <c:formatCode>h:mm:ss;@</c:formatCode>
                      <c:ptCount val="44"/>
                      <c:pt idx="0">
                        <c:v>0.34320601851851851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extLst xmlns:c15="http://schemas.microsoft.com/office/drawing/2012/chart">
                      <c:ext xmlns:c15="http://schemas.microsoft.com/office/drawing/2012/chart" uri="{02D57815-91ED-43cb-92C2-25804820EDAC}">
                        <c15:formulaRef>
                          <c15:sqref>Hoja1!#REF!</c15:sqref>
                        </c15:formulaRef>
                      </c:ext>
                    </c:extLst>
                    <c:numCache>
                      <c:formatCode>General</c:formatCode>
                      <c:ptCount val="1"/>
                      <c:pt idx="0">
                        <c:v>1</c:v>
                      </c:pt>
                    </c:numCache>
                  </c:numRef>
                </c:val>
                <c:smooth val="0"/>
                <c:extLst xmlns:c15="http://schemas.microsoft.com/office/drawing/2012/chart">
                  <c:ext xmlns:c16="http://schemas.microsoft.com/office/drawing/2014/chart" uri="{C3380CC4-5D6E-409C-BE32-E72D297353CC}">
                    <c16:uniqueId val="{00000002-BE46-4E48-BFC1-3821CCAC0F3E}"/>
                  </c:ext>
                </c:extLst>
              </c15:ser>
            </c15:filteredLineSeries>
          </c:ext>
        </c:extLst>
      </c:lineChart>
      <c:catAx>
        <c:axId val="1458151823"/>
        <c:scaling>
          <c:orientation val="minMax"/>
        </c:scaling>
        <c:delete val="0"/>
        <c:axPos val="b"/>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58147023"/>
        <c:crosses val="autoZero"/>
        <c:auto val="1"/>
        <c:lblAlgn val="ctr"/>
        <c:lblOffset val="100"/>
        <c:tickLblSkip val="6"/>
        <c:tickMarkSkip val="3"/>
        <c:noMultiLvlLbl val="0"/>
      </c:catAx>
      <c:valAx>
        <c:axId val="1458147023"/>
        <c:scaling>
          <c:orientation val="minMax"/>
          <c:min val="9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Temperatura (°C)</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5815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522045155496144E-2"/>
          <c:y val="5.0925925925925923E-2"/>
          <c:w val="0.85570970571649363"/>
          <c:h val="0.8416746864975212"/>
        </c:manualLayout>
      </c:layout>
      <c:lineChart>
        <c:grouping val="stacked"/>
        <c:varyColors val="0"/>
        <c:ser>
          <c:idx val="0"/>
          <c:order val="0"/>
          <c:spPr>
            <a:ln w="19050" cap="rnd">
              <a:solidFill>
                <a:schemeClr val="accent1"/>
              </a:solidFill>
              <a:round/>
            </a:ln>
            <a:effectLst/>
          </c:spPr>
          <c:marker>
            <c:symbol val="none"/>
          </c:marker>
          <c:cat>
            <c:numRef>
              <c:f>Hoja1!$B$52:$B$95</c:f>
              <c:numCache>
                <c:formatCode>h:mm:ss</c:formatCode>
                <c:ptCount val="44"/>
                <c:pt idx="0">
                  <c:v>0.4777777777777778</c:v>
                </c:pt>
                <c:pt idx="1">
                  <c:v>0.47847222222222224</c:v>
                </c:pt>
                <c:pt idx="2">
                  <c:v>0.47916666666666669</c:v>
                </c:pt>
                <c:pt idx="3">
                  <c:v>0.47986111111111113</c:v>
                </c:pt>
                <c:pt idx="4">
                  <c:v>0.48055555555555557</c:v>
                </c:pt>
                <c:pt idx="5">
                  <c:v>0.48125000000000001</c:v>
                </c:pt>
                <c:pt idx="6">
                  <c:v>0.48194444444444445</c:v>
                </c:pt>
                <c:pt idx="7">
                  <c:v>0.4826388888888889</c:v>
                </c:pt>
                <c:pt idx="8">
                  <c:v>0.48333333333333334</c:v>
                </c:pt>
                <c:pt idx="9">
                  <c:v>0.48402777777777778</c:v>
                </c:pt>
                <c:pt idx="10">
                  <c:v>0.48472222222222222</c:v>
                </c:pt>
                <c:pt idx="11">
                  <c:v>0.48541666666666666</c:v>
                </c:pt>
                <c:pt idx="12">
                  <c:v>0.4861111111111111</c:v>
                </c:pt>
                <c:pt idx="13">
                  <c:v>0.48680555555555555</c:v>
                </c:pt>
                <c:pt idx="14">
                  <c:v>0.48749999999999999</c:v>
                </c:pt>
                <c:pt idx="15">
                  <c:v>0.48819444444444443</c:v>
                </c:pt>
                <c:pt idx="16">
                  <c:v>0.48888888888888887</c:v>
                </c:pt>
                <c:pt idx="17">
                  <c:v>0.48958333333333331</c:v>
                </c:pt>
                <c:pt idx="18">
                  <c:v>0.49027777777777776</c:v>
                </c:pt>
                <c:pt idx="19">
                  <c:v>0.4909722222222222</c:v>
                </c:pt>
                <c:pt idx="20">
                  <c:v>0.49166666666666664</c:v>
                </c:pt>
                <c:pt idx="21">
                  <c:v>0.49236111111111114</c:v>
                </c:pt>
                <c:pt idx="22">
                  <c:v>0.49305555555555558</c:v>
                </c:pt>
                <c:pt idx="23">
                  <c:v>0.49375000000000002</c:v>
                </c:pt>
                <c:pt idx="24">
                  <c:v>0.49444444444444446</c:v>
                </c:pt>
                <c:pt idx="25">
                  <c:v>0.49513888888888891</c:v>
                </c:pt>
                <c:pt idx="26">
                  <c:v>0.49583333333333335</c:v>
                </c:pt>
                <c:pt idx="27">
                  <c:v>0.49652777777777779</c:v>
                </c:pt>
                <c:pt idx="28">
                  <c:v>0.49722222222222223</c:v>
                </c:pt>
                <c:pt idx="29">
                  <c:v>0.49791666666666667</c:v>
                </c:pt>
                <c:pt idx="30">
                  <c:v>0.49861111111111112</c:v>
                </c:pt>
                <c:pt idx="31">
                  <c:v>0.49930555555555556</c:v>
                </c:pt>
                <c:pt idx="32">
                  <c:v>0.5</c:v>
                </c:pt>
                <c:pt idx="33">
                  <c:v>0.50069444444444444</c:v>
                </c:pt>
                <c:pt idx="34">
                  <c:v>0.50138888888888888</c:v>
                </c:pt>
                <c:pt idx="35">
                  <c:v>0.50208333333333333</c:v>
                </c:pt>
                <c:pt idx="36">
                  <c:v>0.50277777777777777</c:v>
                </c:pt>
                <c:pt idx="37">
                  <c:v>0.50347222222222221</c:v>
                </c:pt>
                <c:pt idx="38">
                  <c:v>0.50416666666666665</c:v>
                </c:pt>
                <c:pt idx="39">
                  <c:v>0.50486111111111109</c:v>
                </c:pt>
                <c:pt idx="40">
                  <c:v>0.50555555555555554</c:v>
                </c:pt>
                <c:pt idx="41">
                  <c:v>0.50624999999999998</c:v>
                </c:pt>
                <c:pt idx="42">
                  <c:v>0.50694444444444442</c:v>
                </c:pt>
                <c:pt idx="43">
                  <c:v>0.50763888888888886</c:v>
                </c:pt>
              </c:numCache>
            </c:numRef>
          </c:cat>
          <c:val>
            <c:numRef>
              <c:f>Hoja1!$C$52:$C$95</c:f>
              <c:numCache>
                <c:formatCode>General</c:formatCode>
                <c:ptCount val="44"/>
                <c:pt idx="0">
                  <c:v>0</c:v>
                </c:pt>
                <c:pt idx="1">
                  <c:v>0.96</c:v>
                </c:pt>
                <c:pt idx="2">
                  <c:v>1.53</c:v>
                </c:pt>
                <c:pt idx="3" formatCode="0.00">
                  <c:v>1.93</c:v>
                </c:pt>
                <c:pt idx="4" formatCode="0.00">
                  <c:v>1.95</c:v>
                </c:pt>
                <c:pt idx="5" formatCode="0.00">
                  <c:v>1.97</c:v>
                </c:pt>
                <c:pt idx="6" formatCode="0.00">
                  <c:v>1.94</c:v>
                </c:pt>
                <c:pt idx="7" formatCode="0.00">
                  <c:v>1.96</c:v>
                </c:pt>
                <c:pt idx="8" formatCode="0.00">
                  <c:v>1.99</c:v>
                </c:pt>
                <c:pt idx="9" formatCode="0.00">
                  <c:v>1.98</c:v>
                </c:pt>
                <c:pt idx="10" formatCode="0.00">
                  <c:v>2.0099999999999998</c:v>
                </c:pt>
                <c:pt idx="11" formatCode="0.00">
                  <c:v>1.93</c:v>
                </c:pt>
                <c:pt idx="12" formatCode="0.00">
                  <c:v>2.02</c:v>
                </c:pt>
                <c:pt idx="13" formatCode="0.00">
                  <c:v>1.94</c:v>
                </c:pt>
                <c:pt idx="14" formatCode="0.00">
                  <c:v>2.0299999999999998</c:v>
                </c:pt>
                <c:pt idx="15" formatCode="0.00">
                  <c:v>1.95</c:v>
                </c:pt>
                <c:pt idx="16" formatCode="0.00">
                  <c:v>1.96</c:v>
                </c:pt>
                <c:pt idx="17" formatCode="0.00">
                  <c:v>1.97</c:v>
                </c:pt>
                <c:pt idx="18" formatCode="0.00">
                  <c:v>1.98</c:v>
                </c:pt>
                <c:pt idx="19" formatCode="0.00">
                  <c:v>1.99</c:v>
                </c:pt>
                <c:pt idx="20" formatCode="0.00">
                  <c:v>2</c:v>
                </c:pt>
                <c:pt idx="21" formatCode="0.00">
                  <c:v>2.0099999999999998</c:v>
                </c:pt>
                <c:pt idx="22" formatCode="0.00">
                  <c:v>2.0299999999999998</c:v>
                </c:pt>
                <c:pt idx="23" formatCode="0.00">
                  <c:v>1.92</c:v>
                </c:pt>
                <c:pt idx="24" formatCode="0.00">
                  <c:v>1.94</c:v>
                </c:pt>
                <c:pt idx="25" formatCode="0.00">
                  <c:v>1.96</c:v>
                </c:pt>
                <c:pt idx="26" formatCode="0.00">
                  <c:v>1.98</c:v>
                </c:pt>
                <c:pt idx="27" formatCode="0.00">
                  <c:v>1.99</c:v>
                </c:pt>
                <c:pt idx="28" formatCode="0.00">
                  <c:v>2</c:v>
                </c:pt>
                <c:pt idx="29" formatCode="0.00">
                  <c:v>2.02</c:v>
                </c:pt>
                <c:pt idx="30" formatCode="0.00">
                  <c:v>2.0299999999999998</c:v>
                </c:pt>
                <c:pt idx="31" formatCode="0.00">
                  <c:v>1.93</c:v>
                </c:pt>
                <c:pt idx="32" formatCode="0.00">
                  <c:v>1.95</c:v>
                </c:pt>
                <c:pt idx="33" formatCode="0.00">
                  <c:v>1.97</c:v>
                </c:pt>
                <c:pt idx="34" formatCode="0.00">
                  <c:v>1.99</c:v>
                </c:pt>
                <c:pt idx="35" formatCode="0.00">
                  <c:v>1.92</c:v>
                </c:pt>
                <c:pt idx="36" formatCode="0.00">
                  <c:v>1.94</c:v>
                </c:pt>
                <c:pt idx="37" formatCode="0.00">
                  <c:v>1.96</c:v>
                </c:pt>
                <c:pt idx="38" formatCode="0.00">
                  <c:v>1.98</c:v>
                </c:pt>
                <c:pt idx="39" formatCode="0.00">
                  <c:v>2.0099999999999998</c:v>
                </c:pt>
                <c:pt idx="40" formatCode="0.00">
                  <c:v>1.97</c:v>
                </c:pt>
                <c:pt idx="41" formatCode="0.00">
                  <c:v>0.56999999999999995</c:v>
                </c:pt>
                <c:pt idx="42" formatCode="0.00">
                  <c:v>0.24</c:v>
                </c:pt>
                <c:pt idx="43" formatCode="0.00">
                  <c:v>0</c:v>
                </c:pt>
              </c:numCache>
            </c:numRef>
          </c:val>
          <c:smooth val="0"/>
          <c:extLst>
            <c:ext xmlns:c16="http://schemas.microsoft.com/office/drawing/2014/chart" uri="{C3380CC4-5D6E-409C-BE32-E72D297353CC}">
              <c16:uniqueId val="{00000000-D19C-4DF9-A0D1-79451275923F}"/>
            </c:ext>
          </c:extLst>
        </c:ser>
        <c:ser>
          <c:idx val="1"/>
          <c:order val="1"/>
          <c:spPr>
            <a:ln w="19050" cap="rnd">
              <a:solidFill>
                <a:schemeClr val="accent2"/>
              </a:solidFill>
              <a:round/>
            </a:ln>
            <a:effectLst/>
          </c:spPr>
          <c:marker>
            <c:symbol val="none"/>
          </c:marker>
          <c:cat>
            <c:numRef>
              <c:f>Hoja1!$B$52:$B$95</c:f>
              <c:numCache>
                <c:formatCode>h:mm:ss</c:formatCode>
                <c:ptCount val="44"/>
                <c:pt idx="0">
                  <c:v>0.4777777777777778</c:v>
                </c:pt>
                <c:pt idx="1">
                  <c:v>0.47847222222222224</c:v>
                </c:pt>
                <c:pt idx="2">
                  <c:v>0.47916666666666669</c:v>
                </c:pt>
                <c:pt idx="3">
                  <c:v>0.47986111111111113</c:v>
                </c:pt>
                <c:pt idx="4">
                  <c:v>0.48055555555555557</c:v>
                </c:pt>
                <c:pt idx="5">
                  <c:v>0.48125000000000001</c:v>
                </c:pt>
                <c:pt idx="6">
                  <c:v>0.48194444444444445</c:v>
                </c:pt>
                <c:pt idx="7">
                  <c:v>0.4826388888888889</c:v>
                </c:pt>
                <c:pt idx="8">
                  <c:v>0.48333333333333334</c:v>
                </c:pt>
                <c:pt idx="9">
                  <c:v>0.48402777777777778</c:v>
                </c:pt>
                <c:pt idx="10">
                  <c:v>0.48472222222222222</c:v>
                </c:pt>
                <c:pt idx="11">
                  <c:v>0.48541666666666666</c:v>
                </c:pt>
                <c:pt idx="12">
                  <c:v>0.4861111111111111</c:v>
                </c:pt>
                <c:pt idx="13">
                  <c:v>0.48680555555555555</c:v>
                </c:pt>
                <c:pt idx="14">
                  <c:v>0.48749999999999999</c:v>
                </c:pt>
                <c:pt idx="15">
                  <c:v>0.48819444444444443</c:v>
                </c:pt>
                <c:pt idx="16">
                  <c:v>0.48888888888888887</c:v>
                </c:pt>
                <c:pt idx="17">
                  <c:v>0.48958333333333331</c:v>
                </c:pt>
                <c:pt idx="18">
                  <c:v>0.49027777777777776</c:v>
                </c:pt>
                <c:pt idx="19">
                  <c:v>0.4909722222222222</c:v>
                </c:pt>
                <c:pt idx="20">
                  <c:v>0.49166666666666664</c:v>
                </c:pt>
                <c:pt idx="21">
                  <c:v>0.49236111111111114</c:v>
                </c:pt>
                <c:pt idx="22">
                  <c:v>0.49305555555555558</c:v>
                </c:pt>
                <c:pt idx="23">
                  <c:v>0.49375000000000002</c:v>
                </c:pt>
                <c:pt idx="24">
                  <c:v>0.49444444444444446</c:v>
                </c:pt>
                <c:pt idx="25">
                  <c:v>0.49513888888888891</c:v>
                </c:pt>
                <c:pt idx="26">
                  <c:v>0.49583333333333335</c:v>
                </c:pt>
                <c:pt idx="27">
                  <c:v>0.49652777777777779</c:v>
                </c:pt>
                <c:pt idx="28">
                  <c:v>0.49722222222222223</c:v>
                </c:pt>
                <c:pt idx="29">
                  <c:v>0.49791666666666667</c:v>
                </c:pt>
                <c:pt idx="30">
                  <c:v>0.49861111111111112</c:v>
                </c:pt>
                <c:pt idx="31">
                  <c:v>0.49930555555555556</c:v>
                </c:pt>
                <c:pt idx="32">
                  <c:v>0.5</c:v>
                </c:pt>
                <c:pt idx="33">
                  <c:v>0.50069444444444444</c:v>
                </c:pt>
                <c:pt idx="34">
                  <c:v>0.50138888888888888</c:v>
                </c:pt>
                <c:pt idx="35">
                  <c:v>0.50208333333333333</c:v>
                </c:pt>
                <c:pt idx="36">
                  <c:v>0.50277777777777777</c:v>
                </c:pt>
                <c:pt idx="37">
                  <c:v>0.50347222222222221</c:v>
                </c:pt>
                <c:pt idx="38">
                  <c:v>0.50416666666666665</c:v>
                </c:pt>
                <c:pt idx="39">
                  <c:v>0.50486111111111109</c:v>
                </c:pt>
                <c:pt idx="40">
                  <c:v>0.50555555555555554</c:v>
                </c:pt>
                <c:pt idx="41">
                  <c:v>0.50624999999999998</c:v>
                </c:pt>
                <c:pt idx="42">
                  <c:v>0.50694444444444442</c:v>
                </c:pt>
                <c:pt idx="43">
                  <c:v>0.50763888888888886</c:v>
                </c:pt>
              </c:numCache>
            </c:numRef>
          </c:cat>
          <c:val>
            <c:numRef>
              <c:f>Hoja1!#REF!</c:f>
              <c:numCache>
                <c:formatCode>General</c:formatCode>
                <c:ptCount val="44"/>
              </c:numCache>
            </c:numRef>
          </c:val>
          <c:smooth val="0"/>
          <c:extLst>
            <c:ext xmlns:c16="http://schemas.microsoft.com/office/drawing/2014/chart" uri="{C3380CC4-5D6E-409C-BE32-E72D297353CC}">
              <c16:uniqueId val="{00000001-D19C-4DF9-A0D1-79451275923F}"/>
            </c:ext>
          </c:extLst>
        </c:ser>
        <c:dLbls>
          <c:showLegendKey val="0"/>
          <c:showVal val="0"/>
          <c:showCatName val="0"/>
          <c:showSerName val="0"/>
          <c:showPercent val="0"/>
          <c:showBubbleSize val="0"/>
        </c:dLbls>
        <c:smooth val="0"/>
        <c:axId val="356756543"/>
        <c:axId val="356757983"/>
      </c:lineChart>
      <c:catAx>
        <c:axId val="356756543"/>
        <c:scaling>
          <c:orientation val="minMax"/>
        </c:scaling>
        <c:delete val="0"/>
        <c:axPos val="b"/>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6757983"/>
        <c:crosses val="autoZero"/>
        <c:auto val="1"/>
        <c:lblAlgn val="ctr"/>
        <c:lblOffset val="100"/>
        <c:tickLblSkip val="6"/>
        <c:tickMarkSkip val="3"/>
        <c:noMultiLvlLbl val="0"/>
      </c:catAx>
      <c:valAx>
        <c:axId val="35675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Presión (Bar)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56756543"/>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svg"/><Relationship Id="rId9" Type="http://schemas.openxmlformats.org/officeDocument/2006/relationships/image" Target="../media/image10.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121920</xdr:colOff>
      <xdr:row>2</xdr:row>
      <xdr:rowOff>76442</xdr:rowOff>
    </xdr:from>
    <xdr:ext cx="487680" cy="7299718"/>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87440" y="503162"/>
          <a:ext cx="487680" cy="7299718"/>
        </a:xfrm>
        <a:prstGeom prst="rect">
          <a:avLst/>
        </a:prstGeom>
      </xdr:spPr>
    </xdr:pic>
    <xdr:clientData/>
  </xdr:oneCellAnchor>
  <xdr:twoCellAnchor editAs="oneCell">
    <xdr:from>
      <xdr:col>0</xdr:col>
      <xdr:colOff>297179</xdr:colOff>
      <xdr:row>281</xdr:row>
      <xdr:rowOff>0</xdr:rowOff>
    </xdr:from>
    <xdr:to>
      <xdr:col>19</xdr:col>
      <xdr:colOff>59176</xdr:colOff>
      <xdr:row>294</xdr:row>
      <xdr:rowOff>0</xdr:rowOff>
    </xdr:to>
    <xdr:pic>
      <xdr:nvPicPr>
        <xdr:cNvPr id="35" name="Imagen 34">
          <a:extLst>
            <a:ext uri="{FF2B5EF4-FFF2-40B4-BE49-F238E27FC236}">
              <a16:creationId xmlns:a16="http://schemas.microsoft.com/office/drawing/2014/main" id="{B574D191-8C74-48B3-4007-17B54A566A30}"/>
            </a:ext>
          </a:extLst>
        </xdr:cNvPr>
        <xdr:cNvPicPr>
          <a:picLocks noChangeAspect="1"/>
        </xdr:cNvPicPr>
      </xdr:nvPicPr>
      <xdr:blipFill>
        <a:blip xmlns:r="http://schemas.openxmlformats.org/officeDocument/2006/relationships" r:embed="rId5"/>
        <a:stretch>
          <a:fillRect/>
        </a:stretch>
      </xdr:blipFill>
      <xdr:spPr>
        <a:xfrm>
          <a:off x="297179" y="56593740"/>
          <a:ext cx="5972297" cy="2377440"/>
        </a:xfrm>
        <a:prstGeom prst="rect">
          <a:avLst/>
        </a:prstGeom>
      </xdr:spPr>
    </xdr:pic>
    <xdr:clientData/>
  </xdr:twoCellAnchor>
  <xdr:twoCellAnchor editAs="oneCell">
    <xdr:from>
      <xdr:col>0</xdr:col>
      <xdr:colOff>312420</xdr:colOff>
      <xdr:row>297</xdr:row>
      <xdr:rowOff>167532</xdr:rowOff>
    </xdr:from>
    <xdr:to>
      <xdr:col>18</xdr:col>
      <xdr:colOff>205740</xdr:colOff>
      <xdr:row>310</xdr:row>
      <xdr:rowOff>91439</xdr:rowOff>
    </xdr:to>
    <xdr:pic>
      <xdr:nvPicPr>
        <xdr:cNvPr id="37" name="Imagen 36">
          <a:extLst>
            <a:ext uri="{FF2B5EF4-FFF2-40B4-BE49-F238E27FC236}">
              <a16:creationId xmlns:a16="http://schemas.microsoft.com/office/drawing/2014/main" id="{4DC98044-EC14-4713-55C1-1B5C79C0C55F}"/>
            </a:ext>
          </a:extLst>
        </xdr:cNvPr>
        <xdr:cNvPicPr>
          <a:picLocks noChangeAspect="1"/>
        </xdr:cNvPicPr>
      </xdr:nvPicPr>
      <xdr:blipFill>
        <a:blip xmlns:r="http://schemas.openxmlformats.org/officeDocument/2006/relationships" r:embed="rId6"/>
        <a:stretch>
          <a:fillRect/>
        </a:stretch>
      </xdr:blipFill>
      <xdr:spPr>
        <a:xfrm>
          <a:off x="312420" y="59687352"/>
          <a:ext cx="5836920" cy="2301347"/>
        </a:xfrm>
        <a:prstGeom prst="rect">
          <a:avLst/>
        </a:prstGeom>
      </xdr:spPr>
    </xdr:pic>
    <xdr:clientData/>
  </xdr:twoCellAnchor>
  <xdr:twoCellAnchor editAs="oneCell">
    <xdr:from>
      <xdr:col>0</xdr:col>
      <xdr:colOff>320040</xdr:colOff>
      <xdr:row>439</xdr:row>
      <xdr:rowOff>21128</xdr:rowOff>
    </xdr:from>
    <xdr:to>
      <xdr:col>18</xdr:col>
      <xdr:colOff>251460</xdr:colOff>
      <xdr:row>452</xdr:row>
      <xdr:rowOff>129540</xdr:rowOff>
    </xdr:to>
    <xdr:pic>
      <xdr:nvPicPr>
        <xdr:cNvPr id="38" name="Imagen 37">
          <a:extLst>
            <a:ext uri="{FF2B5EF4-FFF2-40B4-BE49-F238E27FC236}">
              <a16:creationId xmlns:a16="http://schemas.microsoft.com/office/drawing/2014/main" id="{CD0553FC-AA98-236F-04B9-14C9D39631B9}"/>
            </a:ext>
          </a:extLst>
        </xdr:cNvPr>
        <xdr:cNvPicPr>
          <a:picLocks noChangeAspect="1"/>
        </xdr:cNvPicPr>
      </xdr:nvPicPr>
      <xdr:blipFill>
        <a:blip xmlns:r="http://schemas.openxmlformats.org/officeDocument/2006/relationships" r:embed="rId7"/>
        <a:stretch>
          <a:fillRect/>
        </a:stretch>
      </xdr:blipFill>
      <xdr:spPr>
        <a:xfrm>
          <a:off x="320040" y="87765428"/>
          <a:ext cx="5875020" cy="2485852"/>
        </a:xfrm>
        <a:prstGeom prst="rect">
          <a:avLst/>
        </a:prstGeom>
      </xdr:spPr>
    </xdr:pic>
    <xdr:clientData/>
  </xdr:twoCellAnchor>
  <xdr:twoCellAnchor editAs="oneCell">
    <xdr:from>
      <xdr:col>1</xdr:col>
      <xdr:colOff>22860</xdr:colOff>
      <xdr:row>455</xdr:row>
      <xdr:rowOff>160020</xdr:rowOff>
    </xdr:from>
    <xdr:to>
      <xdr:col>18</xdr:col>
      <xdr:colOff>243840</xdr:colOff>
      <xdr:row>467</xdr:row>
      <xdr:rowOff>65241</xdr:rowOff>
    </xdr:to>
    <xdr:pic>
      <xdr:nvPicPr>
        <xdr:cNvPr id="12" name="Imagen 11">
          <a:extLst>
            <a:ext uri="{FF2B5EF4-FFF2-40B4-BE49-F238E27FC236}">
              <a16:creationId xmlns:a16="http://schemas.microsoft.com/office/drawing/2014/main" id="{897CE5AB-4F75-9E39-C142-E2D6F35E3653}"/>
            </a:ext>
          </a:extLst>
        </xdr:cNvPr>
        <xdr:cNvPicPr>
          <a:picLocks noChangeAspect="1"/>
        </xdr:cNvPicPr>
      </xdr:nvPicPr>
      <xdr:blipFill>
        <a:blip xmlns:r="http://schemas.openxmlformats.org/officeDocument/2006/relationships" r:embed="rId8"/>
        <a:stretch>
          <a:fillRect/>
        </a:stretch>
      </xdr:blipFill>
      <xdr:spPr>
        <a:xfrm>
          <a:off x="350520" y="90830400"/>
          <a:ext cx="5836920" cy="2099781"/>
        </a:xfrm>
        <a:prstGeom prst="rect">
          <a:avLst/>
        </a:prstGeom>
      </xdr:spPr>
    </xdr:pic>
    <xdr:clientData/>
  </xdr:twoCellAnchor>
  <xdr:oneCellAnchor>
    <xdr:from>
      <xdr:col>0</xdr:col>
      <xdr:colOff>297179</xdr:colOff>
      <xdr:row>656</xdr:row>
      <xdr:rowOff>0</xdr:rowOff>
    </xdr:from>
    <xdr:ext cx="5972297" cy="2377440"/>
    <xdr:pic>
      <xdr:nvPicPr>
        <xdr:cNvPr id="29" name="Imagen 28">
          <a:extLst>
            <a:ext uri="{FF2B5EF4-FFF2-40B4-BE49-F238E27FC236}">
              <a16:creationId xmlns:a16="http://schemas.microsoft.com/office/drawing/2014/main" id="{1B39D21D-08CA-4E58-BFE7-DE57CAE855D9}"/>
            </a:ext>
          </a:extLst>
        </xdr:cNvPr>
        <xdr:cNvPicPr>
          <a:picLocks noChangeAspect="1"/>
        </xdr:cNvPicPr>
      </xdr:nvPicPr>
      <xdr:blipFill>
        <a:blip xmlns:r="http://schemas.openxmlformats.org/officeDocument/2006/relationships" r:embed="rId5"/>
        <a:stretch>
          <a:fillRect/>
        </a:stretch>
      </xdr:blipFill>
      <xdr:spPr>
        <a:xfrm>
          <a:off x="297179" y="56548020"/>
          <a:ext cx="5972297" cy="2377440"/>
        </a:xfrm>
        <a:prstGeom prst="rect">
          <a:avLst/>
        </a:prstGeom>
      </xdr:spPr>
    </xdr:pic>
    <xdr:clientData/>
  </xdr:oneCellAnchor>
  <xdr:oneCellAnchor>
    <xdr:from>
      <xdr:col>0</xdr:col>
      <xdr:colOff>312420</xdr:colOff>
      <xdr:row>672</xdr:row>
      <xdr:rowOff>167532</xdr:rowOff>
    </xdr:from>
    <xdr:ext cx="5836920" cy="2301347"/>
    <xdr:pic>
      <xdr:nvPicPr>
        <xdr:cNvPr id="31" name="Imagen 30">
          <a:extLst>
            <a:ext uri="{FF2B5EF4-FFF2-40B4-BE49-F238E27FC236}">
              <a16:creationId xmlns:a16="http://schemas.microsoft.com/office/drawing/2014/main" id="{CB28D48E-0E07-45BE-B923-8D7C33C9510C}"/>
            </a:ext>
          </a:extLst>
        </xdr:cNvPr>
        <xdr:cNvPicPr>
          <a:picLocks noChangeAspect="1"/>
        </xdr:cNvPicPr>
      </xdr:nvPicPr>
      <xdr:blipFill>
        <a:blip xmlns:r="http://schemas.openxmlformats.org/officeDocument/2006/relationships" r:embed="rId6"/>
        <a:stretch>
          <a:fillRect/>
        </a:stretch>
      </xdr:blipFill>
      <xdr:spPr>
        <a:xfrm>
          <a:off x="312420" y="59641632"/>
          <a:ext cx="5836920" cy="2301347"/>
        </a:xfrm>
        <a:prstGeom prst="rect">
          <a:avLst/>
        </a:prstGeom>
      </xdr:spPr>
    </xdr:pic>
    <xdr:clientData/>
  </xdr:oneCellAnchor>
  <xdr:oneCellAnchor>
    <xdr:from>
      <xdr:col>0</xdr:col>
      <xdr:colOff>320040</xdr:colOff>
      <xdr:row>824</xdr:row>
      <xdr:rowOff>21128</xdr:rowOff>
    </xdr:from>
    <xdr:ext cx="5875020" cy="2485852"/>
    <xdr:pic>
      <xdr:nvPicPr>
        <xdr:cNvPr id="33" name="Imagen 32">
          <a:extLst>
            <a:ext uri="{FF2B5EF4-FFF2-40B4-BE49-F238E27FC236}">
              <a16:creationId xmlns:a16="http://schemas.microsoft.com/office/drawing/2014/main" id="{ED7DB339-4237-4185-B8CB-B531D75C724D}"/>
            </a:ext>
          </a:extLst>
        </xdr:cNvPr>
        <xdr:cNvPicPr>
          <a:picLocks noChangeAspect="1"/>
        </xdr:cNvPicPr>
      </xdr:nvPicPr>
      <xdr:blipFill>
        <a:blip xmlns:r="http://schemas.openxmlformats.org/officeDocument/2006/relationships" r:embed="rId7"/>
        <a:stretch>
          <a:fillRect/>
        </a:stretch>
      </xdr:blipFill>
      <xdr:spPr>
        <a:xfrm>
          <a:off x="320040" y="87765428"/>
          <a:ext cx="5875020" cy="2485852"/>
        </a:xfrm>
        <a:prstGeom prst="rect">
          <a:avLst/>
        </a:prstGeom>
      </xdr:spPr>
    </xdr:pic>
    <xdr:clientData/>
  </xdr:oneCellAnchor>
  <xdr:oneCellAnchor>
    <xdr:from>
      <xdr:col>1</xdr:col>
      <xdr:colOff>22860</xdr:colOff>
      <xdr:row>840</xdr:row>
      <xdr:rowOff>160020</xdr:rowOff>
    </xdr:from>
    <xdr:ext cx="5836920" cy="2099781"/>
    <xdr:pic>
      <xdr:nvPicPr>
        <xdr:cNvPr id="36" name="Imagen 35">
          <a:extLst>
            <a:ext uri="{FF2B5EF4-FFF2-40B4-BE49-F238E27FC236}">
              <a16:creationId xmlns:a16="http://schemas.microsoft.com/office/drawing/2014/main" id="{298D9731-1568-443E-9E75-54FA64E0932E}"/>
            </a:ext>
          </a:extLst>
        </xdr:cNvPr>
        <xdr:cNvPicPr>
          <a:picLocks noChangeAspect="1"/>
        </xdr:cNvPicPr>
      </xdr:nvPicPr>
      <xdr:blipFill>
        <a:blip xmlns:r="http://schemas.openxmlformats.org/officeDocument/2006/relationships" r:embed="rId8"/>
        <a:stretch>
          <a:fillRect/>
        </a:stretch>
      </xdr:blipFill>
      <xdr:spPr>
        <a:xfrm>
          <a:off x="350520" y="90830400"/>
          <a:ext cx="5836920" cy="2099781"/>
        </a:xfrm>
        <a:prstGeom prst="rect">
          <a:avLst/>
        </a:prstGeom>
      </xdr:spPr>
    </xdr:pic>
    <xdr:clientData/>
  </xdr:oneCellAnchor>
  <xdr:twoCellAnchor>
    <xdr:from>
      <xdr:col>10</xdr:col>
      <xdr:colOff>45720</xdr:colOff>
      <xdr:row>871</xdr:row>
      <xdr:rowOff>45720</xdr:rowOff>
    </xdr:from>
    <xdr:to>
      <xdr:col>12</xdr:col>
      <xdr:colOff>60960</xdr:colOff>
      <xdr:row>873</xdr:row>
      <xdr:rowOff>91440</xdr:rowOff>
    </xdr:to>
    <xdr:sp macro="" textlink="">
      <xdr:nvSpPr>
        <xdr:cNvPr id="39" name="CuadroTexto 38">
          <a:extLst>
            <a:ext uri="{FF2B5EF4-FFF2-40B4-BE49-F238E27FC236}">
              <a16:creationId xmlns:a16="http://schemas.microsoft.com/office/drawing/2014/main" id="{024119A9-977F-46FE-8B11-AE8F9E00915E}"/>
            </a:ext>
          </a:extLst>
        </xdr:cNvPr>
        <xdr:cNvSpPr txBox="1"/>
      </xdr:nvSpPr>
      <xdr:spPr>
        <a:xfrm>
          <a:off x="3322320" y="95867220"/>
          <a:ext cx="670560" cy="411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900"/>
            <a:t>Antes del proceso</a:t>
          </a:r>
        </a:p>
      </xdr:txBody>
    </xdr:sp>
    <xdr:clientData/>
  </xdr:twoCellAnchor>
  <xdr:twoCellAnchor>
    <xdr:from>
      <xdr:col>10</xdr:col>
      <xdr:colOff>91440</xdr:colOff>
      <xdr:row>877</xdr:row>
      <xdr:rowOff>0</xdr:rowOff>
    </xdr:from>
    <xdr:to>
      <xdr:col>12</xdr:col>
      <xdr:colOff>167640</xdr:colOff>
      <xdr:row>879</xdr:row>
      <xdr:rowOff>76200</xdr:rowOff>
    </xdr:to>
    <xdr:sp macro="" textlink="">
      <xdr:nvSpPr>
        <xdr:cNvPr id="40" name="CuadroTexto 39">
          <a:extLst>
            <a:ext uri="{FF2B5EF4-FFF2-40B4-BE49-F238E27FC236}">
              <a16:creationId xmlns:a16="http://schemas.microsoft.com/office/drawing/2014/main" id="{CFC4A087-DF6C-4948-9D05-E05249C03086}"/>
            </a:ext>
          </a:extLst>
        </xdr:cNvPr>
        <xdr:cNvSpPr txBox="1"/>
      </xdr:nvSpPr>
      <xdr:spPr>
        <a:xfrm>
          <a:off x="3368040" y="96918780"/>
          <a:ext cx="731520" cy="441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900"/>
            <a:t>Despues del proceso</a:t>
          </a:r>
        </a:p>
      </xdr:txBody>
    </xdr:sp>
    <xdr:clientData/>
  </xdr:twoCellAnchor>
  <xdr:twoCellAnchor editAs="oneCell">
    <xdr:from>
      <xdr:col>1</xdr:col>
      <xdr:colOff>312420</xdr:colOff>
      <xdr:row>883</xdr:row>
      <xdr:rowOff>99060</xdr:rowOff>
    </xdr:from>
    <xdr:to>
      <xdr:col>12</xdr:col>
      <xdr:colOff>91440</xdr:colOff>
      <xdr:row>891</xdr:row>
      <xdr:rowOff>152400</xdr:rowOff>
    </xdr:to>
    <xdr:pic>
      <xdr:nvPicPr>
        <xdr:cNvPr id="41" name="Imagen 40">
          <a:extLst>
            <a:ext uri="{FF2B5EF4-FFF2-40B4-BE49-F238E27FC236}">
              <a16:creationId xmlns:a16="http://schemas.microsoft.com/office/drawing/2014/main" id="{BCF58B80-7A78-48CB-85A0-ACB9392F74E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40080" y="98115120"/>
          <a:ext cx="342900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xdr:colOff>
      <xdr:row>869</xdr:row>
      <xdr:rowOff>137160</xdr:rowOff>
    </xdr:from>
    <xdr:to>
      <xdr:col>8</xdr:col>
      <xdr:colOff>106680</xdr:colOff>
      <xdr:row>873</xdr:row>
      <xdr:rowOff>82009</xdr:rowOff>
    </xdr:to>
    <xdr:pic>
      <xdr:nvPicPr>
        <xdr:cNvPr id="42" name="Imagen 41">
          <a:extLst>
            <a:ext uri="{FF2B5EF4-FFF2-40B4-BE49-F238E27FC236}">
              <a16:creationId xmlns:a16="http://schemas.microsoft.com/office/drawing/2014/main" id="{621DF639-E316-4C92-BCA6-B6721F80EBF9}"/>
            </a:ext>
          </a:extLst>
        </xdr:cNvPr>
        <xdr:cNvPicPr>
          <a:picLocks noChangeAspect="1"/>
        </xdr:cNvPicPr>
      </xdr:nvPicPr>
      <xdr:blipFill>
        <a:blip xmlns:r="http://schemas.openxmlformats.org/officeDocument/2006/relationships" r:embed="rId10"/>
        <a:stretch>
          <a:fillRect/>
        </a:stretch>
      </xdr:blipFill>
      <xdr:spPr>
        <a:xfrm>
          <a:off x="358140" y="95592900"/>
          <a:ext cx="2385060" cy="676369"/>
        </a:xfrm>
        <a:prstGeom prst="rect">
          <a:avLst/>
        </a:prstGeom>
      </xdr:spPr>
    </xdr:pic>
    <xdr:clientData/>
  </xdr:twoCellAnchor>
  <xdr:twoCellAnchor editAs="oneCell">
    <xdr:from>
      <xdr:col>1</xdr:col>
      <xdr:colOff>45721</xdr:colOff>
      <xdr:row>875</xdr:row>
      <xdr:rowOff>114300</xdr:rowOff>
    </xdr:from>
    <xdr:to>
      <xdr:col>8</xdr:col>
      <xdr:colOff>121921</xdr:colOff>
      <xdr:row>879</xdr:row>
      <xdr:rowOff>49644</xdr:rowOff>
    </xdr:to>
    <xdr:pic>
      <xdr:nvPicPr>
        <xdr:cNvPr id="43" name="Imagen 42">
          <a:extLst>
            <a:ext uri="{FF2B5EF4-FFF2-40B4-BE49-F238E27FC236}">
              <a16:creationId xmlns:a16="http://schemas.microsoft.com/office/drawing/2014/main" id="{0DCE6947-45B1-4D63-B7A5-4A208089D546}"/>
            </a:ext>
          </a:extLst>
        </xdr:cNvPr>
        <xdr:cNvPicPr>
          <a:picLocks noChangeAspect="1"/>
        </xdr:cNvPicPr>
      </xdr:nvPicPr>
      <xdr:blipFill>
        <a:blip xmlns:r="http://schemas.openxmlformats.org/officeDocument/2006/relationships" r:embed="rId11"/>
        <a:stretch>
          <a:fillRect/>
        </a:stretch>
      </xdr:blipFill>
      <xdr:spPr>
        <a:xfrm>
          <a:off x="373381" y="96667320"/>
          <a:ext cx="2385060" cy="666864"/>
        </a:xfrm>
        <a:prstGeom prst="rect">
          <a:avLst/>
        </a:prstGeom>
      </xdr:spPr>
    </xdr:pic>
    <xdr:clientData/>
  </xdr:twoCellAnchor>
  <xdr:twoCellAnchor>
    <xdr:from>
      <xdr:col>6</xdr:col>
      <xdr:colOff>297180</xdr:colOff>
      <xdr:row>871</xdr:row>
      <xdr:rowOff>121920</xdr:rowOff>
    </xdr:from>
    <xdr:to>
      <xdr:col>9</xdr:col>
      <xdr:colOff>289560</xdr:colOff>
      <xdr:row>872</xdr:row>
      <xdr:rowOff>45720</xdr:rowOff>
    </xdr:to>
    <xdr:cxnSp macro="">
      <xdr:nvCxnSpPr>
        <xdr:cNvPr id="44" name="Conector recto de flecha 43">
          <a:extLst>
            <a:ext uri="{FF2B5EF4-FFF2-40B4-BE49-F238E27FC236}">
              <a16:creationId xmlns:a16="http://schemas.microsoft.com/office/drawing/2014/main" id="{5D7ACC04-4758-4422-9DEC-23FA329D50F5}"/>
            </a:ext>
          </a:extLst>
        </xdr:cNvPr>
        <xdr:cNvCxnSpPr/>
      </xdr:nvCxnSpPr>
      <xdr:spPr>
        <a:xfrm>
          <a:off x="2263140" y="95943420"/>
          <a:ext cx="975360" cy="1066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7620</xdr:colOff>
      <xdr:row>877</xdr:row>
      <xdr:rowOff>129540</xdr:rowOff>
    </xdr:from>
    <xdr:to>
      <xdr:col>10</xdr:col>
      <xdr:colOff>7620</xdr:colOff>
      <xdr:row>878</xdr:row>
      <xdr:rowOff>15240</xdr:rowOff>
    </xdr:to>
    <xdr:cxnSp macro="">
      <xdr:nvCxnSpPr>
        <xdr:cNvPr id="45" name="Conector recto de flecha 44">
          <a:extLst>
            <a:ext uri="{FF2B5EF4-FFF2-40B4-BE49-F238E27FC236}">
              <a16:creationId xmlns:a16="http://schemas.microsoft.com/office/drawing/2014/main" id="{E7FFAEC3-BACE-4300-9AB2-70CCA794309E}"/>
            </a:ext>
          </a:extLst>
        </xdr:cNvPr>
        <xdr:cNvCxnSpPr/>
      </xdr:nvCxnSpPr>
      <xdr:spPr>
        <a:xfrm>
          <a:off x="2301240" y="97048320"/>
          <a:ext cx="982980" cy="685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45720</xdr:colOff>
      <xdr:row>487</xdr:row>
      <xdr:rowOff>45720</xdr:rowOff>
    </xdr:from>
    <xdr:to>
      <xdr:col>12</xdr:col>
      <xdr:colOff>60960</xdr:colOff>
      <xdr:row>489</xdr:row>
      <xdr:rowOff>91440</xdr:rowOff>
    </xdr:to>
    <xdr:sp macro="" textlink="">
      <xdr:nvSpPr>
        <xdr:cNvPr id="46" name="CuadroTexto 45">
          <a:extLst>
            <a:ext uri="{FF2B5EF4-FFF2-40B4-BE49-F238E27FC236}">
              <a16:creationId xmlns:a16="http://schemas.microsoft.com/office/drawing/2014/main" id="{2CC5B743-82C3-47ED-8A8D-1C18B1F585A3}"/>
            </a:ext>
          </a:extLst>
        </xdr:cNvPr>
        <xdr:cNvSpPr txBox="1"/>
      </xdr:nvSpPr>
      <xdr:spPr>
        <a:xfrm>
          <a:off x="3322320" y="95867220"/>
          <a:ext cx="670560" cy="411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900"/>
            <a:t>Antes del proceso</a:t>
          </a:r>
        </a:p>
      </xdr:txBody>
    </xdr:sp>
    <xdr:clientData/>
  </xdr:twoCellAnchor>
  <xdr:twoCellAnchor>
    <xdr:from>
      <xdr:col>10</xdr:col>
      <xdr:colOff>91440</xdr:colOff>
      <xdr:row>493</xdr:row>
      <xdr:rowOff>0</xdr:rowOff>
    </xdr:from>
    <xdr:to>
      <xdr:col>12</xdr:col>
      <xdr:colOff>167640</xdr:colOff>
      <xdr:row>495</xdr:row>
      <xdr:rowOff>76200</xdr:rowOff>
    </xdr:to>
    <xdr:sp macro="" textlink="">
      <xdr:nvSpPr>
        <xdr:cNvPr id="47" name="CuadroTexto 46">
          <a:extLst>
            <a:ext uri="{FF2B5EF4-FFF2-40B4-BE49-F238E27FC236}">
              <a16:creationId xmlns:a16="http://schemas.microsoft.com/office/drawing/2014/main" id="{4B974FCB-F823-466F-A12A-C365C350F1CE}"/>
            </a:ext>
          </a:extLst>
        </xdr:cNvPr>
        <xdr:cNvSpPr txBox="1"/>
      </xdr:nvSpPr>
      <xdr:spPr>
        <a:xfrm>
          <a:off x="3368040" y="96918780"/>
          <a:ext cx="731520" cy="441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900"/>
            <a:t>Despues del proceso</a:t>
          </a:r>
        </a:p>
      </xdr:txBody>
    </xdr:sp>
    <xdr:clientData/>
  </xdr:twoCellAnchor>
  <xdr:twoCellAnchor editAs="oneCell">
    <xdr:from>
      <xdr:col>1</xdr:col>
      <xdr:colOff>312420</xdr:colOff>
      <xdr:row>499</xdr:row>
      <xdr:rowOff>99060</xdr:rowOff>
    </xdr:from>
    <xdr:to>
      <xdr:col>12</xdr:col>
      <xdr:colOff>91440</xdr:colOff>
      <xdr:row>507</xdr:row>
      <xdr:rowOff>152400</xdr:rowOff>
    </xdr:to>
    <xdr:pic>
      <xdr:nvPicPr>
        <xdr:cNvPr id="48" name="Imagen 47">
          <a:extLst>
            <a:ext uri="{FF2B5EF4-FFF2-40B4-BE49-F238E27FC236}">
              <a16:creationId xmlns:a16="http://schemas.microsoft.com/office/drawing/2014/main" id="{BB95A7FE-5E98-45C6-9A57-8BC4110BD7B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40080" y="98115120"/>
          <a:ext cx="342900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xdr:colOff>
      <xdr:row>485</xdr:row>
      <xdr:rowOff>137160</xdr:rowOff>
    </xdr:from>
    <xdr:to>
      <xdr:col>8</xdr:col>
      <xdr:colOff>106680</xdr:colOff>
      <xdr:row>489</xdr:row>
      <xdr:rowOff>82009</xdr:rowOff>
    </xdr:to>
    <xdr:pic>
      <xdr:nvPicPr>
        <xdr:cNvPr id="49" name="Imagen 48">
          <a:extLst>
            <a:ext uri="{FF2B5EF4-FFF2-40B4-BE49-F238E27FC236}">
              <a16:creationId xmlns:a16="http://schemas.microsoft.com/office/drawing/2014/main" id="{13A6DE11-9CDE-485E-AE97-AAB61DC6BD93}"/>
            </a:ext>
          </a:extLst>
        </xdr:cNvPr>
        <xdr:cNvPicPr>
          <a:picLocks noChangeAspect="1"/>
        </xdr:cNvPicPr>
      </xdr:nvPicPr>
      <xdr:blipFill>
        <a:blip xmlns:r="http://schemas.openxmlformats.org/officeDocument/2006/relationships" r:embed="rId10"/>
        <a:stretch>
          <a:fillRect/>
        </a:stretch>
      </xdr:blipFill>
      <xdr:spPr>
        <a:xfrm>
          <a:off x="358140" y="95592900"/>
          <a:ext cx="2385060" cy="676369"/>
        </a:xfrm>
        <a:prstGeom prst="rect">
          <a:avLst/>
        </a:prstGeom>
      </xdr:spPr>
    </xdr:pic>
    <xdr:clientData/>
  </xdr:twoCellAnchor>
  <xdr:twoCellAnchor editAs="oneCell">
    <xdr:from>
      <xdr:col>1</xdr:col>
      <xdr:colOff>45721</xdr:colOff>
      <xdr:row>491</xdr:row>
      <xdr:rowOff>114300</xdr:rowOff>
    </xdr:from>
    <xdr:to>
      <xdr:col>8</xdr:col>
      <xdr:colOff>121921</xdr:colOff>
      <xdr:row>495</xdr:row>
      <xdr:rowOff>49644</xdr:rowOff>
    </xdr:to>
    <xdr:pic>
      <xdr:nvPicPr>
        <xdr:cNvPr id="52" name="Imagen 51">
          <a:extLst>
            <a:ext uri="{FF2B5EF4-FFF2-40B4-BE49-F238E27FC236}">
              <a16:creationId xmlns:a16="http://schemas.microsoft.com/office/drawing/2014/main" id="{E110AF65-7DBA-4588-AC9C-F8EA114C474D}"/>
            </a:ext>
          </a:extLst>
        </xdr:cNvPr>
        <xdr:cNvPicPr>
          <a:picLocks noChangeAspect="1"/>
        </xdr:cNvPicPr>
      </xdr:nvPicPr>
      <xdr:blipFill>
        <a:blip xmlns:r="http://schemas.openxmlformats.org/officeDocument/2006/relationships" r:embed="rId11"/>
        <a:stretch>
          <a:fillRect/>
        </a:stretch>
      </xdr:blipFill>
      <xdr:spPr>
        <a:xfrm>
          <a:off x="373381" y="96667320"/>
          <a:ext cx="2385060" cy="666864"/>
        </a:xfrm>
        <a:prstGeom prst="rect">
          <a:avLst/>
        </a:prstGeom>
      </xdr:spPr>
    </xdr:pic>
    <xdr:clientData/>
  </xdr:twoCellAnchor>
  <xdr:twoCellAnchor>
    <xdr:from>
      <xdr:col>6</xdr:col>
      <xdr:colOff>297180</xdr:colOff>
      <xdr:row>487</xdr:row>
      <xdr:rowOff>121920</xdr:rowOff>
    </xdr:from>
    <xdr:to>
      <xdr:col>9</xdr:col>
      <xdr:colOff>289560</xdr:colOff>
      <xdr:row>488</xdr:row>
      <xdr:rowOff>45720</xdr:rowOff>
    </xdr:to>
    <xdr:cxnSp macro="">
      <xdr:nvCxnSpPr>
        <xdr:cNvPr id="53" name="Conector recto de flecha 52">
          <a:extLst>
            <a:ext uri="{FF2B5EF4-FFF2-40B4-BE49-F238E27FC236}">
              <a16:creationId xmlns:a16="http://schemas.microsoft.com/office/drawing/2014/main" id="{DE05D971-BE00-4A1F-873B-F0B9B0285BAC}"/>
            </a:ext>
          </a:extLst>
        </xdr:cNvPr>
        <xdr:cNvCxnSpPr/>
      </xdr:nvCxnSpPr>
      <xdr:spPr>
        <a:xfrm>
          <a:off x="2263140" y="95943420"/>
          <a:ext cx="975360" cy="1066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7620</xdr:colOff>
      <xdr:row>493</xdr:row>
      <xdr:rowOff>129540</xdr:rowOff>
    </xdr:from>
    <xdr:to>
      <xdr:col>10</xdr:col>
      <xdr:colOff>7620</xdr:colOff>
      <xdr:row>494</xdr:row>
      <xdr:rowOff>15240</xdr:rowOff>
    </xdr:to>
    <xdr:cxnSp macro="">
      <xdr:nvCxnSpPr>
        <xdr:cNvPr id="54" name="Conector recto de flecha 53">
          <a:extLst>
            <a:ext uri="{FF2B5EF4-FFF2-40B4-BE49-F238E27FC236}">
              <a16:creationId xmlns:a16="http://schemas.microsoft.com/office/drawing/2014/main" id="{F6A398C4-4244-4EA3-A0AB-278E1453F083}"/>
            </a:ext>
          </a:extLst>
        </xdr:cNvPr>
        <xdr:cNvCxnSpPr/>
      </xdr:nvCxnSpPr>
      <xdr:spPr>
        <a:xfrm>
          <a:off x="2301240" y="97048320"/>
          <a:ext cx="982980" cy="685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312420</xdr:colOff>
      <xdr:row>10</xdr:row>
      <xdr:rowOff>106680</xdr:rowOff>
    </xdr:from>
    <xdr:to>
      <xdr:col>10</xdr:col>
      <xdr:colOff>640080</xdr:colOff>
      <xdr:row>24</xdr:row>
      <xdr:rowOff>80010</xdr:rowOff>
    </xdr:to>
    <xdr:graphicFrame macro="">
      <xdr:nvGraphicFramePr>
        <xdr:cNvPr id="2" name="Gráfico 1">
          <a:extLst>
            <a:ext uri="{FF2B5EF4-FFF2-40B4-BE49-F238E27FC236}">
              <a16:creationId xmlns:a16="http://schemas.microsoft.com/office/drawing/2014/main" id="{87F8230E-03B4-EB1B-718A-D3DCB6146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77</xdr:row>
      <xdr:rowOff>49530</xdr:rowOff>
    </xdr:from>
    <xdr:to>
      <xdr:col>11</xdr:col>
      <xdr:colOff>213360</xdr:colOff>
      <xdr:row>92</xdr:row>
      <xdr:rowOff>49530</xdr:rowOff>
    </xdr:to>
    <xdr:graphicFrame macro="">
      <xdr:nvGraphicFramePr>
        <xdr:cNvPr id="3" name="Gráfico 2">
          <a:extLst>
            <a:ext uri="{FF2B5EF4-FFF2-40B4-BE49-F238E27FC236}">
              <a16:creationId xmlns:a16="http://schemas.microsoft.com/office/drawing/2014/main" id="{1C845ED5-DE29-D1B9-E413-46272CE16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E7" sqref="E7:E11"/>
    </sheetView>
  </sheetViews>
  <sheetFormatPr baseColWidth="10" defaultColWidth="3.6640625" defaultRowHeight="12.75" customHeight="1" x14ac:dyDescent="0.3"/>
  <cols>
    <col min="1" max="1" width="31.6640625" style="1" customWidth="1"/>
    <col min="2" max="2" width="28.5546875" style="1" bestFit="1" customWidth="1"/>
    <col min="3" max="3" width="16.5546875" style="1" customWidth="1"/>
    <col min="4" max="4" width="27.33203125" style="1" customWidth="1"/>
    <col min="5" max="5" width="34.109375" style="1" customWidth="1"/>
    <col min="6" max="6" width="11.21875" style="1" customWidth="1"/>
    <col min="7" max="7" width="20.109375" style="1" bestFit="1" customWidth="1"/>
    <col min="8" max="8" width="17.664062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215" t="s">
        <v>83</v>
      </c>
      <c r="B1" s="216"/>
      <c r="C1" s="216"/>
      <c r="D1" s="216"/>
      <c r="E1" s="216"/>
      <c r="F1" s="216"/>
      <c r="G1" s="216"/>
      <c r="H1" s="217"/>
      <c r="I1"/>
      <c r="J1"/>
      <c r="K1"/>
      <c r="L1"/>
      <c r="M1"/>
      <c r="N1"/>
      <c r="O1" t="s">
        <v>85</v>
      </c>
      <c r="P1"/>
      <c r="Q1"/>
      <c r="R1"/>
      <c r="S1"/>
      <c r="T1"/>
      <c r="U1"/>
      <c r="V1"/>
      <c r="W1"/>
      <c r="X1"/>
      <c r="Y1"/>
      <c r="Z1"/>
      <c r="AA1"/>
      <c r="AB1"/>
      <c r="AC1"/>
      <c r="AD1"/>
      <c r="AE1"/>
    </row>
    <row r="2" spans="1:31" ht="14.4" x14ac:dyDescent="0.3">
      <c r="A2" s="100" t="s">
        <v>167</v>
      </c>
      <c r="B2" s="100" t="s">
        <v>168</v>
      </c>
      <c r="C2" s="100" t="s">
        <v>169</v>
      </c>
      <c r="D2" s="100" t="s">
        <v>170</v>
      </c>
      <c r="E2" s="100" t="s">
        <v>171</v>
      </c>
      <c r="F2" s="100" t="s">
        <v>172</v>
      </c>
      <c r="G2" s="100" t="s">
        <v>173</v>
      </c>
      <c r="H2" s="100" t="s">
        <v>174</v>
      </c>
      <c r="I2"/>
      <c r="J2"/>
      <c r="K2"/>
      <c r="L2"/>
      <c r="M2"/>
      <c r="N2"/>
      <c r="O2" t="s">
        <v>92</v>
      </c>
      <c r="P2"/>
      <c r="Q2"/>
      <c r="R2"/>
      <c r="S2"/>
      <c r="T2"/>
      <c r="U2"/>
      <c r="V2"/>
      <c r="W2"/>
      <c r="X2"/>
      <c r="Y2"/>
      <c r="Z2"/>
      <c r="AA2"/>
      <c r="AB2"/>
      <c r="AC2"/>
      <c r="AD2"/>
      <c r="AE2"/>
    </row>
    <row r="3" spans="1:31" ht="12.75" customHeight="1" x14ac:dyDescent="0.3">
      <c r="A3" s="106"/>
      <c r="B3" s="106"/>
      <c r="C3" s="107"/>
      <c r="D3" s="108"/>
      <c r="E3" s="109"/>
      <c r="F3" s="110"/>
      <c r="G3" s="111"/>
      <c r="H3" s="112"/>
      <c r="I3"/>
      <c r="J3"/>
      <c r="K3"/>
      <c r="L3"/>
      <c r="M3"/>
      <c r="N3"/>
      <c r="O3"/>
      <c r="P3"/>
      <c r="Q3"/>
      <c r="R3"/>
      <c r="S3"/>
      <c r="T3"/>
      <c r="U3"/>
      <c r="V3"/>
      <c r="W3"/>
      <c r="X3"/>
      <c r="Y3"/>
      <c r="Z3"/>
      <c r="AA3"/>
      <c r="AB3"/>
      <c r="AC3"/>
      <c r="AD3"/>
      <c r="AE3"/>
    </row>
    <row r="4" spans="1:31" ht="12.75" customHeight="1" x14ac:dyDescent="0.3">
      <c r="C4"/>
      <c r="D4"/>
      <c r="E4"/>
      <c r="F4"/>
      <c r="H4"/>
      <c r="I4"/>
      <c r="J4"/>
      <c r="K4"/>
      <c r="L4"/>
      <c r="M4"/>
      <c r="N4"/>
      <c r="O4" t="s">
        <v>86</v>
      </c>
      <c r="P4"/>
      <c r="Q4"/>
      <c r="R4"/>
      <c r="S4"/>
      <c r="T4"/>
      <c r="U4"/>
      <c r="V4"/>
      <c r="W4"/>
      <c r="X4"/>
      <c r="Y4"/>
      <c r="Z4"/>
      <c r="AA4"/>
      <c r="AB4"/>
      <c r="AC4"/>
      <c r="AD4"/>
      <c r="AE4"/>
    </row>
    <row r="5" spans="1:31" ht="12.75" customHeight="1" x14ac:dyDescent="0.3">
      <c r="A5"/>
      <c r="B5"/>
      <c r="C5"/>
      <c r="D5"/>
      <c r="E5"/>
      <c r="F5"/>
      <c r="H5"/>
      <c r="I5"/>
      <c r="J5"/>
      <c r="K5"/>
      <c r="L5"/>
      <c r="M5"/>
      <c r="N5"/>
      <c r="O5" t="s">
        <v>93</v>
      </c>
      <c r="P5"/>
      <c r="Q5"/>
      <c r="R5"/>
      <c r="S5"/>
      <c r="T5"/>
      <c r="U5"/>
      <c r="V5"/>
      <c r="W5"/>
      <c r="X5"/>
      <c r="Y5"/>
      <c r="Z5"/>
      <c r="AA5"/>
      <c r="AB5"/>
      <c r="AC5"/>
      <c r="AD5"/>
      <c r="AE5"/>
    </row>
    <row r="6" spans="1:31" ht="12.75" customHeight="1" x14ac:dyDescent="0.3">
      <c r="A6" s="218" t="s">
        <v>84</v>
      </c>
      <c r="B6" s="218"/>
      <c r="C6"/>
      <c r="D6" s="99" t="s">
        <v>82</v>
      </c>
      <c r="E6" s="99"/>
      <c r="H6"/>
      <c r="I6"/>
      <c r="J6"/>
      <c r="K6"/>
      <c r="L6"/>
      <c r="M6"/>
      <c r="N6"/>
      <c r="O6" t="s">
        <v>94</v>
      </c>
      <c r="P6"/>
      <c r="Q6"/>
      <c r="R6"/>
      <c r="S6"/>
      <c r="T6"/>
      <c r="U6"/>
      <c r="V6"/>
      <c r="W6"/>
      <c r="X6"/>
      <c r="Y6"/>
      <c r="Z6"/>
      <c r="AA6"/>
      <c r="AB6"/>
      <c r="AC6"/>
      <c r="AD6"/>
      <c r="AE6"/>
    </row>
    <row r="7" spans="1:31" ht="12.75" customHeight="1" x14ac:dyDescent="0.3">
      <c r="A7" s="113" t="s">
        <v>5</v>
      </c>
      <c r="B7" s="88" t="s">
        <v>85</v>
      </c>
      <c r="C7"/>
      <c r="D7" s="113" t="s">
        <v>57</v>
      </c>
      <c r="E7" s="114"/>
      <c r="H7"/>
      <c r="I7"/>
      <c r="J7"/>
      <c r="K7"/>
      <c r="L7"/>
      <c r="M7"/>
      <c r="N7"/>
      <c r="O7"/>
      <c r="P7"/>
      <c r="Q7"/>
      <c r="R7"/>
      <c r="S7"/>
      <c r="T7"/>
      <c r="U7"/>
      <c r="V7"/>
      <c r="W7"/>
      <c r="X7"/>
      <c r="Y7"/>
      <c r="Z7"/>
      <c r="AA7"/>
      <c r="AB7"/>
      <c r="AC7"/>
      <c r="AD7"/>
      <c r="AE7"/>
    </row>
    <row r="8" spans="1:31" ht="12.75" customHeight="1" x14ac:dyDescent="0.3">
      <c r="A8" s="113" t="s">
        <v>175</v>
      </c>
      <c r="B8" s="88" t="s">
        <v>86</v>
      </c>
      <c r="C8"/>
      <c r="D8" s="113" t="s">
        <v>9</v>
      </c>
      <c r="E8" s="88"/>
      <c r="H8"/>
      <c r="I8"/>
      <c r="J8"/>
      <c r="K8"/>
      <c r="L8"/>
      <c r="M8"/>
      <c r="N8"/>
      <c r="O8"/>
      <c r="P8"/>
      <c r="Q8"/>
      <c r="R8"/>
      <c r="S8"/>
      <c r="T8"/>
      <c r="U8"/>
      <c r="V8"/>
      <c r="W8"/>
      <c r="X8"/>
      <c r="Y8"/>
      <c r="Z8"/>
      <c r="AA8"/>
      <c r="AB8"/>
      <c r="AC8"/>
      <c r="AD8"/>
      <c r="AE8"/>
    </row>
    <row r="9" spans="1:31" ht="12.75" customHeight="1" x14ac:dyDescent="0.3">
      <c r="A9" s="113" t="s">
        <v>4</v>
      </c>
      <c r="B9" s="115">
        <f>H3</f>
        <v>0</v>
      </c>
      <c r="C9"/>
      <c r="D9" s="113" t="s">
        <v>8</v>
      </c>
      <c r="E9" s="88"/>
      <c r="H9"/>
      <c r="I9"/>
      <c r="J9"/>
      <c r="K9"/>
      <c r="L9"/>
      <c r="M9"/>
      <c r="N9"/>
      <c r="O9"/>
      <c r="P9"/>
      <c r="Q9"/>
      <c r="R9"/>
      <c r="S9"/>
      <c r="T9"/>
      <c r="U9"/>
      <c r="V9"/>
      <c r="W9"/>
      <c r="X9"/>
      <c r="Y9"/>
      <c r="Z9"/>
      <c r="AA9"/>
      <c r="AB9"/>
      <c r="AC9"/>
      <c r="AD9"/>
      <c r="AE9"/>
    </row>
    <row r="10" spans="1:31" ht="12.75" customHeight="1" x14ac:dyDescent="0.3">
      <c r="A10" s="113" t="s">
        <v>3</v>
      </c>
      <c r="B10" s="115">
        <f>H3</f>
        <v>0</v>
      </c>
      <c r="C10"/>
      <c r="D10" s="113" t="s">
        <v>7</v>
      </c>
      <c r="E10" s="116"/>
      <c r="G10"/>
      <c r="H10"/>
      <c r="I10"/>
      <c r="J10"/>
      <c r="K10"/>
      <c r="L10"/>
      <c r="M10"/>
      <c r="N10"/>
      <c r="O10"/>
      <c r="P10"/>
      <c r="Q10"/>
      <c r="R10"/>
      <c r="S10"/>
      <c r="T10"/>
      <c r="U10"/>
      <c r="V10"/>
      <c r="W10"/>
      <c r="X10"/>
      <c r="Y10"/>
      <c r="Z10"/>
      <c r="AA10"/>
      <c r="AB10"/>
      <c r="AC10"/>
      <c r="AD10"/>
      <c r="AE10"/>
    </row>
    <row r="11" spans="1:31" ht="12.75" customHeight="1" x14ac:dyDescent="0.3">
      <c r="A11" s="113" t="s">
        <v>87</v>
      </c>
      <c r="B11" s="88">
        <v>24.1</v>
      </c>
      <c r="C11"/>
      <c r="D11" s="113" t="s">
        <v>6</v>
      </c>
      <c r="E11" s="116"/>
      <c r="G11"/>
      <c r="H11"/>
      <c r="I11"/>
      <c r="J11"/>
      <c r="K11"/>
      <c r="L11"/>
      <c r="M11"/>
      <c r="N11"/>
      <c r="O11"/>
      <c r="P11"/>
      <c r="Q11"/>
      <c r="R11"/>
      <c r="S11"/>
      <c r="T11"/>
      <c r="U11"/>
      <c r="V11"/>
      <c r="W11"/>
      <c r="X11"/>
      <c r="Y11"/>
      <c r="Z11"/>
      <c r="AA11"/>
      <c r="AB11"/>
      <c r="AC11"/>
      <c r="AD11"/>
      <c r="AE11"/>
    </row>
    <row r="12" spans="1:31" ht="12.75" customHeight="1" x14ac:dyDescent="0.3">
      <c r="A12" s="113" t="s">
        <v>88</v>
      </c>
      <c r="B12" s="88">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13" t="s">
        <v>89</v>
      </c>
      <c r="B13" s="88">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13" t="s">
        <v>90</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13" t="s">
        <v>91</v>
      </c>
      <c r="B15" s="88" t="s">
        <v>176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D23"/>
      <c r="E23"/>
      <c r="F23"/>
      <c r="G23"/>
      <c r="H23"/>
      <c r="I23"/>
      <c r="J23"/>
      <c r="K23"/>
      <c r="L23"/>
      <c r="M23"/>
      <c r="N23"/>
      <c r="O23"/>
      <c r="P23"/>
      <c r="Q23"/>
      <c r="R23"/>
      <c r="S23"/>
      <c r="T23"/>
      <c r="U23"/>
      <c r="V23"/>
      <c r="W23"/>
      <c r="X23"/>
      <c r="Y23"/>
      <c r="Z23"/>
      <c r="AA23"/>
      <c r="AB23"/>
      <c r="AC23"/>
      <c r="AD23"/>
      <c r="AE23"/>
    </row>
    <row r="24" spans="1:31" ht="12.75" customHeight="1" x14ac:dyDescent="0.3">
      <c r="A24"/>
      <c r="B24"/>
      <c r="C24"/>
      <c r="D24"/>
      <c r="E24"/>
      <c r="F24"/>
      <c r="G24"/>
      <c r="H24"/>
      <c r="I24"/>
      <c r="J24"/>
      <c r="K24"/>
      <c r="L24"/>
      <c r="M24"/>
      <c r="N24"/>
      <c r="O24"/>
      <c r="P24"/>
      <c r="Q24"/>
      <c r="R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F34"/>
      <c r="G34"/>
      <c r="H34"/>
      <c r="I34"/>
      <c r="J34"/>
      <c r="K34"/>
      <c r="L34"/>
      <c r="M34"/>
      <c r="N34"/>
      <c r="O34"/>
      <c r="P34"/>
      <c r="Q34"/>
      <c r="R34"/>
      <c r="S34"/>
      <c r="T34"/>
      <c r="U34"/>
      <c r="V34"/>
      <c r="W34"/>
      <c r="X34"/>
      <c r="Y34"/>
      <c r="Z34"/>
      <c r="AA34"/>
      <c r="AB34"/>
      <c r="AC34"/>
      <c r="AD34"/>
      <c r="AE34"/>
    </row>
    <row r="46" spans="1:31" ht="13.8" x14ac:dyDescent="0.3"/>
    <row r="48" spans="1:31" ht="12.75" customHeight="1" x14ac:dyDescent="0.3">
      <c r="D48" s="17"/>
      <c r="E48" s="17"/>
    </row>
    <row r="49" spans="4:15" ht="12.75" customHeight="1" x14ac:dyDescent="0.3">
      <c r="D49" s="17"/>
      <c r="E49" s="17"/>
      <c r="F49" s="17"/>
      <c r="G49" s="17"/>
      <c r="H49" s="17"/>
      <c r="I49" s="17"/>
      <c r="J49" s="17"/>
      <c r="K49" s="17"/>
      <c r="L49" s="17"/>
    </row>
    <row r="50" spans="4:15" ht="12.75" customHeight="1" x14ac:dyDescent="0.3">
      <c r="D50" s="17"/>
      <c r="E50" s="17"/>
      <c r="F50" s="17"/>
      <c r="G50" s="17"/>
      <c r="H50" s="17"/>
      <c r="I50" s="17"/>
      <c r="J50" s="17"/>
      <c r="K50" s="17"/>
      <c r="L50" s="17"/>
      <c r="M50" s="17"/>
      <c r="N50" s="17"/>
      <c r="O50" s="17"/>
    </row>
    <row r="51" spans="4:15" ht="12.75" customHeight="1" x14ac:dyDescent="0.3">
      <c r="D51" s="17"/>
      <c r="E51" s="17"/>
      <c r="F51" s="17"/>
      <c r="G51" s="17"/>
      <c r="H51" s="17"/>
      <c r="I51" s="17"/>
      <c r="J51" s="17"/>
      <c r="K51" s="17"/>
      <c r="L51" s="17"/>
      <c r="M51" s="17"/>
      <c r="N51" s="17"/>
      <c r="O51" s="17"/>
    </row>
    <row r="52" spans="4:15" ht="12.75" customHeight="1" x14ac:dyDescent="0.3">
      <c r="D52" s="17"/>
      <c r="E52" s="17"/>
      <c r="F52" s="17"/>
      <c r="G52" s="17"/>
      <c r="H52" s="17"/>
      <c r="I52" s="17"/>
      <c r="J52" s="17"/>
      <c r="K52" s="17"/>
      <c r="L52" s="17"/>
      <c r="M52" s="17"/>
      <c r="N52" s="17"/>
      <c r="O52" s="17"/>
    </row>
    <row r="53" spans="4:15" ht="45" customHeight="1" x14ac:dyDescent="0.3">
      <c r="F53" s="17"/>
      <c r="G53" s="17"/>
      <c r="H53" s="17"/>
      <c r="I53" s="17"/>
      <c r="J53" s="17"/>
      <c r="K53" s="17"/>
      <c r="L53" s="17"/>
      <c r="M53" s="17"/>
      <c r="N53" s="17"/>
      <c r="O53" s="17"/>
    </row>
    <row r="54" spans="4:15" ht="12.75" customHeight="1" x14ac:dyDescent="0.3">
      <c r="M54" s="17"/>
      <c r="N54" s="17"/>
      <c r="O54" s="17"/>
    </row>
  </sheetData>
  <mergeCells count="2">
    <mergeCell ref="A1:H1"/>
    <mergeCell ref="A6:B6"/>
  </mergeCells>
  <dataValidations count="2">
    <dataValidation type="list" allowBlank="1" showInputMessage="1" showErrorMessage="1" sqref="B8" xr:uid="{D55A2370-B2F4-4F0B-9F9C-C52FC6EE231A}">
      <formula1>$O$4:$O$6</formula1>
    </dataValidation>
    <dataValidation type="list" allowBlank="1" showInputMessage="1" showErrorMessage="1" sqref="B7" xr:uid="{DEC5CAF4-0193-49CD-9DE4-09D34B350978}">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49"/>
      <c r="B1" s="51"/>
      <c r="C1" s="222" t="s">
        <v>45</v>
      </c>
      <c r="D1" s="223"/>
      <c r="E1" s="223"/>
      <c r="F1" s="223"/>
      <c r="G1" s="223"/>
      <c r="H1" s="223"/>
      <c r="I1" s="223"/>
      <c r="J1" s="223"/>
      <c r="K1" s="223"/>
      <c r="L1" s="223"/>
      <c r="M1" s="224"/>
    </row>
    <row r="2" spans="1:13" ht="15" thickBot="1" x14ac:dyDescent="0.35">
      <c r="A2" s="27"/>
      <c r="C2" s="27" t="s">
        <v>26</v>
      </c>
      <c r="D2" s="19" t="s">
        <v>27</v>
      </c>
      <c r="E2" t="e">
        <f>FIXED(C3,6)</f>
        <v>#REF!</v>
      </c>
      <c r="F2" t="e">
        <f>RIGHT(E2,1)</f>
        <v>#REF!</v>
      </c>
      <c r="G2" t="e">
        <f>F2/1000000</f>
        <v>#REF!</v>
      </c>
      <c r="H2" s="36" t="e">
        <f>C3-G2</f>
        <v>#REF!</v>
      </c>
      <c r="J2" t="e">
        <f>IF(E7=5,IF(AND(F3=0,F8=FALSE),L5,L6),L6)</f>
        <v>#REF!</v>
      </c>
      <c r="M2" s="37"/>
    </row>
    <row r="3" spans="1:13" ht="18.600000000000001" thickBot="1" x14ac:dyDescent="0.4">
      <c r="A3" s="27"/>
      <c r="C3" s="28" t="e">
        <f>INCERTIDUMBRE!M5</f>
        <v>#REF!</v>
      </c>
      <c r="D3" s="38" t="e">
        <f>IF(C3&gt;=10,M37,IF(C3&gt;=1,M29,IF(C3&gt;=0.1,M21,IF(C3&gt;=0.01,M13,IF(C3&gt;=0.001,M5)))))</f>
        <v>#REF!</v>
      </c>
      <c r="E3" t="s">
        <v>28</v>
      </c>
      <c r="F3" t="e">
        <f>F2+0</f>
        <v>#REF!</v>
      </c>
      <c r="M3" s="37"/>
    </row>
    <row r="4" spans="1:13" ht="29.4" hidden="1" thickBot="1" x14ac:dyDescent="0.35">
      <c r="A4" s="27"/>
      <c r="C4" s="29"/>
      <c r="D4" s="29"/>
      <c r="E4" t="s">
        <v>29</v>
      </c>
      <c r="F4" t="s">
        <v>30</v>
      </c>
      <c r="G4" t="s">
        <v>31</v>
      </c>
      <c r="H4" t="s">
        <v>32</v>
      </c>
      <c r="I4" s="31" t="s">
        <v>33</v>
      </c>
      <c r="J4" s="31" t="s">
        <v>34</v>
      </c>
      <c r="K4" s="31" t="s">
        <v>35</v>
      </c>
      <c r="L4" s="31" t="s">
        <v>36</v>
      </c>
      <c r="M4" s="39" t="s">
        <v>37</v>
      </c>
    </row>
    <row r="5" spans="1:13" ht="18.600000000000001" hidden="1" thickBot="1" x14ac:dyDescent="0.4">
      <c r="A5" s="27"/>
      <c r="C5" s="32"/>
      <c r="E5" t="e">
        <f>RIGHT(H2,2)</f>
        <v>#REF!</v>
      </c>
      <c r="F5" t="e">
        <f>LEFT(E5,1)</f>
        <v>#REF!</v>
      </c>
      <c r="G5" s="36" t="e">
        <f>TRUNC(C3)</f>
        <v>#REF!</v>
      </c>
      <c r="H5" s="18" t="e">
        <f>FIXED(C3-G5,I5)</f>
        <v>#REF!</v>
      </c>
      <c r="I5" t="e">
        <f>ABS(G8-H8)</f>
        <v>#REF!</v>
      </c>
      <c r="J5" t="e">
        <f>RIGHT(C3,I5)</f>
        <v>#REF!</v>
      </c>
      <c r="K5">
        <v>5.0000000000000002E-5</v>
      </c>
      <c r="L5" s="18" t="e">
        <f>(C3-K5)</f>
        <v>#REF!</v>
      </c>
      <c r="M5" s="40" t="e">
        <f>IF(E7=5,IF(AND(F3=0,F8=FALSE),L5,L6),L6)</f>
        <v>#REF!</v>
      </c>
    </row>
    <row r="6" spans="1:13" ht="15" hidden="1" thickBot="1" x14ac:dyDescent="0.35">
      <c r="A6" s="27"/>
      <c r="C6" s="27"/>
      <c r="E6" t="e">
        <f>RIGHT(E5,1)</f>
        <v>#REF!</v>
      </c>
      <c r="F6" t="e">
        <f>F5+0</f>
        <v>#REF!</v>
      </c>
      <c r="L6" t="e">
        <f>FIXED(C3,4)</f>
        <v>#REF!</v>
      </c>
      <c r="M6" s="37"/>
    </row>
    <row r="7" spans="1:13" ht="15" hidden="1" thickBot="1" x14ac:dyDescent="0.35">
      <c r="A7" s="27"/>
      <c r="C7" s="27"/>
      <c r="E7" t="e">
        <f>E6+0</f>
        <v>#REF!</v>
      </c>
      <c r="F7" t="s">
        <v>38</v>
      </c>
      <c r="G7" t="s">
        <v>39</v>
      </c>
      <c r="H7" t="s">
        <v>40</v>
      </c>
      <c r="M7" s="37"/>
    </row>
    <row r="8" spans="1:13" ht="15" hidden="1" thickBot="1" x14ac:dyDescent="0.35">
      <c r="A8" s="27"/>
      <c r="C8" s="27"/>
      <c r="F8" t="e">
        <f>ISODD(F5)</f>
        <v>#REF!</v>
      </c>
      <c r="G8" t="e">
        <f>LEN(C3)</f>
        <v>#REF!</v>
      </c>
      <c r="H8" t="e">
        <f>LEN(G5)+1</f>
        <v>#REF!</v>
      </c>
      <c r="M8" s="37"/>
    </row>
    <row r="9" spans="1:13" ht="15" hidden="1" thickBot="1" x14ac:dyDescent="0.35">
      <c r="A9" s="27"/>
      <c r="C9" s="27"/>
      <c r="M9" s="37"/>
    </row>
    <row r="10" spans="1:13" ht="15" hidden="1" thickBot="1" x14ac:dyDescent="0.35">
      <c r="A10" s="27"/>
      <c r="C10" s="219" t="s">
        <v>41</v>
      </c>
      <c r="D10" s="220"/>
      <c r="E10" s="220"/>
      <c r="F10" s="220"/>
      <c r="G10" s="220"/>
      <c r="H10" s="220"/>
      <c r="I10" s="220"/>
      <c r="J10" s="220"/>
      <c r="K10" s="220"/>
      <c r="L10" s="220"/>
      <c r="M10" s="221"/>
    </row>
    <row r="11" spans="1:13" ht="15" hidden="1" thickBot="1" x14ac:dyDescent="0.35">
      <c r="A11" s="27"/>
      <c r="C11" s="41" t="e">
        <f>M5</f>
        <v>#REF!</v>
      </c>
      <c r="E11" t="e">
        <f>FIXED(C3,5)</f>
        <v>#REF!</v>
      </c>
      <c r="F11" t="e">
        <f>RIGHT(E11,1)</f>
        <v>#REF!</v>
      </c>
      <c r="G11" t="e">
        <f>F11+0</f>
        <v>#REF!</v>
      </c>
      <c r="M11" s="37"/>
    </row>
    <row r="12" spans="1:13" ht="29.4" hidden="1" thickBot="1" x14ac:dyDescent="0.35">
      <c r="A12" s="27"/>
      <c r="C12" s="27"/>
      <c r="E12" t="s">
        <v>29</v>
      </c>
      <c r="F12" t="s">
        <v>30</v>
      </c>
      <c r="G12" t="s">
        <v>31</v>
      </c>
      <c r="H12" t="s">
        <v>32</v>
      </c>
      <c r="I12" s="31" t="s">
        <v>33</v>
      </c>
      <c r="J12" s="31" t="s">
        <v>34</v>
      </c>
      <c r="K12" s="31" t="s">
        <v>35</v>
      </c>
      <c r="L12" s="31" t="s">
        <v>36</v>
      </c>
      <c r="M12" s="39" t="s">
        <v>37</v>
      </c>
    </row>
    <row r="13" spans="1:13" ht="18.600000000000001" hidden="1" thickBot="1" x14ac:dyDescent="0.4">
      <c r="A13" s="27"/>
      <c r="C13" s="27"/>
      <c r="E13" t="e">
        <f>RIGHT(C11,2)</f>
        <v>#REF!</v>
      </c>
      <c r="F13" t="e">
        <f>LEFT(E13,1)</f>
        <v>#REF!</v>
      </c>
      <c r="G13" s="33" t="e">
        <f>TRUNC(C11)</f>
        <v>#REF!</v>
      </c>
      <c r="H13" s="18" t="e">
        <f>FIXED(C11-G13,I13)</f>
        <v>#REF!</v>
      </c>
      <c r="I13" t="e">
        <f>ABS(G16-H16)</f>
        <v>#REF!</v>
      </c>
      <c r="J13" t="e">
        <f>RIGHT(C11,I13)</f>
        <v>#REF!</v>
      </c>
      <c r="K13">
        <v>5.0000000000000001E-4</v>
      </c>
      <c r="L13" s="20" t="e">
        <f>(C11-K13)</f>
        <v>#REF!</v>
      </c>
      <c r="M13" s="42" t="e">
        <f>IF(E15=5,IF(AND(G11=0,F16=FALSE),L13,L14),L14)</f>
        <v>#REF!</v>
      </c>
    </row>
    <row r="14" spans="1:13" ht="15" hidden="1" thickBot="1" x14ac:dyDescent="0.35">
      <c r="A14" s="27"/>
      <c r="C14" s="27"/>
      <c r="E14" t="e">
        <f>RIGHT(E13,1)</f>
        <v>#REF!</v>
      </c>
      <c r="F14" t="e">
        <f>F13+0</f>
        <v>#REF!</v>
      </c>
      <c r="L14" t="e">
        <f>FIXED(C11,3)</f>
        <v>#REF!</v>
      </c>
      <c r="M14" s="37"/>
    </row>
    <row r="15" spans="1:13" ht="15" hidden="1" thickBot="1" x14ac:dyDescent="0.35">
      <c r="A15" s="27"/>
      <c r="C15" s="27"/>
      <c r="E15" t="e">
        <f>E14+0</f>
        <v>#REF!</v>
      </c>
      <c r="F15" t="s">
        <v>38</v>
      </c>
      <c r="G15" t="s">
        <v>39</v>
      </c>
      <c r="H15" t="s">
        <v>40</v>
      </c>
      <c r="M15" s="37"/>
    </row>
    <row r="16" spans="1:13" ht="15" hidden="1" thickBot="1" x14ac:dyDescent="0.35">
      <c r="A16" s="27"/>
      <c r="C16" s="27"/>
      <c r="F16" t="e">
        <f>ISODD(F13)</f>
        <v>#REF!</v>
      </c>
      <c r="G16" t="e">
        <f>LEN(C11)</f>
        <v>#REF!</v>
      </c>
      <c r="H16" t="e">
        <f>LEN(G13)+1</f>
        <v>#REF!</v>
      </c>
      <c r="M16" s="37"/>
    </row>
    <row r="17" spans="1:13" ht="15" hidden="1" thickBot="1" x14ac:dyDescent="0.35">
      <c r="A17" s="27"/>
      <c r="C17" s="27"/>
      <c r="M17" s="37"/>
    </row>
    <row r="18" spans="1:13" ht="15" hidden="1" thickBot="1" x14ac:dyDescent="0.35">
      <c r="A18" s="27"/>
      <c r="C18" s="219" t="s">
        <v>42</v>
      </c>
      <c r="D18" s="220"/>
      <c r="E18" s="220"/>
      <c r="F18" s="220"/>
      <c r="G18" s="220"/>
      <c r="H18" s="220"/>
      <c r="I18" s="220"/>
      <c r="J18" s="220"/>
      <c r="K18" s="220"/>
      <c r="L18" s="220"/>
      <c r="M18" s="221"/>
    </row>
    <row r="19" spans="1:13" ht="15" hidden="1" thickBot="1" x14ac:dyDescent="0.35">
      <c r="A19" s="27"/>
      <c r="C19" s="41" t="e">
        <f>M13</f>
        <v>#REF!</v>
      </c>
      <c r="E19" t="e">
        <f>FIXED(C11,4)</f>
        <v>#REF!</v>
      </c>
      <c r="F19" t="e">
        <f>RIGHT(E19,1)</f>
        <v>#REF!</v>
      </c>
      <c r="G19" t="e">
        <f>F19+0</f>
        <v>#REF!</v>
      </c>
      <c r="M19" s="37"/>
    </row>
    <row r="20" spans="1:13" ht="29.4" hidden="1" thickBot="1" x14ac:dyDescent="0.35">
      <c r="A20" s="27"/>
      <c r="C20" s="27"/>
      <c r="E20" t="s">
        <v>29</v>
      </c>
      <c r="F20" t="s">
        <v>30</v>
      </c>
      <c r="G20" t="s">
        <v>31</v>
      </c>
      <c r="H20" t="s">
        <v>32</v>
      </c>
      <c r="I20" s="31" t="s">
        <v>33</v>
      </c>
      <c r="J20" s="31" t="s">
        <v>34</v>
      </c>
      <c r="K20" s="31" t="s">
        <v>35</v>
      </c>
      <c r="L20" s="31" t="s">
        <v>36</v>
      </c>
      <c r="M20" s="39" t="s">
        <v>37</v>
      </c>
    </row>
    <row r="21" spans="1:13" ht="18.600000000000001" hidden="1" thickBot="1" x14ac:dyDescent="0.4">
      <c r="A21" s="27"/>
      <c r="C21" s="27"/>
      <c r="E21" t="e">
        <f>RIGHT(C19,2)</f>
        <v>#REF!</v>
      </c>
      <c r="F21" t="e">
        <f>LEFT(E21,1)</f>
        <v>#REF!</v>
      </c>
      <c r="G21" s="33" t="e">
        <f>TRUNC(C19)</f>
        <v>#REF!</v>
      </c>
      <c r="H21" s="18" t="e">
        <f>FIXED(C19-G21,I21)</f>
        <v>#REF!</v>
      </c>
      <c r="I21" t="e">
        <f>ABS(G24-H24)</f>
        <v>#REF!</v>
      </c>
      <c r="J21" t="e">
        <f>RIGHT(C19,I21)</f>
        <v>#REF!</v>
      </c>
      <c r="K21">
        <v>5.0000000000000001E-3</v>
      </c>
      <c r="L21" s="34" t="e">
        <f>(C19-K21)</f>
        <v>#REF!</v>
      </c>
      <c r="M21" s="43" t="e">
        <f>IF(E23=5,IF(AND(G19=0,F24=FALSE),L21,L22),L22)</f>
        <v>#REF!</v>
      </c>
    </row>
    <row r="22" spans="1:13" ht="18.600000000000001" hidden="1" thickBot="1" x14ac:dyDescent="0.4">
      <c r="A22" s="27"/>
      <c r="C22" s="27"/>
      <c r="E22" t="e">
        <f>RIGHT(E21,1)</f>
        <v>#REF!</v>
      </c>
      <c r="F22" t="e">
        <f>F21+0</f>
        <v>#REF!</v>
      </c>
      <c r="L22" t="e">
        <f>FIXED(C19,2)</f>
        <v>#REF!</v>
      </c>
      <c r="M22" s="43"/>
    </row>
    <row r="23" spans="1:13" ht="15" hidden="1" thickBot="1" x14ac:dyDescent="0.35">
      <c r="A23" s="27"/>
      <c r="C23" s="27"/>
      <c r="E23" t="e">
        <f>E22+0</f>
        <v>#REF!</v>
      </c>
      <c r="F23" t="s">
        <v>38</v>
      </c>
      <c r="G23" t="s">
        <v>39</v>
      </c>
      <c r="H23" t="s">
        <v>40</v>
      </c>
      <c r="M23" s="37"/>
    </row>
    <row r="24" spans="1:13" ht="15" hidden="1" thickBot="1" x14ac:dyDescent="0.35">
      <c r="A24" s="27"/>
      <c r="C24" s="27"/>
      <c r="F24" t="e">
        <f>ISODD(F21)</f>
        <v>#REF!</v>
      </c>
      <c r="G24" t="e">
        <f>LEN(C19)</f>
        <v>#REF!</v>
      </c>
      <c r="H24" t="e">
        <f>LEN(G21)+1</f>
        <v>#REF!</v>
      </c>
      <c r="M24" s="37"/>
    </row>
    <row r="25" spans="1:13" ht="15" hidden="1" thickBot="1" x14ac:dyDescent="0.35">
      <c r="A25" s="27"/>
      <c r="C25" s="27"/>
      <c r="M25" s="37"/>
    </row>
    <row r="26" spans="1:13" ht="15" hidden="1" thickBot="1" x14ac:dyDescent="0.35">
      <c r="A26" s="27"/>
      <c r="C26" s="219" t="s">
        <v>43</v>
      </c>
      <c r="D26" s="220"/>
      <c r="E26" s="220"/>
      <c r="F26" s="220"/>
      <c r="G26" s="220"/>
      <c r="H26" s="220"/>
      <c r="I26" s="220"/>
      <c r="J26" s="220"/>
      <c r="K26" s="220"/>
      <c r="L26" s="220"/>
      <c r="M26" s="221"/>
    </row>
    <row r="27" spans="1:13" ht="15" hidden="1" thickBot="1" x14ac:dyDescent="0.35">
      <c r="A27" s="27"/>
      <c r="C27" s="44" t="e">
        <f>M21</f>
        <v>#REF!</v>
      </c>
      <c r="E27" t="e">
        <f>FIXED(C19,3)</f>
        <v>#REF!</v>
      </c>
      <c r="F27" t="e">
        <f>RIGHT(E27,1)</f>
        <v>#REF!</v>
      </c>
      <c r="G27" t="e">
        <f>F27+0</f>
        <v>#REF!</v>
      </c>
      <c r="M27" s="37"/>
    </row>
    <row r="28" spans="1:13" ht="29.4" hidden="1" thickBot="1" x14ac:dyDescent="0.35">
      <c r="A28" s="27"/>
      <c r="C28" s="27"/>
      <c r="E28" t="s">
        <v>29</v>
      </c>
      <c r="F28" t="s">
        <v>30</v>
      </c>
      <c r="G28" t="s">
        <v>31</v>
      </c>
      <c r="H28" t="s">
        <v>32</v>
      </c>
      <c r="I28" s="31" t="s">
        <v>33</v>
      </c>
      <c r="J28" s="31" t="s">
        <v>34</v>
      </c>
      <c r="K28" s="31" t="s">
        <v>35</v>
      </c>
      <c r="L28" s="31" t="s">
        <v>36</v>
      </c>
      <c r="M28" s="39" t="s">
        <v>37</v>
      </c>
    </row>
    <row r="29" spans="1:13" ht="18.600000000000001" hidden="1" thickBot="1" x14ac:dyDescent="0.4">
      <c r="A29" s="27"/>
      <c r="C29" s="27"/>
      <c r="E29" t="e">
        <f>RIGHT(C27,2)</f>
        <v>#REF!</v>
      </c>
      <c r="F29" t="e">
        <f>LEFT(E29,1)</f>
        <v>#REF!</v>
      </c>
      <c r="G29" s="33" t="e">
        <f>TRUNC(C27)</f>
        <v>#REF!</v>
      </c>
      <c r="H29" s="18" t="e">
        <f>FIXED(C27-G29,I29)</f>
        <v>#REF!</v>
      </c>
      <c r="I29" t="e">
        <f>ABS(G32-H32)</f>
        <v>#REF!</v>
      </c>
      <c r="J29" t="e">
        <f>RIGHT(C27,I29)</f>
        <v>#REF!</v>
      </c>
      <c r="K29">
        <v>0.05</v>
      </c>
      <c r="L29" s="34" t="e">
        <f>(C27-K29)</f>
        <v>#REF!</v>
      </c>
      <c r="M29" s="43" t="e">
        <f>IF(E31=5,IF(AND(G27=0,F32=FALSE),L29,L30),L30)</f>
        <v>#REF!</v>
      </c>
    </row>
    <row r="30" spans="1:13" ht="15" hidden="1" thickBot="1" x14ac:dyDescent="0.35">
      <c r="A30" s="27"/>
      <c r="C30" s="27"/>
      <c r="E30" t="e">
        <f>RIGHT(E29,1)</f>
        <v>#REF!</v>
      </c>
      <c r="F30" t="e">
        <f>F29+0</f>
        <v>#REF!</v>
      </c>
      <c r="L30" t="e">
        <f>FIXED(C27,1)</f>
        <v>#REF!</v>
      </c>
      <c r="M30" s="45"/>
    </row>
    <row r="31" spans="1:13" ht="15" hidden="1" thickBot="1" x14ac:dyDescent="0.35">
      <c r="A31" s="27"/>
      <c r="C31" s="27"/>
      <c r="E31" t="e">
        <f>E30+0</f>
        <v>#REF!</v>
      </c>
      <c r="F31" t="s">
        <v>38</v>
      </c>
      <c r="G31" t="s">
        <v>39</v>
      </c>
      <c r="H31" t="s">
        <v>40</v>
      </c>
      <c r="M31" s="37"/>
    </row>
    <row r="32" spans="1:13" ht="15" hidden="1" thickBot="1" x14ac:dyDescent="0.35">
      <c r="A32" s="27"/>
      <c r="C32" s="27"/>
      <c r="F32" t="e">
        <f>ISODD(F29)</f>
        <v>#REF!</v>
      </c>
      <c r="G32" t="e">
        <f>LEN(C27)</f>
        <v>#REF!</v>
      </c>
      <c r="H32" t="e">
        <f>LEN(G29)+1</f>
        <v>#REF!</v>
      </c>
      <c r="M32" s="37"/>
    </row>
    <row r="33" spans="1:13" ht="15" hidden="1" thickBot="1" x14ac:dyDescent="0.35">
      <c r="A33" s="27"/>
      <c r="C33" s="27"/>
      <c r="M33" s="37"/>
    </row>
    <row r="34" spans="1:13" ht="15" hidden="1" thickBot="1" x14ac:dyDescent="0.35">
      <c r="A34" s="27"/>
      <c r="C34" s="219" t="s">
        <v>44</v>
      </c>
      <c r="D34" s="220"/>
      <c r="E34" s="220"/>
      <c r="F34" s="220"/>
      <c r="G34" s="220"/>
      <c r="H34" s="220"/>
      <c r="I34" s="220"/>
      <c r="J34" s="220"/>
      <c r="K34" s="220"/>
      <c r="L34" s="220"/>
      <c r="M34" s="221"/>
    </row>
    <row r="35" spans="1:13" ht="15" hidden="1" thickBot="1" x14ac:dyDescent="0.35">
      <c r="A35" s="27"/>
      <c r="C35" s="44" t="e">
        <f>M29</f>
        <v>#REF!</v>
      </c>
      <c r="E35" t="e">
        <f>FIXED(C27,2)</f>
        <v>#REF!</v>
      </c>
      <c r="F35" t="e">
        <f>RIGHT(E35,1)</f>
        <v>#REF!</v>
      </c>
      <c r="G35" t="e">
        <f>F35+0</f>
        <v>#REF!</v>
      </c>
      <c r="M35" s="37"/>
    </row>
    <row r="36" spans="1:13" ht="29.4" hidden="1" thickBot="1" x14ac:dyDescent="0.35">
      <c r="A36" s="27"/>
      <c r="C36" s="27"/>
      <c r="E36" t="s">
        <v>29</v>
      </c>
      <c r="F36" t="s">
        <v>30</v>
      </c>
      <c r="G36" t="s">
        <v>31</v>
      </c>
      <c r="H36" t="s">
        <v>32</v>
      </c>
      <c r="I36" s="31" t="s">
        <v>33</v>
      </c>
      <c r="J36" s="31" t="s">
        <v>34</v>
      </c>
      <c r="K36" s="31" t="s">
        <v>35</v>
      </c>
      <c r="L36" s="31" t="s">
        <v>36</v>
      </c>
      <c r="M36" s="39" t="s">
        <v>37</v>
      </c>
    </row>
    <row r="37" spans="1:13" ht="18.600000000000001" hidden="1" thickBot="1" x14ac:dyDescent="0.4">
      <c r="A37" s="27"/>
      <c r="C37" s="27"/>
      <c r="E37" t="e">
        <f>RIGHT(C35,2)</f>
        <v>#REF!</v>
      </c>
      <c r="F37" t="e">
        <f>RIGHT(G37,1)</f>
        <v>#REF!</v>
      </c>
      <c r="G37" s="33" t="e">
        <f>TRUNC(C35)</f>
        <v>#REF!</v>
      </c>
      <c r="H37" s="18" t="e">
        <f>FIXED(C35-G37,I37)</f>
        <v>#REF!</v>
      </c>
      <c r="I37" t="e">
        <f>ABS(G40-H40)</f>
        <v>#REF!</v>
      </c>
      <c r="J37" t="e">
        <f>RIGHT(C35,I37)</f>
        <v>#REF!</v>
      </c>
      <c r="K37">
        <v>0.5</v>
      </c>
      <c r="L37" s="16" t="e">
        <f>(C35-K37)</f>
        <v>#REF!</v>
      </c>
      <c r="M37" s="46" t="e">
        <f>IF(E39=5,IF(AND(G35=0,F40=FALSE),L37,L38),L38)</f>
        <v>#REF!</v>
      </c>
    </row>
    <row r="38" spans="1:13" ht="15" hidden="1" thickBot="1" x14ac:dyDescent="0.35">
      <c r="A38" s="27"/>
      <c r="C38" s="27"/>
      <c r="E38" t="e">
        <f>RIGHT(E37,1)</f>
        <v>#REF!</v>
      </c>
      <c r="F38" t="e">
        <f>F37+0</f>
        <v>#REF!</v>
      </c>
      <c r="L38" t="e">
        <f>FIXED(C35,0)</f>
        <v>#REF!</v>
      </c>
      <c r="M38" s="47"/>
    </row>
    <row r="39" spans="1:13" ht="15" hidden="1" thickBot="1" x14ac:dyDescent="0.35">
      <c r="A39" s="27"/>
      <c r="C39" s="27"/>
      <c r="E39" t="e">
        <f>E38+0</f>
        <v>#REF!</v>
      </c>
      <c r="F39" t="s">
        <v>38</v>
      </c>
      <c r="G39" t="s">
        <v>39</v>
      </c>
      <c r="H39" t="s">
        <v>40</v>
      </c>
      <c r="M39" s="37"/>
    </row>
    <row r="40" spans="1:13" ht="15" hidden="1" thickBot="1" x14ac:dyDescent="0.35">
      <c r="A40" s="50"/>
      <c r="B40" s="35"/>
      <c r="C40" s="35"/>
      <c r="D40" s="35"/>
      <c r="E40" s="35"/>
      <c r="F40" s="35" t="e">
        <f>ISODD(F37)</f>
        <v>#REF!</v>
      </c>
      <c r="G40" s="35" t="e">
        <f>LEN(C35)</f>
        <v>#REF!</v>
      </c>
      <c r="H40" s="35" t="e">
        <f>LEN(G37)+1</f>
        <v>#REF!</v>
      </c>
      <c r="I40" s="35"/>
      <c r="J40" s="35"/>
      <c r="K40" s="35"/>
      <c r="L40" s="35"/>
      <c r="M40" s="48"/>
    </row>
    <row r="41" spans="1:13" ht="15" thickBot="1" x14ac:dyDescent="0.35">
      <c r="C41" s="222" t="s">
        <v>46</v>
      </c>
      <c r="D41" s="223"/>
      <c r="E41" s="223"/>
      <c r="F41" s="223"/>
      <c r="G41" s="223"/>
      <c r="H41" s="223"/>
      <c r="I41" s="223"/>
      <c r="J41" s="223"/>
      <c r="K41" s="223"/>
      <c r="L41" s="223"/>
      <c r="M41" s="224"/>
    </row>
    <row r="42" spans="1:13" ht="15" thickBot="1" x14ac:dyDescent="0.35">
      <c r="C42" s="27" t="s">
        <v>26</v>
      </c>
      <c r="D42" s="19" t="s">
        <v>27</v>
      </c>
      <c r="E42" t="e">
        <f>FIXED(C43,6)</f>
        <v>#REF!</v>
      </c>
      <c r="F42" t="e">
        <f>RIGHT(E42,1)</f>
        <v>#REF!</v>
      </c>
      <c r="G42" t="e">
        <f>F42/1000000</f>
        <v>#REF!</v>
      </c>
      <c r="H42" s="36" t="e">
        <f>C43-G42</f>
        <v>#REF!</v>
      </c>
      <c r="J42" t="e">
        <f>IF(E47=5,IF(AND(F43=0,F48=FALSE),L45,L46),L46)</f>
        <v>#REF!</v>
      </c>
      <c r="M42" s="37"/>
    </row>
    <row r="43" spans="1:13" ht="18.600000000000001" thickBot="1" x14ac:dyDescent="0.4">
      <c r="C43" s="28" t="e">
        <f>INCERTIDUMBRE!M6</f>
        <v>#REF!</v>
      </c>
      <c r="D43" s="38" t="e">
        <f>IF(C43&gt;=10,M77,IF(C43&gt;=1,M69,IF(C43&gt;=0.1,M61,IF(C43&gt;=0.01,M53,IF(C43&gt;=0.001,M45)))))</f>
        <v>#REF!</v>
      </c>
      <c r="E43" t="s">
        <v>28</v>
      </c>
      <c r="F43" t="e">
        <f>F42+0</f>
        <v>#REF!</v>
      </c>
      <c r="M43" s="37"/>
    </row>
    <row r="44" spans="1:13" ht="29.4" hidden="1" thickBot="1" x14ac:dyDescent="0.35">
      <c r="C44" s="29"/>
      <c r="D44" s="29"/>
      <c r="E44" t="s">
        <v>29</v>
      </c>
      <c r="F44" t="s">
        <v>30</v>
      </c>
      <c r="G44" t="s">
        <v>31</v>
      </c>
      <c r="H44" t="s">
        <v>32</v>
      </c>
      <c r="I44" s="31" t="s">
        <v>33</v>
      </c>
      <c r="J44" s="31" t="s">
        <v>34</v>
      </c>
      <c r="K44" s="31" t="s">
        <v>35</v>
      </c>
      <c r="L44" s="31" t="s">
        <v>36</v>
      </c>
      <c r="M44" s="39" t="s">
        <v>37</v>
      </c>
    </row>
    <row r="45" spans="1:13" ht="18.600000000000001" hidden="1" thickBot="1" x14ac:dyDescent="0.4">
      <c r="C45" s="32"/>
      <c r="E45" t="e">
        <f>RIGHT(H42,2)</f>
        <v>#REF!</v>
      </c>
      <c r="F45" t="e">
        <f>LEFT(E45,1)</f>
        <v>#REF!</v>
      </c>
      <c r="G45" s="36" t="e">
        <f>TRUNC(C43)</f>
        <v>#REF!</v>
      </c>
      <c r="H45" s="18" t="e">
        <f>FIXED(C43-G45,I45)</f>
        <v>#REF!</v>
      </c>
      <c r="I45" t="e">
        <f>ABS(G48-H48)</f>
        <v>#REF!</v>
      </c>
      <c r="J45" t="e">
        <f>RIGHT(C43,I45)</f>
        <v>#REF!</v>
      </c>
      <c r="K45">
        <v>5.0000000000000002E-5</v>
      </c>
      <c r="L45" s="18" t="e">
        <f>(C43-K45)</f>
        <v>#REF!</v>
      </c>
      <c r="M45" s="40" t="e">
        <f>IF(E47=5,IF(AND(F43=0,F48=FALSE),L45,L46),L46)</f>
        <v>#REF!</v>
      </c>
    </row>
    <row r="46" spans="1:13" ht="15" hidden="1" thickBot="1" x14ac:dyDescent="0.35">
      <c r="C46" s="27"/>
      <c r="E46" t="e">
        <f>RIGHT(E45,1)</f>
        <v>#REF!</v>
      </c>
      <c r="F46" t="e">
        <f>F45+0</f>
        <v>#REF!</v>
      </c>
      <c r="L46" t="e">
        <f>FIXED(C43,4)</f>
        <v>#REF!</v>
      </c>
      <c r="M46" s="37"/>
    </row>
    <row r="47" spans="1:13" ht="15" hidden="1" thickBot="1" x14ac:dyDescent="0.35">
      <c r="C47" s="27"/>
      <c r="E47" t="e">
        <f>E46+0</f>
        <v>#REF!</v>
      </c>
      <c r="F47" t="s">
        <v>38</v>
      </c>
      <c r="G47" t="s">
        <v>39</v>
      </c>
      <c r="H47" t="s">
        <v>40</v>
      </c>
      <c r="M47" s="37"/>
    </row>
    <row r="48" spans="1:13" ht="15" hidden="1" thickBot="1" x14ac:dyDescent="0.35">
      <c r="C48" s="27"/>
      <c r="F48" t="e">
        <f>ISODD(F45)</f>
        <v>#REF!</v>
      </c>
      <c r="G48" t="e">
        <f>LEN(C43)</f>
        <v>#REF!</v>
      </c>
      <c r="H48" t="e">
        <f>LEN(G45)+1</f>
        <v>#REF!</v>
      </c>
      <c r="M48" s="37"/>
    </row>
    <row r="49" spans="3:13" ht="15" hidden="1" thickBot="1" x14ac:dyDescent="0.35">
      <c r="C49" s="27"/>
      <c r="M49" s="37"/>
    </row>
    <row r="50" spans="3:13" ht="15" hidden="1" thickBot="1" x14ac:dyDescent="0.35">
      <c r="C50" s="219" t="s">
        <v>41</v>
      </c>
      <c r="D50" s="220"/>
      <c r="E50" s="220"/>
      <c r="F50" s="220"/>
      <c r="G50" s="220"/>
      <c r="H50" s="220"/>
      <c r="I50" s="220"/>
      <c r="J50" s="220"/>
      <c r="K50" s="220"/>
      <c r="L50" s="220"/>
      <c r="M50" s="221"/>
    </row>
    <row r="51" spans="3:13" ht="15" hidden="1" thickBot="1" x14ac:dyDescent="0.35">
      <c r="C51" s="41" t="e">
        <f>M45</f>
        <v>#REF!</v>
      </c>
      <c r="E51" t="e">
        <f>FIXED(C43,5)</f>
        <v>#REF!</v>
      </c>
      <c r="F51" t="e">
        <f>RIGHT(E51,1)</f>
        <v>#REF!</v>
      </c>
      <c r="G51" t="e">
        <f>F51+0</f>
        <v>#REF!</v>
      </c>
      <c r="M51" s="37"/>
    </row>
    <row r="52" spans="3:13" ht="29.4" hidden="1" thickBot="1" x14ac:dyDescent="0.35">
      <c r="C52" s="27"/>
      <c r="E52" t="s">
        <v>29</v>
      </c>
      <c r="F52" t="s">
        <v>30</v>
      </c>
      <c r="G52" t="s">
        <v>31</v>
      </c>
      <c r="H52" t="s">
        <v>32</v>
      </c>
      <c r="I52" s="31" t="s">
        <v>33</v>
      </c>
      <c r="J52" s="31" t="s">
        <v>34</v>
      </c>
      <c r="K52" s="31" t="s">
        <v>35</v>
      </c>
      <c r="L52" s="31" t="s">
        <v>36</v>
      </c>
      <c r="M52" s="39" t="s">
        <v>37</v>
      </c>
    </row>
    <row r="53" spans="3:13" ht="18.600000000000001" hidden="1" thickBot="1" x14ac:dyDescent="0.4">
      <c r="C53" s="27"/>
      <c r="E53" t="e">
        <f>RIGHT(C51,2)</f>
        <v>#REF!</v>
      </c>
      <c r="F53" t="e">
        <f>LEFT(E53,1)</f>
        <v>#REF!</v>
      </c>
      <c r="G53" s="33" t="e">
        <f>TRUNC(C51)</f>
        <v>#REF!</v>
      </c>
      <c r="H53" s="18" t="e">
        <f>FIXED(C51-G53,I53)</f>
        <v>#REF!</v>
      </c>
      <c r="I53" t="e">
        <f>ABS(G56-H56)</f>
        <v>#REF!</v>
      </c>
      <c r="J53" t="e">
        <f>RIGHT(C51,I53)</f>
        <v>#REF!</v>
      </c>
      <c r="K53">
        <v>5.0000000000000001E-4</v>
      </c>
      <c r="L53" s="20" t="e">
        <f>(C51-K53)</f>
        <v>#REF!</v>
      </c>
      <c r="M53" s="42" t="e">
        <f>IF(E55=5,IF(AND(G51=0,F56=FALSE),L53,L54),L54)</f>
        <v>#REF!</v>
      </c>
    </row>
    <row r="54" spans="3:13" ht="15" hidden="1" thickBot="1" x14ac:dyDescent="0.35">
      <c r="C54" s="27"/>
      <c r="E54" t="e">
        <f>RIGHT(E53,1)</f>
        <v>#REF!</v>
      </c>
      <c r="F54" t="e">
        <f>F53+0</f>
        <v>#REF!</v>
      </c>
      <c r="L54" t="e">
        <f>FIXED(C51,3)</f>
        <v>#REF!</v>
      </c>
      <c r="M54" s="37"/>
    </row>
    <row r="55" spans="3:13" ht="15" hidden="1" thickBot="1" x14ac:dyDescent="0.35">
      <c r="C55" s="27"/>
      <c r="E55" t="e">
        <f>E54+0</f>
        <v>#REF!</v>
      </c>
      <c r="F55" t="s">
        <v>38</v>
      </c>
      <c r="G55" t="s">
        <v>39</v>
      </c>
      <c r="H55" t="s">
        <v>40</v>
      </c>
      <c r="M55" s="37"/>
    </row>
    <row r="56" spans="3:13" ht="15" hidden="1" thickBot="1" x14ac:dyDescent="0.35">
      <c r="C56" s="27"/>
      <c r="F56" t="e">
        <f>ISODD(F53)</f>
        <v>#REF!</v>
      </c>
      <c r="G56" t="e">
        <f>LEN(C51)</f>
        <v>#REF!</v>
      </c>
      <c r="H56" t="e">
        <f>LEN(G53)+1</f>
        <v>#REF!</v>
      </c>
      <c r="M56" s="37"/>
    </row>
    <row r="57" spans="3:13" ht="15" hidden="1" thickBot="1" x14ac:dyDescent="0.35">
      <c r="C57" s="27"/>
      <c r="M57" s="37"/>
    </row>
    <row r="58" spans="3:13" ht="15" hidden="1" thickBot="1" x14ac:dyDescent="0.35">
      <c r="C58" s="219" t="s">
        <v>42</v>
      </c>
      <c r="D58" s="220"/>
      <c r="E58" s="220"/>
      <c r="F58" s="220"/>
      <c r="G58" s="220"/>
      <c r="H58" s="220"/>
      <c r="I58" s="220"/>
      <c r="J58" s="220"/>
      <c r="K58" s="220"/>
      <c r="L58" s="220"/>
      <c r="M58" s="221"/>
    </row>
    <row r="59" spans="3:13" ht="15" hidden="1" thickBot="1" x14ac:dyDescent="0.35">
      <c r="C59" s="41" t="e">
        <f>M53</f>
        <v>#REF!</v>
      </c>
      <c r="E59" t="e">
        <f>FIXED(C51,4)</f>
        <v>#REF!</v>
      </c>
      <c r="F59" t="e">
        <f>RIGHT(E59,1)</f>
        <v>#REF!</v>
      </c>
      <c r="G59" t="e">
        <f>F59+0</f>
        <v>#REF!</v>
      </c>
      <c r="M59" s="37"/>
    </row>
    <row r="60" spans="3:13" ht="29.4" hidden="1" thickBot="1" x14ac:dyDescent="0.35">
      <c r="C60" s="27"/>
      <c r="E60" t="s">
        <v>29</v>
      </c>
      <c r="F60" t="s">
        <v>30</v>
      </c>
      <c r="G60" t="s">
        <v>31</v>
      </c>
      <c r="H60" t="s">
        <v>32</v>
      </c>
      <c r="I60" s="31" t="s">
        <v>33</v>
      </c>
      <c r="J60" s="31" t="s">
        <v>34</v>
      </c>
      <c r="K60" s="31" t="s">
        <v>35</v>
      </c>
      <c r="L60" s="31" t="s">
        <v>36</v>
      </c>
      <c r="M60" s="39" t="s">
        <v>37</v>
      </c>
    </row>
    <row r="61" spans="3:13" ht="18.600000000000001" hidden="1" thickBot="1" x14ac:dyDescent="0.4">
      <c r="C61" s="27"/>
      <c r="E61" t="e">
        <f>RIGHT(C59,2)</f>
        <v>#REF!</v>
      </c>
      <c r="F61" t="e">
        <f>LEFT(E61,1)</f>
        <v>#REF!</v>
      </c>
      <c r="G61" s="33" t="e">
        <f>TRUNC(C59)</f>
        <v>#REF!</v>
      </c>
      <c r="H61" s="18" t="e">
        <f>FIXED(C59-G61,I61)</f>
        <v>#REF!</v>
      </c>
      <c r="I61" t="e">
        <f>ABS(G64-H64)</f>
        <v>#REF!</v>
      </c>
      <c r="J61" t="e">
        <f>RIGHT(C59,I61)</f>
        <v>#REF!</v>
      </c>
      <c r="K61">
        <v>5.0000000000000001E-3</v>
      </c>
      <c r="L61" s="34" t="e">
        <f>(C59-K61)</f>
        <v>#REF!</v>
      </c>
      <c r="M61" s="43" t="e">
        <f>IF(E63=5,IF(AND(G59=0,F64=FALSE),L61,L62),L62)</f>
        <v>#REF!</v>
      </c>
    </row>
    <row r="62" spans="3:13" ht="18.600000000000001" hidden="1" thickBot="1" x14ac:dyDescent="0.4">
      <c r="C62" s="27"/>
      <c r="E62" t="e">
        <f>RIGHT(E61,1)</f>
        <v>#REF!</v>
      </c>
      <c r="F62" t="e">
        <f>F61+0</f>
        <v>#REF!</v>
      </c>
      <c r="L62" t="e">
        <f>FIXED(C59,2)</f>
        <v>#REF!</v>
      </c>
      <c r="M62" s="43"/>
    </row>
    <row r="63" spans="3:13" ht="15" hidden="1" thickBot="1" x14ac:dyDescent="0.35">
      <c r="C63" s="27"/>
      <c r="E63" t="e">
        <f>E62+0</f>
        <v>#REF!</v>
      </c>
      <c r="F63" t="s">
        <v>38</v>
      </c>
      <c r="G63" t="s">
        <v>39</v>
      </c>
      <c r="H63" t="s">
        <v>40</v>
      </c>
      <c r="M63" s="37"/>
    </row>
    <row r="64" spans="3:13" ht="15" hidden="1" thickBot="1" x14ac:dyDescent="0.35">
      <c r="C64" s="27"/>
      <c r="F64" t="e">
        <f>ISODD(F61)</f>
        <v>#REF!</v>
      </c>
      <c r="G64" t="e">
        <f>LEN(C59)</f>
        <v>#REF!</v>
      </c>
      <c r="H64" t="e">
        <f>LEN(G61)+1</f>
        <v>#REF!</v>
      </c>
      <c r="M64" s="37"/>
    </row>
    <row r="65" spans="3:13" ht="15" hidden="1" thickBot="1" x14ac:dyDescent="0.35">
      <c r="C65" s="27"/>
      <c r="M65" s="37"/>
    </row>
    <row r="66" spans="3:13" ht="15" hidden="1" thickBot="1" x14ac:dyDescent="0.35">
      <c r="C66" s="219" t="s">
        <v>43</v>
      </c>
      <c r="D66" s="220"/>
      <c r="E66" s="220"/>
      <c r="F66" s="220"/>
      <c r="G66" s="220"/>
      <c r="H66" s="220"/>
      <c r="I66" s="220"/>
      <c r="J66" s="220"/>
      <c r="K66" s="220"/>
      <c r="L66" s="220"/>
      <c r="M66" s="221"/>
    </row>
    <row r="67" spans="3:13" ht="15" hidden="1" thickBot="1" x14ac:dyDescent="0.35">
      <c r="C67" s="44" t="e">
        <f>M61</f>
        <v>#REF!</v>
      </c>
      <c r="E67" t="e">
        <f>FIXED(C59,3)</f>
        <v>#REF!</v>
      </c>
      <c r="F67" t="e">
        <f>RIGHT(E67,1)</f>
        <v>#REF!</v>
      </c>
      <c r="G67" t="e">
        <f>F67+0</f>
        <v>#REF!</v>
      </c>
      <c r="M67" s="37"/>
    </row>
    <row r="68" spans="3:13" ht="29.4" hidden="1" thickBot="1" x14ac:dyDescent="0.35">
      <c r="C68" s="27"/>
      <c r="E68" t="s">
        <v>29</v>
      </c>
      <c r="F68" t="s">
        <v>30</v>
      </c>
      <c r="G68" t="s">
        <v>31</v>
      </c>
      <c r="H68" t="s">
        <v>32</v>
      </c>
      <c r="I68" s="31" t="s">
        <v>33</v>
      </c>
      <c r="J68" s="31" t="s">
        <v>34</v>
      </c>
      <c r="K68" s="31" t="s">
        <v>35</v>
      </c>
      <c r="L68" s="31" t="s">
        <v>36</v>
      </c>
      <c r="M68" s="39" t="s">
        <v>37</v>
      </c>
    </row>
    <row r="69" spans="3:13" ht="18.600000000000001" hidden="1" thickBot="1" x14ac:dyDescent="0.4">
      <c r="C69" s="27"/>
      <c r="E69" t="e">
        <f>RIGHT(C67,2)</f>
        <v>#REF!</v>
      </c>
      <c r="F69" t="e">
        <f>LEFT(E69,1)</f>
        <v>#REF!</v>
      </c>
      <c r="G69" s="33" t="e">
        <f>TRUNC(C67)</f>
        <v>#REF!</v>
      </c>
      <c r="H69" s="18" t="e">
        <f>FIXED(C67-G69,I69)</f>
        <v>#REF!</v>
      </c>
      <c r="I69" t="e">
        <f>ABS(G72-H72)</f>
        <v>#REF!</v>
      </c>
      <c r="J69" t="e">
        <f>RIGHT(C67,I69)</f>
        <v>#REF!</v>
      </c>
      <c r="K69">
        <v>0.05</v>
      </c>
      <c r="L69" s="34" t="e">
        <f>(C67-K69)</f>
        <v>#REF!</v>
      </c>
      <c r="M69" s="43" t="e">
        <f>IF(E71=5,IF(AND(G67=0,F72=FALSE),L69,L70),L70)</f>
        <v>#REF!</v>
      </c>
    </row>
    <row r="70" spans="3:13" ht="15" hidden="1" thickBot="1" x14ac:dyDescent="0.35">
      <c r="C70" s="27"/>
      <c r="E70" t="e">
        <f>RIGHT(E69,1)</f>
        <v>#REF!</v>
      </c>
      <c r="F70" t="e">
        <f>F69+0</f>
        <v>#REF!</v>
      </c>
      <c r="L70" t="e">
        <f>FIXED(C67,1)</f>
        <v>#REF!</v>
      </c>
      <c r="M70" s="45"/>
    </row>
    <row r="71" spans="3:13" ht="15" hidden="1" thickBot="1" x14ac:dyDescent="0.35">
      <c r="C71" s="27"/>
      <c r="E71" t="e">
        <f>E70+0</f>
        <v>#REF!</v>
      </c>
      <c r="F71" t="s">
        <v>38</v>
      </c>
      <c r="G71" t="s">
        <v>39</v>
      </c>
      <c r="H71" t="s">
        <v>40</v>
      </c>
      <c r="M71" s="37"/>
    </row>
    <row r="72" spans="3:13" ht="15" hidden="1" thickBot="1" x14ac:dyDescent="0.35">
      <c r="C72" s="27"/>
      <c r="F72" t="e">
        <f>ISODD(F69)</f>
        <v>#REF!</v>
      </c>
      <c r="G72" t="e">
        <f>LEN(C67)</f>
        <v>#REF!</v>
      </c>
      <c r="H72" t="e">
        <f>LEN(G69)+1</f>
        <v>#REF!</v>
      </c>
      <c r="M72" s="37"/>
    </row>
    <row r="73" spans="3:13" ht="15" hidden="1" thickBot="1" x14ac:dyDescent="0.35">
      <c r="C73" s="27"/>
      <c r="M73" s="37"/>
    </row>
    <row r="74" spans="3:13" ht="15" hidden="1" thickBot="1" x14ac:dyDescent="0.35">
      <c r="C74" s="219" t="s">
        <v>44</v>
      </c>
      <c r="D74" s="220"/>
      <c r="E74" s="220"/>
      <c r="F74" s="220"/>
      <c r="G74" s="220"/>
      <c r="H74" s="220"/>
      <c r="I74" s="220"/>
      <c r="J74" s="220"/>
      <c r="K74" s="220"/>
      <c r="L74" s="220"/>
      <c r="M74" s="221"/>
    </row>
    <row r="75" spans="3:13" ht="15" hidden="1" thickBot="1" x14ac:dyDescent="0.35">
      <c r="C75" s="44" t="e">
        <f>M69</f>
        <v>#REF!</v>
      </c>
      <c r="E75" t="e">
        <f>FIXED(C67,2)</f>
        <v>#REF!</v>
      </c>
      <c r="F75" t="e">
        <f>RIGHT(E75,1)</f>
        <v>#REF!</v>
      </c>
      <c r="G75" t="e">
        <f>F75+0</f>
        <v>#REF!</v>
      </c>
      <c r="M75" s="37"/>
    </row>
    <row r="76" spans="3:13" ht="29.4" hidden="1" thickBot="1" x14ac:dyDescent="0.35">
      <c r="C76" s="27"/>
      <c r="E76" t="s">
        <v>29</v>
      </c>
      <c r="F76" t="s">
        <v>30</v>
      </c>
      <c r="G76" t="s">
        <v>31</v>
      </c>
      <c r="H76" t="s">
        <v>32</v>
      </c>
      <c r="I76" s="31" t="s">
        <v>33</v>
      </c>
      <c r="J76" s="31" t="s">
        <v>34</v>
      </c>
      <c r="K76" s="31" t="s">
        <v>35</v>
      </c>
      <c r="L76" s="31" t="s">
        <v>36</v>
      </c>
      <c r="M76" s="39" t="s">
        <v>37</v>
      </c>
    </row>
    <row r="77" spans="3:13" ht="18.600000000000001" hidden="1" thickBot="1" x14ac:dyDescent="0.4">
      <c r="C77" s="27"/>
      <c r="E77" t="e">
        <f>RIGHT(C75,2)</f>
        <v>#REF!</v>
      </c>
      <c r="F77" t="e">
        <f>RIGHT(G77,1)</f>
        <v>#REF!</v>
      </c>
      <c r="G77" s="33" t="e">
        <f>TRUNC(C75)</f>
        <v>#REF!</v>
      </c>
      <c r="H77" s="18" t="e">
        <f>FIXED(C75-G77,I77)</f>
        <v>#REF!</v>
      </c>
      <c r="I77" t="e">
        <f>ABS(G80-H80)</f>
        <v>#REF!</v>
      </c>
      <c r="J77" t="e">
        <f>RIGHT(C75,I77)</f>
        <v>#REF!</v>
      </c>
      <c r="K77">
        <v>0.5</v>
      </c>
      <c r="L77" s="16" t="e">
        <f>(C75-K77)</f>
        <v>#REF!</v>
      </c>
      <c r="M77" s="46" t="e">
        <f>IF(E79=5,IF(AND(G75=0,F80=FALSE),L77,L78),L78)</f>
        <v>#REF!</v>
      </c>
    </row>
    <row r="78" spans="3:13" ht="15" hidden="1" thickBot="1" x14ac:dyDescent="0.35">
      <c r="C78" s="27"/>
      <c r="E78" t="e">
        <f>RIGHT(E77,1)</f>
        <v>#REF!</v>
      </c>
      <c r="F78" t="e">
        <f>F77+0</f>
        <v>#REF!</v>
      </c>
      <c r="L78" t="e">
        <f>FIXED(C75,0)</f>
        <v>#REF!</v>
      </c>
      <c r="M78" s="47"/>
    </row>
    <row r="79" spans="3:13" ht="15" hidden="1" thickBot="1" x14ac:dyDescent="0.35">
      <c r="C79" s="27"/>
      <c r="E79" t="e">
        <f>E78+0</f>
        <v>#REF!</v>
      </c>
      <c r="F79" t="s">
        <v>38</v>
      </c>
      <c r="G79" t="s">
        <v>39</v>
      </c>
      <c r="H79" t="s">
        <v>40</v>
      </c>
      <c r="M79" s="37"/>
    </row>
    <row r="80" spans="3:13" ht="15" hidden="1" thickBot="1" x14ac:dyDescent="0.35">
      <c r="C80" s="35"/>
      <c r="D80" s="35"/>
      <c r="E80" s="35"/>
      <c r="F80" s="35" t="e">
        <f>ISODD(F77)</f>
        <v>#REF!</v>
      </c>
      <c r="G80" s="35" t="e">
        <f>LEN(C75)</f>
        <v>#REF!</v>
      </c>
      <c r="H80" s="35" t="e">
        <f>LEN(G77)+1</f>
        <v>#REF!</v>
      </c>
      <c r="I80" s="35"/>
      <c r="J80" s="35"/>
      <c r="K80" s="35"/>
      <c r="L80" s="35"/>
      <c r="M80" s="48"/>
    </row>
    <row r="81" spans="3:13" ht="15" thickBot="1" x14ac:dyDescent="0.35">
      <c r="C81" s="222" t="s">
        <v>47</v>
      </c>
      <c r="D81" s="223"/>
      <c r="E81" s="223"/>
      <c r="F81" s="223"/>
      <c r="G81" s="223"/>
      <c r="H81" s="223"/>
      <c r="I81" s="223"/>
      <c r="J81" s="223"/>
      <c r="K81" s="223"/>
      <c r="L81" s="223"/>
      <c r="M81" s="224"/>
    </row>
    <row r="82" spans="3:13" ht="15" thickBot="1" x14ac:dyDescent="0.35">
      <c r="C82" s="27" t="s">
        <v>26</v>
      </c>
      <c r="D82" s="19" t="s">
        <v>27</v>
      </c>
      <c r="E82" t="e">
        <f>FIXED(C83,6)</f>
        <v>#REF!</v>
      </c>
      <c r="F82" t="e">
        <f>RIGHT(E82,1)</f>
        <v>#REF!</v>
      </c>
      <c r="G82" t="e">
        <f>F82/1000000</f>
        <v>#REF!</v>
      </c>
      <c r="H82" s="36" t="e">
        <f>C83-G82</f>
        <v>#REF!</v>
      </c>
      <c r="J82" t="e">
        <f>IF(E87=5,IF(AND(F83=0,F88=FALSE),L85,L86),L86)</f>
        <v>#REF!</v>
      </c>
      <c r="M82" s="37"/>
    </row>
    <row r="83" spans="3:13" ht="18.600000000000001" thickBot="1" x14ac:dyDescent="0.4">
      <c r="C83" s="28" t="e">
        <f>INCERTIDUMBRE!M7</f>
        <v>#REF!</v>
      </c>
      <c r="D83" s="38" t="e">
        <f>IF(C83&gt;=10,M117,IF(C83&gt;=1,M109,IF(C83&gt;=0.1,M101,IF(C83&gt;=0.01,M93,IF(C83&gt;=0.001,M85)))))</f>
        <v>#REF!</v>
      </c>
      <c r="E83" t="s">
        <v>28</v>
      </c>
      <c r="F83" t="e">
        <f>F82+0</f>
        <v>#REF!</v>
      </c>
      <c r="M83" s="37"/>
    </row>
    <row r="84" spans="3:13" ht="29.4" hidden="1" thickBot="1" x14ac:dyDescent="0.35">
      <c r="C84" s="29"/>
      <c r="D84" s="29"/>
      <c r="E84" t="s">
        <v>29</v>
      </c>
      <c r="F84" t="s">
        <v>30</v>
      </c>
      <c r="G84" t="s">
        <v>31</v>
      </c>
      <c r="H84" t="s">
        <v>32</v>
      </c>
      <c r="I84" s="31" t="s">
        <v>33</v>
      </c>
      <c r="J84" s="31" t="s">
        <v>34</v>
      </c>
      <c r="K84" s="31" t="s">
        <v>35</v>
      </c>
      <c r="L84" s="31" t="s">
        <v>36</v>
      </c>
      <c r="M84" s="39" t="s">
        <v>37</v>
      </c>
    </row>
    <row r="85" spans="3:13" ht="18.600000000000001" hidden="1" thickBot="1" x14ac:dyDescent="0.4">
      <c r="C85" s="32"/>
      <c r="E85" t="e">
        <f>RIGHT(H82,2)</f>
        <v>#REF!</v>
      </c>
      <c r="F85" t="e">
        <f>LEFT(E85,1)</f>
        <v>#REF!</v>
      </c>
      <c r="G85" s="36" t="e">
        <f>TRUNC(C83)</f>
        <v>#REF!</v>
      </c>
      <c r="H85" s="18" t="e">
        <f>FIXED(C83-G85,I85)</f>
        <v>#REF!</v>
      </c>
      <c r="I85" t="e">
        <f>ABS(G88-H88)</f>
        <v>#REF!</v>
      </c>
      <c r="J85" t="e">
        <f>RIGHT(C83,I85)</f>
        <v>#REF!</v>
      </c>
      <c r="K85">
        <v>5.0000000000000002E-5</v>
      </c>
      <c r="L85" s="18" t="e">
        <f>(C83-K85)</f>
        <v>#REF!</v>
      </c>
      <c r="M85" s="40" t="e">
        <f>IF(E87=5,IF(AND(F83=0,F88=FALSE),L85,L86),L86)</f>
        <v>#REF!</v>
      </c>
    </row>
    <row r="86" spans="3:13" ht="15" hidden="1" thickBot="1" x14ac:dyDescent="0.35">
      <c r="C86" s="27"/>
      <c r="E86" t="e">
        <f>RIGHT(E85,1)</f>
        <v>#REF!</v>
      </c>
      <c r="F86" t="e">
        <f>F85+0</f>
        <v>#REF!</v>
      </c>
      <c r="L86" t="e">
        <f>FIXED(C83,4)</f>
        <v>#REF!</v>
      </c>
      <c r="M86" s="37"/>
    </row>
    <row r="87" spans="3:13" ht="15" hidden="1" thickBot="1" x14ac:dyDescent="0.35">
      <c r="C87" s="27"/>
      <c r="E87" t="e">
        <f>E86+0</f>
        <v>#REF!</v>
      </c>
      <c r="F87" t="s">
        <v>38</v>
      </c>
      <c r="G87" t="s">
        <v>39</v>
      </c>
      <c r="H87" t="s">
        <v>40</v>
      </c>
      <c r="M87" s="37"/>
    </row>
    <row r="88" spans="3:13" ht="15" hidden="1" thickBot="1" x14ac:dyDescent="0.35">
      <c r="C88" s="27"/>
      <c r="F88" t="e">
        <f>ISODD(F85)</f>
        <v>#REF!</v>
      </c>
      <c r="G88" t="e">
        <f>LEN(C83)</f>
        <v>#REF!</v>
      </c>
      <c r="H88" t="e">
        <f>LEN(G85)+1</f>
        <v>#REF!</v>
      </c>
      <c r="M88" s="37"/>
    </row>
    <row r="89" spans="3:13" ht="15" hidden="1" thickBot="1" x14ac:dyDescent="0.35">
      <c r="C89" s="27"/>
      <c r="M89" s="37"/>
    </row>
    <row r="90" spans="3:13" ht="15" hidden="1" thickBot="1" x14ac:dyDescent="0.35">
      <c r="C90" s="219" t="s">
        <v>41</v>
      </c>
      <c r="D90" s="220"/>
      <c r="E90" s="220"/>
      <c r="F90" s="220"/>
      <c r="G90" s="220"/>
      <c r="H90" s="220"/>
      <c r="I90" s="220"/>
      <c r="J90" s="220"/>
      <c r="K90" s="220"/>
      <c r="L90" s="220"/>
      <c r="M90" s="221"/>
    </row>
    <row r="91" spans="3:13" ht="15" hidden="1" thickBot="1" x14ac:dyDescent="0.35">
      <c r="C91" s="41" t="e">
        <f>M85</f>
        <v>#REF!</v>
      </c>
      <c r="E91" t="e">
        <f>FIXED(C83,5)</f>
        <v>#REF!</v>
      </c>
      <c r="F91" t="e">
        <f>RIGHT(E91,1)</f>
        <v>#REF!</v>
      </c>
      <c r="G91" t="e">
        <f>F91+0</f>
        <v>#REF!</v>
      </c>
      <c r="M91" s="37"/>
    </row>
    <row r="92" spans="3:13" ht="29.4" hidden="1" thickBot="1" x14ac:dyDescent="0.35">
      <c r="C92" s="27"/>
      <c r="E92" t="s">
        <v>29</v>
      </c>
      <c r="F92" t="s">
        <v>30</v>
      </c>
      <c r="G92" t="s">
        <v>31</v>
      </c>
      <c r="H92" t="s">
        <v>32</v>
      </c>
      <c r="I92" s="31" t="s">
        <v>33</v>
      </c>
      <c r="J92" s="31" t="s">
        <v>34</v>
      </c>
      <c r="K92" s="31" t="s">
        <v>35</v>
      </c>
      <c r="L92" s="31" t="s">
        <v>36</v>
      </c>
      <c r="M92" s="39" t="s">
        <v>37</v>
      </c>
    </row>
    <row r="93" spans="3:13" ht="18.600000000000001" hidden="1" thickBot="1" x14ac:dyDescent="0.4">
      <c r="C93" s="27"/>
      <c r="E93" t="e">
        <f>RIGHT(C91,2)</f>
        <v>#REF!</v>
      </c>
      <c r="F93" t="e">
        <f>LEFT(E93,1)</f>
        <v>#REF!</v>
      </c>
      <c r="G93" s="33" t="e">
        <f>TRUNC(C91)</f>
        <v>#REF!</v>
      </c>
      <c r="H93" s="18" t="e">
        <f>FIXED(C91-G93,I93)</f>
        <v>#REF!</v>
      </c>
      <c r="I93" t="e">
        <f>ABS(G96-H96)</f>
        <v>#REF!</v>
      </c>
      <c r="J93" t="e">
        <f>RIGHT(C91,I93)</f>
        <v>#REF!</v>
      </c>
      <c r="K93">
        <v>5.0000000000000001E-4</v>
      </c>
      <c r="L93" s="20" t="e">
        <f>(C91-K93)</f>
        <v>#REF!</v>
      </c>
      <c r="M93" s="42" t="e">
        <f>IF(E95=5,IF(AND(G91=0,F96=FALSE),L93,L94),L94)</f>
        <v>#REF!</v>
      </c>
    </row>
    <row r="94" spans="3:13" ht="15" hidden="1" thickBot="1" x14ac:dyDescent="0.35">
      <c r="C94" s="27"/>
      <c r="E94" t="e">
        <f>RIGHT(E93,1)</f>
        <v>#REF!</v>
      </c>
      <c r="F94" t="e">
        <f>F93+0</f>
        <v>#REF!</v>
      </c>
      <c r="L94" t="e">
        <f>FIXED(C91,3)</f>
        <v>#REF!</v>
      </c>
      <c r="M94" s="37"/>
    </row>
    <row r="95" spans="3:13" ht="15" hidden="1" thickBot="1" x14ac:dyDescent="0.35">
      <c r="C95" s="27"/>
      <c r="E95" t="e">
        <f>E94+0</f>
        <v>#REF!</v>
      </c>
      <c r="F95" t="s">
        <v>38</v>
      </c>
      <c r="G95" t="s">
        <v>39</v>
      </c>
      <c r="H95" t="s">
        <v>40</v>
      </c>
      <c r="M95" s="37"/>
    </row>
    <row r="96" spans="3:13" ht="15" hidden="1" thickBot="1" x14ac:dyDescent="0.35">
      <c r="C96" s="27"/>
      <c r="F96" t="e">
        <f>ISODD(F93)</f>
        <v>#REF!</v>
      </c>
      <c r="G96" t="e">
        <f>LEN(C91)</f>
        <v>#REF!</v>
      </c>
      <c r="H96" t="e">
        <f>LEN(G93)+1</f>
        <v>#REF!</v>
      </c>
      <c r="M96" s="37"/>
    </row>
    <row r="97" spans="3:13" ht="15" hidden="1" thickBot="1" x14ac:dyDescent="0.35">
      <c r="C97" s="27"/>
      <c r="M97" s="37"/>
    </row>
    <row r="98" spans="3:13" ht="15" hidden="1" thickBot="1" x14ac:dyDescent="0.35">
      <c r="C98" s="219" t="s">
        <v>42</v>
      </c>
      <c r="D98" s="220"/>
      <c r="E98" s="220"/>
      <c r="F98" s="220"/>
      <c r="G98" s="220"/>
      <c r="H98" s="220"/>
      <c r="I98" s="220"/>
      <c r="J98" s="220"/>
      <c r="K98" s="220"/>
      <c r="L98" s="220"/>
      <c r="M98" s="221"/>
    </row>
    <row r="99" spans="3:13" ht="15" hidden="1" thickBot="1" x14ac:dyDescent="0.35">
      <c r="C99" s="41" t="e">
        <f>M93</f>
        <v>#REF!</v>
      </c>
      <c r="E99" t="e">
        <f>FIXED(C91,4)</f>
        <v>#REF!</v>
      </c>
      <c r="F99" t="e">
        <f>RIGHT(E99,1)</f>
        <v>#REF!</v>
      </c>
      <c r="G99" t="e">
        <f>F99+0</f>
        <v>#REF!</v>
      </c>
      <c r="M99" s="37"/>
    </row>
    <row r="100" spans="3:13" ht="29.4" hidden="1" thickBot="1" x14ac:dyDescent="0.35">
      <c r="C100" s="27"/>
      <c r="E100" t="s">
        <v>29</v>
      </c>
      <c r="F100" t="s">
        <v>30</v>
      </c>
      <c r="G100" t="s">
        <v>31</v>
      </c>
      <c r="H100" t="s">
        <v>32</v>
      </c>
      <c r="I100" s="31" t="s">
        <v>33</v>
      </c>
      <c r="J100" s="31" t="s">
        <v>34</v>
      </c>
      <c r="K100" s="31" t="s">
        <v>35</v>
      </c>
      <c r="L100" s="31" t="s">
        <v>36</v>
      </c>
      <c r="M100" s="39" t="s">
        <v>37</v>
      </c>
    </row>
    <row r="101" spans="3:13" ht="18.600000000000001" hidden="1" thickBot="1" x14ac:dyDescent="0.4">
      <c r="C101" s="27"/>
      <c r="E101" t="e">
        <f>RIGHT(C99,2)</f>
        <v>#REF!</v>
      </c>
      <c r="F101" t="e">
        <f>LEFT(E101,1)</f>
        <v>#REF!</v>
      </c>
      <c r="G101" s="33" t="e">
        <f>TRUNC(C99)</f>
        <v>#REF!</v>
      </c>
      <c r="H101" s="18" t="e">
        <f>FIXED(C99-G101,I101)</f>
        <v>#REF!</v>
      </c>
      <c r="I101" t="e">
        <f>ABS(G104-H104)</f>
        <v>#REF!</v>
      </c>
      <c r="J101" t="e">
        <f>RIGHT(C99,I101)</f>
        <v>#REF!</v>
      </c>
      <c r="K101">
        <v>5.0000000000000001E-3</v>
      </c>
      <c r="L101" s="34" t="e">
        <f>(C99-K101)</f>
        <v>#REF!</v>
      </c>
      <c r="M101" s="43" t="e">
        <f>IF(E103=5,IF(AND(G99=0,F104=FALSE),L101,L102),L102)</f>
        <v>#REF!</v>
      </c>
    </row>
    <row r="102" spans="3:13" ht="18.600000000000001" hidden="1" thickBot="1" x14ac:dyDescent="0.4">
      <c r="C102" s="27"/>
      <c r="E102" t="e">
        <f>RIGHT(E101,1)</f>
        <v>#REF!</v>
      </c>
      <c r="F102" t="e">
        <f>F101+0</f>
        <v>#REF!</v>
      </c>
      <c r="L102" t="e">
        <f>FIXED(C99,2)</f>
        <v>#REF!</v>
      </c>
      <c r="M102" s="43"/>
    </row>
    <row r="103" spans="3:13" ht="15" hidden="1" thickBot="1" x14ac:dyDescent="0.35">
      <c r="C103" s="27"/>
      <c r="E103" t="e">
        <f>E102+0</f>
        <v>#REF!</v>
      </c>
      <c r="F103" t="s">
        <v>38</v>
      </c>
      <c r="G103" t="s">
        <v>39</v>
      </c>
      <c r="H103" t="s">
        <v>40</v>
      </c>
      <c r="M103" s="37"/>
    </row>
    <row r="104" spans="3:13" ht="15" hidden="1" thickBot="1" x14ac:dyDescent="0.35">
      <c r="C104" s="27"/>
      <c r="F104" t="e">
        <f>ISODD(F101)</f>
        <v>#REF!</v>
      </c>
      <c r="G104" t="e">
        <f>LEN(C99)</f>
        <v>#REF!</v>
      </c>
      <c r="H104" t="e">
        <f>LEN(G101)+1</f>
        <v>#REF!</v>
      </c>
      <c r="M104" s="37"/>
    </row>
    <row r="105" spans="3:13" ht="15" hidden="1" thickBot="1" x14ac:dyDescent="0.35">
      <c r="C105" s="27"/>
      <c r="M105" s="37"/>
    </row>
    <row r="106" spans="3:13" ht="15" hidden="1" thickBot="1" x14ac:dyDescent="0.35">
      <c r="C106" s="219" t="s">
        <v>43</v>
      </c>
      <c r="D106" s="220"/>
      <c r="E106" s="220"/>
      <c r="F106" s="220"/>
      <c r="G106" s="220"/>
      <c r="H106" s="220"/>
      <c r="I106" s="220"/>
      <c r="J106" s="220"/>
      <c r="K106" s="220"/>
      <c r="L106" s="220"/>
      <c r="M106" s="221"/>
    </row>
    <row r="107" spans="3:13" ht="15" hidden="1" thickBot="1" x14ac:dyDescent="0.35">
      <c r="C107" s="44" t="e">
        <f>M101</f>
        <v>#REF!</v>
      </c>
      <c r="E107" t="e">
        <f>FIXED(C99,3)</f>
        <v>#REF!</v>
      </c>
      <c r="F107" t="e">
        <f>RIGHT(E107,1)</f>
        <v>#REF!</v>
      </c>
      <c r="G107" t="e">
        <f>F107+0</f>
        <v>#REF!</v>
      </c>
      <c r="M107" s="37"/>
    </row>
    <row r="108" spans="3:13" ht="29.4" hidden="1" thickBot="1" x14ac:dyDescent="0.35">
      <c r="C108" s="27"/>
      <c r="E108" t="s">
        <v>29</v>
      </c>
      <c r="F108" t="s">
        <v>30</v>
      </c>
      <c r="G108" t="s">
        <v>31</v>
      </c>
      <c r="H108" t="s">
        <v>32</v>
      </c>
      <c r="I108" s="31" t="s">
        <v>33</v>
      </c>
      <c r="J108" s="31" t="s">
        <v>34</v>
      </c>
      <c r="K108" s="31" t="s">
        <v>35</v>
      </c>
      <c r="L108" s="31" t="s">
        <v>36</v>
      </c>
      <c r="M108" s="39" t="s">
        <v>37</v>
      </c>
    </row>
    <row r="109" spans="3:13" ht="18.600000000000001" hidden="1" thickBot="1" x14ac:dyDescent="0.4">
      <c r="C109" s="27"/>
      <c r="E109" t="e">
        <f>RIGHT(C107,2)</f>
        <v>#REF!</v>
      </c>
      <c r="F109" t="e">
        <f>LEFT(E109,1)</f>
        <v>#REF!</v>
      </c>
      <c r="G109" s="33" t="e">
        <f>TRUNC(C107)</f>
        <v>#REF!</v>
      </c>
      <c r="H109" s="18" t="e">
        <f>FIXED(C107-G109,I109)</f>
        <v>#REF!</v>
      </c>
      <c r="I109" t="e">
        <f>ABS(G112-H112)</f>
        <v>#REF!</v>
      </c>
      <c r="J109" t="e">
        <f>RIGHT(C107,I109)</f>
        <v>#REF!</v>
      </c>
      <c r="K109">
        <v>0.05</v>
      </c>
      <c r="L109" s="34" t="e">
        <f>(C107-K109)</f>
        <v>#REF!</v>
      </c>
      <c r="M109" s="43" t="e">
        <f>IF(E111=5,IF(AND(G107=0,F112=FALSE),L109,L110),L110)</f>
        <v>#REF!</v>
      </c>
    </row>
    <row r="110" spans="3:13" ht="15" hidden="1" thickBot="1" x14ac:dyDescent="0.35">
      <c r="C110" s="27"/>
      <c r="E110" t="e">
        <f>RIGHT(E109,1)</f>
        <v>#REF!</v>
      </c>
      <c r="F110" t="e">
        <f>F109+0</f>
        <v>#REF!</v>
      </c>
      <c r="L110" t="e">
        <f>FIXED(C107,1)</f>
        <v>#REF!</v>
      </c>
      <c r="M110" s="45"/>
    </row>
    <row r="111" spans="3:13" ht="15" hidden="1" thickBot="1" x14ac:dyDescent="0.35">
      <c r="C111" s="27"/>
      <c r="E111" t="e">
        <f>E110+0</f>
        <v>#REF!</v>
      </c>
      <c r="F111" t="s">
        <v>38</v>
      </c>
      <c r="G111" t="s">
        <v>39</v>
      </c>
      <c r="H111" t="s">
        <v>40</v>
      </c>
      <c r="M111" s="37"/>
    </row>
    <row r="112" spans="3:13" ht="15" hidden="1" thickBot="1" x14ac:dyDescent="0.35">
      <c r="C112" s="27"/>
      <c r="F112" t="e">
        <f>ISODD(F109)</f>
        <v>#REF!</v>
      </c>
      <c r="G112" t="e">
        <f>LEN(C107)</f>
        <v>#REF!</v>
      </c>
      <c r="H112" t="e">
        <f>LEN(G109)+1</f>
        <v>#REF!</v>
      </c>
      <c r="M112" s="37"/>
    </row>
    <row r="113" spans="3:13" ht="15" hidden="1" thickBot="1" x14ac:dyDescent="0.35">
      <c r="C113" s="27"/>
      <c r="M113" s="37"/>
    </row>
    <row r="114" spans="3:13" ht="15" hidden="1" thickBot="1" x14ac:dyDescent="0.35">
      <c r="C114" s="219" t="s">
        <v>44</v>
      </c>
      <c r="D114" s="220"/>
      <c r="E114" s="220"/>
      <c r="F114" s="220"/>
      <c r="G114" s="220"/>
      <c r="H114" s="220"/>
      <c r="I114" s="220"/>
      <c r="J114" s="220"/>
      <c r="K114" s="220"/>
      <c r="L114" s="220"/>
      <c r="M114" s="221"/>
    </row>
    <row r="115" spans="3:13" ht="15" hidden="1" thickBot="1" x14ac:dyDescent="0.35">
      <c r="C115" s="44" t="e">
        <f>M109</f>
        <v>#REF!</v>
      </c>
      <c r="E115" t="e">
        <f>FIXED(C107,2)</f>
        <v>#REF!</v>
      </c>
      <c r="F115" t="e">
        <f>RIGHT(E115,1)</f>
        <v>#REF!</v>
      </c>
      <c r="G115" t="e">
        <f>F115+0</f>
        <v>#REF!</v>
      </c>
      <c r="M115" s="37"/>
    </row>
    <row r="116" spans="3:13" ht="29.4" hidden="1" thickBot="1" x14ac:dyDescent="0.35">
      <c r="C116" s="27"/>
      <c r="E116" t="s">
        <v>29</v>
      </c>
      <c r="F116" t="s">
        <v>30</v>
      </c>
      <c r="G116" t="s">
        <v>31</v>
      </c>
      <c r="H116" t="s">
        <v>32</v>
      </c>
      <c r="I116" s="31" t="s">
        <v>33</v>
      </c>
      <c r="J116" s="31" t="s">
        <v>34</v>
      </c>
      <c r="K116" s="31" t="s">
        <v>35</v>
      </c>
      <c r="L116" s="31" t="s">
        <v>36</v>
      </c>
      <c r="M116" s="39" t="s">
        <v>37</v>
      </c>
    </row>
    <row r="117" spans="3:13" ht="18.600000000000001" hidden="1" thickBot="1" x14ac:dyDescent="0.4">
      <c r="C117" s="27"/>
      <c r="E117" t="e">
        <f>RIGHT(C115,2)</f>
        <v>#REF!</v>
      </c>
      <c r="F117" t="e">
        <f>RIGHT(G117,1)</f>
        <v>#REF!</v>
      </c>
      <c r="G117" s="33" t="e">
        <f>TRUNC(C115)</f>
        <v>#REF!</v>
      </c>
      <c r="H117" s="18" t="e">
        <f>FIXED(C115-G117,I117)</f>
        <v>#REF!</v>
      </c>
      <c r="I117" t="e">
        <f>ABS(G120-H120)</f>
        <v>#REF!</v>
      </c>
      <c r="J117" t="e">
        <f>RIGHT(C115,I117)</f>
        <v>#REF!</v>
      </c>
      <c r="K117">
        <v>0.5</v>
      </c>
      <c r="L117" s="16" t="e">
        <f>(C115-K117)</f>
        <v>#REF!</v>
      </c>
      <c r="M117" s="46" t="e">
        <f>IF(E119=5,IF(AND(G115=0,F120=FALSE),L117,L118),L118)</f>
        <v>#REF!</v>
      </c>
    </row>
    <row r="118" spans="3:13" ht="15" hidden="1" thickBot="1" x14ac:dyDescent="0.35">
      <c r="C118" s="27"/>
      <c r="E118" t="e">
        <f>RIGHT(E117,1)</f>
        <v>#REF!</v>
      </c>
      <c r="F118" t="e">
        <f>F117+0</f>
        <v>#REF!</v>
      </c>
      <c r="L118" t="e">
        <f>FIXED(C115,0)</f>
        <v>#REF!</v>
      </c>
      <c r="M118" s="47"/>
    </row>
    <row r="119" spans="3:13" ht="15" hidden="1" thickBot="1" x14ac:dyDescent="0.35">
      <c r="C119" s="27"/>
      <c r="E119" t="e">
        <f>E118+0</f>
        <v>#REF!</v>
      </c>
      <c r="F119" t="s">
        <v>38</v>
      </c>
      <c r="G119" t="s">
        <v>39</v>
      </c>
      <c r="H119" t="s">
        <v>40</v>
      </c>
      <c r="M119" s="37"/>
    </row>
    <row r="120" spans="3:13" ht="15" hidden="1" thickBot="1" x14ac:dyDescent="0.35">
      <c r="C120" s="35"/>
      <c r="D120" s="35"/>
      <c r="E120" s="35"/>
      <c r="F120" s="35" t="e">
        <f>ISODD(F117)</f>
        <v>#REF!</v>
      </c>
      <c r="G120" s="35" t="e">
        <f>LEN(C115)</f>
        <v>#REF!</v>
      </c>
      <c r="H120" s="35" t="e">
        <f>LEN(G117)+1</f>
        <v>#REF!</v>
      </c>
      <c r="I120" s="35"/>
      <c r="J120" s="35"/>
      <c r="K120" s="35"/>
      <c r="L120" s="35"/>
      <c r="M120" s="48"/>
    </row>
    <row r="121" spans="3:13" ht="15" hidden="1" thickBot="1" x14ac:dyDescent="0.35"/>
    <row r="122" spans="3:13" ht="15" thickBot="1" x14ac:dyDescent="0.35">
      <c r="C122" s="222" t="s">
        <v>48</v>
      </c>
      <c r="D122" s="223"/>
      <c r="E122" s="223"/>
      <c r="F122" s="223"/>
      <c r="G122" s="223"/>
      <c r="H122" s="223"/>
      <c r="I122" s="223"/>
      <c r="J122" s="223"/>
      <c r="K122" s="223"/>
      <c r="L122" s="223"/>
      <c r="M122" s="224"/>
    </row>
    <row r="123" spans="3:13" ht="15" thickBot="1" x14ac:dyDescent="0.35">
      <c r="C123" s="27" t="s">
        <v>26</v>
      </c>
      <c r="D123" s="19" t="s">
        <v>27</v>
      </c>
      <c r="E123" t="e">
        <f>FIXED(C124,6)</f>
        <v>#REF!</v>
      </c>
      <c r="F123" t="e">
        <f>RIGHT(E123,1)</f>
        <v>#REF!</v>
      </c>
      <c r="G123" t="e">
        <f>F123/1000000</f>
        <v>#REF!</v>
      </c>
      <c r="H123" s="36" t="e">
        <f>C124-G123</f>
        <v>#REF!</v>
      </c>
      <c r="J123" t="e">
        <f>IF(E128=5,IF(AND(F124=0,F129=FALSE),L126,L127),L127)</f>
        <v>#REF!</v>
      </c>
      <c r="M123" s="37"/>
    </row>
    <row r="124" spans="3:13" ht="18.600000000000001" thickBot="1" x14ac:dyDescent="0.4">
      <c r="C124" s="28" t="e">
        <f>INCERTIDUMBRE!M8</f>
        <v>#REF!</v>
      </c>
      <c r="D124" s="38" t="e">
        <f>IF(C124&gt;=10,M158,IF(C124&gt;=1,M150,IF(C124&gt;=0.1,M142,IF(C124&gt;=0.01,M134,IF(C124&gt;=0.001,M126)))))</f>
        <v>#REF!</v>
      </c>
      <c r="E124" t="s">
        <v>28</v>
      </c>
      <c r="F124" t="e">
        <f>F123+0</f>
        <v>#REF!</v>
      </c>
      <c r="M124" s="37"/>
    </row>
    <row r="125" spans="3:13" ht="29.4" hidden="1" thickBot="1" x14ac:dyDescent="0.35">
      <c r="C125" s="29"/>
      <c r="D125" s="29"/>
      <c r="E125" t="s">
        <v>29</v>
      </c>
      <c r="F125" t="s">
        <v>30</v>
      </c>
      <c r="G125" t="s">
        <v>31</v>
      </c>
      <c r="H125" t="s">
        <v>32</v>
      </c>
      <c r="I125" s="31" t="s">
        <v>33</v>
      </c>
      <c r="J125" s="31" t="s">
        <v>34</v>
      </c>
      <c r="K125" s="31" t="s">
        <v>35</v>
      </c>
      <c r="L125" s="31" t="s">
        <v>36</v>
      </c>
      <c r="M125" s="39" t="s">
        <v>37</v>
      </c>
    </row>
    <row r="126" spans="3:13" ht="18.600000000000001" hidden="1" thickBot="1" x14ac:dyDescent="0.4">
      <c r="C126" s="32"/>
      <c r="E126" t="e">
        <f>RIGHT(H123,2)</f>
        <v>#REF!</v>
      </c>
      <c r="F126" t="e">
        <f>LEFT(E126,1)</f>
        <v>#REF!</v>
      </c>
      <c r="G126" s="36" t="e">
        <f>TRUNC(C124)</f>
        <v>#REF!</v>
      </c>
      <c r="H126" s="18" t="e">
        <f>FIXED(C124-G126,I126)</f>
        <v>#REF!</v>
      </c>
      <c r="I126" t="e">
        <f>ABS(G129-H129)</f>
        <v>#REF!</v>
      </c>
      <c r="J126" t="e">
        <f>RIGHT(C124,I126)</f>
        <v>#REF!</v>
      </c>
      <c r="K126">
        <v>5.0000000000000002E-5</v>
      </c>
      <c r="L126" s="18" t="e">
        <f>(C124-K126)</f>
        <v>#REF!</v>
      </c>
      <c r="M126" s="40" t="e">
        <f>IF(E128=5,IF(AND(F124=0,F129=FALSE),L126,L127),L127)</f>
        <v>#REF!</v>
      </c>
    </row>
    <row r="127" spans="3:13" ht="15" hidden="1" thickBot="1" x14ac:dyDescent="0.35">
      <c r="C127" s="27"/>
      <c r="E127" t="e">
        <f>RIGHT(E126,1)</f>
        <v>#REF!</v>
      </c>
      <c r="F127" t="e">
        <f>F126+0</f>
        <v>#REF!</v>
      </c>
      <c r="L127" t="e">
        <f>FIXED(C124,4)</f>
        <v>#REF!</v>
      </c>
      <c r="M127" s="37"/>
    </row>
    <row r="128" spans="3:13" ht="15" hidden="1" thickBot="1" x14ac:dyDescent="0.35">
      <c r="C128" s="27"/>
      <c r="E128" t="e">
        <f>E127+0</f>
        <v>#REF!</v>
      </c>
      <c r="F128" t="s">
        <v>38</v>
      </c>
      <c r="G128" t="s">
        <v>39</v>
      </c>
      <c r="H128" t="s">
        <v>40</v>
      </c>
      <c r="M128" s="37"/>
    </row>
    <row r="129" spans="3:13" ht="15" hidden="1" thickBot="1" x14ac:dyDescent="0.35">
      <c r="C129" s="27"/>
      <c r="F129" t="e">
        <f>ISODD(F126)</f>
        <v>#REF!</v>
      </c>
      <c r="G129" t="e">
        <f>LEN(C124)</f>
        <v>#REF!</v>
      </c>
      <c r="H129" t="e">
        <f>LEN(G126)+1</f>
        <v>#REF!</v>
      </c>
      <c r="M129" s="37"/>
    </row>
    <row r="130" spans="3:13" ht="15" hidden="1" thickBot="1" x14ac:dyDescent="0.35">
      <c r="C130" s="27"/>
      <c r="M130" s="37"/>
    </row>
    <row r="131" spans="3:13" ht="15" hidden="1" thickBot="1" x14ac:dyDescent="0.35">
      <c r="C131" s="219" t="s">
        <v>41</v>
      </c>
      <c r="D131" s="220"/>
      <c r="E131" s="220"/>
      <c r="F131" s="220"/>
      <c r="G131" s="220"/>
      <c r="H131" s="220"/>
      <c r="I131" s="220"/>
      <c r="J131" s="220"/>
      <c r="K131" s="220"/>
      <c r="L131" s="220"/>
      <c r="M131" s="221"/>
    </row>
    <row r="132" spans="3:13" ht="15" hidden="1" thickBot="1" x14ac:dyDescent="0.35">
      <c r="C132" s="41" t="e">
        <f>M126</f>
        <v>#REF!</v>
      </c>
      <c r="E132" t="e">
        <f>FIXED(C124,5)</f>
        <v>#REF!</v>
      </c>
      <c r="F132" t="e">
        <f>RIGHT(E132,1)</f>
        <v>#REF!</v>
      </c>
      <c r="G132" t="e">
        <f>F132+0</f>
        <v>#REF!</v>
      </c>
      <c r="M132" s="37"/>
    </row>
    <row r="133" spans="3:13" ht="29.4" hidden="1" thickBot="1" x14ac:dyDescent="0.35">
      <c r="C133" s="27"/>
      <c r="E133" t="s">
        <v>29</v>
      </c>
      <c r="F133" t="s">
        <v>30</v>
      </c>
      <c r="G133" t="s">
        <v>31</v>
      </c>
      <c r="H133" t="s">
        <v>32</v>
      </c>
      <c r="I133" s="31" t="s">
        <v>33</v>
      </c>
      <c r="J133" s="31" t="s">
        <v>34</v>
      </c>
      <c r="K133" s="31" t="s">
        <v>35</v>
      </c>
      <c r="L133" s="31" t="s">
        <v>36</v>
      </c>
      <c r="M133" s="39" t="s">
        <v>37</v>
      </c>
    </row>
    <row r="134" spans="3:13" ht="18.600000000000001" hidden="1" thickBot="1" x14ac:dyDescent="0.4">
      <c r="C134" s="27"/>
      <c r="E134" t="e">
        <f>RIGHT(C132,2)</f>
        <v>#REF!</v>
      </c>
      <c r="F134" t="e">
        <f>LEFT(E134,1)</f>
        <v>#REF!</v>
      </c>
      <c r="G134" s="33" t="e">
        <f>TRUNC(C132)</f>
        <v>#REF!</v>
      </c>
      <c r="H134" s="18" t="e">
        <f>FIXED(C132-G134,I134)</f>
        <v>#REF!</v>
      </c>
      <c r="I134" t="e">
        <f>ABS(G137-H137)</f>
        <v>#REF!</v>
      </c>
      <c r="J134" t="e">
        <f>RIGHT(C132,I134)</f>
        <v>#REF!</v>
      </c>
      <c r="K134">
        <v>5.0000000000000001E-4</v>
      </c>
      <c r="L134" s="20" t="e">
        <f>(C132-K134)</f>
        <v>#REF!</v>
      </c>
      <c r="M134" s="42" t="e">
        <f>IF(E136=5,IF(AND(G132=0,F137=FALSE),L134,L135),L135)</f>
        <v>#REF!</v>
      </c>
    </row>
    <row r="135" spans="3:13" ht="15" hidden="1" thickBot="1" x14ac:dyDescent="0.35">
      <c r="C135" s="27"/>
      <c r="E135" t="e">
        <f>RIGHT(E134,1)</f>
        <v>#REF!</v>
      </c>
      <c r="F135" t="e">
        <f>F134+0</f>
        <v>#REF!</v>
      </c>
      <c r="L135" t="e">
        <f>FIXED(C132,3)</f>
        <v>#REF!</v>
      </c>
      <c r="M135" s="37"/>
    </row>
    <row r="136" spans="3:13" ht="15" hidden="1" thickBot="1" x14ac:dyDescent="0.35">
      <c r="C136" s="27"/>
      <c r="E136" t="e">
        <f>E135+0</f>
        <v>#REF!</v>
      </c>
      <c r="F136" t="s">
        <v>38</v>
      </c>
      <c r="G136" t="s">
        <v>39</v>
      </c>
      <c r="H136" t="s">
        <v>40</v>
      </c>
      <c r="M136" s="37"/>
    </row>
    <row r="137" spans="3:13" ht="15" hidden="1" thickBot="1" x14ac:dyDescent="0.35">
      <c r="C137" s="27"/>
      <c r="F137" t="e">
        <f>ISODD(F134)</f>
        <v>#REF!</v>
      </c>
      <c r="G137" t="e">
        <f>LEN(C132)</f>
        <v>#REF!</v>
      </c>
      <c r="H137" t="e">
        <f>LEN(G134)+1</f>
        <v>#REF!</v>
      </c>
      <c r="M137" s="37"/>
    </row>
    <row r="138" spans="3:13" ht="15" hidden="1" thickBot="1" x14ac:dyDescent="0.35">
      <c r="C138" s="27"/>
      <c r="M138" s="37"/>
    </row>
    <row r="139" spans="3:13" ht="15" hidden="1" thickBot="1" x14ac:dyDescent="0.35">
      <c r="C139" s="219" t="s">
        <v>42</v>
      </c>
      <c r="D139" s="220"/>
      <c r="E139" s="220"/>
      <c r="F139" s="220"/>
      <c r="G139" s="220"/>
      <c r="H139" s="220"/>
      <c r="I139" s="220"/>
      <c r="J139" s="220"/>
      <c r="K139" s="220"/>
      <c r="L139" s="220"/>
      <c r="M139" s="221"/>
    </row>
    <row r="140" spans="3:13" ht="15" hidden="1" thickBot="1" x14ac:dyDescent="0.35">
      <c r="C140" s="41" t="e">
        <f>M134</f>
        <v>#REF!</v>
      </c>
      <c r="E140" t="e">
        <f>FIXED(C132,4)</f>
        <v>#REF!</v>
      </c>
      <c r="F140" t="e">
        <f>RIGHT(E140,1)</f>
        <v>#REF!</v>
      </c>
      <c r="G140" t="e">
        <f>F140+0</f>
        <v>#REF!</v>
      </c>
      <c r="M140" s="37"/>
    </row>
    <row r="141" spans="3:13" ht="29.4" hidden="1" thickBot="1" x14ac:dyDescent="0.35">
      <c r="C141" s="27"/>
      <c r="E141" t="s">
        <v>29</v>
      </c>
      <c r="F141" t="s">
        <v>30</v>
      </c>
      <c r="G141" t="s">
        <v>31</v>
      </c>
      <c r="H141" t="s">
        <v>32</v>
      </c>
      <c r="I141" s="31" t="s">
        <v>33</v>
      </c>
      <c r="J141" s="31" t="s">
        <v>34</v>
      </c>
      <c r="K141" s="31" t="s">
        <v>35</v>
      </c>
      <c r="L141" s="31" t="s">
        <v>36</v>
      </c>
      <c r="M141" s="39" t="s">
        <v>37</v>
      </c>
    </row>
    <row r="142" spans="3:13" ht="18.600000000000001" hidden="1" thickBot="1" x14ac:dyDescent="0.4">
      <c r="C142" s="27"/>
      <c r="E142" t="e">
        <f>RIGHT(C140,2)</f>
        <v>#REF!</v>
      </c>
      <c r="F142" t="e">
        <f>LEFT(E142,1)</f>
        <v>#REF!</v>
      </c>
      <c r="G142" s="33" t="e">
        <f>TRUNC(C140)</f>
        <v>#REF!</v>
      </c>
      <c r="H142" s="18" t="e">
        <f>FIXED(C140-G142,I142)</f>
        <v>#REF!</v>
      </c>
      <c r="I142" t="e">
        <f>ABS(G145-H145)</f>
        <v>#REF!</v>
      </c>
      <c r="J142" t="e">
        <f>RIGHT(C140,I142)</f>
        <v>#REF!</v>
      </c>
      <c r="K142">
        <v>5.0000000000000001E-3</v>
      </c>
      <c r="L142" s="34" t="e">
        <f>(C140-K142)</f>
        <v>#REF!</v>
      </c>
      <c r="M142" s="43" t="e">
        <f>IF(E144=5,IF(AND(G140=0,F145=FALSE),L142,L143),L143)</f>
        <v>#REF!</v>
      </c>
    </row>
    <row r="143" spans="3:13" ht="18.600000000000001" hidden="1" thickBot="1" x14ac:dyDescent="0.4">
      <c r="C143" s="27"/>
      <c r="E143" t="e">
        <f>RIGHT(E142,1)</f>
        <v>#REF!</v>
      </c>
      <c r="F143" t="e">
        <f>F142+0</f>
        <v>#REF!</v>
      </c>
      <c r="L143" t="e">
        <f>FIXED(C140,2)</f>
        <v>#REF!</v>
      </c>
      <c r="M143" s="43"/>
    </row>
    <row r="144" spans="3:13" ht="15" hidden="1" thickBot="1" x14ac:dyDescent="0.35">
      <c r="C144" s="27"/>
      <c r="E144" t="e">
        <f>E143+0</f>
        <v>#REF!</v>
      </c>
      <c r="F144" t="s">
        <v>38</v>
      </c>
      <c r="G144" t="s">
        <v>39</v>
      </c>
      <c r="H144" t="s">
        <v>40</v>
      </c>
      <c r="M144" s="37"/>
    </row>
    <row r="145" spans="3:13" ht="15" hidden="1" thickBot="1" x14ac:dyDescent="0.35">
      <c r="C145" s="27"/>
      <c r="F145" t="e">
        <f>ISODD(F142)</f>
        <v>#REF!</v>
      </c>
      <c r="G145" t="e">
        <f>LEN(C140)</f>
        <v>#REF!</v>
      </c>
      <c r="H145" t="e">
        <f>LEN(G142)+1</f>
        <v>#REF!</v>
      </c>
      <c r="M145" s="37"/>
    </row>
    <row r="146" spans="3:13" ht="15" hidden="1" thickBot="1" x14ac:dyDescent="0.35">
      <c r="C146" s="27"/>
      <c r="M146" s="37"/>
    </row>
    <row r="147" spans="3:13" ht="15" hidden="1" thickBot="1" x14ac:dyDescent="0.35">
      <c r="C147" s="219" t="s">
        <v>43</v>
      </c>
      <c r="D147" s="220"/>
      <c r="E147" s="220"/>
      <c r="F147" s="220"/>
      <c r="G147" s="220"/>
      <c r="H147" s="220"/>
      <c r="I147" s="220"/>
      <c r="J147" s="220"/>
      <c r="K147" s="220"/>
      <c r="L147" s="220"/>
      <c r="M147" s="221"/>
    </row>
    <row r="148" spans="3:13" ht="15" hidden="1" thickBot="1" x14ac:dyDescent="0.35">
      <c r="C148" s="44" t="e">
        <f>M142</f>
        <v>#REF!</v>
      </c>
      <c r="E148" t="e">
        <f>FIXED(C140,3)</f>
        <v>#REF!</v>
      </c>
      <c r="F148" t="e">
        <f>RIGHT(E148,1)</f>
        <v>#REF!</v>
      </c>
      <c r="G148" t="e">
        <f>F148+0</f>
        <v>#REF!</v>
      </c>
      <c r="M148" s="37"/>
    </row>
    <row r="149" spans="3:13" ht="29.4" hidden="1" thickBot="1" x14ac:dyDescent="0.35">
      <c r="C149" s="27"/>
      <c r="E149" t="s">
        <v>29</v>
      </c>
      <c r="F149" t="s">
        <v>30</v>
      </c>
      <c r="G149" t="s">
        <v>31</v>
      </c>
      <c r="H149" t="s">
        <v>32</v>
      </c>
      <c r="I149" s="31" t="s">
        <v>33</v>
      </c>
      <c r="J149" s="31" t="s">
        <v>34</v>
      </c>
      <c r="K149" s="31" t="s">
        <v>35</v>
      </c>
      <c r="L149" s="31" t="s">
        <v>36</v>
      </c>
      <c r="M149" s="39" t="s">
        <v>37</v>
      </c>
    </row>
    <row r="150" spans="3:13" ht="18.600000000000001" hidden="1" thickBot="1" x14ac:dyDescent="0.4">
      <c r="C150" s="27"/>
      <c r="E150" t="e">
        <f>RIGHT(C148,2)</f>
        <v>#REF!</v>
      </c>
      <c r="F150" t="e">
        <f>LEFT(E150,1)</f>
        <v>#REF!</v>
      </c>
      <c r="G150" s="33" t="e">
        <f>TRUNC(C148)</f>
        <v>#REF!</v>
      </c>
      <c r="H150" s="18" t="e">
        <f>FIXED(C148-G150,I150)</f>
        <v>#REF!</v>
      </c>
      <c r="I150" t="e">
        <f>ABS(G153-H153)</f>
        <v>#REF!</v>
      </c>
      <c r="J150" t="e">
        <f>RIGHT(C148,I150)</f>
        <v>#REF!</v>
      </c>
      <c r="K150">
        <v>0.05</v>
      </c>
      <c r="L150" s="34" t="e">
        <f>(C148-K150)</f>
        <v>#REF!</v>
      </c>
      <c r="M150" s="43" t="e">
        <f>IF(E152=5,IF(AND(G148=0,F153=FALSE),L150,L151),L151)</f>
        <v>#REF!</v>
      </c>
    </row>
    <row r="151" spans="3:13" ht="15" hidden="1" thickBot="1" x14ac:dyDescent="0.35">
      <c r="C151" s="27"/>
      <c r="E151" t="e">
        <f>RIGHT(E150,1)</f>
        <v>#REF!</v>
      </c>
      <c r="F151" t="e">
        <f>F150+0</f>
        <v>#REF!</v>
      </c>
      <c r="L151" t="e">
        <f>FIXED(C148,1)</f>
        <v>#REF!</v>
      </c>
      <c r="M151" s="45"/>
    </row>
    <row r="152" spans="3:13" ht="15" hidden="1" thickBot="1" x14ac:dyDescent="0.35">
      <c r="C152" s="27"/>
      <c r="E152" t="e">
        <f>E151+0</f>
        <v>#REF!</v>
      </c>
      <c r="F152" t="s">
        <v>38</v>
      </c>
      <c r="G152" t="s">
        <v>39</v>
      </c>
      <c r="H152" t="s">
        <v>40</v>
      </c>
      <c r="M152" s="37"/>
    </row>
    <row r="153" spans="3:13" ht="15" hidden="1" thickBot="1" x14ac:dyDescent="0.35">
      <c r="C153" s="27"/>
      <c r="F153" t="e">
        <f>ISODD(F150)</f>
        <v>#REF!</v>
      </c>
      <c r="G153" t="e">
        <f>LEN(C148)</f>
        <v>#REF!</v>
      </c>
      <c r="H153" t="e">
        <f>LEN(G150)+1</f>
        <v>#REF!</v>
      </c>
      <c r="M153" s="37"/>
    </row>
    <row r="154" spans="3:13" ht="15" hidden="1" thickBot="1" x14ac:dyDescent="0.35">
      <c r="C154" s="27"/>
      <c r="M154" s="37"/>
    </row>
    <row r="155" spans="3:13" ht="15" hidden="1" thickBot="1" x14ac:dyDescent="0.35">
      <c r="C155" s="219" t="s">
        <v>44</v>
      </c>
      <c r="D155" s="220"/>
      <c r="E155" s="220"/>
      <c r="F155" s="220"/>
      <c r="G155" s="220"/>
      <c r="H155" s="220"/>
      <c r="I155" s="220"/>
      <c r="J155" s="220"/>
      <c r="K155" s="220"/>
      <c r="L155" s="220"/>
      <c r="M155" s="221"/>
    </row>
    <row r="156" spans="3:13" ht="15" hidden="1" thickBot="1" x14ac:dyDescent="0.35">
      <c r="C156" s="44" t="e">
        <f>M150</f>
        <v>#REF!</v>
      </c>
      <c r="E156" t="e">
        <f>FIXED(C148,2)</f>
        <v>#REF!</v>
      </c>
      <c r="F156" t="e">
        <f>RIGHT(E156,1)</f>
        <v>#REF!</v>
      </c>
      <c r="G156" t="e">
        <f>F156+0</f>
        <v>#REF!</v>
      </c>
      <c r="M156" s="37"/>
    </row>
    <row r="157" spans="3:13" ht="29.4" hidden="1" thickBot="1" x14ac:dyDescent="0.35">
      <c r="C157" s="27"/>
      <c r="E157" t="s">
        <v>29</v>
      </c>
      <c r="F157" t="s">
        <v>30</v>
      </c>
      <c r="G157" t="s">
        <v>31</v>
      </c>
      <c r="H157" t="s">
        <v>32</v>
      </c>
      <c r="I157" s="31" t="s">
        <v>33</v>
      </c>
      <c r="J157" s="31" t="s">
        <v>34</v>
      </c>
      <c r="K157" s="31" t="s">
        <v>35</v>
      </c>
      <c r="L157" s="31" t="s">
        <v>36</v>
      </c>
      <c r="M157" s="39" t="s">
        <v>37</v>
      </c>
    </row>
    <row r="158" spans="3:13" ht="18.600000000000001" hidden="1" thickBot="1" x14ac:dyDescent="0.4">
      <c r="C158" s="27"/>
      <c r="E158" t="e">
        <f>RIGHT(C156,2)</f>
        <v>#REF!</v>
      </c>
      <c r="F158" t="e">
        <f>RIGHT(G158,1)</f>
        <v>#REF!</v>
      </c>
      <c r="G158" s="33" t="e">
        <f>TRUNC(C156)</f>
        <v>#REF!</v>
      </c>
      <c r="H158" s="18" t="e">
        <f>FIXED(C156-G158,I158)</f>
        <v>#REF!</v>
      </c>
      <c r="I158" t="e">
        <f>ABS(G161-H161)</f>
        <v>#REF!</v>
      </c>
      <c r="J158" t="e">
        <f>RIGHT(C156,I158)</f>
        <v>#REF!</v>
      </c>
      <c r="K158">
        <v>0.5</v>
      </c>
      <c r="L158" s="16" t="e">
        <f>(C156-K158)</f>
        <v>#REF!</v>
      </c>
      <c r="M158" s="46" t="e">
        <f>IF(E160=5,IF(AND(G156=0,F161=FALSE),L158,L159),L159)</f>
        <v>#REF!</v>
      </c>
    </row>
    <row r="159" spans="3:13" ht="15" hidden="1" thickBot="1" x14ac:dyDescent="0.35">
      <c r="C159" s="27"/>
      <c r="E159" t="e">
        <f>RIGHT(E158,1)</f>
        <v>#REF!</v>
      </c>
      <c r="F159" t="e">
        <f>F158+0</f>
        <v>#REF!</v>
      </c>
      <c r="L159" t="e">
        <f>FIXED(C156,0)</f>
        <v>#REF!</v>
      </c>
      <c r="M159" s="47"/>
    </row>
    <row r="160" spans="3:13" ht="15" hidden="1" thickBot="1" x14ac:dyDescent="0.35">
      <c r="C160" s="27"/>
      <c r="E160" t="e">
        <f>E159+0</f>
        <v>#REF!</v>
      </c>
      <c r="F160" t="s">
        <v>38</v>
      </c>
      <c r="G160" t="s">
        <v>39</v>
      </c>
      <c r="H160" t="s">
        <v>40</v>
      </c>
      <c r="M160" s="37"/>
    </row>
    <row r="161" spans="3:13" ht="15" hidden="1" thickBot="1" x14ac:dyDescent="0.35">
      <c r="C161" s="35"/>
      <c r="D161" s="35"/>
      <c r="E161" s="35"/>
      <c r="F161" s="35" t="e">
        <f>ISODD(F158)</f>
        <v>#REF!</v>
      </c>
      <c r="G161" s="35" t="e">
        <f>LEN(C156)</f>
        <v>#REF!</v>
      </c>
      <c r="H161" s="35" t="e">
        <f>LEN(G158)+1</f>
        <v>#REF!</v>
      </c>
      <c r="I161" s="35"/>
      <c r="J161" s="35"/>
      <c r="K161" s="35"/>
      <c r="L161" s="35"/>
      <c r="M161" s="48"/>
    </row>
    <row r="162" spans="3:13" ht="15" hidden="1" thickBot="1" x14ac:dyDescent="0.35">
      <c r="C162" s="222" t="s">
        <v>49</v>
      </c>
      <c r="D162" s="223"/>
      <c r="E162" s="223"/>
      <c r="F162" s="223"/>
      <c r="G162" s="223"/>
      <c r="H162" s="223"/>
      <c r="I162" s="223"/>
      <c r="J162" s="223"/>
      <c r="K162" s="223"/>
      <c r="L162" s="223"/>
      <c r="M162" s="224"/>
    </row>
    <row r="163" spans="3:13" ht="15" hidden="1" thickBot="1" x14ac:dyDescent="0.35">
      <c r="C163" s="27" t="s">
        <v>26</v>
      </c>
      <c r="E163" t="str">
        <f>FIXED(C164,6)</f>
        <v>22,507260</v>
      </c>
      <c r="F163" t="str">
        <f>RIGHT(E163,1)</f>
        <v>0</v>
      </c>
      <c r="G163">
        <f>F163/1000000</f>
        <v>0</v>
      </c>
      <c r="H163" s="36">
        <f>C164-G163</f>
        <v>22.507259999999999</v>
      </c>
      <c r="J163" t="str">
        <f>IF(E168=5,IF(AND(F164=0,F169=FALSE),L166,L167),L167)</f>
        <v>22,5073</v>
      </c>
      <c r="M163" s="37"/>
    </row>
    <row r="164" spans="3:13" ht="18.600000000000001" hidden="1" thickBot="1" x14ac:dyDescent="0.4">
      <c r="C164" s="28">
        <v>22.507259999999999</v>
      </c>
      <c r="D164" s="19" t="s">
        <v>27</v>
      </c>
      <c r="E164" t="s">
        <v>28</v>
      </c>
      <c r="F164">
        <f>F163+0</f>
        <v>0</v>
      </c>
      <c r="M164" s="37"/>
    </row>
    <row r="165" spans="3:13" ht="29.4" hidden="1" thickBot="1" x14ac:dyDescent="0.35">
      <c r="C165" s="29"/>
      <c r="D165" s="30" t="str">
        <f>IF(C164&gt;=10,M198,IF(C164&gt;=1,M190,IF(C164&gt;=0.1,M182,IF(C164&gt;=0.01,M174,IF(C164&gt;=0.001,M166)))))</f>
        <v>23</v>
      </c>
      <c r="E165" t="s">
        <v>29</v>
      </c>
      <c r="F165" t="s">
        <v>30</v>
      </c>
      <c r="G165" t="s">
        <v>31</v>
      </c>
      <c r="H165" t="s">
        <v>32</v>
      </c>
      <c r="I165" s="31" t="s">
        <v>33</v>
      </c>
      <c r="J165" s="31" t="s">
        <v>34</v>
      </c>
      <c r="K165" s="31" t="s">
        <v>35</v>
      </c>
      <c r="L165" s="31" t="s">
        <v>36</v>
      </c>
      <c r="M165" s="39" t="s">
        <v>37</v>
      </c>
    </row>
    <row r="166" spans="3:13" ht="18.600000000000001" hidden="1" thickBot="1" x14ac:dyDescent="0.4">
      <c r="C166" s="32"/>
      <c r="E166" t="str">
        <f>RIGHT(H163,2)</f>
        <v>26</v>
      </c>
      <c r="F166" t="str">
        <f>LEFT(E166,1)</f>
        <v>2</v>
      </c>
      <c r="G166" s="36">
        <f>TRUNC(C164)</f>
        <v>22</v>
      </c>
      <c r="H166" s="18" t="str">
        <f>FIXED(C164-G166,I166)</f>
        <v>0,50726</v>
      </c>
      <c r="I166">
        <f>ABS(G169-H169)</f>
        <v>5</v>
      </c>
      <c r="J166" t="str">
        <f>RIGHT(C164,I166)</f>
        <v>50726</v>
      </c>
      <c r="K166">
        <v>5.0000000000000002E-5</v>
      </c>
      <c r="L166" s="18">
        <f>(C164-K166)</f>
        <v>22.507209999999997</v>
      </c>
      <c r="M166" s="40" t="str">
        <f>IF(E168=5,IF(AND(F164=0,F169=FALSE),L166,L167),L167)</f>
        <v>22,5073</v>
      </c>
    </row>
    <row r="167" spans="3:13" ht="15" hidden="1" thickBot="1" x14ac:dyDescent="0.35">
      <c r="C167" s="27"/>
      <c r="E167" t="str">
        <f>RIGHT(E166,1)</f>
        <v>6</v>
      </c>
      <c r="F167">
        <f>F166+0</f>
        <v>2</v>
      </c>
      <c r="L167" t="str">
        <f>FIXED(C164,4)</f>
        <v>22,5073</v>
      </c>
      <c r="M167" s="37"/>
    </row>
    <row r="168" spans="3:13" ht="15" hidden="1" thickBot="1" x14ac:dyDescent="0.35">
      <c r="C168" s="27"/>
      <c r="E168">
        <f>E167+0</f>
        <v>6</v>
      </c>
      <c r="F168" t="s">
        <v>38</v>
      </c>
      <c r="G168" t="s">
        <v>39</v>
      </c>
      <c r="H168" t="s">
        <v>40</v>
      </c>
      <c r="M168" s="37"/>
    </row>
    <row r="169" spans="3:13" ht="15" hidden="1" thickBot="1" x14ac:dyDescent="0.35">
      <c r="C169" s="27"/>
      <c r="F169" t="b">
        <f>ISODD(F166)</f>
        <v>0</v>
      </c>
      <c r="G169">
        <f>LEN(C164)</f>
        <v>8</v>
      </c>
      <c r="H169">
        <f>LEN(G166)+1</f>
        <v>3</v>
      </c>
      <c r="M169" s="37"/>
    </row>
    <row r="170" spans="3:13" ht="15" hidden="1" thickBot="1" x14ac:dyDescent="0.35">
      <c r="C170" s="27"/>
      <c r="M170" s="37"/>
    </row>
    <row r="171" spans="3:13" ht="15" hidden="1" thickBot="1" x14ac:dyDescent="0.35">
      <c r="C171" s="219" t="s">
        <v>41</v>
      </c>
      <c r="D171" s="220"/>
      <c r="E171" s="220"/>
      <c r="F171" s="220"/>
      <c r="G171" s="220"/>
      <c r="H171" s="220"/>
      <c r="I171" s="220"/>
      <c r="J171" s="220"/>
      <c r="K171" s="220"/>
      <c r="L171" s="220"/>
      <c r="M171" s="221"/>
    </row>
    <row r="172" spans="3:13" ht="15" hidden="1" thickBot="1" x14ac:dyDescent="0.35">
      <c r="C172" s="41" t="str">
        <f>M166</f>
        <v>22,5073</v>
      </c>
      <c r="E172" t="str">
        <f>FIXED(C164,5)</f>
        <v>22,50726</v>
      </c>
      <c r="F172" t="str">
        <f>RIGHT(E172,1)</f>
        <v>6</v>
      </c>
      <c r="G172">
        <f>F172+0</f>
        <v>6</v>
      </c>
      <c r="M172" s="37"/>
    </row>
    <row r="173" spans="3:13" ht="29.4" hidden="1" thickBot="1" x14ac:dyDescent="0.35">
      <c r="C173" s="27"/>
      <c r="E173" t="s">
        <v>29</v>
      </c>
      <c r="F173" t="s">
        <v>30</v>
      </c>
      <c r="G173" t="s">
        <v>31</v>
      </c>
      <c r="H173" t="s">
        <v>32</v>
      </c>
      <c r="I173" s="31" t="s">
        <v>33</v>
      </c>
      <c r="J173" s="31" t="s">
        <v>34</v>
      </c>
      <c r="K173" s="31" t="s">
        <v>35</v>
      </c>
      <c r="L173" s="31" t="s">
        <v>36</v>
      </c>
      <c r="M173" s="39" t="s">
        <v>37</v>
      </c>
    </row>
    <row r="174" spans="3:13" ht="18.600000000000001" hidden="1" thickBot="1" x14ac:dyDescent="0.4">
      <c r="C174" s="27"/>
      <c r="E174" t="str">
        <f>RIGHT(C172,2)</f>
        <v>73</v>
      </c>
      <c r="F174" t="str">
        <f>LEFT(E174,1)</f>
        <v>7</v>
      </c>
      <c r="G174" s="33">
        <f>TRUNC(C172)</f>
        <v>22</v>
      </c>
      <c r="H174" s="18" t="str">
        <f>FIXED(C172-G174,I174)</f>
        <v>0,5073</v>
      </c>
      <c r="I174">
        <f>ABS(G177-H177)</f>
        <v>4</v>
      </c>
      <c r="J174" t="str">
        <f>RIGHT(C172,I174)</f>
        <v>5073</v>
      </c>
      <c r="K174">
        <v>5.0000000000000001E-4</v>
      </c>
      <c r="L174" s="20">
        <f>(C172-K174)</f>
        <v>22.506800000000002</v>
      </c>
      <c r="M174" s="42" t="str">
        <f>IF(E176=5,IF(AND(G172=0,F177=FALSE),L174,L175),L175)</f>
        <v>22,507</v>
      </c>
    </row>
    <row r="175" spans="3:13" ht="15" hidden="1" thickBot="1" x14ac:dyDescent="0.35">
      <c r="C175" s="27"/>
      <c r="E175" t="str">
        <f>RIGHT(E174,1)</f>
        <v>3</v>
      </c>
      <c r="F175">
        <f>F174+0</f>
        <v>7</v>
      </c>
      <c r="L175" t="str">
        <f>FIXED(C172,3)</f>
        <v>22,507</v>
      </c>
      <c r="M175" s="37"/>
    </row>
    <row r="176" spans="3:13" ht="15" hidden="1" thickBot="1" x14ac:dyDescent="0.35">
      <c r="C176" s="27"/>
      <c r="E176">
        <f>E175+0</f>
        <v>3</v>
      </c>
      <c r="F176" t="s">
        <v>38</v>
      </c>
      <c r="G176" t="s">
        <v>39</v>
      </c>
      <c r="H176" t="s">
        <v>40</v>
      </c>
      <c r="M176" s="37"/>
    </row>
    <row r="177" spans="3:13" ht="15" hidden="1" thickBot="1" x14ac:dyDescent="0.35">
      <c r="C177" s="27"/>
      <c r="F177" t="b">
        <f>ISODD(F174)</f>
        <v>1</v>
      </c>
      <c r="G177">
        <f>LEN(C172)</f>
        <v>7</v>
      </c>
      <c r="H177">
        <f>LEN(G174)+1</f>
        <v>3</v>
      </c>
      <c r="M177" s="37"/>
    </row>
    <row r="178" spans="3:13" ht="15" hidden="1" thickBot="1" x14ac:dyDescent="0.35">
      <c r="C178" s="27"/>
      <c r="M178" s="37"/>
    </row>
    <row r="179" spans="3:13" ht="15" hidden="1" thickBot="1" x14ac:dyDescent="0.35">
      <c r="C179" s="219" t="s">
        <v>42</v>
      </c>
      <c r="D179" s="220"/>
      <c r="E179" s="220"/>
      <c r="F179" s="220"/>
      <c r="G179" s="220"/>
      <c r="H179" s="220"/>
      <c r="I179" s="220"/>
      <c r="J179" s="220"/>
      <c r="K179" s="220"/>
      <c r="L179" s="220"/>
      <c r="M179" s="221"/>
    </row>
    <row r="180" spans="3:13" ht="15" hidden="1" thickBot="1" x14ac:dyDescent="0.35">
      <c r="C180" s="41" t="str">
        <f>M174</f>
        <v>22,507</v>
      </c>
      <c r="E180" t="str">
        <f>FIXED(C172,4)</f>
        <v>22,5073</v>
      </c>
      <c r="F180" t="str">
        <f>RIGHT(E180,1)</f>
        <v>3</v>
      </c>
      <c r="G180">
        <f>F180+0</f>
        <v>3</v>
      </c>
      <c r="M180" s="37"/>
    </row>
    <row r="181" spans="3:13" ht="29.4" hidden="1" thickBot="1" x14ac:dyDescent="0.35">
      <c r="C181" s="27"/>
      <c r="E181" t="s">
        <v>29</v>
      </c>
      <c r="F181" t="s">
        <v>30</v>
      </c>
      <c r="G181" t="s">
        <v>31</v>
      </c>
      <c r="H181" t="s">
        <v>32</v>
      </c>
      <c r="I181" s="31" t="s">
        <v>33</v>
      </c>
      <c r="J181" s="31" t="s">
        <v>34</v>
      </c>
      <c r="K181" s="31" t="s">
        <v>35</v>
      </c>
      <c r="L181" s="31" t="s">
        <v>36</v>
      </c>
      <c r="M181" s="39" t="s">
        <v>37</v>
      </c>
    </row>
    <row r="182" spans="3:13" ht="18.600000000000001" hidden="1" thickBot="1" x14ac:dyDescent="0.4">
      <c r="C182" s="27"/>
      <c r="E182" t="str">
        <f>RIGHT(C180,2)</f>
        <v>07</v>
      </c>
      <c r="F182" t="str">
        <f>LEFT(E182,1)</f>
        <v>0</v>
      </c>
      <c r="G182" s="33">
        <f>TRUNC(C180)</f>
        <v>22</v>
      </c>
      <c r="H182" s="18" t="str">
        <f>FIXED(C180-G182,I182)</f>
        <v>0,507</v>
      </c>
      <c r="I182">
        <f>ABS(G185-H185)</f>
        <v>3</v>
      </c>
      <c r="J182" t="str">
        <f>RIGHT(C180,I182)</f>
        <v>507</v>
      </c>
      <c r="K182">
        <v>5.0000000000000001E-3</v>
      </c>
      <c r="L182" s="34">
        <f>(C180-K182)</f>
        <v>22.502000000000002</v>
      </c>
      <c r="M182" s="43" t="str">
        <f>IF(E184=5,IF(AND(G180=0,F185=FALSE),L182,L183),L183)</f>
        <v>22,51</v>
      </c>
    </row>
    <row r="183" spans="3:13" ht="18.600000000000001" hidden="1" thickBot="1" x14ac:dyDescent="0.4">
      <c r="C183" s="27"/>
      <c r="E183" t="str">
        <f>RIGHT(E182,1)</f>
        <v>7</v>
      </c>
      <c r="F183">
        <f>F182+0</f>
        <v>0</v>
      </c>
      <c r="L183" t="str">
        <f>FIXED(C180,2)</f>
        <v>22,51</v>
      </c>
      <c r="M183" s="43"/>
    </row>
    <row r="184" spans="3:13" ht="15" hidden="1" thickBot="1" x14ac:dyDescent="0.35">
      <c r="C184" s="27"/>
      <c r="E184">
        <f>E183+0</f>
        <v>7</v>
      </c>
      <c r="F184" t="s">
        <v>38</v>
      </c>
      <c r="G184" t="s">
        <v>39</v>
      </c>
      <c r="H184" t="s">
        <v>40</v>
      </c>
      <c r="M184" s="37"/>
    </row>
    <row r="185" spans="3:13" ht="15" hidden="1" thickBot="1" x14ac:dyDescent="0.35">
      <c r="C185" s="27"/>
      <c r="F185" t="b">
        <f>ISODD(F182)</f>
        <v>0</v>
      </c>
      <c r="G185">
        <f>LEN(C180)</f>
        <v>6</v>
      </c>
      <c r="H185">
        <f>LEN(G182)+1</f>
        <v>3</v>
      </c>
      <c r="M185" s="37"/>
    </row>
    <row r="186" spans="3:13" ht="15" hidden="1" thickBot="1" x14ac:dyDescent="0.35">
      <c r="C186" s="27"/>
      <c r="M186" s="37"/>
    </row>
    <row r="187" spans="3:13" ht="15" hidden="1" thickBot="1" x14ac:dyDescent="0.35">
      <c r="C187" s="219" t="s">
        <v>43</v>
      </c>
      <c r="D187" s="220"/>
      <c r="E187" s="220"/>
      <c r="F187" s="220"/>
      <c r="G187" s="220"/>
      <c r="H187" s="220"/>
      <c r="I187" s="220"/>
      <c r="J187" s="220"/>
      <c r="K187" s="220"/>
      <c r="L187" s="220"/>
      <c r="M187" s="221"/>
    </row>
    <row r="188" spans="3:13" ht="15" hidden="1" thickBot="1" x14ac:dyDescent="0.35">
      <c r="C188" s="44" t="str">
        <f>M182</f>
        <v>22,51</v>
      </c>
      <c r="E188" t="str">
        <f>FIXED(C180,3)</f>
        <v>22,507</v>
      </c>
      <c r="F188" t="str">
        <f>RIGHT(E188,1)</f>
        <v>7</v>
      </c>
      <c r="G188">
        <f>F188+0</f>
        <v>7</v>
      </c>
      <c r="M188" s="37"/>
    </row>
    <row r="189" spans="3:13" ht="29.4" hidden="1" thickBot="1" x14ac:dyDescent="0.35">
      <c r="C189" s="27"/>
      <c r="E189" t="s">
        <v>29</v>
      </c>
      <c r="F189" t="s">
        <v>30</v>
      </c>
      <c r="G189" t="s">
        <v>31</v>
      </c>
      <c r="H189" t="s">
        <v>32</v>
      </c>
      <c r="I189" s="31" t="s">
        <v>33</v>
      </c>
      <c r="J189" s="31" t="s">
        <v>34</v>
      </c>
      <c r="K189" s="31" t="s">
        <v>35</v>
      </c>
      <c r="L189" s="31" t="s">
        <v>36</v>
      </c>
      <c r="M189" s="39" t="s">
        <v>37</v>
      </c>
    </row>
    <row r="190" spans="3:13" ht="18.600000000000001" hidden="1" thickBot="1" x14ac:dyDescent="0.4">
      <c r="C190" s="27"/>
      <c r="E190" t="str">
        <f>RIGHT(C188,2)</f>
        <v>51</v>
      </c>
      <c r="F190" t="str">
        <f>LEFT(E190,1)</f>
        <v>5</v>
      </c>
      <c r="G190" s="33">
        <f>TRUNC(C188)</f>
        <v>22</v>
      </c>
      <c r="H190" s="18" t="str">
        <f>FIXED(C188-G190,I190)</f>
        <v>0,51</v>
      </c>
      <c r="I190">
        <f>ABS(G193-H193)</f>
        <v>2</v>
      </c>
      <c r="J190" t="str">
        <f>RIGHT(C188,I190)</f>
        <v>51</v>
      </c>
      <c r="K190">
        <v>0.05</v>
      </c>
      <c r="L190" s="34">
        <f>(C188-K190)</f>
        <v>22.46</v>
      </c>
      <c r="M190" s="43" t="str">
        <f>IF(E192=5,IF(AND(G188=0,F193=FALSE),L190,L191),L191)</f>
        <v>22,5</v>
      </c>
    </row>
    <row r="191" spans="3:13" ht="15" hidden="1" thickBot="1" x14ac:dyDescent="0.35">
      <c r="C191" s="27"/>
      <c r="E191" t="str">
        <f>RIGHT(E190,1)</f>
        <v>1</v>
      </c>
      <c r="F191">
        <f>F190+0</f>
        <v>5</v>
      </c>
      <c r="L191" t="str">
        <f>FIXED(C188,1)</f>
        <v>22,5</v>
      </c>
      <c r="M191" s="45"/>
    </row>
    <row r="192" spans="3:13" ht="15" hidden="1" thickBot="1" x14ac:dyDescent="0.35">
      <c r="C192" s="27"/>
      <c r="E192">
        <f>E191+0</f>
        <v>1</v>
      </c>
      <c r="F192" t="s">
        <v>38</v>
      </c>
      <c r="G192" t="s">
        <v>39</v>
      </c>
      <c r="H192" t="s">
        <v>40</v>
      </c>
      <c r="M192" s="37"/>
    </row>
    <row r="193" spans="3:13" ht="15" hidden="1" thickBot="1" x14ac:dyDescent="0.35">
      <c r="C193" s="27"/>
      <c r="F193" t="b">
        <f>ISODD(F190)</f>
        <v>1</v>
      </c>
      <c r="G193">
        <f>LEN(C188)</f>
        <v>5</v>
      </c>
      <c r="H193">
        <f>LEN(G190)+1</f>
        <v>3</v>
      </c>
      <c r="M193" s="37"/>
    </row>
    <row r="194" spans="3:13" ht="15" hidden="1" thickBot="1" x14ac:dyDescent="0.35">
      <c r="C194" s="27"/>
      <c r="M194" s="37"/>
    </row>
    <row r="195" spans="3:13" ht="15" hidden="1" thickBot="1" x14ac:dyDescent="0.35">
      <c r="C195" s="219" t="s">
        <v>44</v>
      </c>
      <c r="D195" s="220"/>
      <c r="E195" s="220"/>
      <c r="F195" s="220"/>
      <c r="G195" s="220"/>
      <c r="H195" s="220"/>
      <c r="I195" s="220"/>
      <c r="J195" s="220"/>
      <c r="K195" s="220"/>
      <c r="L195" s="220"/>
      <c r="M195" s="221"/>
    </row>
    <row r="196" spans="3:13" ht="15" hidden="1" thickBot="1" x14ac:dyDescent="0.35">
      <c r="C196" s="44" t="str">
        <f>M190</f>
        <v>22,5</v>
      </c>
      <c r="E196" t="str">
        <f>FIXED(C188,2)</f>
        <v>22,51</v>
      </c>
      <c r="F196" t="str">
        <f>RIGHT(E196,1)</f>
        <v>1</v>
      </c>
      <c r="G196">
        <f>F196+0</f>
        <v>1</v>
      </c>
      <c r="M196" s="37"/>
    </row>
    <row r="197" spans="3:13" ht="29.4" hidden="1" thickBot="1" x14ac:dyDescent="0.35">
      <c r="C197" s="27"/>
      <c r="E197" t="s">
        <v>29</v>
      </c>
      <c r="F197" t="s">
        <v>30</v>
      </c>
      <c r="G197" t="s">
        <v>31</v>
      </c>
      <c r="H197" t="s">
        <v>32</v>
      </c>
      <c r="I197" s="31" t="s">
        <v>33</v>
      </c>
      <c r="J197" s="31" t="s">
        <v>34</v>
      </c>
      <c r="K197" s="31" t="s">
        <v>35</v>
      </c>
      <c r="L197" s="31" t="s">
        <v>36</v>
      </c>
      <c r="M197" s="39" t="s">
        <v>37</v>
      </c>
    </row>
    <row r="198" spans="3:13" ht="18.600000000000001" hidden="1" thickBot="1" x14ac:dyDescent="0.4">
      <c r="C198" s="27"/>
      <c r="E198" t="str">
        <f>RIGHT(C196,2)</f>
        <v>,5</v>
      </c>
      <c r="F198" t="str">
        <f>RIGHT(G198,1)</f>
        <v>2</v>
      </c>
      <c r="G198" s="33">
        <f>TRUNC(C196)</f>
        <v>22</v>
      </c>
      <c r="H198" s="18" t="str">
        <f>FIXED(C196-G198,I198)</f>
        <v>0,5</v>
      </c>
      <c r="I198">
        <f>ABS(G201-H201)</f>
        <v>1</v>
      </c>
      <c r="J198" t="str">
        <f>RIGHT(C196,I198)</f>
        <v>5</v>
      </c>
      <c r="K198">
        <v>0.5</v>
      </c>
      <c r="L198" s="16">
        <f>(C196-K198)</f>
        <v>22</v>
      </c>
      <c r="M198" s="46" t="str">
        <f>IF(E200=5,IF(AND(G196=0,F201=FALSE),L198,L199),L199)</f>
        <v>23</v>
      </c>
    </row>
    <row r="199" spans="3:13" ht="15" hidden="1" thickBot="1" x14ac:dyDescent="0.35">
      <c r="C199" s="27"/>
      <c r="E199" t="str">
        <f>RIGHT(E198,1)</f>
        <v>5</v>
      </c>
      <c r="F199">
        <f>F198+0</f>
        <v>2</v>
      </c>
      <c r="L199" t="str">
        <f>FIXED(C196,0)</f>
        <v>23</v>
      </c>
      <c r="M199" s="47"/>
    </row>
    <row r="200" spans="3:13" ht="15" hidden="1" thickBot="1" x14ac:dyDescent="0.35">
      <c r="C200" s="27"/>
      <c r="E200">
        <f>E199+0</f>
        <v>5</v>
      </c>
      <c r="F200" t="s">
        <v>38</v>
      </c>
      <c r="G200" t="s">
        <v>39</v>
      </c>
      <c r="H200" t="s">
        <v>40</v>
      </c>
      <c r="M200" s="37"/>
    </row>
    <row r="201" spans="3:13" ht="15" hidden="1" thickBot="1" x14ac:dyDescent="0.35">
      <c r="C201" s="35"/>
      <c r="D201" s="35"/>
      <c r="E201" s="35"/>
      <c r="F201" s="35" t="b">
        <f>ISODD(F198)</f>
        <v>0</v>
      </c>
      <c r="G201" s="35">
        <f>LEN(C196)</f>
        <v>4</v>
      </c>
      <c r="H201" s="35">
        <f>LEN(G198)+1</f>
        <v>3</v>
      </c>
      <c r="I201" s="35"/>
      <c r="J201" s="35"/>
      <c r="K201" s="35"/>
      <c r="L201" s="35"/>
      <c r="M201" s="48"/>
    </row>
    <row r="202" spans="3:13" ht="15" thickBot="1" x14ac:dyDescent="0.35">
      <c r="C202" s="222" t="s">
        <v>49</v>
      </c>
      <c r="D202" s="223"/>
      <c r="E202" s="223"/>
      <c r="F202" s="223"/>
      <c r="G202" s="223"/>
      <c r="H202" s="223"/>
      <c r="I202" s="223"/>
      <c r="J202" s="223"/>
      <c r="K202" s="223"/>
      <c r="L202" s="223"/>
      <c r="M202" s="224"/>
    </row>
    <row r="203" spans="3:13" ht="15" thickBot="1" x14ac:dyDescent="0.35">
      <c r="C203" s="27" t="s">
        <v>26</v>
      </c>
      <c r="D203" s="19" t="s">
        <v>27</v>
      </c>
      <c r="E203" t="e">
        <f>FIXED(C204,6)</f>
        <v>#REF!</v>
      </c>
      <c r="F203" t="e">
        <f>RIGHT(E203,1)</f>
        <v>#REF!</v>
      </c>
      <c r="G203" t="e">
        <f>F203/1000000</f>
        <v>#REF!</v>
      </c>
      <c r="H203" s="36" t="e">
        <f>C204-G203</f>
        <v>#REF!</v>
      </c>
      <c r="J203" t="e">
        <f>IF(E208=5,IF(AND(F204=0,F209=FALSE),L206,L207),L207)</f>
        <v>#REF!</v>
      </c>
      <c r="M203" s="37"/>
    </row>
    <row r="204" spans="3:13" ht="18.600000000000001" thickBot="1" x14ac:dyDescent="0.4">
      <c r="C204" s="28" t="e">
        <f>INCERTIDUMBRE!M9</f>
        <v>#REF!</v>
      </c>
      <c r="D204" s="38" t="e">
        <f>IF(C204&gt;=10,M238,IF(C204&gt;=1,M230,IF(C204&gt;=0.1,M222,IF(C204&gt;=0.01,M214,IF(C204&gt;=0.001,M206)))))</f>
        <v>#REF!</v>
      </c>
      <c r="E204" t="s">
        <v>28</v>
      </c>
      <c r="F204" t="e">
        <f>F203+0</f>
        <v>#REF!</v>
      </c>
      <c r="M204" s="37"/>
    </row>
    <row r="205" spans="3:13" ht="29.4" hidden="1" thickBot="1" x14ac:dyDescent="0.35">
      <c r="C205" s="29"/>
      <c r="D205" s="29"/>
      <c r="E205" t="s">
        <v>29</v>
      </c>
      <c r="F205" t="s">
        <v>30</v>
      </c>
      <c r="G205" t="s">
        <v>31</v>
      </c>
      <c r="H205" t="s">
        <v>32</v>
      </c>
      <c r="I205" s="31" t="s">
        <v>33</v>
      </c>
      <c r="J205" s="31" t="s">
        <v>34</v>
      </c>
      <c r="K205" s="31" t="s">
        <v>35</v>
      </c>
      <c r="L205" s="31" t="s">
        <v>36</v>
      </c>
      <c r="M205" s="39" t="s">
        <v>37</v>
      </c>
    </row>
    <row r="206" spans="3:13" ht="18.600000000000001" hidden="1" thickBot="1" x14ac:dyDescent="0.4">
      <c r="C206" s="32"/>
      <c r="E206" t="e">
        <f>RIGHT(H203,2)</f>
        <v>#REF!</v>
      </c>
      <c r="F206" t="e">
        <f>LEFT(E206,1)</f>
        <v>#REF!</v>
      </c>
      <c r="G206" s="36" t="e">
        <f>TRUNC(C204)</f>
        <v>#REF!</v>
      </c>
      <c r="H206" s="18" t="e">
        <f>FIXED(C204-G206,I206)</f>
        <v>#REF!</v>
      </c>
      <c r="I206" t="e">
        <f>ABS(G209-H209)</f>
        <v>#REF!</v>
      </c>
      <c r="J206" t="e">
        <f>RIGHT(C204,I206)</f>
        <v>#REF!</v>
      </c>
      <c r="K206">
        <v>5.0000000000000002E-5</v>
      </c>
      <c r="L206" s="18" t="e">
        <f>(C204-K206)</f>
        <v>#REF!</v>
      </c>
      <c r="M206" s="40" t="e">
        <f>IF(E208=5,IF(AND(F204=0,F209=FALSE),L206,L207),L207)</f>
        <v>#REF!</v>
      </c>
    </row>
    <row r="207" spans="3:13" ht="15" hidden="1" thickBot="1" x14ac:dyDescent="0.35">
      <c r="C207" s="27"/>
      <c r="E207" t="e">
        <f>RIGHT(E206,1)</f>
        <v>#REF!</v>
      </c>
      <c r="F207" t="e">
        <f>F206+0</f>
        <v>#REF!</v>
      </c>
      <c r="L207" t="e">
        <f>FIXED(C204,4)</f>
        <v>#REF!</v>
      </c>
      <c r="M207" s="37"/>
    </row>
    <row r="208" spans="3:13" ht="15" hidden="1" thickBot="1" x14ac:dyDescent="0.35">
      <c r="C208" s="27"/>
      <c r="E208" t="e">
        <f>E207+0</f>
        <v>#REF!</v>
      </c>
      <c r="F208" t="s">
        <v>38</v>
      </c>
      <c r="G208" t="s">
        <v>39</v>
      </c>
      <c r="H208" t="s">
        <v>40</v>
      </c>
      <c r="M208" s="37"/>
    </row>
    <row r="209" spans="3:13" ht="15" hidden="1" thickBot="1" x14ac:dyDescent="0.35">
      <c r="C209" s="27"/>
      <c r="F209" t="e">
        <f>ISODD(F206)</f>
        <v>#REF!</v>
      </c>
      <c r="G209" t="e">
        <f>LEN(C204)</f>
        <v>#REF!</v>
      </c>
      <c r="H209" t="e">
        <f>LEN(G206)+1</f>
        <v>#REF!</v>
      </c>
      <c r="M209" s="37"/>
    </row>
    <row r="210" spans="3:13" ht="15" hidden="1" thickBot="1" x14ac:dyDescent="0.35">
      <c r="C210" s="27"/>
      <c r="M210" s="37"/>
    </row>
    <row r="211" spans="3:13" ht="15" hidden="1" thickBot="1" x14ac:dyDescent="0.35">
      <c r="C211" s="219" t="s">
        <v>41</v>
      </c>
      <c r="D211" s="220"/>
      <c r="E211" s="220"/>
      <c r="F211" s="220"/>
      <c r="G211" s="220"/>
      <c r="H211" s="220"/>
      <c r="I211" s="220"/>
      <c r="J211" s="220"/>
      <c r="K211" s="220"/>
      <c r="L211" s="220"/>
      <c r="M211" s="221"/>
    </row>
    <row r="212" spans="3:13" ht="15" hidden="1" thickBot="1" x14ac:dyDescent="0.35">
      <c r="C212" s="41" t="e">
        <f>M206</f>
        <v>#REF!</v>
      </c>
      <c r="E212" t="e">
        <f>FIXED(C204,5)</f>
        <v>#REF!</v>
      </c>
      <c r="F212" t="e">
        <f>RIGHT(E212,1)</f>
        <v>#REF!</v>
      </c>
      <c r="G212" t="e">
        <f>F212+0</f>
        <v>#REF!</v>
      </c>
      <c r="M212" s="37"/>
    </row>
    <row r="213" spans="3:13" ht="29.4" hidden="1" thickBot="1" x14ac:dyDescent="0.35">
      <c r="C213" s="27"/>
      <c r="E213" t="s">
        <v>29</v>
      </c>
      <c r="F213" t="s">
        <v>30</v>
      </c>
      <c r="G213" t="s">
        <v>31</v>
      </c>
      <c r="H213" t="s">
        <v>32</v>
      </c>
      <c r="I213" s="31" t="s">
        <v>33</v>
      </c>
      <c r="J213" s="31" t="s">
        <v>34</v>
      </c>
      <c r="K213" s="31" t="s">
        <v>35</v>
      </c>
      <c r="L213" s="31" t="s">
        <v>36</v>
      </c>
      <c r="M213" s="39" t="s">
        <v>37</v>
      </c>
    </row>
    <row r="214" spans="3:13" ht="18.600000000000001" hidden="1" thickBot="1" x14ac:dyDescent="0.4">
      <c r="C214" s="27"/>
      <c r="E214" t="e">
        <f>RIGHT(C212,2)</f>
        <v>#REF!</v>
      </c>
      <c r="F214" t="e">
        <f>LEFT(E214,1)</f>
        <v>#REF!</v>
      </c>
      <c r="G214" s="33" t="e">
        <f>TRUNC(C212)</f>
        <v>#REF!</v>
      </c>
      <c r="H214" s="18" t="e">
        <f>FIXED(C212-G214,I214)</f>
        <v>#REF!</v>
      </c>
      <c r="I214" t="e">
        <f>ABS(G217-H217)</f>
        <v>#REF!</v>
      </c>
      <c r="J214" t="e">
        <f>RIGHT(C212,I214)</f>
        <v>#REF!</v>
      </c>
      <c r="K214">
        <v>5.0000000000000001E-4</v>
      </c>
      <c r="L214" s="20" t="e">
        <f>(C212-K214)</f>
        <v>#REF!</v>
      </c>
      <c r="M214" s="42" t="e">
        <f>IF(E216=5,IF(AND(G212=0,F217=FALSE),L214,L215),L215)</f>
        <v>#REF!</v>
      </c>
    </row>
    <row r="215" spans="3:13" ht="15" hidden="1" thickBot="1" x14ac:dyDescent="0.35">
      <c r="C215" s="27"/>
      <c r="E215" t="e">
        <f>RIGHT(E214,1)</f>
        <v>#REF!</v>
      </c>
      <c r="F215" t="e">
        <f>F214+0</f>
        <v>#REF!</v>
      </c>
      <c r="L215" t="e">
        <f>FIXED(C212,3)</f>
        <v>#REF!</v>
      </c>
      <c r="M215" s="37"/>
    </row>
    <row r="216" spans="3:13" ht="15" hidden="1" thickBot="1" x14ac:dyDescent="0.35">
      <c r="C216" s="27"/>
      <c r="E216" t="e">
        <f>E215+0</f>
        <v>#REF!</v>
      </c>
      <c r="F216" t="s">
        <v>38</v>
      </c>
      <c r="G216" t="s">
        <v>39</v>
      </c>
      <c r="H216" t="s">
        <v>40</v>
      </c>
      <c r="M216" s="37"/>
    </row>
    <row r="217" spans="3:13" ht="15" hidden="1" thickBot="1" x14ac:dyDescent="0.35">
      <c r="C217" s="27"/>
      <c r="F217" t="e">
        <f>ISODD(F214)</f>
        <v>#REF!</v>
      </c>
      <c r="G217" t="e">
        <f>LEN(C212)</f>
        <v>#REF!</v>
      </c>
      <c r="H217" t="e">
        <f>LEN(G214)+1</f>
        <v>#REF!</v>
      </c>
      <c r="M217" s="37"/>
    </row>
    <row r="218" spans="3:13" ht="15" hidden="1" thickBot="1" x14ac:dyDescent="0.35">
      <c r="C218" s="27"/>
      <c r="M218" s="37"/>
    </row>
    <row r="219" spans="3:13" ht="15" hidden="1" thickBot="1" x14ac:dyDescent="0.35">
      <c r="C219" s="219" t="s">
        <v>42</v>
      </c>
      <c r="D219" s="220"/>
      <c r="E219" s="220"/>
      <c r="F219" s="220"/>
      <c r="G219" s="220"/>
      <c r="H219" s="220"/>
      <c r="I219" s="220"/>
      <c r="J219" s="220"/>
      <c r="K219" s="220"/>
      <c r="L219" s="220"/>
      <c r="M219" s="221"/>
    </row>
    <row r="220" spans="3:13" ht="15" hidden="1" thickBot="1" x14ac:dyDescent="0.35">
      <c r="C220" s="41" t="e">
        <f>M214</f>
        <v>#REF!</v>
      </c>
      <c r="E220" t="e">
        <f>FIXED(C212,4)</f>
        <v>#REF!</v>
      </c>
      <c r="F220" t="e">
        <f>RIGHT(E220,1)</f>
        <v>#REF!</v>
      </c>
      <c r="G220" t="e">
        <f>F220+0</f>
        <v>#REF!</v>
      </c>
      <c r="M220" s="37"/>
    </row>
    <row r="221" spans="3:13" ht="29.4" hidden="1" thickBot="1" x14ac:dyDescent="0.35">
      <c r="C221" s="27"/>
      <c r="E221" t="s">
        <v>29</v>
      </c>
      <c r="F221" t="s">
        <v>30</v>
      </c>
      <c r="G221" t="s">
        <v>31</v>
      </c>
      <c r="H221" t="s">
        <v>32</v>
      </c>
      <c r="I221" s="31" t="s">
        <v>33</v>
      </c>
      <c r="J221" s="31" t="s">
        <v>34</v>
      </c>
      <c r="K221" s="31" t="s">
        <v>35</v>
      </c>
      <c r="L221" s="31" t="s">
        <v>36</v>
      </c>
      <c r="M221" s="39" t="s">
        <v>37</v>
      </c>
    </row>
    <row r="222" spans="3:13" ht="18.600000000000001" hidden="1" thickBot="1" x14ac:dyDescent="0.4">
      <c r="C222" s="27"/>
      <c r="E222" t="e">
        <f>RIGHT(C220,2)</f>
        <v>#REF!</v>
      </c>
      <c r="F222" t="e">
        <f>LEFT(E222,1)</f>
        <v>#REF!</v>
      </c>
      <c r="G222" s="33" t="e">
        <f>TRUNC(C220)</f>
        <v>#REF!</v>
      </c>
      <c r="H222" s="18" t="e">
        <f>FIXED(C220-G222,I222)</f>
        <v>#REF!</v>
      </c>
      <c r="I222" t="e">
        <f>ABS(G225-H225)</f>
        <v>#REF!</v>
      </c>
      <c r="J222" t="e">
        <f>RIGHT(C220,I222)</f>
        <v>#REF!</v>
      </c>
      <c r="K222">
        <v>5.0000000000000001E-3</v>
      </c>
      <c r="L222" s="34" t="e">
        <f>(C220-K222)</f>
        <v>#REF!</v>
      </c>
      <c r="M222" s="43" t="e">
        <f>IF(E224=5,IF(AND(G220=0,F225=FALSE),L222,L223),L223)</f>
        <v>#REF!</v>
      </c>
    </row>
    <row r="223" spans="3:13" ht="18.600000000000001" hidden="1" thickBot="1" x14ac:dyDescent="0.4">
      <c r="C223" s="27"/>
      <c r="E223" t="e">
        <f>RIGHT(E222,1)</f>
        <v>#REF!</v>
      </c>
      <c r="F223" t="e">
        <f>F222+0</f>
        <v>#REF!</v>
      </c>
      <c r="L223" t="e">
        <f>FIXED(C220,2)</f>
        <v>#REF!</v>
      </c>
      <c r="M223" s="43"/>
    </row>
    <row r="224" spans="3:13" ht="15" hidden="1" thickBot="1" x14ac:dyDescent="0.35">
      <c r="C224" s="27"/>
      <c r="E224" t="e">
        <f>E223+0</f>
        <v>#REF!</v>
      </c>
      <c r="F224" t="s">
        <v>38</v>
      </c>
      <c r="G224" t="s">
        <v>39</v>
      </c>
      <c r="H224" t="s">
        <v>40</v>
      </c>
      <c r="M224" s="37"/>
    </row>
    <row r="225" spans="3:13" ht="15" hidden="1" thickBot="1" x14ac:dyDescent="0.35">
      <c r="C225" s="27"/>
      <c r="F225" t="e">
        <f>ISODD(F222)</f>
        <v>#REF!</v>
      </c>
      <c r="G225" t="e">
        <f>LEN(C220)</f>
        <v>#REF!</v>
      </c>
      <c r="H225" t="e">
        <f>LEN(G222)+1</f>
        <v>#REF!</v>
      </c>
      <c r="M225" s="37"/>
    </row>
    <row r="226" spans="3:13" ht="15" hidden="1" thickBot="1" x14ac:dyDescent="0.35">
      <c r="C226" s="27"/>
      <c r="M226" s="37"/>
    </row>
    <row r="227" spans="3:13" ht="15" hidden="1" thickBot="1" x14ac:dyDescent="0.35">
      <c r="C227" s="219" t="s">
        <v>43</v>
      </c>
      <c r="D227" s="220"/>
      <c r="E227" s="220"/>
      <c r="F227" s="220"/>
      <c r="G227" s="220"/>
      <c r="H227" s="220"/>
      <c r="I227" s="220"/>
      <c r="J227" s="220"/>
      <c r="K227" s="220"/>
      <c r="L227" s="220"/>
      <c r="M227" s="221"/>
    </row>
    <row r="228" spans="3:13" ht="15" hidden="1" thickBot="1" x14ac:dyDescent="0.35">
      <c r="C228" s="44" t="e">
        <f>M222</f>
        <v>#REF!</v>
      </c>
      <c r="E228" t="e">
        <f>FIXED(C220,3)</f>
        <v>#REF!</v>
      </c>
      <c r="F228" t="e">
        <f>RIGHT(E228,1)</f>
        <v>#REF!</v>
      </c>
      <c r="G228" t="e">
        <f>F228+0</f>
        <v>#REF!</v>
      </c>
      <c r="M228" s="37"/>
    </row>
    <row r="229" spans="3:13" ht="29.4" hidden="1" thickBot="1" x14ac:dyDescent="0.35">
      <c r="C229" s="27"/>
      <c r="E229" t="s">
        <v>29</v>
      </c>
      <c r="F229" t="s">
        <v>30</v>
      </c>
      <c r="G229" t="s">
        <v>31</v>
      </c>
      <c r="H229" t="s">
        <v>32</v>
      </c>
      <c r="I229" s="31" t="s">
        <v>33</v>
      </c>
      <c r="J229" s="31" t="s">
        <v>34</v>
      </c>
      <c r="K229" s="31" t="s">
        <v>35</v>
      </c>
      <c r="L229" s="31" t="s">
        <v>36</v>
      </c>
      <c r="M229" s="39" t="s">
        <v>37</v>
      </c>
    </row>
    <row r="230" spans="3:13" ht="18.600000000000001" hidden="1" thickBot="1" x14ac:dyDescent="0.4">
      <c r="C230" s="27"/>
      <c r="E230" t="e">
        <f>RIGHT(C228,2)</f>
        <v>#REF!</v>
      </c>
      <c r="F230" t="e">
        <f>LEFT(E230,1)</f>
        <v>#REF!</v>
      </c>
      <c r="G230" s="33" t="e">
        <f>TRUNC(C228)</f>
        <v>#REF!</v>
      </c>
      <c r="H230" s="18" t="e">
        <f>FIXED(C228-G230,I230)</f>
        <v>#REF!</v>
      </c>
      <c r="I230" t="e">
        <f>ABS(G233-H233)</f>
        <v>#REF!</v>
      </c>
      <c r="J230" t="e">
        <f>RIGHT(C228,I230)</f>
        <v>#REF!</v>
      </c>
      <c r="K230">
        <v>0.05</v>
      </c>
      <c r="L230" s="34" t="e">
        <f>(C228-K230)</f>
        <v>#REF!</v>
      </c>
      <c r="M230" s="43" t="e">
        <f>IF(E232=5,IF(AND(G228=0,F233=FALSE),L230,L231),L231)</f>
        <v>#REF!</v>
      </c>
    </row>
    <row r="231" spans="3:13" ht="15" hidden="1" thickBot="1" x14ac:dyDescent="0.35">
      <c r="C231" s="27"/>
      <c r="E231" t="e">
        <f>RIGHT(E230,1)</f>
        <v>#REF!</v>
      </c>
      <c r="F231" t="e">
        <f>F230+0</f>
        <v>#REF!</v>
      </c>
      <c r="L231" t="e">
        <f>FIXED(C228,1)</f>
        <v>#REF!</v>
      </c>
      <c r="M231" s="45"/>
    </row>
    <row r="232" spans="3:13" ht="15" hidden="1" thickBot="1" x14ac:dyDescent="0.35">
      <c r="C232" s="27"/>
      <c r="E232" t="e">
        <f>E231+0</f>
        <v>#REF!</v>
      </c>
      <c r="F232" t="s">
        <v>38</v>
      </c>
      <c r="G232" t="s">
        <v>39</v>
      </c>
      <c r="H232" t="s">
        <v>40</v>
      </c>
      <c r="M232" s="37"/>
    </row>
    <row r="233" spans="3:13" ht="15" hidden="1" thickBot="1" x14ac:dyDescent="0.35">
      <c r="C233" s="27"/>
      <c r="F233" t="e">
        <f>ISODD(F230)</f>
        <v>#REF!</v>
      </c>
      <c r="G233" t="e">
        <f>LEN(C228)</f>
        <v>#REF!</v>
      </c>
      <c r="H233" t="e">
        <f>LEN(G230)+1</f>
        <v>#REF!</v>
      </c>
      <c r="M233" s="37"/>
    </row>
    <row r="234" spans="3:13" ht="15" hidden="1" thickBot="1" x14ac:dyDescent="0.35">
      <c r="C234" s="27"/>
      <c r="M234" s="37"/>
    </row>
    <row r="235" spans="3:13" ht="15" hidden="1" thickBot="1" x14ac:dyDescent="0.35">
      <c r="C235" s="219" t="s">
        <v>44</v>
      </c>
      <c r="D235" s="220"/>
      <c r="E235" s="220"/>
      <c r="F235" s="220"/>
      <c r="G235" s="220"/>
      <c r="H235" s="220"/>
      <c r="I235" s="220"/>
      <c r="J235" s="220"/>
      <c r="K235" s="220"/>
      <c r="L235" s="220"/>
      <c r="M235" s="221"/>
    </row>
    <row r="236" spans="3:13" ht="15" hidden="1" thickBot="1" x14ac:dyDescent="0.35">
      <c r="C236" s="44" t="e">
        <f>M230</f>
        <v>#REF!</v>
      </c>
      <c r="E236" t="e">
        <f>FIXED(C228,2)</f>
        <v>#REF!</v>
      </c>
      <c r="F236" t="e">
        <f>RIGHT(E236,1)</f>
        <v>#REF!</v>
      </c>
      <c r="G236" t="e">
        <f>F236+0</f>
        <v>#REF!</v>
      </c>
      <c r="M236" s="37"/>
    </row>
    <row r="237" spans="3:13" ht="29.4" hidden="1" thickBot="1" x14ac:dyDescent="0.35">
      <c r="C237" s="27"/>
      <c r="E237" t="s">
        <v>29</v>
      </c>
      <c r="F237" t="s">
        <v>30</v>
      </c>
      <c r="G237" t="s">
        <v>31</v>
      </c>
      <c r="H237" t="s">
        <v>32</v>
      </c>
      <c r="I237" s="31" t="s">
        <v>33</v>
      </c>
      <c r="J237" s="31" t="s">
        <v>34</v>
      </c>
      <c r="K237" s="31" t="s">
        <v>35</v>
      </c>
      <c r="L237" s="31" t="s">
        <v>36</v>
      </c>
      <c r="M237" s="39" t="s">
        <v>37</v>
      </c>
    </row>
    <row r="238" spans="3:13" ht="18.600000000000001" hidden="1" thickBot="1" x14ac:dyDescent="0.4">
      <c r="C238" s="27"/>
      <c r="E238" t="e">
        <f>RIGHT(C236,2)</f>
        <v>#REF!</v>
      </c>
      <c r="F238" t="e">
        <f>RIGHT(G238,1)</f>
        <v>#REF!</v>
      </c>
      <c r="G238" s="33" t="e">
        <f>TRUNC(C236)</f>
        <v>#REF!</v>
      </c>
      <c r="H238" s="18" t="e">
        <f>FIXED(C236-G238,I238)</f>
        <v>#REF!</v>
      </c>
      <c r="I238" t="e">
        <f>ABS(G241-H241)</f>
        <v>#REF!</v>
      </c>
      <c r="J238" t="e">
        <f>RIGHT(C236,I238)</f>
        <v>#REF!</v>
      </c>
      <c r="K238">
        <v>0.5</v>
      </c>
      <c r="L238" s="16" t="e">
        <f>(C236-K238)</f>
        <v>#REF!</v>
      </c>
      <c r="M238" s="46" t="e">
        <f>IF(E240=5,IF(AND(G236=0,F241=FALSE),L238,L239),L239)</f>
        <v>#REF!</v>
      </c>
    </row>
    <row r="239" spans="3:13" ht="15" hidden="1" thickBot="1" x14ac:dyDescent="0.35">
      <c r="C239" s="27"/>
      <c r="E239" t="e">
        <f>RIGHT(E238,1)</f>
        <v>#REF!</v>
      </c>
      <c r="F239" t="e">
        <f>F238+0</f>
        <v>#REF!</v>
      </c>
      <c r="L239" t="e">
        <f>FIXED(C236,0)</f>
        <v>#REF!</v>
      </c>
      <c r="M239" s="47"/>
    </row>
    <row r="240" spans="3:13" ht="15" hidden="1" thickBot="1" x14ac:dyDescent="0.35">
      <c r="C240" s="27"/>
      <c r="E240" t="e">
        <f>E239+0</f>
        <v>#REF!</v>
      </c>
      <c r="F240" t="s">
        <v>38</v>
      </c>
      <c r="G240" t="s">
        <v>39</v>
      </c>
      <c r="H240" t="s">
        <v>40</v>
      </c>
      <c r="M240" s="37"/>
    </row>
    <row r="241" spans="3:13" ht="15" hidden="1" thickBot="1" x14ac:dyDescent="0.35">
      <c r="C241" s="35"/>
      <c r="D241" s="35"/>
      <c r="E241" s="35"/>
      <c r="F241" s="35" t="e">
        <f>ISODD(F238)</f>
        <v>#REF!</v>
      </c>
      <c r="G241" s="35" t="e">
        <f>LEN(C236)</f>
        <v>#REF!</v>
      </c>
      <c r="H241" s="35" t="e">
        <f>LEN(G238)+1</f>
        <v>#REF!</v>
      </c>
      <c r="I241" s="35"/>
      <c r="J241" s="35"/>
      <c r="K241" s="35"/>
      <c r="L241" s="35"/>
      <c r="M241" s="48"/>
    </row>
    <row r="242" spans="3:13" ht="15" thickBot="1" x14ac:dyDescent="0.35">
      <c r="C242" s="222" t="s">
        <v>50</v>
      </c>
      <c r="D242" s="223"/>
      <c r="E242" s="223"/>
      <c r="F242" s="223"/>
      <c r="G242" s="223"/>
      <c r="H242" s="223"/>
      <c r="I242" s="223"/>
      <c r="J242" s="223"/>
      <c r="K242" s="223"/>
      <c r="L242" s="223"/>
      <c r="M242" s="224"/>
    </row>
    <row r="243" spans="3:13" ht="15" thickBot="1" x14ac:dyDescent="0.35">
      <c r="C243" s="27" t="s">
        <v>26</v>
      </c>
      <c r="D243" s="19" t="s">
        <v>27</v>
      </c>
      <c r="E243" t="e">
        <f>FIXED(C244,6)</f>
        <v>#REF!</v>
      </c>
      <c r="F243" t="e">
        <f>RIGHT(E243,1)</f>
        <v>#REF!</v>
      </c>
      <c r="G243" t="e">
        <f>F243/1000000</f>
        <v>#REF!</v>
      </c>
      <c r="H243" s="36" t="e">
        <f>C244-G243</f>
        <v>#REF!</v>
      </c>
      <c r="J243" t="e">
        <f>IF(E248=5,IF(AND(F244=0,F249=FALSE),L246,L247),L247)</f>
        <v>#REF!</v>
      </c>
      <c r="M243" s="37"/>
    </row>
    <row r="244" spans="3:13" ht="18.600000000000001" thickBot="1" x14ac:dyDescent="0.4">
      <c r="C244" s="28" t="e">
        <f>INCERTIDUMBRE!M10</f>
        <v>#REF!</v>
      </c>
      <c r="D244" s="38" t="e">
        <f>IF(C244&gt;=10,M278,IF(C244&gt;=1,M270,IF(C244&gt;=0.1,M262,IF(C244&gt;=0.01,M254,IF(C244&gt;=0.001,M246)))))</f>
        <v>#REF!</v>
      </c>
      <c r="E244" t="s">
        <v>28</v>
      </c>
      <c r="F244" t="e">
        <f>F243+0</f>
        <v>#REF!</v>
      </c>
      <c r="M244" s="37"/>
    </row>
    <row r="245" spans="3:13" ht="29.4" hidden="1" thickBot="1" x14ac:dyDescent="0.35">
      <c r="C245" s="29"/>
      <c r="D245" s="29"/>
      <c r="E245" t="s">
        <v>29</v>
      </c>
      <c r="F245" t="s">
        <v>30</v>
      </c>
      <c r="G245" t="s">
        <v>31</v>
      </c>
      <c r="H245" t="s">
        <v>32</v>
      </c>
      <c r="I245" s="31" t="s">
        <v>33</v>
      </c>
      <c r="J245" s="31" t="s">
        <v>34</v>
      </c>
      <c r="K245" s="31" t="s">
        <v>35</v>
      </c>
      <c r="L245" s="31" t="s">
        <v>36</v>
      </c>
      <c r="M245" s="39" t="s">
        <v>37</v>
      </c>
    </row>
    <row r="246" spans="3:13" ht="18.600000000000001" hidden="1" thickBot="1" x14ac:dyDescent="0.4">
      <c r="C246" s="32"/>
      <c r="E246" t="e">
        <f>RIGHT(H243,2)</f>
        <v>#REF!</v>
      </c>
      <c r="F246" t="e">
        <f>LEFT(E246,1)</f>
        <v>#REF!</v>
      </c>
      <c r="G246" s="36" t="e">
        <f>TRUNC(C244)</f>
        <v>#REF!</v>
      </c>
      <c r="H246" s="18" t="e">
        <f>FIXED(C244-G246,I246)</f>
        <v>#REF!</v>
      </c>
      <c r="I246" t="e">
        <f>ABS(G249-H249)</f>
        <v>#REF!</v>
      </c>
      <c r="J246" t="e">
        <f>RIGHT(C244,I246)</f>
        <v>#REF!</v>
      </c>
      <c r="K246">
        <v>5.0000000000000002E-5</v>
      </c>
      <c r="L246" s="18" t="e">
        <f>(C244-K246)</f>
        <v>#REF!</v>
      </c>
      <c r="M246" s="40" t="e">
        <f>IF(E248=5,IF(AND(F244=0,F249=FALSE),L246,L247),L247)</f>
        <v>#REF!</v>
      </c>
    </row>
    <row r="247" spans="3:13" ht="15" hidden="1" thickBot="1" x14ac:dyDescent="0.35">
      <c r="C247" s="27"/>
      <c r="E247" t="e">
        <f>RIGHT(E246,1)</f>
        <v>#REF!</v>
      </c>
      <c r="F247" t="e">
        <f>F246+0</f>
        <v>#REF!</v>
      </c>
      <c r="L247" t="e">
        <f>FIXED(C244,4)</f>
        <v>#REF!</v>
      </c>
      <c r="M247" s="37"/>
    </row>
    <row r="248" spans="3:13" ht="15" hidden="1" thickBot="1" x14ac:dyDescent="0.35">
      <c r="C248" s="27"/>
      <c r="E248" t="e">
        <f>E247+0</f>
        <v>#REF!</v>
      </c>
      <c r="F248" t="s">
        <v>38</v>
      </c>
      <c r="G248" t="s">
        <v>39</v>
      </c>
      <c r="H248" t="s">
        <v>40</v>
      </c>
      <c r="M248" s="37"/>
    </row>
    <row r="249" spans="3:13" ht="15" hidden="1" thickBot="1" x14ac:dyDescent="0.35">
      <c r="C249" s="27"/>
      <c r="F249" t="e">
        <f>ISODD(F246)</f>
        <v>#REF!</v>
      </c>
      <c r="G249" t="e">
        <f>LEN(C244)</f>
        <v>#REF!</v>
      </c>
      <c r="H249" t="e">
        <f>LEN(G246)+1</f>
        <v>#REF!</v>
      </c>
      <c r="M249" s="37"/>
    </row>
    <row r="250" spans="3:13" ht="15" hidden="1" thickBot="1" x14ac:dyDescent="0.35">
      <c r="C250" s="27"/>
      <c r="M250" s="37"/>
    </row>
    <row r="251" spans="3:13" ht="15" hidden="1" thickBot="1" x14ac:dyDescent="0.35">
      <c r="C251" s="219" t="s">
        <v>41</v>
      </c>
      <c r="D251" s="220"/>
      <c r="E251" s="220"/>
      <c r="F251" s="220"/>
      <c r="G251" s="220"/>
      <c r="H251" s="220"/>
      <c r="I251" s="220"/>
      <c r="J251" s="220"/>
      <c r="K251" s="220"/>
      <c r="L251" s="220"/>
      <c r="M251" s="221"/>
    </row>
    <row r="252" spans="3:13" ht="15" hidden="1" thickBot="1" x14ac:dyDescent="0.35">
      <c r="C252" s="41" t="e">
        <f>M246</f>
        <v>#REF!</v>
      </c>
      <c r="E252" t="e">
        <f>FIXED(C244,5)</f>
        <v>#REF!</v>
      </c>
      <c r="F252" t="e">
        <f>RIGHT(E252,1)</f>
        <v>#REF!</v>
      </c>
      <c r="G252" t="e">
        <f>F252+0</f>
        <v>#REF!</v>
      </c>
      <c r="M252" s="37"/>
    </row>
    <row r="253" spans="3:13" ht="29.4" hidden="1" thickBot="1" x14ac:dyDescent="0.35">
      <c r="C253" s="27"/>
      <c r="E253" t="s">
        <v>29</v>
      </c>
      <c r="F253" t="s">
        <v>30</v>
      </c>
      <c r="G253" t="s">
        <v>31</v>
      </c>
      <c r="H253" t="s">
        <v>32</v>
      </c>
      <c r="I253" s="31" t="s">
        <v>33</v>
      </c>
      <c r="J253" s="31" t="s">
        <v>34</v>
      </c>
      <c r="K253" s="31" t="s">
        <v>35</v>
      </c>
      <c r="L253" s="31" t="s">
        <v>36</v>
      </c>
      <c r="M253" s="39" t="s">
        <v>37</v>
      </c>
    </row>
    <row r="254" spans="3:13" ht="18.600000000000001" hidden="1" thickBot="1" x14ac:dyDescent="0.4">
      <c r="C254" s="27"/>
      <c r="E254" t="e">
        <f>RIGHT(C252,2)</f>
        <v>#REF!</v>
      </c>
      <c r="F254" t="e">
        <f>LEFT(E254,1)</f>
        <v>#REF!</v>
      </c>
      <c r="G254" s="33" t="e">
        <f>TRUNC(C252)</f>
        <v>#REF!</v>
      </c>
      <c r="H254" s="18" t="e">
        <f>FIXED(C252-G254,I254)</f>
        <v>#REF!</v>
      </c>
      <c r="I254" t="e">
        <f>ABS(G257-H257)</f>
        <v>#REF!</v>
      </c>
      <c r="J254" t="e">
        <f>RIGHT(C252,I254)</f>
        <v>#REF!</v>
      </c>
      <c r="K254">
        <v>5.0000000000000001E-4</v>
      </c>
      <c r="L254" s="20" t="e">
        <f>(C252-K254)</f>
        <v>#REF!</v>
      </c>
      <c r="M254" s="42" t="e">
        <f>IF(E256=5,IF(AND(G252=0,F257=FALSE),L254,L255),L255)</f>
        <v>#REF!</v>
      </c>
    </row>
    <row r="255" spans="3:13" ht="15" hidden="1" thickBot="1" x14ac:dyDescent="0.35">
      <c r="C255" s="27"/>
      <c r="E255" t="e">
        <f>RIGHT(E254,1)</f>
        <v>#REF!</v>
      </c>
      <c r="F255" t="e">
        <f>F254+0</f>
        <v>#REF!</v>
      </c>
      <c r="L255" t="e">
        <f>FIXED(C252,3)</f>
        <v>#REF!</v>
      </c>
      <c r="M255" s="37"/>
    </row>
    <row r="256" spans="3:13" ht="15" hidden="1" thickBot="1" x14ac:dyDescent="0.35">
      <c r="C256" s="27"/>
      <c r="E256" t="e">
        <f>E255+0</f>
        <v>#REF!</v>
      </c>
      <c r="F256" t="s">
        <v>38</v>
      </c>
      <c r="G256" t="s">
        <v>39</v>
      </c>
      <c r="H256" t="s">
        <v>40</v>
      </c>
      <c r="M256" s="37"/>
    </row>
    <row r="257" spans="3:13" ht="15" hidden="1" thickBot="1" x14ac:dyDescent="0.35">
      <c r="C257" s="27"/>
      <c r="F257" t="e">
        <f>ISODD(F254)</f>
        <v>#REF!</v>
      </c>
      <c r="G257" t="e">
        <f>LEN(C252)</f>
        <v>#REF!</v>
      </c>
      <c r="H257" t="e">
        <f>LEN(G254)+1</f>
        <v>#REF!</v>
      </c>
      <c r="M257" s="37"/>
    </row>
    <row r="258" spans="3:13" ht="15" hidden="1" thickBot="1" x14ac:dyDescent="0.35">
      <c r="C258" s="27"/>
      <c r="M258" s="37"/>
    </row>
    <row r="259" spans="3:13" ht="15" hidden="1" thickBot="1" x14ac:dyDescent="0.35">
      <c r="C259" s="219" t="s">
        <v>42</v>
      </c>
      <c r="D259" s="220"/>
      <c r="E259" s="220"/>
      <c r="F259" s="220"/>
      <c r="G259" s="220"/>
      <c r="H259" s="220"/>
      <c r="I259" s="220"/>
      <c r="J259" s="220"/>
      <c r="K259" s="220"/>
      <c r="L259" s="220"/>
      <c r="M259" s="221"/>
    </row>
    <row r="260" spans="3:13" ht="15" hidden="1" thickBot="1" x14ac:dyDescent="0.35">
      <c r="C260" s="41" t="e">
        <f>M254</f>
        <v>#REF!</v>
      </c>
      <c r="E260" t="e">
        <f>FIXED(C252,4)</f>
        <v>#REF!</v>
      </c>
      <c r="F260" t="e">
        <f>RIGHT(E260,1)</f>
        <v>#REF!</v>
      </c>
      <c r="G260" t="e">
        <f>F260+0</f>
        <v>#REF!</v>
      </c>
      <c r="M260" s="37"/>
    </row>
    <row r="261" spans="3:13" ht="29.4" hidden="1" thickBot="1" x14ac:dyDescent="0.35">
      <c r="C261" s="27"/>
      <c r="E261" t="s">
        <v>29</v>
      </c>
      <c r="F261" t="s">
        <v>30</v>
      </c>
      <c r="G261" t="s">
        <v>31</v>
      </c>
      <c r="H261" t="s">
        <v>32</v>
      </c>
      <c r="I261" s="31" t="s">
        <v>33</v>
      </c>
      <c r="J261" s="31" t="s">
        <v>34</v>
      </c>
      <c r="K261" s="31" t="s">
        <v>35</v>
      </c>
      <c r="L261" s="31" t="s">
        <v>36</v>
      </c>
      <c r="M261" s="39" t="s">
        <v>37</v>
      </c>
    </row>
    <row r="262" spans="3:13" ht="18.600000000000001" hidden="1" thickBot="1" x14ac:dyDescent="0.4">
      <c r="C262" s="27"/>
      <c r="E262" t="e">
        <f>RIGHT(C260,2)</f>
        <v>#REF!</v>
      </c>
      <c r="F262" t="e">
        <f>LEFT(E262,1)</f>
        <v>#REF!</v>
      </c>
      <c r="G262" s="33" t="e">
        <f>TRUNC(C260)</f>
        <v>#REF!</v>
      </c>
      <c r="H262" s="18" t="e">
        <f>FIXED(C260-G262,I262)</f>
        <v>#REF!</v>
      </c>
      <c r="I262" t="e">
        <f>ABS(G265-H265)</f>
        <v>#REF!</v>
      </c>
      <c r="J262" t="e">
        <f>RIGHT(C260,I262)</f>
        <v>#REF!</v>
      </c>
      <c r="K262">
        <v>5.0000000000000001E-3</v>
      </c>
      <c r="L262" s="34" t="e">
        <f>(C260-K262)</f>
        <v>#REF!</v>
      </c>
      <c r="M262" s="43" t="e">
        <f>IF(E264=5,IF(AND(G260=0,F265=FALSE),L262,L263),L263)</f>
        <v>#REF!</v>
      </c>
    </row>
    <row r="263" spans="3:13" ht="18.600000000000001" hidden="1" thickBot="1" x14ac:dyDescent="0.4">
      <c r="C263" s="27"/>
      <c r="E263" t="e">
        <f>RIGHT(E262,1)</f>
        <v>#REF!</v>
      </c>
      <c r="F263" t="e">
        <f>F262+0</f>
        <v>#REF!</v>
      </c>
      <c r="L263" t="e">
        <f>FIXED(C260,2)</f>
        <v>#REF!</v>
      </c>
      <c r="M263" s="43"/>
    </row>
    <row r="264" spans="3:13" ht="15" hidden="1" thickBot="1" x14ac:dyDescent="0.35">
      <c r="C264" s="27"/>
      <c r="E264" t="e">
        <f>E263+0</f>
        <v>#REF!</v>
      </c>
      <c r="F264" t="s">
        <v>38</v>
      </c>
      <c r="G264" t="s">
        <v>39</v>
      </c>
      <c r="H264" t="s">
        <v>40</v>
      </c>
      <c r="M264" s="37"/>
    </row>
    <row r="265" spans="3:13" ht="15" hidden="1" thickBot="1" x14ac:dyDescent="0.35">
      <c r="C265" s="27"/>
      <c r="F265" t="e">
        <f>ISODD(F262)</f>
        <v>#REF!</v>
      </c>
      <c r="G265" t="e">
        <f>LEN(C260)</f>
        <v>#REF!</v>
      </c>
      <c r="H265" t="e">
        <f>LEN(G262)+1</f>
        <v>#REF!</v>
      </c>
      <c r="M265" s="37"/>
    </row>
    <row r="266" spans="3:13" ht="15" hidden="1" thickBot="1" x14ac:dyDescent="0.35">
      <c r="C266" s="27"/>
      <c r="M266" s="37"/>
    </row>
    <row r="267" spans="3:13" ht="15" hidden="1" thickBot="1" x14ac:dyDescent="0.35">
      <c r="C267" s="219" t="s">
        <v>43</v>
      </c>
      <c r="D267" s="220"/>
      <c r="E267" s="220"/>
      <c r="F267" s="220"/>
      <c r="G267" s="220"/>
      <c r="H267" s="220"/>
      <c r="I267" s="220"/>
      <c r="J267" s="220"/>
      <c r="K267" s="220"/>
      <c r="L267" s="220"/>
      <c r="M267" s="221"/>
    </row>
    <row r="268" spans="3:13" ht="15" hidden="1" thickBot="1" x14ac:dyDescent="0.35">
      <c r="C268" s="44" t="e">
        <f>M262</f>
        <v>#REF!</v>
      </c>
      <c r="E268" t="e">
        <f>FIXED(C260,3)</f>
        <v>#REF!</v>
      </c>
      <c r="F268" t="e">
        <f>RIGHT(E268,1)</f>
        <v>#REF!</v>
      </c>
      <c r="G268" t="e">
        <f>F268+0</f>
        <v>#REF!</v>
      </c>
      <c r="M268" s="37"/>
    </row>
    <row r="269" spans="3:13" ht="29.4" hidden="1" thickBot="1" x14ac:dyDescent="0.35">
      <c r="C269" s="27"/>
      <c r="E269" t="s">
        <v>29</v>
      </c>
      <c r="F269" t="s">
        <v>30</v>
      </c>
      <c r="G269" t="s">
        <v>31</v>
      </c>
      <c r="H269" t="s">
        <v>32</v>
      </c>
      <c r="I269" s="31" t="s">
        <v>33</v>
      </c>
      <c r="J269" s="31" t="s">
        <v>34</v>
      </c>
      <c r="K269" s="31" t="s">
        <v>35</v>
      </c>
      <c r="L269" s="31" t="s">
        <v>36</v>
      </c>
      <c r="M269" s="39" t="s">
        <v>37</v>
      </c>
    </row>
    <row r="270" spans="3:13" ht="18.600000000000001" hidden="1" thickBot="1" x14ac:dyDescent="0.4">
      <c r="C270" s="27"/>
      <c r="E270" t="e">
        <f>RIGHT(C268,2)</f>
        <v>#REF!</v>
      </c>
      <c r="F270" t="e">
        <f>LEFT(E270,1)</f>
        <v>#REF!</v>
      </c>
      <c r="G270" s="33" t="e">
        <f>TRUNC(C268)</f>
        <v>#REF!</v>
      </c>
      <c r="H270" s="18" t="e">
        <f>FIXED(C268-G270,I270)</f>
        <v>#REF!</v>
      </c>
      <c r="I270" t="e">
        <f>ABS(G273-H273)</f>
        <v>#REF!</v>
      </c>
      <c r="J270" t="e">
        <f>RIGHT(C268,I270)</f>
        <v>#REF!</v>
      </c>
      <c r="K270">
        <v>0.05</v>
      </c>
      <c r="L270" s="34" t="e">
        <f>(C268-K270)</f>
        <v>#REF!</v>
      </c>
      <c r="M270" s="43" t="e">
        <f>IF(E272=5,IF(AND(G268=0,F273=FALSE),L270,L271),L271)</f>
        <v>#REF!</v>
      </c>
    </row>
    <row r="271" spans="3:13" ht="15" hidden="1" thickBot="1" x14ac:dyDescent="0.35">
      <c r="C271" s="27"/>
      <c r="E271" t="e">
        <f>RIGHT(E270,1)</f>
        <v>#REF!</v>
      </c>
      <c r="F271" t="e">
        <f>F270+0</f>
        <v>#REF!</v>
      </c>
      <c r="L271" t="e">
        <f>FIXED(C268,1)</f>
        <v>#REF!</v>
      </c>
      <c r="M271" s="45"/>
    </row>
    <row r="272" spans="3:13" ht="15" hidden="1" thickBot="1" x14ac:dyDescent="0.35">
      <c r="C272" s="27"/>
      <c r="E272" t="e">
        <f>E271+0</f>
        <v>#REF!</v>
      </c>
      <c r="F272" t="s">
        <v>38</v>
      </c>
      <c r="G272" t="s">
        <v>39</v>
      </c>
      <c r="H272" t="s">
        <v>40</v>
      </c>
      <c r="M272" s="37"/>
    </row>
    <row r="273" spans="3:13" ht="15" hidden="1" thickBot="1" x14ac:dyDescent="0.35">
      <c r="C273" s="27"/>
      <c r="F273" t="e">
        <f>ISODD(F270)</f>
        <v>#REF!</v>
      </c>
      <c r="G273" t="e">
        <f>LEN(C268)</f>
        <v>#REF!</v>
      </c>
      <c r="H273" t="e">
        <f>LEN(G270)+1</f>
        <v>#REF!</v>
      </c>
      <c r="M273" s="37"/>
    </row>
    <row r="274" spans="3:13" ht="15" hidden="1" thickBot="1" x14ac:dyDescent="0.35">
      <c r="C274" s="27"/>
      <c r="M274" s="37"/>
    </row>
    <row r="275" spans="3:13" ht="15" hidden="1" thickBot="1" x14ac:dyDescent="0.35">
      <c r="C275" s="219" t="s">
        <v>44</v>
      </c>
      <c r="D275" s="220"/>
      <c r="E275" s="220"/>
      <c r="F275" s="220"/>
      <c r="G275" s="220"/>
      <c r="H275" s="220"/>
      <c r="I275" s="220"/>
      <c r="J275" s="220"/>
      <c r="K275" s="220"/>
      <c r="L275" s="220"/>
      <c r="M275" s="221"/>
    </row>
    <row r="276" spans="3:13" ht="15" hidden="1" thickBot="1" x14ac:dyDescent="0.35">
      <c r="C276" s="44" t="e">
        <f>M270</f>
        <v>#REF!</v>
      </c>
      <c r="E276" t="e">
        <f>FIXED(C268,2)</f>
        <v>#REF!</v>
      </c>
      <c r="F276" t="e">
        <f>RIGHT(E276,1)</f>
        <v>#REF!</v>
      </c>
      <c r="G276" t="e">
        <f>F276+0</f>
        <v>#REF!</v>
      </c>
      <c r="M276" s="37"/>
    </row>
    <row r="277" spans="3:13" ht="29.4" hidden="1" thickBot="1" x14ac:dyDescent="0.35">
      <c r="C277" s="27"/>
      <c r="E277" t="s">
        <v>29</v>
      </c>
      <c r="F277" t="s">
        <v>30</v>
      </c>
      <c r="G277" t="s">
        <v>31</v>
      </c>
      <c r="H277" t="s">
        <v>32</v>
      </c>
      <c r="I277" s="31" t="s">
        <v>33</v>
      </c>
      <c r="J277" s="31" t="s">
        <v>34</v>
      </c>
      <c r="K277" s="31" t="s">
        <v>35</v>
      </c>
      <c r="L277" s="31" t="s">
        <v>36</v>
      </c>
      <c r="M277" s="39" t="s">
        <v>37</v>
      </c>
    </row>
    <row r="278" spans="3:13" ht="18.600000000000001" hidden="1" thickBot="1" x14ac:dyDescent="0.4">
      <c r="C278" s="27"/>
      <c r="E278" t="e">
        <f>RIGHT(C276,2)</f>
        <v>#REF!</v>
      </c>
      <c r="F278" t="e">
        <f>RIGHT(G278,1)</f>
        <v>#REF!</v>
      </c>
      <c r="G278" s="33" t="e">
        <f>TRUNC(C276)</f>
        <v>#REF!</v>
      </c>
      <c r="H278" s="18" t="e">
        <f>FIXED(C276-G278,I278)</f>
        <v>#REF!</v>
      </c>
      <c r="I278" t="e">
        <f>ABS(G281-H281)</f>
        <v>#REF!</v>
      </c>
      <c r="J278" t="e">
        <f>RIGHT(C276,I278)</f>
        <v>#REF!</v>
      </c>
      <c r="K278">
        <v>0.5</v>
      </c>
      <c r="L278" s="16" t="e">
        <f>(C276-K278)</f>
        <v>#REF!</v>
      </c>
      <c r="M278" s="46" t="e">
        <f>IF(E280=5,IF(AND(G276=0,F281=FALSE),L278,L279),L279)</f>
        <v>#REF!</v>
      </c>
    </row>
    <row r="279" spans="3:13" ht="15" hidden="1" thickBot="1" x14ac:dyDescent="0.35">
      <c r="C279" s="27"/>
      <c r="E279" t="e">
        <f>RIGHT(E278,1)</f>
        <v>#REF!</v>
      </c>
      <c r="F279" t="e">
        <f>F278+0</f>
        <v>#REF!</v>
      </c>
      <c r="L279" t="e">
        <f>FIXED(C276,0)</f>
        <v>#REF!</v>
      </c>
      <c r="M279" s="47"/>
    </row>
    <row r="280" spans="3:13" ht="15" hidden="1" thickBot="1" x14ac:dyDescent="0.35">
      <c r="C280" s="27"/>
      <c r="E280" t="e">
        <f>E279+0</f>
        <v>#REF!</v>
      </c>
      <c r="F280" t="s">
        <v>38</v>
      </c>
      <c r="G280" t="s">
        <v>39</v>
      </c>
      <c r="H280" t="s">
        <v>40</v>
      </c>
      <c r="M280" s="37"/>
    </row>
    <row r="281" spans="3:13" ht="15" hidden="1" thickBot="1" x14ac:dyDescent="0.35">
      <c r="C281" s="35"/>
      <c r="D281" s="35"/>
      <c r="E281" s="35"/>
      <c r="F281" s="35" t="e">
        <f>ISODD(F278)</f>
        <v>#REF!</v>
      </c>
      <c r="G281" s="35" t="e">
        <f>LEN(C276)</f>
        <v>#REF!</v>
      </c>
      <c r="H281" s="35" t="e">
        <f>LEN(G278)+1</f>
        <v>#REF!</v>
      </c>
      <c r="I281" s="35"/>
      <c r="J281" s="35"/>
      <c r="K281" s="35"/>
      <c r="L281" s="35"/>
      <c r="M281" s="48"/>
    </row>
    <row r="282" spans="3:13" ht="15" thickBot="1" x14ac:dyDescent="0.35">
      <c r="C282" s="222" t="s">
        <v>51</v>
      </c>
      <c r="D282" s="223"/>
      <c r="E282" s="223"/>
      <c r="F282" s="223"/>
      <c r="G282" s="223"/>
      <c r="H282" s="223"/>
      <c r="I282" s="223"/>
      <c r="J282" s="223"/>
      <c r="K282" s="223"/>
      <c r="L282" s="223"/>
      <c r="M282" s="224"/>
    </row>
    <row r="283" spans="3:13" ht="15" thickBot="1" x14ac:dyDescent="0.35">
      <c r="C283" s="27" t="s">
        <v>26</v>
      </c>
      <c r="D283" s="19" t="s">
        <v>27</v>
      </c>
      <c r="E283" t="e">
        <f>FIXED(C284,6)</f>
        <v>#REF!</v>
      </c>
      <c r="F283" t="e">
        <f>RIGHT(E283,1)</f>
        <v>#REF!</v>
      </c>
      <c r="G283" t="e">
        <f>F283/1000000</f>
        <v>#REF!</v>
      </c>
      <c r="H283" s="36" t="e">
        <f>C284-G283</f>
        <v>#REF!</v>
      </c>
      <c r="J283" t="e">
        <f>IF(E288=5,IF(AND(F284=0,F289=FALSE),L286,L287),L287)</f>
        <v>#REF!</v>
      </c>
      <c r="M283" s="37"/>
    </row>
    <row r="284" spans="3:13" ht="18.600000000000001" thickBot="1" x14ac:dyDescent="0.4">
      <c r="C284" s="28" t="e">
        <f>INCERTIDUMBRE!M11</f>
        <v>#REF!</v>
      </c>
      <c r="D284" s="38" t="e">
        <f>IF(C284&gt;=10,M318,IF(C284&gt;=1,M310,IF(C284&gt;=0.1,M302,IF(C284&gt;=0.01,M294,IF(C284&gt;=0.001,M286)))))</f>
        <v>#REF!</v>
      </c>
      <c r="E284" t="s">
        <v>28</v>
      </c>
      <c r="F284" t="e">
        <f>F283+0</f>
        <v>#REF!</v>
      </c>
      <c r="M284" s="37"/>
    </row>
    <row r="285" spans="3:13" ht="29.4" hidden="1" thickBot="1" x14ac:dyDescent="0.35">
      <c r="C285" s="29"/>
      <c r="D285" s="29"/>
      <c r="E285" t="s">
        <v>29</v>
      </c>
      <c r="F285" t="s">
        <v>30</v>
      </c>
      <c r="G285" t="s">
        <v>31</v>
      </c>
      <c r="H285" t="s">
        <v>32</v>
      </c>
      <c r="I285" s="31" t="s">
        <v>33</v>
      </c>
      <c r="J285" s="31" t="s">
        <v>34</v>
      </c>
      <c r="K285" s="31" t="s">
        <v>35</v>
      </c>
      <c r="L285" s="31" t="s">
        <v>36</v>
      </c>
      <c r="M285" s="39" t="s">
        <v>37</v>
      </c>
    </row>
    <row r="286" spans="3:13" ht="18.600000000000001" hidden="1" thickBot="1" x14ac:dyDescent="0.4">
      <c r="C286" s="32"/>
      <c r="E286" t="e">
        <f>RIGHT(H283,2)</f>
        <v>#REF!</v>
      </c>
      <c r="F286" t="e">
        <f>LEFT(E286,1)</f>
        <v>#REF!</v>
      </c>
      <c r="G286" s="36" t="e">
        <f>TRUNC(C284)</f>
        <v>#REF!</v>
      </c>
      <c r="H286" s="18" t="e">
        <f>FIXED(C284-G286,I286)</f>
        <v>#REF!</v>
      </c>
      <c r="I286" t="e">
        <f>ABS(G289-H289)</f>
        <v>#REF!</v>
      </c>
      <c r="J286" t="e">
        <f>RIGHT(C284,I286)</f>
        <v>#REF!</v>
      </c>
      <c r="K286">
        <v>5.0000000000000002E-5</v>
      </c>
      <c r="L286" s="18" t="e">
        <f>(C284-K286)</f>
        <v>#REF!</v>
      </c>
      <c r="M286" s="40" t="e">
        <f>IF(E288=5,IF(AND(F284=0,F289=FALSE),L286,L287),L287)</f>
        <v>#REF!</v>
      </c>
    </row>
    <row r="287" spans="3:13" ht="15" hidden="1" thickBot="1" x14ac:dyDescent="0.35">
      <c r="C287" s="27"/>
      <c r="E287" t="e">
        <f>RIGHT(E286,1)</f>
        <v>#REF!</v>
      </c>
      <c r="F287" t="e">
        <f>F286+0</f>
        <v>#REF!</v>
      </c>
      <c r="L287" t="e">
        <f>FIXED(C284,4)</f>
        <v>#REF!</v>
      </c>
      <c r="M287" s="37"/>
    </row>
    <row r="288" spans="3:13" ht="15" hidden="1" thickBot="1" x14ac:dyDescent="0.35">
      <c r="C288" s="27"/>
      <c r="E288" t="e">
        <f>E287+0</f>
        <v>#REF!</v>
      </c>
      <c r="F288" t="s">
        <v>38</v>
      </c>
      <c r="G288" t="s">
        <v>39</v>
      </c>
      <c r="H288" t="s">
        <v>40</v>
      </c>
      <c r="M288" s="37"/>
    </row>
    <row r="289" spans="3:13" ht="15" hidden="1" thickBot="1" x14ac:dyDescent="0.35">
      <c r="C289" s="27"/>
      <c r="F289" t="e">
        <f>ISODD(F286)</f>
        <v>#REF!</v>
      </c>
      <c r="G289" t="e">
        <f>LEN(C284)</f>
        <v>#REF!</v>
      </c>
      <c r="H289" t="e">
        <f>LEN(G286)+1</f>
        <v>#REF!</v>
      </c>
      <c r="M289" s="37"/>
    </row>
    <row r="290" spans="3:13" ht="15" hidden="1" thickBot="1" x14ac:dyDescent="0.35">
      <c r="C290" s="27"/>
      <c r="M290" s="37"/>
    </row>
    <row r="291" spans="3:13" ht="15" hidden="1" thickBot="1" x14ac:dyDescent="0.35">
      <c r="C291" s="219" t="s">
        <v>41</v>
      </c>
      <c r="D291" s="220"/>
      <c r="E291" s="220"/>
      <c r="F291" s="220"/>
      <c r="G291" s="220"/>
      <c r="H291" s="220"/>
      <c r="I291" s="220"/>
      <c r="J291" s="220"/>
      <c r="K291" s="220"/>
      <c r="L291" s="220"/>
      <c r="M291" s="221"/>
    </row>
    <row r="292" spans="3:13" ht="15" hidden="1" thickBot="1" x14ac:dyDescent="0.35">
      <c r="C292" s="41" t="e">
        <f>M286</f>
        <v>#REF!</v>
      </c>
      <c r="E292" t="e">
        <f>FIXED(C284,5)</f>
        <v>#REF!</v>
      </c>
      <c r="F292" t="e">
        <f>RIGHT(E292,1)</f>
        <v>#REF!</v>
      </c>
      <c r="G292" t="e">
        <f>F292+0</f>
        <v>#REF!</v>
      </c>
      <c r="M292" s="37"/>
    </row>
    <row r="293" spans="3:13" ht="29.4" hidden="1" thickBot="1" x14ac:dyDescent="0.35">
      <c r="C293" s="27"/>
      <c r="E293" t="s">
        <v>29</v>
      </c>
      <c r="F293" t="s">
        <v>30</v>
      </c>
      <c r="G293" t="s">
        <v>31</v>
      </c>
      <c r="H293" t="s">
        <v>32</v>
      </c>
      <c r="I293" s="31" t="s">
        <v>33</v>
      </c>
      <c r="J293" s="31" t="s">
        <v>34</v>
      </c>
      <c r="K293" s="31" t="s">
        <v>35</v>
      </c>
      <c r="L293" s="31" t="s">
        <v>36</v>
      </c>
      <c r="M293" s="39" t="s">
        <v>37</v>
      </c>
    </row>
    <row r="294" spans="3:13" ht="18.600000000000001" hidden="1" thickBot="1" x14ac:dyDescent="0.4">
      <c r="C294" s="27"/>
      <c r="E294" t="e">
        <f>RIGHT(C292,2)</f>
        <v>#REF!</v>
      </c>
      <c r="F294" t="e">
        <f>LEFT(E294,1)</f>
        <v>#REF!</v>
      </c>
      <c r="G294" s="33" t="e">
        <f>TRUNC(C292)</f>
        <v>#REF!</v>
      </c>
      <c r="H294" s="18" t="e">
        <f>FIXED(C292-G294,I294)</f>
        <v>#REF!</v>
      </c>
      <c r="I294" t="e">
        <f>ABS(G297-H297)</f>
        <v>#REF!</v>
      </c>
      <c r="J294" t="e">
        <f>RIGHT(C292,I294)</f>
        <v>#REF!</v>
      </c>
      <c r="K294">
        <v>5.0000000000000001E-4</v>
      </c>
      <c r="L294" s="20" t="e">
        <f>(C292-K294)</f>
        <v>#REF!</v>
      </c>
      <c r="M294" s="42" t="e">
        <f>IF(E296=5,IF(AND(G292=0,F297=FALSE),L294,L295),L295)</f>
        <v>#REF!</v>
      </c>
    </row>
    <row r="295" spans="3:13" ht="15" hidden="1" thickBot="1" x14ac:dyDescent="0.35">
      <c r="C295" s="27"/>
      <c r="E295" t="e">
        <f>RIGHT(E294,1)</f>
        <v>#REF!</v>
      </c>
      <c r="F295" t="e">
        <f>F294+0</f>
        <v>#REF!</v>
      </c>
      <c r="L295" t="e">
        <f>FIXED(C292,3)</f>
        <v>#REF!</v>
      </c>
      <c r="M295" s="37"/>
    </row>
    <row r="296" spans="3:13" ht="15" hidden="1" thickBot="1" x14ac:dyDescent="0.35">
      <c r="C296" s="27"/>
      <c r="E296" t="e">
        <f>E295+0</f>
        <v>#REF!</v>
      </c>
      <c r="F296" t="s">
        <v>38</v>
      </c>
      <c r="G296" t="s">
        <v>39</v>
      </c>
      <c r="H296" t="s">
        <v>40</v>
      </c>
      <c r="M296" s="37"/>
    </row>
    <row r="297" spans="3:13" ht="15" hidden="1" thickBot="1" x14ac:dyDescent="0.35">
      <c r="C297" s="27"/>
      <c r="F297" t="e">
        <f>ISODD(F294)</f>
        <v>#REF!</v>
      </c>
      <c r="G297" t="e">
        <f>LEN(C292)</f>
        <v>#REF!</v>
      </c>
      <c r="H297" t="e">
        <f>LEN(G294)+1</f>
        <v>#REF!</v>
      </c>
      <c r="M297" s="37"/>
    </row>
    <row r="298" spans="3:13" ht="15" hidden="1" thickBot="1" x14ac:dyDescent="0.35">
      <c r="C298" s="27"/>
      <c r="M298" s="37"/>
    </row>
    <row r="299" spans="3:13" ht="15" hidden="1" thickBot="1" x14ac:dyDescent="0.35">
      <c r="C299" s="219" t="s">
        <v>42</v>
      </c>
      <c r="D299" s="220"/>
      <c r="E299" s="220"/>
      <c r="F299" s="220"/>
      <c r="G299" s="220"/>
      <c r="H299" s="220"/>
      <c r="I299" s="220"/>
      <c r="J299" s="220"/>
      <c r="K299" s="220"/>
      <c r="L299" s="220"/>
      <c r="M299" s="221"/>
    </row>
    <row r="300" spans="3:13" ht="15" hidden="1" thickBot="1" x14ac:dyDescent="0.35">
      <c r="C300" s="41" t="e">
        <f>M294</f>
        <v>#REF!</v>
      </c>
      <c r="E300" t="e">
        <f>FIXED(C292,4)</f>
        <v>#REF!</v>
      </c>
      <c r="F300" t="e">
        <f>RIGHT(E300,1)</f>
        <v>#REF!</v>
      </c>
      <c r="G300" t="e">
        <f>F300+0</f>
        <v>#REF!</v>
      </c>
      <c r="M300" s="37"/>
    </row>
    <row r="301" spans="3:13" ht="29.4" hidden="1" thickBot="1" x14ac:dyDescent="0.35">
      <c r="C301" s="27"/>
      <c r="E301" t="s">
        <v>29</v>
      </c>
      <c r="F301" t="s">
        <v>30</v>
      </c>
      <c r="G301" t="s">
        <v>31</v>
      </c>
      <c r="H301" t="s">
        <v>32</v>
      </c>
      <c r="I301" s="31" t="s">
        <v>33</v>
      </c>
      <c r="J301" s="31" t="s">
        <v>34</v>
      </c>
      <c r="K301" s="31" t="s">
        <v>35</v>
      </c>
      <c r="L301" s="31" t="s">
        <v>36</v>
      </c>
      <c r="M301" s="39" t="s">
        <v>37</v>
      </c>
    </row>
    <row r="302" spans="3:13" ht="18.600000000000001" hidden="1" thickBot="1" x14ac:dyDescent="0.4">
      <c r="C302" s="27"/>
      <c r="E302" t="e">
        <f>RIGHT(C300,2)</f>
        <v>#REF!</v>
      </c>
      <c r="F302" t="e">
        <f>LEFT(E302,1)</f>
        <v>#REF!</v>
      </c>
      <c r="G302" s="33" t="e">
        <f>TRUNC(C300)</f>
        <v>#REF!</v>
      </c>
      <c r="H302" s="18" t="e">
        <f>FIXED(C300-G302,I302)</f>
        <v>#REF!</v>
      </c>
      <c r="I302" t="e">
        <f>ABS(G305-H305)</f>
        <v>#REF!</v>
      </c>
      <c r="J302" t="e">
        <f>RIGHT(C300,I302)</f>
        <v>#REF!</v>
      </c>
      <c r="K302">
        <v>5.0000000000000001E-3</v>
      </c>
      <c r="L302" s="34" t="e">
        <f>(C300-K302)</f>
        <v>#REF!</v>
      </c>
      <c r="M302" s="43" t="e">
        <f>IF(E304=5,IF(AND(G300=0,F305=FALSE),L302,L303),L303)</f>
        <v>#REF!</v>
      </c>
    </row>
    <row r="303" spans="3:13" ht="18.600000000000001" hidden="1" thickBot="1" x14ac:dyDescent="0.4">
      <c r="C303" s="27"/>
      <c r="E303" t="e">
        <f>RIGHT(E302,1)</f>
        <v>#REF!</v>
      </c>
      <c r="F303" t="e">
        <f>F302+0</f>
        <v>#REF!</v>
      </c>
      <c r="L303" t="e">
        <f>FIXED(C300,2)</f>
        <v>#REF!</v>
      </c>
      <c r="M303" s="43"/>
    </row>
    <row r="304" spans="3:13" ht="15" hidden="1" thickBot="1" x14ac:dyDescent="0.35">
      <c r="C304" s="27"/>
      <c r="E304" t="e">
        <f>E303+0</f>
        <v>#REF!</v>
      </c>
      <c r="F304" t="s">
        <v>38</v>
      </c>
      <c r="G304" t="s">
        <v>39</v>
      </c>
      <c r="H304" t="s">
        <v>40</v>
      </c>
      <c r="M304" s="37"/>
    </row>
    <row r="305" spans="3:13" ht="15" hidden="1" thickBot="1" x14ac:dyDescent="0.35">
      <c r="C305" s="27"/>
      <c r="F305" t="e">
        <f>ISODD(F302)</f>
        <v>#REF!</v>
      </c>
      <c r="G305" t="e">
        <f>LEN(C300)</f>
        <v>#REF!</v>
      </c>
      <c r="H305" t="e">
        <f>LEN(G302)+1</f>
        <v>#REF!</v>
      </c>
      <c r="M305" s="37"/>
    </row>
    <row r="306" spans="3:13" ht="15" hidden="1" thickBot="1" x14ac:dyDescent="0.35">
      <c r="C306" s="27"/>
      <c r="M306" s="37"/>
    </row>
    <row r="307" spans="3:13" ht="15" hidden="1" thickBot="1" x14ac:dyDescent="0.35">
      <c r="C307" s="219" t="s">
        <v>43</v>
      </c>
      <c r="D307" s="220"/>
      <c r="E307" s="220"/>
      <c r="F307" s="220"/>
      <c r="G307" s="220"/>
      <c r="H307" s="220"/>
      <c r="I307" s="220"/>
      <c r="J307" s="220"/>
      <c r="K307" s="220"/>
      <c r="L307" s="220"/>
      <c r="M307" s="221"/>
    </row>
    <row r="308" spans="3:13" ht="15" hidden="1" thickBot="1" x14ac:dyDescent="0.35">
      <c r="C308" s="44" t="e">
        <f>M302</f>
        <v>#REF!</v>
      </c>
      <c r="E308" t="e">
        <f>FIXED(C300,3)</f>
        <v>#REF!</v>
      </c>
      <c r="F308" t="e">
        <f>RIGHT(E308,1)</f>
        <v>#REF!</v>
      </c>
      <c r="G308" t="e">
        <f>F308+0</f>
        <v>#REF!</v>
      </c>
      <c r="M308" s="37"/>
    </row>
    <row r="309" spans="3:13" ht="29.4" hidden="1" thickBot="1" x14ac:dyDescent="0.35">
      <c r="C309" s="27"/>
      <c r="E309" t="s">
        <v>29</v>
      </c>
      <c r="F309" t="s">
        <v>30</v>
      </c>
      <c r="G309" t="s">
        <v>31</v>
      </c>
      <c r="H309" t="s">
        <v>32</v>
      </c>
      <c r="I309" s="31" t="s">
        <v>33</v>
      </c>
      <c r="J309" s="31" t="s">
        <v>34</v>
      </c>
      <c r="K309" s="31" t="s">
        <v>35</v>
      </c>
      <c r="L309" s="31" t="s">
        <v>36</v>
      </c>
      <c r="M309" s="39" t="s">
        <v>37</v>
      </c>
    </row>
    <row r="310" spans="3:13" ht="18.600000000000001" hidden="1" thickBot="1" x14ac:dyDescent="0.4">
      <c r="C310" s="27"/>
      <c r="E310" t="e">
        <f>RIGHT(C308,2)</f>
        <v>#REF!</v>
      </c>
      <c r="F310" t="e">
        <f>LEFT(E310,1)</f>
        <v>#REF!</v>
      </c>
      <c r="G310" s="33" t="e">
        <f>TRUNC(C308)</f>
        <v>#REF!</v>
      </c>
      <c r="H310" s="18" t="e">
        <f>FIXED(C308-G310,I310)</f>
        <v>#REF!</v>
      </c>
      <c r="I310" t="e">
        <f>ABS(G313-H313)</f>
        <v>#REF!</v>
      </c>
      <c r="J310" t="e">
        <f>RIGHT(C308,I310)</f>
        <v>#REF!</v>
      </c>
      <c r="K310">
        <v>0.05</v>
      </c>
      <c r="L310" s="34" t="e">
        <f>(C308-K310)</f>
        <v>#REF!</v>
      </c>
      <c r="M310" s="43" t="e">
        <f>IF(E312=5,IF(AND(G308=0,F313=FALSE),L310,L311),L311)</f>
        <v>#REF!</v>
      </c>
    </row>
    <row r="311" spans="3:13" ht="15" hidden="1" thickBot="1" x14ac:dyDescent="0.35">
      <c r="C311" s="27"/>
      <c r="E311" t="e">
        <f>RIGHT(E310,1)</f>
        <v>#REF!</v>
      </c>
      <c r="F311" t="e">
        <f>F310+0</f>
        <v>#REF!</v>
      </c>
      <c r="L311" t="e">
        <f>FIXED(C308,1)</f>
        <v>#REF!</v>
      </c>
      <c r="M311" s="45"/>
    </row>
    <row r="312" spans="3:13" ht="15" hidden="1" thickBot="1" x14ac:dyDescent="0.35">
      <c r="C312" s="27"/>
      <c r="E312" t="e">
        <f>E311+0</f>
        <v>#REF!</v>
      </c>
      <c r="F312" t="s">
        <v>38</v>
      </c>
      <c r="G312" t="s">
        <v>39</v>
      </c>
      <c r="H312" t="s">
        <v>40</v>
      </c>
      <c r="M312" s="37"/>
    </row>
    <row r="313" spans="3:13" ht="15" hidden="1" thickBot="1" x14ac:dyDescent="0.35">
      <c r="C313" s="27"/>
      <c r="F313" t="e">
        <f>ISODD(F310)</f>
        <v>#REF!</v>
      </c>
      <c r="G313" t="e">
        <f>LEN(C308)</f>
        <v>#REF!</v>
      </c>
      <c r="H313" t="e">
        <f>LEN(G310)+1</f>
        <v>#REF!</v>
      </c>
      <c r="M313" s="37"/>
    </row>
    <row r="314" spans="3:13" ht="15" hidden="1" thickBot="1" x14ac:dyDescent="0.35">
      <c r="C314" s="27"/>
      <c r="M314" s="37"/>
    </row>
    <row r="315" spans="3:13" ht="15" hidden="1" thickBot="1" x14ac:dyDescent="0.35">
      <c r="C315" s="219" t="s">
        <v>44</v>
      </c>
      <c r="D315" s="220"/>
      <c r="E315" s="220"/>
      <c r="F315" s="220"/>
      <c r="G315" s="220"/>
      <c r="H315" s="220"/>
      <c r="I315" s="220"/>
      <c r="J315" s="220"/>
      <c r="K315" s="220"/>
      <c r="L315" s="220"/>
      <c r="M315" s="221"/>
    </row>
    <row r="316" spans="3:13" ht="15" hidden="1" thickBot="1" x14ac:dyDescent="0.35">
      <c r="C316" s="44" t="e">
        <f>M310</f>
        <v>#REF!</v>
      </c>
      <c r="E316" t="e">
        <f>FIXED(C308,2)</f>
        <v>#REF!</v>
      </c>
      <c r="F316" t="e">
        <f>RIGHT(E316,1)</f>
        <v>#REF!</v>
      </c>
      <c r="G316" t="e">
        <f>F316+0</f>
        <v>#REF!</v>
      </c>
      <c r="M316" s="37"/>
    </row>
    <row r="317" spans="3:13" ht="29.4" hidden="1" thickBot="1" x14ac:dyDescent="0.35">
      <c r="C317" s="27"/>
      <c r="E317" t="s">
        <v>29</v>
      </c>
      <c r="F317" t="s">
        <v>30</v>
      </c>
      <c r="G317" t="s">
        <v>31</v>
      </c>
      <c r="H317" t="s">
        <v>32</v>
      </c>
      <c r="I317" s="31" t="s">
        <v>33</v>
      </c>
      <c r="J317" s="31" t="s">
        <v>34</v>
      </c>
      <c r="K317" s="31" t="s">
        <v>35</v>
      </c>
      <c r="L317" s="31" t="s">
        <v>36</v>
      </c>
      <c r="M317" s="39" t="s">
        <v>37</v>
      </c>
    </row>
    <row r="318" spans="3:13" ht="18.600000000000001" hidden="1" thickBot="1" x14ac:dyDescent="0.4">
      <c r="C318" s="27"/>
      <c r="E318" t="e">
        <f>RIGHT(C316,2)</f>
        <v>#REF!</v>
      </c>
      <c r="F318" t="e">
        <f>RIGHT(G318,1)</f>
        <v>#REF!</v>
      </c>
      <c r="G318" s="33" t="e">
        <f>TRUNC(C316)</f>
        <v>#REF!</v>
      </c>
      <c r="H318" s="18" t="e">
        <f>FIXED(C316-G318,I318)</f>
        <v>#REF!</v>
      </c>
      <c r="I318" t="e">
        <f>ABS(G321-H321)</f>
        <v>#REF!</v>
      </c>
      <c r="J318" t="e">
        <f>RIGHT(C316,I318)</f>
        <v>#REF!</v>
      </c>
      <c r="K318">
        <v>0.5</v>
      </c>
      <c r="L318" s="16" t="e">
        <f>(C316-K318)</f>
        <v>#REF!</v>
      </c>
      <c r="M318" s="46" t="e">
        <f>IF(E320=5,IF(AND(G316=0,F321=FALSE),L318,L319),L319)</f>
        <v>#REF!</v>
      </c>
    </row>
    <row r="319" spans="3:13" ht="15" hidden="1" thickBot="1" x14ac:dyDescent="0.35">
      <c r="C319" s="27"/>
      <c r="E319" t="e">
        <f>RIGHT(E318,1)</f>
        <v>#REF!</v>
      </c>
      <c r="F319" t="e">
        <f>F318+0</f>
        <v>#REF!</v>
      </c>
      <c r="L319" t="e">
        <f>FIXED(C316,0)</f>
        <v>#REF!</v>
      </c>
      <c r="M319" s="47"/>
    </row>
    <row r="320" spans="3:13" ht="15" hidden="1" thickBot="1" x14ac:dyDescent="0.35">
      <c r="C320" s="27"/>
      <c r="E320" t="e">
        <f>E319+0</f>
        <v>#REF!</v>
      </c>
      <c r="F320" t="s">
        <v>38</v>
      </c>
      <c r="G320" t="s">
        <v>39</v>
      </c>
      <c r="H320" t="s">
        <v>40</v>
      </c>
      <c r="M320" s="37"/>
    </row>
    <row r="321" spans="3:13" ht="15" hidden="1" thickBot="1" x14ac:dyDescent="0.35">
      <c r="C321" s="35"/>
      <c r="D321" s="35"/>
      <c r="E321" s="35"/>
      <c r="F321" s="35" t="e">
        <f>ISODD(F318)</f>
        <v>#REF!</v>
      </c>
      <c r="G321" s="35" t="e">
        <f>LEN(C316)</f>
        <v>#REF!</v>
      </c>
      <c r="H321" s="35" t="e">
        <f>LEN(G318)+1</f>
        <v>#REF!</v>
      </c>
      <c r="I321" s="35"/>
      <c r="J321" s="35"/>
      <c r="K321" s="35"/>
      <c r="L321" s="35"/>
      <c r="M321" s="48"/>
    </row>
    <row r="322" spans="3:13" ht="15" thickBot="1" x14ac:dyDescent="0.35">
      <c r="C322" s="222" t="s">
        <v>52</v>
      </c>
      <c r="D322" s="223"/>
      <c r="E322" s="223"/>
      <c r="F322" s="223"/>
      <c r="G322" s="223"/>
      <c r="H322" s="223"/>
      <c r="I322" s="223"/>
      <c r="J322" s="223"/>
      <c r="K322" s="223"/>
      <c r="L322" s="223"/>
      <c r="M322" s="224"/>
    </row>
    <row r="323" spans="3:13" ht="15" thickBot="1" x14ac:dyDescent="0.35">
      <c r="C323" s="27" t="s">
        <v>26</v>
      </c>
      <c r="D323" s="19" t="s">
        <v>27</v>
      </c>
      <c r="E323" t="str">
        <f>FIXED(C324,6)</f>
        <v>0,000000</v>
      </c>
      <c r="F323" t="str">
        <f>RIGHT(E323,1)</f>
        <v>0</v>
      </c>
      <c r="G323">
        <f>F323/1000000</f>
        <v>0</v>
      </c>
      <c r="H323" s="36">
        <f>C324-G323</f>
        <v>0</v>
      </c>
      <c r="J323" t="str">
        <f>IF(E328=5,IF(AND(F324=0,F329=FALSE),L326,L327),L327)</f>
        <v>0,0000</v>
      </c>
      <c r="M323" s="37"/>
    </row>
    <row r="324" spans="3:13" ht="18.600000000000001" thickBot="1" x14ac:dyDescent="0.4">
      <c r="C324" s="28">
        <f>INCERTIDUMBRE!M12</f>
        <v>0</v>
      </c>
      <c r="D324" s="38" t="b">
        <f>IF(C324&gt;=10,M358,IF(C324&gt;=1,M350,IF(C324&gt;=0.1,M342,IF(C324&gt;=0.01,M334,IF(C324&gt;=0.001,M326)))))</f>
        <v>0</v>
      </c>
      <c r="E324" t="s">
        <v>28</v>
      </c>
      <c r="F324">
        <f>F323+0</f>
        <v>0</v>
      </c>
      <c r="M324" s="37"/>
    </row>
    <row r="325" spans="3:13" ht="29.4" hidden="1" thickBot="1" x14ac:dyDescent="0.35">
      <c r="C325" s="29"/>
      <c r="D325" s="29"/>
      <c r="E325" t="s">
        <v>29</v>
      </c>
      <c r="F325" t="s">
        <v>30</v>
      </c>
      <c r="G325" t="s">
        <v>31</v>
      </c>
      <c r="H325" t="s">
        <v>32</v>
      </c>
      <c r="I325" s="31" t="s">
        <v>33</v>
      </c>
      <c r="J325" s="31" t="s">
        <v>34</v>
      </c>
      <c r="K325" s="31" t="s">
        <v>35</v>
      </c>
      <c r="L325" s="31" t="s">
        <v>36</v>
      </c>
      <c r="M325" s="39" t="s">
        <v>37</v>
      </c>
    </row>
    <row r="326" spans="3:13" ht="18.600000000000001" hidden="1" thickBot="1" x14ac:dyDescent="0.4">
      <c r="C326" s="32"/>
      <c r="E326" t="str">
        <f>RIGHT(H323,2)</f>
        <v>0</v>
      </c>
      <c r="F326" t="str">
        <f>LEFT(E326,1)</f>
        <v>0</v>
      </c>
      <c r="G326" s="36">
        <f>TRUNC(C324)</f>
        <v>0</v>
      </c>
      <c r="H326" s="18" t="str">
        <f>FIXED(C324-G326,I326)</f>
        <v>0,0</v>
      </c>
      <c r="I326">
        <f>ABS(G329-H329)</f>
        <v>1</v>
      </c>
      <c r="J326" t="str">
        <f>RIGHT(C324,I326)</f>
        <v>0</v>
      </c>
      <c r="K326">
        <v>5.0000000000000002E-5</v>
      </c>
      <c r="L326" s="18">
        <f>(C324-K326)</f>
        <v>-5.0000000000000002E-5</v>
      </c>
      <c r="M326" s="40" t="str">
        <f>IF(E328=5,IF(AND(F324=0,F329=FALSE),L326,L327),L327)</f>
        <v>0,0000</v>
      </c>
    </row>
    <row r="327" spans="3:13" ht="15" hidden="1" thickBot="1" x14ac:dyDescent="0.35">
      <c r="C327" s="27"/>
      <c r="E327" t="str">
        <f>RIGHT(E326,1)</f>
        <v>0</v>
      </c>
      <c r="F327">
        <f>F326+0</f>
        <v>0</v>
      </c>
      <c r="L327" t="str">
        <f>FIXED(C324,4)</f>
        <v>0,0000</v>
      </c>
      <c r="M327" s="37"/>
    </row>
    <row r="328" spans="3:13" ht="15" hidden="1" thickBot="1" x14ac:dyDescent="0.35">
      <c r="C328" s="27"/>
      <c r="E328">
        <f>E327+0</f>
        <v>0</v>
      </c>
      <c r="F328" t="s">
        <v>38</v>
      </c>
      <c r="G328" t="s">
        <v>39</v>
      </c>
      <c r="H328" t="s">
        <v>40</v>
      </c>
      <c r="M328" s="37"/>
    </row>
    <row r="329" spans="3:13" ht="15" hidden="1" thickBot="1" x14ac:dyDescent="0.35">
      <c r="C329" s="27"/>
      <c r="F329" t="b">
        <f>ISODD(F326)</f>
        <v>0</v>
      </c>
      <c r="G329">
        <f>LEN(C324)</f>
        <v>1</v>
      </c>
      <c r="H329">
        <f>LEN(G326)+1</f>
        <v>2</v>
      </c>
      <c r="M329" s="37"/>
    </row>
    <row r="330" spans="3:13" ht="15" hidden="1" thickBot="1" x14ac:dyDescent="0.35">
      <c r="C330" s="27"/>
      <c r="M330" s="37"/>
    </row>
    <row r="331" spans="3:13" ht="15" hidden="1" thickBot="1" x14ac:dyDescent="0.35">
      <c r="C331" s="219" t="s">
        <v>41</v>
      </c>
      <c r="D331" s="220"/>
      <c r="E331" s="220"/>
      <c r="F331" s="220"/>
      <c r="G331" s="220"/>
      <c r="H331" s="220"/>
      <c r="I331" s="220"/>
      <c r="J331" s="220"/>
      <c r="K331" s="220"/>
      <c r="L331" s="220"/>
      <c r="M331" s="221"/>
    </row>
    <row r="332" spans="3:13" ht="15" hidden="1" thickBot="1" x14ac:dyDescent="0.35">
      <c r="C332" s="41" t="str">
        <f>M326</f>
        <v>0,0000</v>
      </c>
      <c r="E332" t="str">
        <f>FIXED(C324,5)</f>
        <v>0,00000</v>
      </c>
      <c r="F332" t="str">
        <f>RIGHT(E332,1)</f>
        <v>0</v>
      </c>
      <c r="G332">
        <f>F332+0</f>
        <v>0</v>
      </c>
      <c r="M332" s="37"/>
    </row>
    <row r="333" spans="3:13" ht="29.4" hidden="1" thickBot="1" x14ac:dyDescent="0.35">
      <c r="C333" s="27"/>
      <c r="E333" t="s">
        <v>29</v>
      </c>
      <c r="F333" t="s">
        <v>30</v>
      </c>
      <c r="G333" t="s">
        <v>31</v>
      </c>
      <c r="H333" t="s">
        <v>32</v>
      </c>
      <c r="I333" s="31" t="s">
        <v>33</v>
      </c>
      <c r="J333" s="31" t="s">
        <v>34</v>
      </c>
      <c r="K333" s="31" t="s">
        <v>35</v>
      </c>
      <c r="L333" s="31" t="s">
        <v>36</v>
      </c>
      <c r="M333" s="39" t="s">
        <v>37</v>
      </c>
    </row>
    <row r="334" spans="3:13" ht="18.600000000000001" hidden="1" thickBot="1" x14ac:dyDescent="0.4">
      <c r="C334" s="27"/>
      <c r="E334" t="str">
        <f>RIGHT(C332,2)</f>
        <v>00</v>
      </c>
      <c r="F334" t="str">
        <f>LEFT(E334,1)</f>
        <v>0</v>
      </c>
      <c r="G334" s="33">
        <f>TRUNC(C332)</f>
        <v>0</v>
      </c>
      <c r="H334" s="18" t="str">
        <f>FIXED(C332-G334,I334)</f>
        <v>0,0000</v>
      </c>
      <c r="I334">
        <f>ABS(G337-H337)</f>
        <v>4</v>
      </c>
      <c r="J334" t="str">
        <f>RIGHT(C332,I334)</f>
        <v>0000</v>
      </c>
      <c r="K334">
        <v>5.0000000000000001E-4</v>
      </c>
      <c r="L334" s="20">
        <f>(C332-K334)</f>
        <v>-5.0000000000000001E-4</v>
      </c>
      <c r="M334" s="42" t="str">
        <f>IF(E336=5,IF(AND(G332=0,F337=FALSE),L334,L335),L335)</f>
        <v>0,000</v>
      </c>
    </row>
    <row r="335" spans="3:13" ht="15" hidden="1" thickBot="1" x14ac:dyDescent="0.35">
      <c r="C335" s="27"/>
      <c r="E335" t="str">
        <f>RIGHT(E334,1)</f>
        <v>0</v>
      </c>
      <c r="F335">
        <f>F334+0</f>
        <v>0</v>
      </c>
      <c r="L335" t="str">
        <f>FIXED(C332,3)</f>
        <v>0,000</v>
      </c>
      <c r="M335" s="37"/>
    </row>
    <row r="336" spans="3:13" ht="15" hidden="1" thickBot="1" x14ac:dyDescent="0.35">
      <c r="C336" s="27"/>
      <c r="E336">
        <f>E335+0</f>
        <v>0</v>
      </c>
      <c r="F336" t="s">
        <v>38</v>
      </c>
      <c r="G336" t="s">
        <v>39</v>
      </c>
      <c r="H336" t="s">
        <v>40</v>
      </c>
      <c r="M336" s="37"/>
    </row>
    <row r="337" spans="3:13" ht="15" hidden="1" thickBot="1" x14ac:dyDescent="0.35">
      <c r="C337" s="27"/>
      <c r="F337" t="b">
        <f>ISODD(F334)</f>
        <v>0</v>
      </c>
      <c r="G337">
        <f>LEN(C332)</f>
        <v>6</v>
      </c>
      <c r="H337">
        <f>LEN(G334)+1</f>
        <v>2</v>
      </c>
      <c r="M337" s="37"/>
    </row>
    <row r="338" spans="3:13" ht="15" hidden="1" thickBot="1" x14ac:dyDescent="0.35">
      <c r="C338" s="27"/>
      <c r="M338" s="37"/>
    </row>
    <row r="339" spans="3:13" ht="15" hidden="1" thickBot="1" x14ac:dyDescent="0.35">
      <c r="C339" s="219" t="s">
        <v>42</v>
      </c>
      <c r="D339" s="220"/>
      <c r="E339" s="220"/>
      <c r="F339" s="220"/>
      <c r="G339" s="220"/>
      <c r="H339" s="220"/>
      <c r="I339" s="220"/>
      <c r="J339" s="220"/>
      <c r="K339" s="220"/>
      <c r="L339" s="220"/>
      <c r="M339" s="221"/>
    </row>
    <row r="340" spans="3:13" ht="15" hidden="1" thickBot="1" x14ac:dyDescent="0.35">
      <c r="C340" s="41" t="str">
        <f>M334</f>
        <v>0,000</v>
      </c>
      <c r="E340" t="str">
        <f>FIXED(C332,4)</f>
        <v>0,0000</v>
      </c>
      <c r="F340" t="str">
        <f>RIGHT(E340,1)</f>
        <v>0</v>
      </c>
      <c r="G340">
        <f>F340+0</f>
        <v>0</v>
      </c>
      <c r="M340" s="37"/>
    </row>
    <row r="341" spans="3:13" ht="29.4" hidden="1" thickBot="1" x14ac:dyDescent="0.35">
      <c r="C341" s="27"/>
      <c r="E341" t="s">
        <v>29</v>
      </c>
      <c r="F341" t="s">
        <v>30</v>
      </c>
      <c r="G341" t="s">
        <v>31</v>
      </c>
      <c r="H341" t="s">
        <v>32</v>
      </c>
      <c r="I341" s="31" t="s">
        <v>33</v>
      </c>
      <c r="J341" s="31" t="s">
        <v>34</v>
      </c>
      <c r="K341" s="31" t="s">
        <v>35</v>
      </c>
      <c r="L341" s="31" t="s">
        <v>36</v>
      </c>
      <c r="M341" s="39" t="s">
        <v>37</v>
      </c>
    </row>
    <row r="342" spans="3:13" ht="18.600000000000001" hidden="1" thickBot="1" x14ac:dyDescent="0.4">
      <c r="C342" s="27"/>
      <c r="E342" t="str">
        <f>RIGHT(C340,2)</f>
        <v>00</v>
      </c>
      <c r="F342" t="str">
        <f>LEFT(E342,1)</f>
        <v>0</v>
      </c>
      <c r="G342" s="33">
        <f>TRUNC(C340)</f>
        <v>0</v>
      </c>
      <c r="H342" s="18" t="str">
        <f>FIXED(C340-G342,I342)</f>
        <v>0,000</v>
      </c>
      <c r="I342">
        <f>ABS(G345-H345)</f>
        <v>3</v>
      </c>
      <c r="J342" t="str">
        <f>RIGHT(C340,I342)</f>
        <v>000</v>
      </c>
      <c r="K342">
        <v>5.0000000000000001E-3</v>
      </c>
      <c r="L342" s="34">
        <f>(C340-K342)</f>
        <v>-5.0000000000000001E-3</v>
      </c>
      <c r="M342" s="43" t="str">
        <f>IF(E344=5,IF(AND(G340=0,F345=FALSE),L342,L343),L343)</f>
        <v>0,00</v>
      </c>
    </row>
    <row r="343" spans="3:13" ht="18.600000000000001" hidden="1" thickBot="1" x14ac:dyDescent="0.4">
      <c r="C343" s="27"/>
      <c r="E343" t="str">
        <f>RIGHT(E342,1)</f>
        <v>0</v>
      </c>
      <c r="F343">
        <f>F342+0</f>
        <v>0</v>
      </c>
      <c r="L343" t="str">
        <f>FIXED(C340,2)</f>
        <v>0,00</v>
      </c>
      <c r="M343" s="43"/>
    </row>
    <row r="344" spans="3:13" ht="15" hidden="1" thickBot="1" x14ac:dyDescent="0.35">
      <c r="C344" s="27"/>
      <c r="E344">
        <f>E343+0</f>
        <v>0</v>
      </c>
      <c r="F344" t="s">
        <v>38</v>
      </c>
      <c r="G344" t="s">
        <v>39</v>
      </c>
      <c r="H344" t="s">
        <v>40</v>
      </c>
      <c r="M344" s="37"/>
    </row>
    <row r="345" spans="3:13" ht="15" hidden="1" thickBot="1" x14ac:dyDescent="0.35">
      <c r="C345" s="27"/>
      <c r="F345" t="b">
        <f>ISODD(F342)</f>
        <v>0</v>
      </c>
      <c r="G345">
        <f>LEN(C340)</f>
        <v>5</v>
      </c>
      <c r="H345">
        <f>LEN(G342)+1</f>
        <v>2</v>
      </c>
      <c r="M345" s="37"/>
    </row>
    <row r="346" spans="3:13" ht="15" hidden="1" thickBot="1" x14ac:dyDescent="0.35">
      <c r="C346" s="27"/>
      <c r="M346" s="37"/>
    </row>
    <row r="347" spans="3:13" ht="15" hidden="1" thickBot="1" x14ac:dyDescent="0.35">
      <c r="C347" s="219" t="s">
        <v>43</v>
      </c>
      <c r="D347" s="220"/>
      <c r="E347" s="220"/>
      <c r="F347" s="220"/>
      <c r="G347" s="220"/>
      <c r="H347" s="220"/>
      <c r="I347" s="220"/>
      <c r="J347" s="220"/>
      <c r="K347" s="220"/>
      <c r="L347" s="220"/>
      <c r="M347" s="221"/>
    </row>
    <row r="348" spans="3:13" ht="15" hidden="1" thickBot="1" x14ac:dyDescent="0.35">
      <c r="C348" s="44" t="str">
        <f>M342</f>
        <v>0,00</v>
      </c>
      <c r="E348" t="str">
        <f>FIXED(C340,3)</f>
        <v>0,000</v>
      </c>
      <c r="F348" t="str">
        <f>RIGHT(E348,1)</f>
        <v>0</v>
      </c>
      <c r="G348">
        <f>F348+0</f>
        <v>0</v>
      </c>
      <c r="M348" s="37"/>
    </row>
    <row r="349" spans="3:13" ht="29.4" hidden="1" thickBot="1" x14ac:dyDescent="0.35">
      <c r="C349" s="27"/>
      <c r="E349" t="s">
        <v>29</v>
      </c>
      <c r="F349" t="s">
        <v>30</v>
      </c>
      <c r="G349" t="s">
        <v>31</v>
      </c>
      <c r="H349" t="s">
        <v>32</v>
      </c>
      <c r="I349" s="31" t="s">
        <v>33</v>
      </c>
      <c r="J349" s="31" t="s">
        <v>34</v>
      </c>
      <c r="K349" s="31" t="s">
        <v>35</v>
      </c>
      <c r="L349" s="31" t="s">
        <v>36</v>
      </c>
      <c r="M349" s="39" t="s">
        <v>37</v>
      </c>
    </row>
    <row r="350" spans="3:13" ht="18.600000000000001" hidden="1" thickBot="1" x14ac:dyDescent="0.4">
      <c r="C350" s="27"/>
      <c r="E350" t="str">
        <f>RIGHT(C348,2)</f>
        <v>00</v>
      </c>
      <c r="F350" t="str">
        <f>LEFT(E350,1)</f>
        <v>0</v>
      </c>
      <c r="G350" s="33">
        <f>TRUNC(C348)</f>
        <v>0</v>
      </c>
      <c r="H350" s="18" t="str">
        <f>FIXED(C348-G350,I350)</f>
        <v>0,00</v>
      </c>
      <c r="I350">
        <f>ABS(G353-H353)</f>
        <v>2</v>
      </c>
      <c r="J350" t="str">
        <f>RIGHT(C348,I350)</f>
        <v>00</v>
      </c>
      <c r="K350">
        <v>0.05</v>
      </c>
      <c r="L350" s="34">
        <f>(C348-K350)</f>
        <v>-0.05</v>
      </c>
      <c r="M350" s="43" t="str">
        <f>IF(E352=5,IF(AND(G348=0,F353=FALSE),L350,L351),L351)</f>
        <v>0,0</v>
      </c>
    </row>
    <row r="351" spans="3:13" ht="15" hidden="1" thickBot="1" x14ac:dyDescent="0.35">
      <c r="C351" s="27"/>
      <c r="E351" t="str">
        <f>RIGHT(E350,1)</f>
        <v>0</v>
      </c>
      <c r="F351">
        <f>F350+0</f>
        <v>0</v>
      </c>
      <c r="L351" t="str">
        <f>FIXED(C348,1)</f>
        <v>0,0</v>
      </c>
      <c r="M351" s="45"/>
    </row>
    <row r="352" spans="3:13" ht="15" hidden="1" thickBot="1" x14ac:dyDescent="0.35">
      <c r="C352" s="27"/>
      <c r="E352">
        <f>E351+0</f>
        <v>0</v>
      </c>
      <c r="F352" t="s">
        <v>38</v>
      </c>
      <c r="G352" t="s">
        <v>39</v>
      </c>
      <c r="H352" t="s">
        <v>40</v>
      </c>
      <c r="M352" s="37"/>
    </row>
    <row r="353" spans="3:13" ht="15" hidden="1" thickBot="1" x14ac:dyDescent="0.35">
      <c r="C353" s="27"/>
      <c r="F353" t="b">
        <f>ISODD(F350)</f>
        <v>0</v>
      </c>
      <c r="G353">
        <f>LEN(C348)</f>
        <v>4</v>
      </c>
      <c r="H353">
        <f>LEN(G350)+1</f>
        <v>2</v>
      </c>
      <c r="M353" s="37"/>
    </row>
    <row r="354" spans="3:13" ht="15" hidden="1" thickBot="1" x14ac:dyDescent="0.35">
      <c r="C354" s="27"/>
      <c r="M354" s="37"/>
    </row>
    <row r="355" spans="3:13" ht="15" hidden="1" thickBot="1" x14ac:dyDescent="0.35">
      <c r="C355" s="219" t="s">
        <v>44</v>
      </c>
      <c r="D355" s="220"/>
      <c r="E355" s="220"/>
      <c r="F355" s="220"/>
      <c r="G355" s="220"/>
      <c r="H355" s="220"/>
      <c r="I355" s="220"/>
      <c r="J355" s="220"/>
      <c r="K355" s="220"/>
      <c r="L355" s="220"/>
      <c r="M355" s="221"/>
    </row>
    <row r="356" spans="3:13" ht="15" hidden="1" thickBot="1" x14ac:dyDescent="0.35">
      <c r="C356" s="44" t="str">
        <f>M350</f>
        <v>0,0</v>
      </c>
      <c r="E356" t="str">
        <f>FIXED(C348,2)</f>
        <v>0,00</v>
      </c>
      <c r="F356" t="str">
        <f>RIGHT(E356,1)</f>
        <v>0</v>
      </c>
      <c r="G356">
        <f>F356+0</f>
        <v>0</v>
      </c>
      <c r="M356" s="37"/>
    </row>
    <row r="357" spans="3:13" ht="29.4" hidden="1" thickBot="1" x14ac:dyDescent="0.35">
      <c r="C357" s="27"/>
      <c r="E357" t="s">
        <v>29</v>
      </c>
      <c r="F357" t="s">
        <v>30</v>
      </c>
      <c r="G357" t="s">
        <v>31</v>
      </c>
      <c r="H357" t="s">
        <v>32</v>
      </c>
      <c r="I357" s="31" t="s">
        <v>33</v>
      </c>
      <c r="J357" s="31" t="s">
        <v>34</v>
      </c>
      <c r="K357" s="31" t="s">
        <v>35</v>
      </c>
      <c r="L357" s="31" t="s">
        <v>36</v>
      </c>
      <c r="M357" s="39" t="s">
        <v>37</v>
      </c>
    </row>
    <row r="358" spans="3:13" ht="18.600000000000001" hidden="1" thickBot="1" x14ac:dyDescent="0.4">
      <c r="C358" s="27"/>
      <c r="E358" t="str">
        <f>RIGHT(C356,2)</f>
        <v>,0</v>
      </c>
      <c r="F358" t="str">
        <f>RIGHT(G358,1)</f>
        <v>0</v>
      </c>
      <c r="G358" s="33">
        <f>TRUNC(C356)</f>
        <v>0</v>
      </c>
      <c r="H358" s="18" t="str">
        <f>FIXED(C356-G358,I358)</f>
        <v>0,0</v>
      </c>
      <c r="I358">
        <f>ABS(G361-H361)</f>
        <v>1</v>
      </c>
      <c r="J358" t="str">
        <f>RIGHT(C356,I358)</f>
        <v>0</v>
      </c>
      <c r="K358">
        <v>0.5</v>
      </c>
      <c r="L358" s="16">
        <f>(C356-K358)</f>
        <v>-0.5</v>
      </c>
      <c r="M358" s="46" t="str">
        <f>IF(E360=5,IF(AND(G356=0,F361=FALSE),L358,L359),L359)</f>
        <v>0</v>
      </c>
    </row>
    <row r="359" spans="3:13" ht="15" hidden="1" thickBot="1" x14ac:dyDescent="0.35">
      <c r="C359" s="27"/>
      <c r="E359" t="str">
        <f>RIGHT(E358,1)</f>
        <v>0</v>
      </c>
      <c r="F359">
        <f>F358+0</f>
        <v>0</v>
      </c>
      <c r="L359" t="str">
        <f>FIXED(C356,0)</f>
        <v>0</v>
      </c>
      <c r="M359" s="47"/>
    </row>
    <row r="360" spans="3:13" ht="15" hidden="1" thickBot="1" x14ac:dyDescent="0.35">
      <c r="C360" s="27"/>
      <c r="E360">
        <f>E359+0</f>
        <v>0</v>
      </c>
      <c r="F360" t="s">
        <v>38</v>
      </c>
      <c r="G360" t="s">
        <v>39</v>
      </c>
      <c r="H360" t="s">
        <v>40</v>
      </c>
      <c r="M360" s="37"/>
    </row>
    <row r="361" spans="3:13" ht="15" hidden="1" thickBot="1" x14ac:dyDescent="0.35">
      <c r="C361" s="35"/>
      <c r="D361" s="35"/>
      <c r="E361" s="35"/>
      <c r="F361" s="35" t="b">
        <f>ISODD(F358)</f>
        <v>0</v>
      </c>
      <c r="G361" s="35">
        <f>LEN(C356)</f>
        <v>3</v>
      </c>
      <c r="H361" s="35">
        <f>LEN(G358)+1</f>
        <v>2</v>
      </c>
      <c r="I361" s="35"/>
      <c r="J361" s="35"/>
      <c r="K361" s="35"/>
      <c r="L361" s="35"/>
      <c r="M361" s="48"/>
    </row>
    <row r="362" spans="3:13" ht="15" thickBot="1" x14ac:dyDescent="0.35">
      <c r="C362" s="222" t="s">
        <v>53</v>
      </c>
      <c r="D362" s="223"/>
      <c r="E362" s="223"/>
      <c r="F362" s="223"/>
      <c r="G362" s="223"/>
      <c r="H362" s="223"/>
      <c r="I362" s="223"/>
      <c r="J362" s="223"/>
      <c r="K362" s="223"/>
      <c r="L362" s="223"/>
      <c r="M362" s="224"/>
    </row>
    <row r="363" spans="3:13" ht="15" thickBot="1" x14ac:dyDescent="0.35">
      <c r="C363" s="27" t="s">
        <v>26</v>
      </c>
      <c r="D363" s="19" t="s">
        <v>27</v>
      </c>
      <c r="E363" t="str">
        <f>FIXED(C364,6)</f>
        <v>0,172235</v>
      </c>
      <c r="F363" t="str">
        <f>RIGHT(E363,1)</f>
        <v>5</v>
      </c>
      <c r="G363">
        <f>F363/1000000</f>
        <v>5.0000000000000004E-6</v>
      </c>
      <c r="H363" s="36">
        <f>C364-G363</f>
        <v>0.17222969040820971</v>
      </c>
      <c r="J363" t="str">
        <f>IF(E368=5,IF(AND(F364=0,F369=FALSE),L366,L367),L367)</f>
        <v>0,1722</v>
      </c>
      <c r="M363" s="37"/>
    </row>
    <row r="364" spans="3:13" ht="18.600000000000001" thickBot="1" x14ac:dyDescent="0.4">
      <c r="C364" s="28">
        <v>0.17223469040820971</v>
      </c>
      <c r="D364" s="38" t="str">
        <f>IF(C364&gt;=10,M398,IF(C364&gt;=1,M390,IF(C364&gt;=0.1,M382,IF(C364&gt;=0.01,M374,IF(C364&gt;=0.001,M366)))))</f>
        <v>0,17</v>
      </c>
      <c r="E364" t="s">
        <v>28</v>
      </c>
      <c r="F364">
        <f>F363+0</f>
        <v>5</v>
      </c>
      <c r="M364" s="37"/>
    </row>
    <row r="365" spans="3:13" ht="29.4" hidden="1" thickBot="1" x14ac:dyDescent="0.35">
      <c r="C365" s="29"/>
      <c r="D365" s="29"/>
      <c r="E365" t="s">
        <v>29</v>
      </c>
      <c r="F365" t="s">
        <v>30</v>
      </c>
      <c r="G365" t="s">
        <v>31</v>
      </c>
      <c r="H365" t="s">
        <v>32</v>
      </c>
      <c r="I365" s="31" t="s">
        <v>33</v>
      </c>
      <c r="J365" s="31" t="s">
        <v>34</v>
      </c>
      <c r="K365" s="31" t="s">
        <v>35</v>
      </c>
      <c r="L365" s="31" t="s">
        <v>36</v>
      </c>
      <c r="M365" s="39" t="s">
        <v>37</v>
      </c>
    </row>
    <row r="366" spans="3:13" ht="18.600000000000001" hidden="1" thickBot="1" x14ac:dyDescent="0.4">
      <c r="C366" s="32"/>
      <c r="E366" t="str">
        <f>RIGHT(H363,2)</f>
        <v>21</v>
      </c>
      <c r="F366" t="str">
        <f>LEFT(E366,1)</f>
        <v>2</v>
      </c>
      <c r="G366" s="36">
        <f>TRUNC(C364)</f>
        <v>0</v>
      </c>
      <c r="H366" s="18" t="str">
        <f>FIXED(C364-G366,I366)</f>
        <v>0,17223469040821</v>
      </c>
      <c r="I366">
        <f>ABS(G369-H369)</f>
        <v>14</v>
      </c>
      <c r="J366" t="str">
        <f>RIGHT(C364,I366)</f>
        <v>17223469040821</v>
      </c>
      <c r="K366">
        <v>5.0000000000000002E-5</v>
      </c>
      <c r="L366" s="18">
        <f>(C364-K366)</f>
        <v>0.17218469040820972</v>
      </c>
      <c r="M366" s="40" t="str">
        <f>IF(E368=5,IF(AND(F364=0,F369=FALSE),L366,L367),L367)</f>
        <v>0,1722</v>
      </c>
    </row>
    <row r="367" spans="3:13" ht="15" hidden="1" thickBot="1" x14ac:dyDescent="0.35">
      <c r="C367" s="27"/>
      <c r="E367" t="str">
        <f>RIGHT(E366,1)</f>
        <v>1</v>
      </c>
      <c r="F367">
        <f>F366+0</f>
        <v>2</v>
      </c>
      <c r="L367" t="str">
        <f>FIXED(C364,4)</f>
        <v>0,1722</v>
      </c>
      <c r="M367" s="37"/>
    </row>
    <row r="368" spans="3:13" ht="15" hidden="1" thickBot="1" x14ac:dyDescent="0.35">
      <c r="C368" s="27"/>
      <c r="E368">
        <f>E367+0</f>
        <v>1</v>
      </c>
      <c r="F368" t="s">
        <v>38</v>
      </c>
      <c r="G368" t="s">
        <v>39</v>
      </c>
      <c r="H368" t="s">
        <v>40</v>
      </c>
      <c r="M368" s="37"/>
    </row>
    <row r="369" spans="3:13" ht="15" hidden="1" thickBot="1" x14ac:dyDescent="0.35">
      <c r="C369" s="27"/>
      <c r="F369" t="b">
        <f>ISODD(F366)</f>
        <v>0</v>
      </c>
      <c r="G369">
        <f>LEN(C364)</f>
        <v>16</v>
      </c>
      <c r="H369">
        <f>LEN(G366)+1</f>
        <v>2</v>
      </c>
      <c r="M369" s="37"/>
    </row>
    <row r="370" spans="3:13" ht="15" hidden="1" thickBot="1" x14ac:dyDescent="0.35">
      <c r="C370" s="27"/>
      <c r="M370" s="37"/>
    </row>
    <row r="371" spans="3:13" ht="15" hidden="1" thickBot="1" x14ac:dyDescent="0.35">
      <c r="C371" s="219" t="s">
        <v>41</v>
      </c>
      <c r="D371" s="220"/>
      <c r="E371" s="220"/>
      <c r="F371" s="220"/>
      <c r="G371" s="220"/>
      <c r="H371" s="220"/>
      <c r="I371" s="220"/>
      <c r="J371" s="220"/>
      <c r="K371" s="220"/>
      <c r="L371" s="220"/>
      <c r="M371" s="221"/>
    </row>
    <row r="372" spans="3:13" ht="15" hidden="1" thickBot="1" x14ac:dyDescent="0.35">
      <c r="C372" s="41" t="str">
        <f>M366</f>
        <v>0,1722</v>
      </c>
      <c r="E372" t="str">
        <f>FIXED(C364,5)</f>
        <v>0,17223</v>
      </c>
      <c r="F372" t="str">
        <f>RIGHT(E372,1)</f>
        <v>3</v>
      </c>
      <c r="G372">
        <f>F372+0</f>
        <v>3</v>
      </c>
      <c r="M372" s="37"/>
    </row>
    <row r="373" spans="3:13" ht="29.4" hidden="1" thickBot="1" x14ac:dyDescent="0.35">
      <c r="C373" s="27"/>
      <c r="E373" t="s">
        <v>29</v>
      </c>
      <c r="F373" t="s">
        <v>30</v>
      </c>
      <c r="G373" t="s">
        <v>31</v>
      </c>
      <c r="H373" t="s">
        <v>32</v>
      </c>
      <c r="I373" s="31" t="s">
        <v>33</v>
      </c>
      <c r="J373" s="31" t="s">
        <v>34</v>
      </c>
      <c r="K373" s="31" t="s">
        <v>35</v>
      </c>
      <c r="L373" s="31" t="s">
        <v>36</v>
      </c>
      <c r="M373" s="39" t="s">
        <v>37</v>
      </c>
    </row>
    <row r="374" spans="3:13" ht="18.600000000000001" hidden="1" thickBot="1" x14ac:dyDescent="0.4">
      <c r="C374" s="27"/>
      <c r="E374" t="str">
        <f>RIGHT(C372,2)</f>
        <v>22</v>
      </c>
      <c r="F374" t="str">
        <f>LEFT(E374,1)</f>
        <v>2</v>
      </c>
      <c r="G374" s="33">
        <f>TRUNC(C372)</f>
        <v>0</v>
      </c>
      <c r="H374" s="18" t="str">
        <f>FIXED(C372-G374,I374)</f>
        <v>0,1722</v>
      </c>
      <c r="I374">
        <f>ABS(G377-H377)</f>
        <v>4</v>
      </c>
      <c r="J374" t="str">
        <f>RIGHT(C372,I374)</f>
        <v>1722</v>
      </c>
      <c r="K374">
        <v>5.0000000000000001E-4</v>
      </c>
      <c r="L374" s="20">
        <f>(C372-K374)</f>
        <v>0.17169999999999999</v>
      </c>
      <c r="M374" s="42" t="str">
        <f>IF(E376=5,IF(AND(G372=0,F377=FALSE),L374,L375),L375)</f>
        <v>0,172</v>
      </c>
    </row>
    <row r="375" spans="3:13" ht="15" hidden="1" thickBot="1" x14ac:dyDescent="0.35">
      <c r="C375" s="27"/>
      <c r="E375" t="str">
        <f>RIGHT(E374,1)</f>
        <v>2</v>
      </c>
      <c r="F375">
        <f>F374+0</f>
        <v>2</v>
      </c>
      <c r="L375" t="str">
        <f>FIXED(C372,3)</f>
        <v>0,172</v>
      </c>
      <c r="M375" s="37"/>
    </row>
    <row r="376" spans="3:13" ht="15" hidden="1" thickBot="1" x14ac:dyDescent="0.35">
      <c r="C376" s="27"/>
      <c r="E376">
        <f>E375+0</f>
        <v>2</v>
      </c>
      <c r="F376" t="s">
        <v>38</v>
      </c>
      <c r="G376" t="s">
        <v>39</v>
      </c>
      <c r="H376" t="s">
        <v>40</v>
      </c>
      <c r="M376" s="37"/>
    </row>
    <row r="377" spans="3:13" ht="15" hidden="1" thickBot="1" x14ac:dyDescent="0.35">
      <c r="C377" s="27"/>
      <c r="F377" t="b">
        <f>ISODD(F374)</f>
        <v>0</v>
      </c>
      <c r="G377">
        <f>LEN(C372)</f>
        <v>6</v>
      </c>
      <c r="H377">
        <f>LEN(G374)+1</f>
        <v>2</v>
      </c>
      <c r="M377" s="37"/>
    </row>
    <row r="378" spans="3:13" ht="15" hidden="1" thickBot="1" x14ac:dyDescent="0.35">
      <c r="C378" s="27"/>
      <c r="M378" s="37"/>
    </row>
    <row r="379" spans="3:13" ht="15" hidden="1" thickBot="1" x14ac:dyDescent="0.35">
      <c r="C379" s="219" t="s">
        <v>42</v>
      </c>
      <c r="D379" s="220"/>
      <c r="E379" s="220"/>
      <c r="F379" s="220"/>
      <c r="G379" s="220"/>
      <c r="H379" s="220"/>
      <c r="I379" s="220"/>
      <c r="J379" s="220"/>
      <c r="K379" s="220"/>
      <c r="L379" s="220"/>
      <c r="M379" s="221"/>
    </row>
    <row r="380" spans="3:13" ht="15" hidden="1" thickBot="1" x14ac:dyDescent="0.35">
      <c r="C380" s="41" t="str">
        <f>M374</f>
        <v>0,172</v>
      </c>
      <c r="E380" t="str">
        <f>FIXED(C372,4)</f>
        <v>0,1722</v>
      </c>
      <c r="F380" t="str">
        <f>RIGHT(E380,1)</f>
        <v>2</v>
      </c>
      <c r="G380">
        <f>F380+0</f>
        <v>2</v>
      </c>
      <c r="M380" s="37"/>
    </row>
    <row r="381" spans="3:13" ht="29.4" hidden="1" thickBot="1" x14ac:dyDescent="0.35">
      <c r="C381" s="27"/>
      <c r="E381" t="s">
        <v>29</v>
      </c>
      <c r="F381" t="s">
        <v>30</v>
      </c>
      <c r="G381" t="s">
        <v>31</v>
      </c>
      <c r="H381" t="s">
        <v>32</v>
      </c>
      <c r="I381" s="31" t="s">
        <v>33</v>
      </c>
      <c r="J381" s="31" t="s">
        <v>34</v>
      </c>
      <c r="K381" s="31" t="s">
        <v>35</v>
      </c>
      <c r="L381" s="31" t="s">
        <v>36</v>
      </c>
      <c r="M381" s="39" t="s">
        <v>37</v>
      </c>
    </row>
    <row r="382" spans="3:13" ht="18.600000000000001" hidden="1" thickBot="1" x14ac:dyDescent="0.4">
      <c r="C382" s="27"/>
      <c r="E382" t="str">
        <f>RIGHT(C380,2)</f>
        <v>72</v>
      </c>
      <c r="F382" t="str">
        <f>LEFT(E382,1)</f>
        <v>7</v>
      </c>
      <c r="G382" s="33">
        <f>TRUNC(C380)</f>
        <v>0</v>
      </c>
      <c r="H382" s="18" t="str">
        <f>FIXED(C380-G382,I382)</f>
        <v>0,172</v>
      </c>
      <c r="I382">
        <f>ABS(G385-H385)</f>
        <v>3</v>
      </c>
      <c r="J382" t="str">
        <f>RIGHT(C380,I382)</f>
        <v>172</v>
      </c>
      <c r="K382">
        <v>5.0000000000000001E-3</v>
      </c>
      <c r="L382" s="34">
        <f>(C380-K382)</f>
        <v>0.16699999999999998</v>
      </c>
      <c r="M382" s="43" t="str">
        <f>IF(E384=5,IF(AND(G380=0,F385=FALSE),L382,L383),L383)</f>
        <v>0,17</v>
      </c>
    </row>
    <row r="383" spans="3:13" ht="18.600000000000001" hidden="1" thickBot="1" x14ac:dyDescent="0.4">
      <c r="C383" s="27"/>
      <c r="E383" t="str">
        <f>RIGHT(E382,1)</f>
        <v>2</v>
      </c>
      <c r="F383">
        <f>F382+0</f>
        <v>7</v>
      </c>
      <c r="L383" t="str">
        <f>FIXED(C380,2)</f>
        <v>0,17</v>
      </c>
      <c r="M383" s="43"/>
    </row>
    <row r="384" spans="3:13" ht="15" hidden="1" thickBot="1" x14ac:dyDescent="0.35">
      <c r="C384" s="27"/>
      <c r="E384">
        <f>E383+0</f>
        <v>2</v>
      </c>
      <c r="F384" t="s">
        <v>38</v>
      </c>
      <c r="G384" t="s">
        <v>39</v>
      </c>
      <c r="H384" t="s">
        <v>40</v>
      </c>
      <c r="M384" s="37"/>
    </row>
    <row r="385" spans="3:13" ht="15" hidden="1" thickBot="1" x14ac:dyDescent="0.35">
      <c r="C385" s="27"/>
      <c r="F385" t="b">
        <f>ISODD(F382)</f>
        <v>1</v>
      </c>
      <c r="G385">
        <f>LEN(C380)</f>
        <v>5</v>
      </c>
      <c r="H385">
        <f>LEN(G382)+1</f>
        <v>2</v>
      </c>
      <c r="M385" s="37"/>
    </row>
    <row r="386" spans="3:13" ht="15" hidden="1" thickBot="1" x14ac:dyDescent="0.35">
      <c r="C386" s="27"/>
      <c r="M386" s="37"/>
    </row>
    <row r="387" spans="3:13" ht="15" hidden="1" thickBot="1" x14ac:dyDescent="0.35">
      <c r="C387" s="219" t="s">
        <v>43</v>
      </c>
      <c r="D387" s="220"/>
      <c r="E387" s="220"/>
      <c r="F387" s="220"/>
      <c r="G387" s="220"/>
      <c r="H387" s="220"/>
      <c r="I387" s="220"/>
      <c r="J387" s="220"/>
      <c r="K387" s="220"/>
      <c r="L387" s="220"/>
      <c r="M387" s="221"/>
    </row>
    <row r="388" spans="3:13" ht="15" hidden="1" thickBot="1" x14ac:dyDescent="0.35">
      <c r="C388" s="44" t="str">
        <f>M382</f>
        <v>0,17</v>
      </c>
      <c r="E388" t="str">
        <f>FIXED(C380,3)</f>
        <v>0,172</v>
      </c>
      <c r="F388" t="str">
        <f>RIGHT(E388,1)</f>
        <v>2</v>
      </c>
      <c r="G388">
        <f>F388+0</f>
        <v>2</v>
      </c>
      <c r="M388" s="37"/>
    </row>
    <row r="389" spans="3:13" ht="29.4" hidden="1" thickBot="1" x14ac:dyDescent="0.35">
      <c r="C389" s="27"/>
      <c r="E389" t="s">
        <v>29</v>
      </c>
      <c r="F389" t="s">
        <v>30</v>
      </c>
      <c r="G389" t="s">
        <v>31</v>
      </c>
      <c r="H389" t="s">
        <v>32</v>
      </c>
      <c r="I389" s="31" t="s">
        <v>33</v>
      </c>
      <c r="J389" s="31" t="s">
        <v>34</v>
      </c>
      <c r="K389" s="31" t="s">
        <v>35</v>
      </c>
      <c r="L389" s="31" t="s">
        <v>36</v>
      </c>
      <c r="M389" s="39" t="s">
        <v>37</v>
      </c>
    </row>
    <row r="390" spans="3:13" ht="18.600000000000001" hidden="1" thickBot="1" x14ac:dyDescent="0.4">
      <c r="C390" s="27"/>
      <c r="E390" t="str">
        <f>RIGHT(C388,2)</f>
        <v>17</v>
      </c>
      <c r="F390" t="str">
        <f>LEFT(E390,1)</f>
        <v>1</v>
      </c>
      <c r="G390" s="33">
        <f>TRUNC(C388)</f>
        <v>0</v>
      </c>
      <c r="H390" s="18" t="str">
        <f>FIXED(C388-G390,I390)</f>
        <v>0,17</v>
      </c>
      <c r="I390">
        <f>ABS(G393-H393)</f>
        <v>2</v>
      </c>
      <c r="J390" t="str">
        <f>RIGHT(C388,I390)</f>
        <v>17</v>
      </c>
      <c r="K390">
        <v>0.05</v>
      </c>
      <c r="L390" s="34">
        <f>(C388-K390)</f>
        <v>0.12000000000000001</v>
      </c>
      <c r="M390" s="43" t="str">
        <f>IF(E392=5,IF(AND(G388=0,F393=FALSE),L390,L391),L391)</f>
        <v>0,2</v>
      </c>
    </row>
    <row r="391" spans="3:13" ht="15" hidden="1" thickBot="1" x14ac:dyDescent="0.35">
      <c r="C391" s="27"/>
      <c r="E391" t="str">
        <f>RIGHT(E390,1)</f>
        <v>7</v>
      </c>
      <c r="F391">
        <f>F390+0</f>
        <v>1</v>
      </c>
      <c r="L391" t="str">
        <f>FIXED(C388,1)</f>
        <v>0,2</v>
      </c>
      <c r="M391" s="45"/>
    </row>
    <row r="392" spans="3:13" ht="15" hidden="1" thickBot="1" x14ac:dyDescent="0.35">
      <c r="C392" s="27"/>
      <c r="E392">
        <f>E391+0</f>
        <v>7</v>
      </c>
      <c r="F392" t="s">
        <v>38</v>
      </c>
      <c r="G392" t="s">
        <v>39</v>
      </c>
      <c r="H392" t="s">
        <v>40</v>
      </c>
      <c r="M392" s="37"/>
    </row>
    <row r="393" spans="3:13" ht="15" hidden="1" thickBot="1" x14ac:dyDescent="0.35">
      <c r="C393" s="27"/>
      <c r="F393" t="b">
        <f>ISODD(F390)</f>
        <v>1</v>
      </c>
      <c r="G393">
        <f>LEN(C388)</f>
        <v>4</v>
      </c>
      <c r="H393">
        <f>LEN(G390)+1</f>
        <v>2</v>
      </c>
      <c r="M393" s="37"/>
    </row>
    <row r="394" spans="3:13" ht="15" hidden="1" thickBot="1" x14ac:dyDescent="0.35">
      <c r="C394" s="27"/>
      <c r="M394" s="37"/>
    </row>
    <row r="395" spans="3:13" ht="15" hidden="1" thickBot="1" x14ac:dyDescent="0.35">
      <c r="C395" s="219" t="s">
        <v>44</v>
      </c>
      <c r="D395" s="220"/>
      <c r="E395" s="220"/>
      <c r="F395" s="220"/>
      <c r="G395" s="220"/>
      <c r="H395" s="220"/>
      <c r="I395" s="220"/>
      <c r="J395" s="220"/>
      <c r="K395" s="220"/>
      <c r="L395" s="220"/>
      <c r="M395" s="221"/>
    </row>
    <row r="396" spans="3:13" ht="15" hidden="1" thickBot="1" x14ac:dyDescent="0.35">
      <c r="C396" s="44" t="str">
        <f>M390</f>
        <v>0,2</v>
      </c>
      <c r="E396" t="str">
        <f>FIXED(C388,2)</f>
        <v>0,17</v>
      </c>
      <c r="F396" t="str">
        <f>RIGHT(E396,1)</f>
        <v>7</v>
      </c>
      <c r="G396">
        <f>F396+0</f>
        <v>7</v>
      </c>
      <c r="M396" s="37"/>
    </row>
    <row r="397" spans="3:13" ht="29.4" hidden="1" thickBot="1" x14ac:dyDescent="0.35">
      <c r="C397" s="27"/>
      <c r="E397" t="s">
        <v>29</v>
      </c>
      <c r="F397" t="s">
        <v>30</v>
      </c>
      <c r="G397" t="s">
        <v>31</v>
      </c>
      <c r="H397" t="s">
        <v>32</v>
      </c>
      <c r="I397" s="31" t="s">
        <v>33</v>
      </c>
      <c r="J397" s="31" t="s">
        <v>34</v>
      </c>
      <c r="K397" s="31" t="s">
        <v>35</v>
      </c>
      <c r="L397" s="31" t="s">
        <v>36</v>
      </c>
      <c r="M397" s="39" t="s">
        <v>37</v>
      </c>
    </row>
    <row r="398" spans="3:13" ht="18.600000000000001" hidden="1" thickBot="1" x14ac:dyDescent="0.4">
      <c r="C398" s="27"/>
      <c r="E398" t="str">
        <f>RIGHT(C396,2)</f>
        <v>,2</v>
      </c>
      <c r="F398" t="str">
        <f>RIGHT(G398,1)</f>
        <v>0</v>
      </c>
      <c r="G398" s="33">
        <f>TRUNC(C396)</f>
        <v>0</v>
      </c>
      <c r="H398" s="18" t="str">
        <f>FIXED(C396-G398,I398)</f>
        <v>0,2</v>
      </c>
      <c r="I398">
        <f>ABS(G401-H401)</f>
        <v>1</v>
      </c>
      <c r="J398" t="str">
        <f>RIGHT(C396,I398)</f>
        <v>2</v>
      </c>
      <c r="K398">
        <v>0.5</v>
      </c>
      <c r="L398" s="16">
        <f>(C396-K398)</f>
        <v>-0.3</v>
      </c>
      <c r="M398" s="46" t="str">
        <f>IF(E400=5,IF(AND(G396=0,F401=FALSE),L398,L399),L399)</f>
        <v>0</v>
      </c>
    </row>
    <row r="399" spans="3:13" ht="15" hidden="1" thickBot="1" x14ac:dyDescent="0.35">
      <c r="C399" s="27"/>
      <c r="E399" t="str">
        <f>RIGHT(E398,1)</f>
        <v>2</v>
      </c>
      <c r="F399">
        <f>F398+0</f>
        <v>0</v>
      </c>
      <c r="L399" t="str">
        <f>FIXED(C396,0)</f>
        <v>0</v>
      </c>
      <c r="M399" s="47"/>
    </row>
    <row r="400" spans="3:13" ht="15" hidden="1" thickBot="1" x14ac:dyDescent="0.35">
      <c r="C400" s="27"/>
      <c r="E400">
        <f>E399+0</f>
        <v>2</v>
      </c>
      <c r="F400" t="s">
        <v>38</v>
      </c>
      <c r="G400" t="s">
        <v>39</v>
      </c>
      <c r="H400" t="s">
        <v>40</v>
      </c>
      <c r="M400" s="37"/>
    </row>
    <row r="401" spans="3:13" ht="15" hidden="1" thickBot="1" x14ac:dyDescent="0.35">
      <c r="C401" s="35"/>
      <c r="D401" s="35"/>
      <c r="E401" s="35"/>
      <c r="F401" s="35" t="b">
        <f>ISODD(F398)</f>
        <v>0</v>
      </c>
      <c r="G401" s="35">
        <f>LEN(C396)</f>
        <v>3</v>
      </c>
      <c r="H401" s="35">
        <f>LEN(G398)+1</f>
        <v>2</v>
      </c>
      <c r="I401" s="35"/>
      <c r="J401" s="35"/>
      <c r="K401" s="35"/>
      <c r="L401" s="35"/>
      <c r="M401" s="48"/>
    </row>
    <row r="402" spans="3:13" ht="15" thickBot="1" x14ac:dyDescent="0.35">
      <c r="C402" s="222" t="s">
        <v>54</v>
      </c>
      <c r="D402" s="223"/>
      <c r="E402" s="223"/>
      <c r="F402" s="223"/>
      <c r="G402" s="223"/>
      <c r="H402" s="223"/>
      <c r="I402" s="223"/>
      <c r="J402" s="223"/>
      <c r="K402" s="223"/>
      <c r="L402" s="223"/>
      <c r="M402" s="224"/>
    </row>
    <row r="403" spans="3:13" ht="15" thickBot="1" x14ac:dyDescent="0.35">
      <c r="C403" s="27" t="s">
        <v>26</v>
      </c>
      <c r="D403" s="19" t="s">
        <v>27</v>
      </c>
      <c r="E403" t="str">
        <f>FIXED(C404,6)</f>
        <v>0,187340</v>
      </c>
      <c r="F403" t="str">
        <f>RIGHT(E403,1)</f>
        <v>0</v>
      </c>
      <c r="G403">
        <f>F403/1000000</f>
        <v>0</v>
      </c>
      <c r="H403" s="36">
        <f>C404-G403</f>
        <v>0.18733974233099954</v>
      </c>
      <c r="J403" t="str">
        <f>IF(E408=5,IF(AND(F404=0,F409=FALSE),L406,L407),L407)</f>
        <v>0,1873</v>
      </c>
      <c r="M403" s="37"/>
    </row>
    <row r="404" spans="3:13" ht="18.600000000000001" thickBot="1" x14ac:dyDescent="0.4">
      <c r="C404" s="28">
        <v>0.18733974233099954</v>
      </c>
      <c r="D404" s="38" t="str">
        <f>IF(C404&gt;=10,M438,IF(C404&gt;=1,M430,IF(C404&gt;=0.1,M422,IF(C404&gt;=0.01,M414,IF(C404&gt;=0.001,M406)))))</f>
        <v>0,19</v>
      </c>
      <c r="E404" t="s">
        <v>28</v>
      </c>
      <c r="F404">
        <f>F403+0</f>
        <v>0</v>
      </c>
      <c r="M404" s="37"/>
    </row>
    <row r="405" spans="3:13" ht="29.4" hidden="1" thickBot="1" x14ac:dyDescent="0.35">
      <c r="C405" s="29"/>
      <c r="D405" s="29"/>
      <c r="E405" t="s">
        <v>29</v>
      </c>
      <c r="F405" t="s">
        <v>30</v>
      </c>
      <c r="G405" t="s">
        <v>31</v>
      </c>
      <c r="H405" t="s">
        <v>32</v>
      </c>
      <c r="I405" s="31" t="s">
        <v>33</v>
      </c>
      <c r="J405" s="31" t="s">
        <v>34</v>
      </c>
      <c r="K405" s="31" t="s">
        <v>35</v>
      </c>
      <c r="L405" s="31" t="s">
        <v>36</v>
      </c>
      <c r="M405" s="39" t="s">
        <v>37</v>
      </c>
    </row>
    <row r="406" spans="3:13" ht="18.600000000000001" hidden="1" thickBot="1" x14ac:dyDescent="0.4">
      <c r="C406" s="32"/>
      <c r="E406" t="str">
        <f>RIGHT(H403,2)</f>
        <v>31</v>
      </c>
      <c r="F406" t="str">
        <f>LEFT(E406,1)</f>
        <v>3</v>
      </c>
      <c r="G406" s="36">
        <f>TRUNC(C404)</f>
        <v>0</v>
      </c>
      <c r="H406" s="18" t="str">
        <f>FIXED(C404-G406,I406)</f>
        <v>0,187339742331</v>
      </c>
      <c r="I406">
        <f>ABS(G409-H409)</f>
        <v>12</v>
      </c>
      <c r="J406" t="str">
        <f>RIGHT(C404,I406)</f>
        <v>187339742331</v>
      </c>
      <c r="K406">
        <v>5.0000000000000002E-5</v>
      </c>
      <c r="L406" s="18">
        <f>(C404-K406)</f>
        <v>0.18728974233099954</v>
      </c>
      <c r="M406" s="40" t="str">
        <f>IF(E408=5,IF(AND(F404=0,F409=FALSE),L406,L407),L407)</f>
        <v>0,1873</v>
      </c>
    </row>
    <row r="407" spans="3:13" ht="15" hidden="1" thickBot="1" x14ac:dyDescent="0.35">
      <c r="C407" s="27"/>
      <c r="E407" t="str">
        <f>RIGHT(E406,1)</f>
        <v>1</v>
      </c>
      <c r="F407">
        <f>F406+0</f>
        <v>3</v>
      </c>
      <c r="L407" t="str">
        <f>FIXED(C404,4)</f>
        <v>0,1873</v>
      </c>
      <c r="M407" s="37"/>
    </row>
    <row r="408" spans="3:13" ht="15" hidden="1" thickBot="1" x14ac:dyDescent="0.35">
      <c r="C408" s="27"/>
      <c r="E408">
        <f>E407+0</f>
        <v>1</v>
      </c>
      <c r="F408" t="s">
        <v>38</v>
      </c>
      <c r="G408" t="s">
        <v>39</v>
      </c>
      <c r="H408" t="s">
        <v>40</v>
      </c>
      <c r="M408" s="37"/>
    </row>
    <row r="409" spans="3:13" ht="15" hidden="1" thickBot="1" x14ac:dyDescent="0.35">
      <c r="C409" s="27"/>
      <c r="F409" t="b">
        <f>ISODD(F406)</f>
        <v>1</v>
      </c>
      <c r="G409">
        <f>LEN(C404)</f>
        <v>14</v>
      </c>
      <c r="H409">
        <f>LEN(G406)+1</f>
        <v>2</v>
      </c>
      <c r="M409" s="37"/>
    </row>
    <row r="410" spans="3:13" ht="15" hidden="1" thickBot="1" x14ac:dyDescent="0.35">
      <c r="C410" s="27"/>
      <c r="M410" s="37"/>
    </row>
    <row r="411" spans="3:13" ht="15" hidden="1" thickBot="1" x14ac:dyDescent="0.35">
      <c r="C411" s="219" t="s">
        <v>41</v>
      </c>
      <c r="D411" s="220"/>
      <c r="E411" s="220"/>
      <c r="F411" s="220"/>
      <c r="G411" s="220"/>
      <c r="H411" s="220"/>
      <c r="I411" s="220"/>
      <c r="J411" s="220"/>
      <c r="K411" s="220"/>
      <c r="L411" s="220"/>
      <c r="M411" s="221"/>
    </row>
    <row r="412" spans="3:13" ht="15" hidden="1" thickBot="1" x14ac:dyDescent="0.35">
      <c r="C412" s="41" t="str">
        <f>M406</f>
        <v>0,1873</v>
      </c>
      <c r="E412" t="str">
        <f>FIXED(C404,5)</f>
        <v>0,18734</v>
      </c>
      <c r="F412" t="str">
        <f>RIGHT(E412,1)</f>
        <v>4</v>
      </c>
      <c r="G412">
        <f>F412+0</f>
        <v>4</v>
      </c>
      <c r="M412" s="37"/>
    </row>
    <row r="413" spans="3:13" ht="29.4" hidden="1" thickBot="1" x14ac:dyDescent="0.35">
      <c r="C413" s="27"/>
      <c r="E413" t="s">
        <v>29</v>
      </c>
      <c r="F413" t="s">
        <v>30</v>
      </c>
      <c r="G413" t="s">
        <v>31</v>
      </c>
      <c r="H413" t="s">
        <v>32</v>
      </c>
      <c r="I413" s="31" t="s">
        <v>33</v>
      </c>
      <c r="J413" s="31" t="s">
        <v>34</v>
      </c>
      <c r="K413" s="31" t="s">
        <v>35</v>
      </c>
      <c r="L413" s="31" t="s">
        <v>36</v>
      </c>
      <c r="M413" s="39" t="s">
        <v>37</v>
      </c>
    </row>
    <row r="414" spans="3:13" ht="18.600000000000001" hidden="1" thickBot="1" x14ac:dyDescent="0.4">
      <c r="C414" s="27"/>
      <c r="E414" t="str">
        <f>RIGHT(C412,2)</f>
        <v>73</v>
      </c>
      <c r="F414" t="str">
        <f>LEFT(E414,1)</f>
        <v>7</v>
      </c>
      <c r="G414" s="33">
        <f>TRUNC(C412)</f>
        <v>0</v>
      </c>
      <c r="H414" s="18" t="str">
        <f>FIXED(C412-G414,I414)</f>
        <v>0,1873</v>
      </c>
      <c r="I414">
        <f>ABS(G417-H417)</f>
        <v>4</v>
      </c>
      <c r="J414" t="str">
        <f>RIGHT(C412,I414)</f>
        <v>1873</v>
      </c>
      <c r="K414">
        <v>5.0000000000000001E-4</v>
      </c>
      <c r="L414" s="20">
        <f>(C412-K414)</f>
        <v>0.18679999999999999</v>
      </c>
      <c r="M414" s="42" t="str">
        <f>IF(E416=5,IF(AND(G412=0,F417=FALSE),L414,L415),L415)</f>
        <v>0,187</v>
      </c>
    </row>
    <row r="415" spans="3:13" ht="15" hidden="1" thickBot="1" x14ac:dyDescent="0.35">
      <c r="C415" s="27"/>
      <c r="E415" t="str">
        <f>RIGHT(E414,1)</f>
        <v>3</v>
      </c>
      <c r="F415">
        <f>F414+0</f>
        <v>7</v>
      </c>
      <c r="L415" t="str">
        <f>FIXED(C412,3)</f>
        <v>0,187</v>
      </c>
      <c r="M415" s="37"/>
    </row>
    <row r="416" spans="3:13" ht="15" hidden="1" thickBot="1" x14ac:dyDescent="0.35">
      <c r="C416" s="27"/>
      <c r="E416">
        <f>E415+0</f>
        <v>3</v>
      </c>
      <c r="F416" t="s">
        <v>38</v>
      </c>
      <c r="G416" t="s">
        <v>39</v>
      </c>
      <c r="H416" t="s">
        <v>40</v>
      </c>
      <c r="M416" s="37"/>
    </row>
    <row r="417" spans="3:13" ht="15" hidden="1" thickBot="1" x14ac:dyDescent="0.35">
      <c r="C417" s="27"/>
      <c r="F417" t="b">
        <f>ISODD(F414)</f>
        <v>1</v>
      </c>
      <c r="G417">
        <f>LEN(C412)</f>
        <v>6</v>
      </c>
      <c r="H417">
        <f>LEN(G414)+1</f>
        <v>2</v>
      </c>
      <c r="M417" s="37"/>
    </row>
    <row r="418" spans="3:13" ht="15" hidden="1" thickBot="1" x14ac:dyDescent="0.35">
      <c r="C418" s="27"/>
      <c r="M418" s="37"/>
    </row>
    <row r="419" spans="3:13" ht="15" hidden="1" thickBot="1" x14ac:dyDescent="0.35">
      <c r="C419" s="219" t="s">
        <v>42</v>
      </c>
      <c r="D419" s="220"/>
      <c r="E419" s="220"/>
      <c r="F419" s="220"/>
      <c r="G419" s="220"/>
      <c r="H419" s="220"/>
      <c r="I419" s="220"/>
      <c r="J419" s="220"/>
      <c r="K419" s="220"/>
      <c r="L419" s="220"/>
      <c r="M419" s="221"/>
    </row>
    <row r="420" spans="3:13" ht="15" hidden="1" thickBot="1" x14ac:dyDescent="0.35">
      <c r="C420" s="41" t="str">
        <f>M414</f>
        <v>0,187</v>
      </c>
      <c r="E420" t="str">
        <f>FIXED(C412,4)</f>
        <v>0,1873</v>
      </c>
      <c r="F420" t="str">
        <f>RIGHT(E420,1)</f>
        <v>3</v>
      </c>
      <c r="G420">
        <f>F420+0</f>
        <v>3</v>
      </c>
      <c r="M420" s="37"/>
    </row>
    <row r="421" spans="3:13" ht="29.4" hidden="1" thickBot="1" x14ac:dyDescent="0.35">
      <c r="C421" s="27"/>
      <c r="E421" t="s">
        <v>29</v>
      </c>
      <c r="F421" t="s">
        <v>30</v>
      </c>
      <c r="G421" t="s">
        <v>31</v>
      </c>
      <c r="H421" t="s">
        <v>32</v>
      </c>
      <c r="I421" s="31" t="s">
        <v>33</v>
      </c>
      <c r="J421" s="31" t="s">
        <v>34</v>
      </c>
      <c r="K421" s="31" t="s">
        <v>35</v>
      </c>
      <c r="L421" s="31" t="s">
        <v>36</v>
      </c>
      <c r="M421" s="39" t="s">
        <v>37</v>
      </c>
    </row>
    <row r="422" spans="3:13" ht="18.600000000000001" hidden="1" thickBot="1" x14ac:dyDescent="0.4">
      <c r="C422" s="27"/>
      <c r="E422" t="str">
        <f>RIGHT(C420,2)</f>
        <v>87</v>
      </c>
      <c r="F422" t="str">
        <f>LEFT(E422,1)</f>
        <v>8</v>
      </c>
      <c r="G422" s="33">
        <f>TRUNC(C420)</f>
        <v>0</v>
      </c>
      <c r="H422" s="18" t="str">
        <f>FIXED(C420-G422,I422)</f>
        <v>0,187</v>
      </c>
      <c r="I422">
        <f>ABS(G425-H425)</f>
        <v>3</v>
      </c>
      <c r="J422" t="str">
        <f>RIGHT(C420,I422)</f>
        <v>187</v>
      </c>
      <c r="K422">
        <v>5.0000000000000001E-3</v>
      </c>
      <c r="L422" s="34">
        <f>(C420-K422)</f>
        <v>0.182</v>
      </c>
      <c r="M422" s="43" t="str">
        <f>IF(E424=5,IF(AND(G420=0,F425=FALSE),L422,L423),L423)</f>
        <v>0,19</v>
      </c>
    </row>
    <row r="423" spans="3:13" ht="18.600000000000001" hidden="1" thickBot="1" x14ac:dyDescent="0.4">
      <c r="C423" s="27"/>
      <c r="E423" t="str">
        <f>RIGHT(E422,1)</f>
        <v>7</v>
      </c>
      <c r="F423">
        <f>F422+0</f>
        <v>8</v>
      </c>
      <c r="L423" t="str">
        <f>FIXED(C420,2)</f>
        <v>0,19</v>
      </c>
      <c r="M423" s="43"/>
    </row>
    <row r="424" spans="3:13" ht="15" hidden="1" thickBot="1" x14ac:dyDescent="0.35">
      <c r="C424" s="27"/>
      <c r="E424">
        <f>E423+0</f>
        <v>7</v>
      </c>
      <c r="F424" t="s">
        <v>38</v>
      </c>
      <c r="G424" t="s">
        <v>39</v>
      </c>
      <c r="H424" t="s">
        <v>40</v>
      </c>
      <c r="M424" s="37"/>
    </row>
    <row r="425" spans="3:13" ht="15" hidden="1" thickBot="1" x14ac:dyDescent="0.35">
      <c r="C425" s="27"/>
      <c r="F425" t="b">
        <f>ISODD(F422)</f>
        <v>0</v>
      </c>
      <c r="G425">
        <f>LEN(C420)</f>
        <v>5</v>
      </c>
      <c r="H425">
        <f>LEN(G422)+1</f>
        <v>2</v>
      </c>
      <c r="M425" s="37"/>
    </row>
    <row r="426" spans="3:13" ht="15" hidden="1" thickBot="1" x14ac:dyDescent="0.35">
      <c r="C426" s="27"/>
      <c r="M426" s="37"/>
    </row>
    <row r="427" spans="3:13" ht="15" hidden="1" thickBot="1" x14ac:dyDescent="0.35">
      <c r="C427" s="219" t="s">
        <v>43</v>
      </c>
      <c r="D427" s="220"/>
      <c r="E427" s="220"/>
      <c r="F427" s="220"/>
      <c r="G427" s="220"/>
      <c r="H427" s="220"/>
      <c r="I427" s="220"/>
      <c r="J427" s="220"/>
      <c r="K427" s="220"/>
      <c r="L427" s="220"/>
      <c r="M427" s="221"/>
    </row>
    <row r="428" spans="3:13" ht="15" hidden="1" thickBot="1" x14ac:dyDescent="0.35">
      <c r="C428" s="44" t="str">
        <f>M422</f>
        <v>0,19</v>
      </c>
      <c r="E428" t="str">
        <f>FIXED(C420,3)</f>
        <v>0,187</v>
      </c>
      <c r="F428" t="str">
        <f>RIGHT(E428,1)</f>
        <v>7</v>
      </c>
      <c r="G428">
        <f>F428+0</f>
        <v>7</v>
      </c>
      <c r="M428" s="37"/>
    </row>
    <row r="429" spans="3:13" ht="29.4" hidden="1" thickBot="1" x14ac:dyDescent="0.35">
      <c r="C429" s="27"/>
      <c r="E429" t="s">
        <v>29</v>
      </c>
      <c r="F429" t="s">
        <v>30</v>
      </c>
      <c r="G429" t="s">
        <v>31</v>
      </c>
      <c r="H429" t="s">
        <v>32</v>
      </c>
      <c r="I429" s="31" t="s">
        <v>33</v>
      </c>
      <c r="J429" s="31" t="s">
        <v>34</v>
      </c>
      <c r="K429" s="31" t="s">
        <v>35</v>
      </c>
      <c r="L429" s="31" t="s">
        <v>36</v>
      </c>
      <c r="M429" s="39" t="s">
        <v>37</v>
      </c>
    </row>
    <row r="430" spans="3:13" ht="18.600000000000001" hidden="1" thickBot="1" x14ac:dyDescent="0.4">
      <c r="C430" s="27"/>
      <c r="E430" t="str">
        <f>RIGHT(C428,2)</f>
        <v>19</v>
      </c>
      <c r="F430" t="str">
        <f>LEFT(E430,1)</f>
        <v>1</v>
      </c>
      <c r="G430" s="33">
        <f>TRUNC(C428)</f>
        <v>0</v>
      </c>
      <c r="H430" s="18" t="str">
        <f>FIXED(C428-G430,I430)</f>
        <v>0,19</v>
      </c>
      <c r="I430">
        <f>ABS(G433-H433)</f>
        <v>2</v>
      </c>
      <c r="J430" t="str">
        <f>RIGHT(C428,I430)</f>
        <v>19</v>
      </c>
      <c r="K430">
        <v>0.05</v>
      </c>
      <c r="L430" s="34">
        <f>(C428-K430)</f>
        <v>0.14000000000000001</v>
      </c>
      <c r="M430" s="43" t="str">
        <f>IF(E432=5,IF(AND(G428=0,F433=FALSE),L430,L431),L431)</f>
        <v>0,2</v>
      </c>
    </row>
    <row r="431" spans="3:13" ht="15" hidden="1" thickBot="1" x14ac:dyDescent="0.35">
      <c r="C431" s="27"/>
      <c r="E431" t="str">
        <f>RIGHT(E430,1)</f>
        <v>9</v>
      </c>
      <c r="F431">
        <f>F430+0</f>
        <v>1</v>
      </c>
      <c r="L431" t="str">
        <f>FIXED(C428,1)</f>
        <v>0,2</v>
      </c>
      <c r="M431" s="45"/>
    </row>
    <row r="432" spans="3:13" ht="15" hidden="1" thickBot="1" x14ac:dyDescent="0.35">
      <c r="C432" s="27"/>
      <c r="E432">
        <f>E431+0</f>
        <v>9</v>
      </c>
      <c r="F432" t="s">
        <v>38</v>
      </c>
      <c r="G432" t="s">
        <v>39</v>
      </c>
      <c r="H432" t="s">
        <v>40</v>
      </c>
      <c r="M432" s="37"/>
    </row>
    <row r="433" spans="3:13" ht="15" hidden="1" thickBot="1" x14ac:dyDescent="0.35">
      <c r="C433" s="27"/>
      <c r="F433" t="b">
        <f>ISODD(F430)</f>
        <v>1</v>
      </c>
      <c r="G433">
        <f>LEN(C428)</f>
        <v>4</v>
      </c>
      <c r="H433">
        <f>LEN(G430)+1</f>
        <v>2</v>
      </c>
      <c r="M433" s="37"/>
    </row>
    <row r="434" spans="3:13" ht="15" hidden="1" thickBot="1" x14ac:dyDescent="0.35">
      <c r="C434" s="27"/>
      <c r="M434" s="37"/>
    </row>
    <row r="435" spans="3:13" ht="15" hidden="1" thickBot="1" x14ac:dyDescent="0.35">
      <c r="C435" s="219" t="s">
        <v>44</v>
      </c>
      <c r="D435" s="220"/>
      <c r="E435" s="220"/>
      <c r="F435" s="220"/>
      <c r="G435" s="220"/>
      <c r="H435" s="220"/>
      <c r="I435" s="220"/>
      <c r="J435" s="220"/>
      <c r="K435" s="220"/>
      <c r="L435" s="220"/>
      <c r="M435" s="221"/>
    </row>
    <row r="436" spans="3:13" ht="15" hidden="1" thickBot="1" x14ac:dyDescent="0.35">
      <c r="C436" s="44" t="str">
        <f>M430</f>
        <v>0,2</v>
      </c>
      <c r="E436" t="str">
        <f>FIXED(C428,2)</f>
        <v>0,19</v>
      </c>
      <c r="F436" t="str">
        <f>RIGHT(E436,1)</f>
        <v>9</v>
      </c>
      <c r="G436">
        <f>F436+0</f>
        <v>9</v>
      </c>
      <c r="M436" s="37"/>
    </row>
    <row r="437" spans="3:13" ht="29.4" hidden="1" thickBot="1" x14ac:dyDescent="0.35">
      <c r="C437" s="27"/>
      <c r="E437" t="s">
        <v>29</v>
      </c>
      <c r="F437" t="s">
        <v>30</v>
      </c>
      <c r="G437" t="s">
        <v>31</v>
      </c>
      <c r="H437" t="s">
        <v>32</v>
      </c>
      <c r="I437" s="31" t="s">
        <v>33</v>
      </c>
      <c r="J437" s="31" t="s">
        <v>34</v>
      </c>
      <c r="K437" s="31" t="s">
        <v>35</v>
      </c>
      <c r="L437" s="31" t="s">
        <v>36</v>
      </c>
      <c r="M437" s="39" t="s">
        <v>37</v>
      </c>
    </row>
    <row r="438" spans="3:13" ht="18.600000000000001" hidden="1" thickBot="1" x14ac:dyDescent="0.4">
      <c r="C438" s="27"/>
      <c r="E438" t="str">
        <f>RIGHT(C436,2)</f>
        <v>,2</v>
      </c>
      <c r="F438" t="str">
        <f>RIGHT(G438,1)</f>
        <v>0</v>
      </c>
      <c r="G438" s="33">
        <f>TRUNC(C436)</f>
        <v>0</v>
      </c>
      <c r="H438" s="18" t="str">
        <f>FIXED(C436-G438,I438)</f>
        <v>0,2</v>
      </c>
      <c r="I438">
        <f>ABS(G441-H441)</f>
        <v>1</v>
      </c>
      <c r="J438" t="str">
        <f>RIGHT(C436,I438)</f>
        <v>2</v>
      </c>
      <c r="K438">
        <v>0.5</v>
      </c>
      <c r="L438" s="16">
        <f>(C436-K438)</f>
        <v>-0.3</v>
      </c>
      <c r="M438" s="46" t="str">
        <f>IF(E440=5,IF(AND(G436=0,F441=FALSE),L438,L439),L439)</f>
        <v>0</v>
      </c>
    </row>
    <row r="439" spans="3:13" ht="15" hidden="1" thickBot="1" x14ac:dyDescent="0.35">
      <c r="C439" s="27"/>
      <c r="E439" t="str">
        <f>RIGHT(E438,1)</f>
        <v>2</v>
      </c>
      <c r="F439">
        <f>F438+0</f>
        <v>0</v>
      </c>
      <c r="L439" t="str">
        <f>FIXED(C436,0)</f>
        <v>0</v>
      </c>
      <c r="M439" s="47"/>
    </row>
    <row r="440" spans="3:13" ht="15" hidden="1" thickBot="1" x14ac:dyDescent="0.35">
      <c r="C440" s="27"/>
      <c r="E440">
        <f>E439+0</f>
        <v>2</v>
      </c>
      <c r="F440" t="s">
        <v>38</v>
      </c>
      <c r="G440" t="s">
        <v>39</v>
      </c>
      <c r="H440" t="s">
        <v>40</v>
      </c>
      <c r="M440" s="37"/>
    </row>
    <row r="441" spans="3:13" ht="15" hidden="1" thickBot="1" x14ac:dyDescent="0.35">
      <c r="C441" s="35"/>
      <c r="D441" s="35"/>
      <c r="E441" s="35"/>
      <c r="F441" s="35" t="b">
        <f>ISODD(F438)</f>
        <v>0</v>
      </c>
      <c r="G441" s="35">
        <f>LEN(C436)</f>
        <v>3</v>
      </c>
      <c r="H441" s="35">
        <f>LEN(G438)+1</f>
        <v>2</v>
      </c>
      <c r="I441" s="35"/>
      <c r="J441" s="35"/>
      <c r="K441" s="35"/>
      <c r="L441" s="35"/>
      <c r="M441" s="48"/>
    </row>
    <row r="442" spans="3:13" ht="15" thickBot="1" x14ac:dyDescent="0.35">
      <c r="C442" s="222" t="s">
        <v>55</v>
      </c>
      <c r="D442" s="223"/>
      <c r="E442" s="223"/>
      <c r="F442" s="223"/>
      <c r="G442" s="223"/>
      <c r="H442" s="223"/>
      <c r="I442" s="223"/>
      <c r="J442" s="223"/>
      <c r="K442" s="223"/>
      <c r="L442" s="223"/>
      <c r="M442" s="224"/>
    </row>
    <row r="443" spans="3:13" ht="15" thickBot="1" x14ac:dyDescent="0.35">
      <c r="C443" s="27" t="s">
        <v>26</v>
      </c>
      <c r="D443" s="19" t="s">
        <v>27</v>
      </c>
      <c r="E443" t="str">
        <f>FIXED(C444,6)</f>
        <v>0,202914</v>
      </c>
      <c r="F443" t="str">
        <f>RIGHT(E443,1)</f>
        <v>4</v>
      </c>
      <c r="G443">
        <f>F443/1000000</f>
        <v>3.9999999999999998E-6</v>
      </c>
      <c r="H443" s="36">
        <f>C444-G443</f>
        <v>0.20290974338806086</v>
      </c>
      <c r="J443">
        <f>IF(E448=5,IF(AND(F444=0,F449=FALSE),L446,L447),L447)</f>
        <v>0</v>
      </c>
      <c r="M443" s="37"/>
    </row>
    <row r="444" spans="3:13" ht="18" x14ac:dyDescent="0.35">
      <c r="C444" s="28">
        <v>0.20291374338806087</v>
      </c>
      <c r="D444" s="38">
        <f>IF(C444&gt;=10,M478,IF(C444&gt;=1,M470,IF(C444&gt;=0.1,M462,IF(C444&gt;=0.01,M454,IF(C444&gt;=0.001,M446)))))</f>
        <v>0</v>
      </c>
      <c r="E444" t="s">
        <v>28</v>
      </c>
      <c r="F444">
        <f>F443+0</f>
        <v>4</v>
      </c>
      <c r="M444" s="37"/>
    </row>
  </sheetData>
  <mergeCells count="56">
    <mergeCell ref="C74:M74"/>
    <mergeCell ref="C1:M1"/>
    <mergeCell ref="C10:M10"/>
    <mergeCell ref="C18:M18"/>
    <mergeCell ref="C26:M26"/>
    <mergeCell ref="C34:M34"/>
    <mergeCell ref="C41:M41"/>
    <mergeCell ref="C50:M50"/>
    <mergeCell ref="C58:M58"/>
    <mergeCell ref="C66:M66"/>
    <mergeCell ref="C171:M171"/>
    <mergeCell ref="C81:M81"/>
    <mergeCell ref="C90:M90"/>
    <mergeCell ref="C98:M98"/>
    <mergeCell ref="C106:M106"/>
    <mergeCell ref="C114:M114"/>
    <mergeCell ref="C122:M122"/>
    <mergeCell ref="C131:M131"/>
    <mergeCell ref="C139:M139"/>
    <mergeCell ref="C147:M147"/>
    <mergeCell ref="C155:M155"/>
    <mergeCell ref="C162:M162"/>
    <mergeCell ref="C267:M267"/>
    <mergeCell ref="C179:M179"/>
    <mergeCell ref="C187:M187"/>
    <mergeCell ref="C195:M195"/>
    <mergeCell ref="C202:M202"/>
    <mergeCell ref="C211:M211"/>
    <mergeCell ref="C219:M219"/>
    <mergeCell ref="C227:M227"/>
    <mergeCell ref="C235:M235"/>
    <mergeCell ref="C242:M242"/>
    <mergeCell ref="C251:M251"/>
    <mergeCell ref="C259:M259"/>
    <mergeCell ref="C362:M362"/>
    <mergeCell ref="C275:M275"/>
    <mergeCell ref="C282:M282"/>
    <mergeCell ref="C291:M291"/>
    <mergeCell ref="C299:M299"/>
    <mergeCell ref="C307:M307"/>
    <mergeCell ref="C315:M315"/>
    <mergeCell ref="C322:M322"/>
    <mergeCell ref="C331:M331"/>
    <mergeCell ref="C339:M339"/>
    <mergeCell ref="C347:M347"/>
    <mergeCell ref="C355:M355"/>
    <mergeCell ref="C419:M419"/>
    <mergeCell ref="C427:M427"/>
    <mergeCell ref="C435:M435"/>
    <mergeCell ref="C442:M442"/>
    <mergeCell ref="C371:M371"/>
    <mergeCell ref="C379:M379"/>
    <mergeCell ref="C387:M387"/>
    <mergeCell ref="C395:M395"/>
    <mergeCell ref="C402:M402"/>
    <mergeCell ref="C411:M4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3"/>
  <sheetViews>
    <sheetView zoomScaleNormal="100" workbookViewId="0">
      <selection activeCell="M17" sqref="M17"/>
    </sheetView>
  </sheetViews>
  <sheetFormatPr baseColWidth="10" defaultRowHeight="14.4" x14ac:dyDescent="0.3"/>
  <cols>
    <col min="2" max="2" width="14" bestFit="1" customWidth="1"/>
    <col min="5" max="11" width="11.44140625"/>
    <col min="14" max="15" width="11.44140625"/>
    <col min="16" max="16" width="14.6640625" customWidth="1"/>
    <col min="17" max="19" width="11.44140625"/>
    <col min="20" max="20" width="12.44140625" bestFit="1" customWidth="1"/>
    <col min="21" max="21" width="11.44140625"/>
    <col min="24" max="25" width="13.33203125" customWidth="1"/>
  </cols>
  <sheetData>
    <row r="3" spans="2:26" x14ac:dyDescent="0.3">
      <c r="B3" s="8"/>
      <c r="C3" s="8"/>
      <c r="D3" s="8"/>
      <c r="E3" s="225" t="s">
        <v>16</v>
      </c>
      <c r="F3" s="225"/>
      <c r="G3" s="225"/>
      <c r="H3" s="225" t="s">
        <v>17</v>
      </c>
      <c r="I3" s="225"/>
      <c r="J3" s="225"/>
      <c r="L3" s="10" t="s">
        <v>23</v>
      </c>
      <c r="M3" s="8"/>
      <c r="N3" s="10">
        <f>INFORMACIÓN!W12</f>
        <v>0</v>
      </c>
      <c r="O3" s="8"/>
      <c r="P3" s="8"/>
      <c r="Q3" s="8"/>
      <c r="R3" s="8"/>
      <c r="S3" s="8"/>
      <c r="T3" s="8"/>
      <c r="U3" s="8"/>
      <c r="V3" s="8"/>
      <c r="W3" s="8"/>
      <c r="X3" s="9"/>
    </row>
    <row r="4" spans="2:26" ht="39.6" x14ac:dyDescent="0.3">
      <c r="B4" s="4" t="s">
        <v>11</v>
      </c>
      <c r="C4" s="4" t="s">
        <v>22</v>
      </c>
      <c r="D4" s="4" t="s">
        <v>12</v>
      </c>
      <c r="E4" s="11" t="s">
        <v>13</v>
      </c>
      <c r="F4" s="4" t="s">
        <v>19</v>
      </c>
      <c r="G4" s="4" t="s">
        <v>14</v>
      </c>
      <c r="H4" s="4" t="s">
        <v>15</v>
      </c>
      <c r="I4" s="4" t="s">
        <v>18</v>
      </c>
      <c r="J4" s="12" t="s">
        <v>20</v>
      </c>
      <c r="K4" s="4" t="s">
        <v>2</v>
      </c>
      <c r="L4" s="4" t="s">
        <v>1</v>
      </c>
      <c r="M4" s="4" t="s">
        <v>0</v>
      </c>
      <c r="N4" s="31"/>
    </row>
    <row r="5" spans="2:26" x14ac:dyDescent="0.3">
      <c r="B5" s="5">
        <f>MEDIDA!A8</f>
        <v>0</v>
      </c>
      <c r="C5" s="6">
        <f>(MEDIDA!J8+MEDIDA!K8)/2</f>
        <v>0</v>
      </c>
      <c r="D5" s="21" t="e">
        <f>#REF!/2</f>
        <v>#REF!</v>
      </c>
      <c r="E5" s="21" t="e">
        <f>#REF!/SQRT(3)</f>
        <v>#REF!</v>
      </c>
      <c r="F5" s="21">
        <v>0</v>
      </c>
      <c r="G5" s="7" t="e">
        <f>#REF!/SQRT(12)</f>
        <v>#REF!</v>
      </c>
      <c r="H5" s="21">
        <f>ABS(MEDIDA!J8-MEDIDA!K8)/SQRT(12)</f>
        <v>0</v>
      </c>
      <c r="I5" s="6" t="e">
        <f>STDEV(MEDIDA!F8:I8)/SQRT(4)</f>
        <v>#DIV/0!</v>
      </c>
      <c r="J5" s="7" t="e">
        <f t="shared" ref="J5:J11" si="0">SQRT(SUMSQ(D5:I5))</f>
        <v>#REF!</v>
      </c>
      <c r="K5" s="22" t="e">
        <f>J5^4/(D5^4/$D$12+E5^4/$E$12+F5^4/$F$12+G5^4/$G$12+H5^4/$H$12+I5^4/$I$12)</f>
        <v>#REF!</v>
      </c>
      <c r="L5" s="15" t="e">
        <f>TINV(0.0455,K5)</f>
        <v>#REF!</v>
      </c>
      <c r="M5" s="7" t="e">
        <f>J5*L5</f>
        <v>#REF!</v>
      </c>
      <c r="N5" t="e">
        <f>Redondeo!D3</f>
        <v>#REF!</v>
      </c>
    </row>
    <row r="6" spans="2:26" x14ac:dyDescent="0.3">
      <c r="B6" s="5">
        <f>MEDIDA!A9</f>
        <v>0</v>
      </c>
      <c r="C6" s="6">
        <f>(MEDIDA!J9+MEDIDA!K9)/2</f>
        <v>0</v>
      </c>
      <c r="D6" s="21" t="e">
        <f>#REF!/2</f>
        <v>#REF!</v>
      </c>
      <c r="E6" s="21" t="e">
        <f>#REF!/SQRT(3)</f>
        <v>#REF!</v>
      </c>
      <c r="F6" s="21">
        <v>0</v>
      </c>
      <c r="G6" s="7" t="e">
        <f>#REF!/SQRT(12)</f>
        <v>#REF!</v>
      </c>
      <c r="H6" s="21">
        <f>ABS(MEDIDA!J9-MEDIDA!K9)/SQRT(12)</f>
        <v>0</v>
      </c>
      <c r="I6" s="21" t="e">
        <f>STDEV(MEDIDA!F9:I9)/SQRT(4)</f>
        <v>#DIV/0!</v>
      </c>
      <c r="J6" s="7" t="e">
        <f t="shared" si="0"/>
        <v>#REF!</v>
      </c>
      <c r="K6" s="22" t="e">
        <f t="shared" ref="K6:K11" si="1">J6^4/(D6^4/$D$12+E6^4/$E$12+F6^4/$F$12+G6^4/$G$12+H6^4/$H$12+I6^4/$I$12)</f>
        <v>#REF!</v>
      </c>
      <c r="L6" s="15" t="e">
        <f>TINV(0.0455,K6)</f>
        <v>#REF!</v>
      </c>
      <c r="M6" s="7" t="e">
        <f>J6*L6</f>
        <v>#REF!</v>
      </c>
      <c r="N6" s="16" t="e">
        <f>Redondeo!D43</f>
        <v>#REF!</v>
      </c>
      <c r="O6" s="16"/>
    </row>
    <row r="7" spans="2:26" x14ac:dyDescent="0.3">
      <c r="B7" s="5">
        <f>MEDIDA!A10</f>
        <v>0</v>
      </c>
      <c r="C7" s="6">
        <f>(MEDIDA!J10+MEDIDA!K10)/2</f>
        <v>0</v>
      </c>
      <c r="D7" s="21" t="e">
        <f>#REF!/2</f>
        <v>#REF!</v>
      </c>
      <c r="E7" s="21" t="e">
        <f>#REF!/SQRT(3)</f>
        <v>#REF!</v>
      </c>
      <c r="F7" s="21">
        <v>0</v>
      </c>
      <c r="G7" s="7" t="e">
        <f>#REF!/SQRT(12)</f>
        <v>#REF!</v>
      </c>
      <c r="H7" s="21">
        <f>ABS(MEDIDA!J10-MEDIDA!K10)/SQRT(12)</f>
        <v>0</v>
      </c>
      <c r="I7" s="6" t="e">
        <f>STDEV(MEDIDA!F10:I10)/SQRT(4)</f>
        <v>#DIV/0!</v>
      </c>
      <c r="J7" s="7" t="e">
        <f t="shared" si="0"/>
        <v>#REF!</v>
      </c>
      <c r="K7" s="22" t="e">
        <f t="shared" si="1"/>
        <v>#REF!</v>
      </c>
      <c r="L7" s="15" t="e">
        <f t="shared" ref="L7:L11" si="2">TINV(0.0455,K7)</f>
        <v>#REF!</v>
      </c>
      <c r="M7" s="7" t="e">
        <f t="shared" ref="M7:M11" si="3">J7*L7</f>
        <v>#REF!</v>
      </c>
      <c r="N7" s="16" t="e">
        <f>Redondeo!D83</f>
        <v>#REF!</v>
      </c>
      <c r="O7" s="16"/>
    </row>
    <row r="8" spans="2:26" x14ac:dyDescent="0.3">
      <c r="B8" s="5">
        <f>MEDIDA!A11</f>
        <v>0</v>
      </c>
      <c r="C8" s="6">
        <f>(MEDIDA!J11+MEDIDA!K11)/2</f>
        <v>0</v>
      </c>
      <c r="D8" s="21" t="e">
        <f>#REF!/2</f>
        <v>#REF!</v>
      </c>
      <c r="E8" s="21" t="e">
        <f>#REF!/SQRT(3)</f>
        <v>#REF!</v>
      </c>
      <c r="F8" s="21">
        <v>0</v>
      </c>
      <c r="G8" s="7" t="e">
        <f>#REF!/SQRT(12)</f>
        <v>#REF!</v>
      </c>
      <c r="H8" s="21">
        <f>ABS(MEDIDA!J11-MEDIDA!K11)/SQRT(12)</f>
        <v>0</v>
      </c>
      <c r="I8" s="6" t="e">
        <f>STDEV(MEDIDA!F11:I11)/SQRT(4)</f>
        <v>#DIV/0!</v>
      </c>
      <c r="J8" s="7" t="e">
        <f t="shared" si="0"/>
        <v>#REF!</v>
      </c>
      <c r="K8" s="22" t="e">
        <f t="shared" si="1"/>
        <v>#REF!</v>
      </c>
      <c r="L8" s="15" t="e">
        <f t="shared" si="2"/>
        <v>#REF!</v>
      </c>
      <c r="M8" s="7" t="e">
        <f t="shared" si="3"/>
        <v>#REF!</v>
      </c>
      <c r="N8" s="16" t="e">
        <f>Redondeo!D124</f>
        <v>#REF!</v>
      </c>
      <c r="O8" s="16"/>
    </row>
    <row r="9" spans="2:26" x14ac:dyDescent="0.3">
      <c r="B9" s="5">
        <f>MEDIDA!A12</f>
        <v>0</v>
      </c>
      <c r="C9" s="6">
        <f>(MEDIDA!J12+MEDIDA!K12)/2</f>
        <v>0</v>
      </c>
      <c r="D9" s="21" t="e">
        <f>#REF!/2</f>
        <v>#REF!</v>
      </c>
      <c r="E9" s="21" t="e">
        <f>#REF!/SQRT(3)</f>
        <v>#REF!</v>
      </c>
      <c r="F9" s="21">
        <v>0</v>
      </c>
      <c r="G9" s="7" t="e">
        <f>#REF!/SQRT(12)</f>
        <v>#REF!</v>
      </c>
      <c r="H9" s="21">
        <f>ABS(MEDIDA!J12-MEDIDA!K12)/SQRT(12)</f>
        <v>0</v>
      </c>
      <c r="I9" s="6" t="e">
        <f>STDEV(MEDIDA!F12:I12)/SQRT(4)</f>
        <v>#DIV/0!</v>
      </c>
      <c r="J9" s="7" t="e">
        <f t="shared" si="0"/>
        <v>#REF!</v>
      </c>
      <c r="K9" s="22" t="e">
        <f t="shared" si="1"/>
        <v>#REF!</v>
      </c>
      <c r="L9" s="15" t="e">
        <f t="shared" si="2"/>
        <v>#REF!</v>
      </c>
      <c r="M9" s="7" t="e">
        <f t="shared" si="3"/>
        <v>#REF!</v>
      </c>
      <c r="N9" s="16" t="e">
        <f>Redondeo!D204</f>
        <v>#REF!</v>
      </c>
      <c r="O9" s="16"/>
    </row>
    <row r="10" spans="2:26" x14ac:dyDescent="0.3">
      <c r="B10" s="5">
        <f>MEDIDA!A13</f>
        <v>0</v>
      </c>
      <c r="C10" s="6">
        <f>(MEDIDA!J13+MEDIDA!K13)/2</f>
        <v>0</v>
      </c>
      <c r="D10" s="21" t="e">
        <f>#REF!/2</f>
        <v>#REF!</v>
      </c>
      <c r="E10" s="21" t="e">
        <f>#REF!/SQRT(3)</f>
        <v>#REF!</v>
      </c>
      <c r="F10" s="21">
        <v>0</v>
      </c>
      <c r="G10" s="7" t="e">
        <f>#REF!/SQRT(12)</f>
        <v>#REF!</v>
      </c>
      <c r="H10" s="21">
        <f>ABS(MEDIDA!J13-MEDIDA!K13)/SQRT(12)</f>
        <v>0</v>
      </c>
      <c r="I10" s="6" t="e">
        <f>STDEV(MEDIDA!F13:I13)/SQRT(4)</f>
        <v>#DIV/0!</v>
      </c>
      <c r="J10" s="7" t="e">
        <f t="shared" si="0"/>
        <v>#REF!</v>
      </c>
      <c r="K10" s="22" t="e">
        <f t="shared" si="1"/>
        <v>#REF!</v>
      </c>
      <c r="L10" s="15" t="e">
        <f t="shared" si="2"/>
        <v>#REF!</v>
      </c>
      <c r="M10" s="7" t="e">
        <f t="shared" si="3"/>
        <v>#REF!</v>
      </c>
      <c r="N10" s="16" t="e">
        <f>Redondeo!D244</f>
        <v>#REF!</v>
      </c>
      <c r="O10" s="16"/>
    </row>
    <row r="11" spans="2:26" x14ac:dyDescent="0.3">
      <c r="B11" s="5">
        <f>MEDIDA!A14</f>
        <v>0</v>
      </c>
      <c r="C11" s="6">
        <f>(MEDIDA!J14+MEDIDA!K14)/2</f>
        <v>0</v>
      </c>
      <c r="D11" s="21" t="e">
        <f>#REF!/2</f>
        <v>#REF!</v>
      </c>
      <c r="E11" s="21" t="e">
        <f>#REF!/SQRT(3)</f>
        <v>#REF!</v>
      </c>
      <c r="F11" s="21">
        <v>0</v>
      </c>
      <c r="G11" s="7" t="e">
        <f>#REF!/SQRT(12)</f>
        <v>#REF!</v>
      </c>
      <c r="H11" s="21">
        <f>ABS(MEDIDA!J14-MEDIDA!K14)/SQRT(12)</f>
        <v>0</v>
      </c>
      <c r="I11" s="6" t="e">
        <f>STDEV(MEDIDA!F14:I14)/SQRT(4)</f>
        <v>#DIV/0!</v>
      </c>
      <c r="J11" s="7" t="e">
        <f t="shared" si="0"/>
        <v>#REF!</v>
      </c>
      <c r="K11" s="22" t="e">
        <f t="shared" si="1"/>
        <v>#REF!</v>
      </c>
      <c r="L11" s="15" t="e">
        <f t="shared" si="2"/>
        <v>#REF!</v>
      </c>
      <c r="M11" s="7" t="e">
        <f t="shared" si="3"/>
        <v>#REF!</v>
      </c>
      <c r="N11" s="16" t="e">
        <f>Redondeo!D284</f>
        <v>#REF!</v>
      </c>
      <c r="O11" s="16"/>
    </row>
    <row r="12" spans="2:26" x14ac:dyDescent="0.3">
      <c r="D12" s="13">
        <f>0.5*(100%-D13)^-2</f>
        <v>199.99999999999966</v>
      </c>
      <c r="E12" s="13">
        <f t="shared" ref="E12:H12" si="4">0.5*(100%-E13)^-2</f>
        <v>199.99999999999966</v>
      </c>
      <c r="F12" s="13">
        <f t="shared" si="4"/>
        <v>199.99999999999966</v>
      </c>
      <c r="G12" s="13">
        <f t="shared" si="4"/>
        <v>199.99999999999966</v>
      </c>
      <c r="H12" s="13">
        <f t="shared" si="4"/>
        <v>199.99999999999966</v>
      </c>
      <c r="I12" s="13">
        <v>3</v>
      </c>
      <c r="N12" s="16"/>
      <c r="O12" s="16"/>
    </row>
    <row r="13" spans="2:26" x14ac:dyDescent="0.3">
      <c r="D13" s="14">
        <v>0.95</v>
      </c>
      <c r="E13" s="14">
        <v>0.95</v>
      </c>
      <c r="F13" s="14">
        <v>0.95</v>
      </c>
      <c r="G13" s="14">
        <v>0.95</v>
      </c>
      <c r="H13" s="14">
        <v>0.95</v>
      </c>
      <c r="I13" s="14"/>
      <c r="N13" s="16"/>
      <c r="O13" s="16"/>
    </row>
    <row r="14" spans="2:26" x14ac:dyDescent="0.3">
      <c r="Y14" s="16"/>
      <c r="Z14" s="16"/>
    </row>
    <row r="15" spans="2:26" x14ac:dyDescent="0.3">
      <c r="Y15" s="16"/>
      <c r="Z15" s="16"/>
    </row>
    <row r="34" spans="19:25" x14ac:dyDescent="0.3">
      <c r="V34" s="3"/>
      <c r="W34" s="3"/>
      <c r="X34" s="3"/>
    </row>
    <row r="35" spans="19:25" x14ac:dyDescent="0.3">
      <c r="V35" s="3"/>
      <c r="W35" s="1"/>
      <c r="X35" s="1"/>
    </row>
    <row r="38" spans="19:25" x14ac:dyDescent="0.3">
      <c r="Y38" s="3"/>
    </row>
    <row r="39" spans="19:25" x14ac:dyDescent="0.3">
      <c r="Y39" s="1"/>
    </row>
    <row r="40" spans="19:25" x14ac:dyDescent="0.3">
      <c r="S40" s="2"/>
      <c r="T40" s="2"/>
      <c r="U40" s="2"/>
    </row>
    <row r="41" spans="19:25" x14ac:dyDescent="0.3">
      <c r="S41" s="1"/>
      <c r="T41" s="1"/>
      <c r="U41" s="1"/>
    </row>
    <row r="42" spans="19:25" x14ac:dyDescent="0.3">
      <c r="S42" s="1"/>
      <c r="T42" s="1"/>
      <c r="U42" s="1"/>
    </row>
    <row r="43" spans="19:25" x14ac:dyDescent="0.3">
      <c r="S43" s="1"/>
      <c r="T43" s="1"/>
      <c r="U43" s="1"/>
    </row>
    <row r="44" spans="19:25" x14ac:dyDescent="0.3">
      <c r="S44" s="1"/>
      <c r="T44" s="1"/>
      <c r="U44" s="1"/>
    </row>
    <row r="45" spans="19:25" x14ac:dyDescent="0.3">
      <c r="S45" s="1"/>
      <c r="T45" s="1"/>
      <c r="U45" s="1"/>
    </row>
    <row r="46" spans="19:25" x14ac:dyDescent="0.3">
      <c r="S46" s="1"/>
      <c r="T46" s="1"/>
      <c r="U46" s="1"/>
    </row>
    <row r="48" spans="19:25" x14ac:dyDescent="0.3">
      <c r="S48" s="1"/>
      <c r="T48" s="1"/>
      <c r="U48" s="1"/>
    </row>
    <row r="49" spans="19:21" x14ac:dyDescent="0.3">
      <c r="S49" s="1"/>
      <c r="T49" s="1"/>
      <c r="U49" s="1"/>
    </row>
    <row r="50" spans="19:21" x14ac:dyDescent="0.3">
      <c r="S50" s="1"/>
      <c r="T50" s="1"/>
      <c r="U50" s="1"/>
    </row>
    <row r="51" spans="19:21" x14ac:dyDescent="0.3">
      <c r="S51" s="1"/>
      <c r="T51" s="1"/>
      <c r="U51" s="1"/>
    </row>
    <row r="52" spans="19:21" x14ac:dyDescent="0.3">
      <c r="S52" s="1"/>
      <c r="T52" s="1"/>
      <c r="U52" s="1"/>
    </row>
    <row r="53" spans="19:21" x14ac:dyDescent="0.3">
      <c r="S53" s="1"/>
      <c r="T53" s="1"/>
      <c r="U53" s="1"/>
    </row>
  </sheetData>
  <mergeCells count="2">
    <mergeCell ref="E3:G3"/>
    <mergeCell ref="H3:J3"/>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H1:X36"/>
  <sheetViews>
    <sheetView zoomScaleNormal="100" workbookViewId="0">
      <selection activeCell="K5" sqref="K5"/>
    </sheetView>
  </sheetViews>
  <sheetFormatPr baseColWidth="10" defaultColWidth="11.44140625" defaultRowHeight="14.4" x14ac:dyDescent="0.3"/>
  <cols>
    <col min="1" max="1" width="10.33203125" style="23" customWidth="1"/>
    <col min="2" max="2" width="7.109375" style="23" customWidth="1"/>
    <col min="3" max="4" width="6.5546875" style="23" customWidth="1"/>
    <col min="5" max="6" width="7.44140625" style="23" customWidth="1"/>
    <col min="7" max="7" width="9.33203125" style="23" bestFit="1" customWidth="1"/>
    <col min="8" max="10" width="7.44140625" style="23" customWidth="1"/>
    <col min="11" max="12" width="7" style="23" customWidth="1"/>
    <col min="13" max="13" width="6.5546875" style="23" customWidth="1"/>
    <col min="14" max="14" width="7" style="23" customWidth="1"/>
    <col min="15" max="15" width="9.109375" style="23" customWidth="1"/>
    <col min="16" max="16" width="8.21875" style="23" bestFit="1" customWidth="1"/>
    <col min="17" max="17" width="4.88671875" style="23" bestFit="1" customWidth="1"/>
    <col min="18" max="18" width="9.6640625" style="23" customWidth="1"/>
    <col min="19" max="19" width="5.6640625" style="23" customWidth="1"/>
    <col min="20" max="20" width="8.5546875" style="23" customWidth="1"/>
    <col min="21" max="22" width="5.6640625" style="23" customWidth="1"/>
    <col min="23" max="16384" width="11.44140625" style="23"/>
  </cols>
  <sheetData>
    <row r="1" spans="8:23" customFormat="1" x14ac:dyDescent="0.3"/>
    <row r="2" spans="8:23" customFormat="1" x14ac:dyDescent="0.3"/>
    <row r="3" spans="8:23" customFormat="1" x14ac:dyDescent="0.3">
      <c r="H3" t="s">
        <v>24</v>
      </c>
      <c r="K3" t="s">
        <v>115</v>
      </c>
    </row>
    <row r="4" spans="8:23" customFormat="1" x14ac:dyDescent="0.3">
      <c r="H4" t="s">
        <v>25</v>
      </c>
      <c r="K4" t="s">
        <v>116</v>
      </c>
      <c r="S4" s="1"/>
      <c r="T4" s="1"/>
      <c r="U4" s="1"/>
      <c r="V4" s="1"/>
      <c r="W4" s="1"/>
    </row>
    <row r="5" spans="8:23" customFormat="1" x14ac:dyDescent="0.3">
      <c r="H5" t="s">
        <v>108</v>
      </c>
      <c r="S5" s="1"/>
      <c r="T5" s="1"/>
      <c r="U5" s="1"/>
      <c r="V5" s="1"/>
    </row>
    <row r="6" spans="8:23" customFormat="1" ht="22.8" customHeight="1" x14ac:dyDescent="0.3">
      <c r="S6" s="1"/>
      <c r="T6" s="1"/>
      <c r="U6" s="1"/>
      <c r="V6" s="1"/>
    </row>
    <row r="7" spans="8:23" customFormat="1" x14ac:dyDescent="0.3"/>
    <row r="8" spans="8:23" customFormat="1" ht="18" customHeight="1" x14ac:dyDescent="0.3"/>
    <row r="9" spans="8:23" customFormat="1" x14ac:dyDescent="0.3"/>
    <row r="10" spans="8:23" customFormat="1" x14ac:dyDescent="0.3"/>
    <row r="11" spans="8:23" customFormat="1" x14ac:dyDescent="0.3"/>
    <row r="12" spans="8:23" customFormat="1" x14ac:dyDescent="0.3"/>
    <row r="13" spans="8:23" customFormat="1" x14ac:dyDescent="0.3"/>
    <row r="14" spans="8:23" customFormat="1" ht="17.25" customHeight="1" x14ac:dyDescent="0.3"/>
    <row r="15" spans="8:23" customFormat="1" x14ac:dyDescent="0.3"/>
    <row r="16" spans="8:23" customFormat="1" x14ac:dyDescent="0.3">
      <c r="U16" s="33"/>
      <c r="V16" s="33"/>
    </row>
    <row r="17" spans="20:24" x14ac:dyDescent="0.3">
      <c r="T17"/>
      <c r="U17" s="33"/>
      <c r="V17" s="33"/>
      <c r="W17"/>
      <c r="X17"/>
    </row>
    <row r="18" spans="20:24" x14ac:dyDescent="0.3">
      <c r="T18"/>
      <c r="U18" s="33"/>
      <c r="V18" s="33"/>
      <c r="W18"/>
      <c r="X18"/>
    </row>
    <row r="25" spans="20:24" x14ac:dyDescent="0.3">
      <c r="W25" s="24"/>
    </row>
    <row r="26" spans="20:24" x14ac:dyDescent="0.3">
      <c r="W26" s="24"/>
    </row>
    <row r="27" spans="20:24" x14ac:dyDescent="0.3">
      <c r="W27" s="24"/>
    </row>
    <row r="34" spans="22:22" x14ac:dyDescent="0.3">
      <c r="V34" s="24"/>
    </row>
    <row r="35" spans="22:22" x14ac:dyDescent="0.3">
      <c r="V35" s="24"/>
    </row>
    <row r="36" spans="22:22" x14ac:dyDescent="0.3">
      <c r="V36"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D894"/>
  <sheetViews>
    <sheetView tabSelected="1" view="pageLayout" zoomScaleNormal="100" workbookViewId="0">
      <selection activeCell="J865" sqref="J865"/>
    </sheetView>
  </sheetViews>
  <sheetFormatPr baseColWidth="10" defaultColWidth="11.5546875" defaultRowHeight="14.4" x14ac:dyDescent="0.3"/>
  <cols>
    <col min="1" max="5" width="4.6640625" customWidth="1"/>
    <col min="6" max="6" width="4.88671875" customWidth="1"/>
    <col min="7" max="11" width="4.6640625" customWidth="1"/>
    <col min="12" max="12" width="5.109375" customWidth="1"/>
    <col min="13" max="18" width="4.6640625" customWidth="1"/>
    <col min="19" max="19" width="3.77734375" customWidth="1"/>
    <col min="20" max="20" width="5.21875" customWidth="1"/>
    <col min="21" max="25" width="5" customWidth="1"/>
  </cols>
  <sheetData>
    <row r="1" spans="1:30" ht="16.95" customHeight="1" x14ac:dyDescent="0.6">
      <c r="D1" s="87"/>
      <c r="E1" s="87"/>
      <c r="F1" s="86"/>
      <c r="G1" s="85"/>
      <c r="H1" s="84"/>
      <c r="I1" s="175"/>
      <c r="J1" s="175"/>
      <c r="K1" s="175"/>
      <c r="M1" s="55"/>
      <c r="O1" s="174" t="s">
        <v>81</v>
      </c>
      <c r="P1" s="174"/>
      <c r="Q1" s="174"/>
      <c r="R1" s="180">
        <f>INFORMACIÓN!G3</f>
        <v>0</v>
      </c>
      <c r="S1" s="180"/>
    </row>
    <row r="2" spans="1:30" ht="10.199999999999999" customHeight="1" x14ac:dyDescent="0.3">
      <c r="G2" s="177"/>
      <c r="H2" s="177"/>
      <c r="I2" s="177"/>
      <c r="J2" s="176"/>
      <c r="K2" s="176"/>
    </row>
    <row r="3" spans="1:30" ht="16.95" customHeight="1" x14ac:dyDescent="0.3">
      <c r="B3" s="83"/>
      <c r="C3" s="178" t="s">
        <v>98</v>
      </c>
      <c r="D3" s="178"/>
      <c r="E3" s="178"/>
      <c r="F3" s="178"/>
      <c r="G3" s="178"/>
      <c r="H3" s="178"/>
      <c r="I3" s="178"/>
      <c r="J3" s="178"/>
      <c r="K3" s="178"/>
      <c r="L3" s="178"/>
      <c r="M3" s="178"/>
      <c r="N3" s="178"/>
      <c r="O3" s="178"/>
      <c r="P3" s="178"/>
      <c r="Q3" s="178"/>
      <c r="R3" s="178"/>
    </row>
    <row r="4" spans="1:30" ht="16.95" customHeight="1" x14ac:dyDescent="0.3">
      <c r="A4" s="82"/>
      <c r="B4" s="82"/>
      <c r="C4" s="82"/>
      <c r="D4" s="82"/>
      <c r="E4" s="82"/>
      <c r="F4" s="82"/>
      <c r="G4" s="82"/>
      <c r="H4" s="82"/>
      <c r="I4" s="82"/>
      <c r="J4" s="82"/>
      <c r="K4" s="82"/>
      <c r="L4" s="82"/>
      <c r="M4" s="82"/>
      <c r="N4" s="82"/>
      <c r="O4" s="82"/>
      <c r="P4" s="82"/>
      <c r="Q4" s="82"/>
      <c r="R4" s="82"/>
    </row>
    <row r="5" spans="1:30" s="80" customFormat="1" ht="16.95" customHeight="1" x14ac:dyDescent="0.3">
      <c r="B5" s="53"/>
      <c r="C5" s="174" t="s">
        <v>80</v>
      </c>
      <c r="D5" s="174"/>
      <c r="E5" s="174"/>
      <c r="F5" s="174"/>
      <c r="G5" s="174"/>
      <c r="H5" s="56"/>
      <c r="I5" s="170">
        <f>INFORMACIÓN!A3</f>
        <v>0</v>
      </c>
      <c r="J5" s="170"/>
      <c r="K5" s="170"/>
      <c r="L5" s="170"/>
      <c r="M5" s="170"/>
      <c r="N5" s="170"/>
      <c r="O5" s="170"/>
      <c r="P5" s="170"/>
      <c r="Q5" s="170"/>
      <c r="R5" s="170"/>
      <c r="S5"/>
      <c r="T5"/>
      <c r="U5"/>
      <c r="V5"/>
      <c r="W5"/>
      <c r="X5"/>
      <c r="Y5"/>
      <c r="Z5"/>
      <c r="AA5"/>
      <c r="AB5"/>
      <c r="AC5"/>
      <c r="AD5"/>
    </row>
    <row r="6" spans="1:30" s="80" customFormat="1" ht="16.95" customHeight="1" x14ac:dyDescent="0.3">
      <c r="B6" s="53"/>
      <c r="C6" s="174" t="s">
        <v>79</v>
      </c>
      <c r="D6" s="174"/>
      <c r="E6" s="174"/>
      <c r="F6" s="174"/>
      <c r="G6" s="174"/>
      <c r="H6" s="56"/>
      <c r="I6" s="170">
        <f>INFORMACIÓN!B3</f>
        <v>0</v>
      </c>
      <c r="J6" s="170"/>
      <c r="K6" s="170"/>
      <c r="L6" s="170"/>
      <c r="M6" s="170"/>
      <c r="N6" s="170"/>
      <c r="O6" s="170"/>
      <c r="P6" s="170"/>
      <c r="Q6" s="170"/>
      <c r="R6" s="170"/>
      <c r="S6"/>
      <c r="T6"/>
      <c r="U6"/>
      <c r="V6"/>
      <c r="W6"/>
      <c r="X6"/>
      <c r="Y6"/>
      <c r="Z6"/>
      <c r="AA6"/>
      <c r="AB6"/>
      <c r="AC6"/>
      <c r="AD6"/>
    </row>
    <row r="7" spans="1:30" s="80" customFormat="1" ht="16.95" customHeight="1" x14ac:dyDescent="0.3">
      <c r="B7" s="53"/>
      <c r="C7" s="174" t="s">
        <v>78</v>
      </c>
      <c r="D7" s="174"/>
      <c r="E7" s="174"/>
      <c r="F7" s="174"/>
      <c r="G7" s="174"/>
      <c r="H7" s="56"/>
      <c r="I7" s="170">
        <f>INFORMACIÓN!C3</f>
        <v>0</v>
      </c>
      <c r="J7" s="170"/>
      <c r="K7" s="170"/>
      <c r="L7" s="170"/>
      <c r="M7" s="170"/>
      <c r="N7" s="170"/>
      <c r="O7" s="170"/>
      <c r="P7" s="170"/>
      <c r="Q7" s="170"/>
      <c r="R7" s="170"/>
      <c r="S7"/>
      <c r="T7"/>
      <c r="U7"/>
      <c r="V7"/>
      <c r="W7"/>
      <c r="X7"/>
      <c r="Y7"/>
      <c r="Z7"/>
      <c r="AA7"/>
      <c r="AB7"/>
      <c r="AC7"/>
      <c r="AD7"/>
    </row>
    <row r="8" spans="1:30" s="80" customFormat="1" ht="16.95" customHeight="1" x14ac:dyDescent="0.3">
      <c r="B8" s="53"/>
      <c r="C8" s="174" t="s">
        <v>77</v>
      </c>
      <c r="D8" s="174"/>
      <c r="E8" s="174"/>
      <c r="F8" s="174"/>
      <c r="G8" s="174"/>
      <c r="H8" s="56"/>
      <c r="I8" s="169">
        <f>INFORMACIÓN!D3</f>
        <v>0</v>
      </c>
      <c r="J8" s="169"/>
      <c r="K8" s="169"/>
      <c r="L8" s="169"/>
      <c r="M8" s="169"/>
      <c r="N8" s="169"/>
      <c r="O8" s="169"/>
      <c r="P8" s="169"/>
      <c r="Q8" s="169"/>
      <c r="R8" s="169"/>
      <c r="S8"/>
      <c r="T8"/>
      <c r="U8"/>
      <c r="V8"/>
      <c r="W8"/>
      <c r="X8"/>
      <c r="Y8"/>
      <c r="Z8"/>
      <c r="AA8"/>
      <c r="AB8"/>
      <c r="AC8"/>
      <c r="AD8"/>
    </row>
    <row r="9" spans="1:30" s="80" customFormat="1" ht="16.95" customHeight="1" x14ac:dyDescent="0.3">
      <c r="B9" s="53"/>
      <c r="C9" s="174" t="s">
        <v>76</v>
      </c>
      <c r="D9" s="174"/>
      <c r="E9" s="174"/>
      <c r="F9" s="174"/>
      <c r="G9" s="174"/>
      <c r="H9" s="56"/>
      <c r="I9" s="179">
        <f>INFORMACIÓN!F3</f>
        <v>0</v>
      </c>
      <c r="J9" s="170"/>
      <c r="K9" s="170"/>
      <c r="L9" s="170"/>
      <c r="M9" s="170"/>
      <c r="N9" s="170"/>
      <c r="O9" s="170"/>
      <c r="P9" s="170"/>
      <c r="Q9" s="170"/>
      <c r="R9" s="170"/>
      <c r="S9"/>
      <c r="T9"/>
      <c r="U9"/>
      <c r="V9"/>
      <c r="W9"/>
      <c r="X9"/>
      <c r="Y9"/>
      <c r="Z9"/>
      <c r="AA9"/>
      <c r="AB9"/>
      <c r="AC9"/>
      <c r="AD9"/>
    </row>
    <row r="10" spans="1:30" s="80" customFormat="1" ht="16.95" customHeight="1" x14ac:dyDescent="0.3">
      <c r="B10" s="53"/>
      <c r="C10" s="174" t="s">
        <v>75</v>
      </c>
      <c r="D10" s="174"/>
      <c r="E10" s="174"/>
      <c r="F10" s="174"/>
      <c r="G10" s="174"/>
      <c r="H10" s="56"/>
      <c r="I10" s="169">
        <f>INFORMACIÓN!E3</f>
        <v>0</v>
      </c>
      <c r="J10" s="170"/>
      <c r="K10" s="170"/>
      <c r="L10" s="170"/>
      <c r="M10" s="170"/>
      <c r="N10" s="170"/>
      <c r="O10" s="170"/>
      <c r="P10" s="170"/>
      <c r="Q10" s="170"/>
      <c r="R10" s="170"/>
      <c r="S10"/>
      <c r="T10"/>
      <c r="U10"/>
      <c r="V10"/>
      <c r="W10"/>
      <c r="X10"/>
      <c r="Y10"/>
      <c r="Z10"/>
      <c r="AA10"/>
      <c r="AB10"/>
      <c r="AC10"/>
      <c r="AD10"/>
    </row>
    <row r="11" spans="1:30" s="80" customFormat="1" ht="16.95" customHeight="1" x14ac:dyDescent="0.3">
      <c r="B11" s="53"/>
      <c r="C11" s="174" t="s">
        <v>74</v>
      </c>
      <c r="D11" s="174"/>
      <c r="E11" s="174"/>
      <c r="F11" s="174"/>
      <c r="G11" s="174"/>
      <c r="H11" s="56"/>
      <c r="I11" s="170" t="str">
        <f>INFORMACIÓN!B8</f>
        <v>BUEN ESTADO</v>
      </c>
      <c r="J11" s="170"/>
      <c r="K11" s="170"/>
      <c r="L11" s="170"/>
      <c r="M11" s="170"/>
      <c r="N11" s="170"/>
      <c r="O11" s="170"/>
      <c r="P11" s="170"/>
      <c r="Q11" s="170"/>
      <c r="R11" s="170"/>
      <c r="S11"/>
      <c r="T11"/>
      <c r="U11"/>
      <c r="V11"/>
      <c r="W11"/>
      <c r="X11"/>
      <c r="Y11"/>
      <c r="Z11"/>
      <c r="AA11"/>
      <c r="AB11"/>
      <c r="AC11"/>
      <c r="AD11"/>
    </row>
    <row r="12" spans="1:30" s="80" customFormat="1" ht="16.95" customHeight="1" x14ac:dyDescent="0.3">
      <c r="B12" s="53"/>
      <c r="C12" s="174" t="s">
        <v>73</v>
      </c>
      <c r="D12" s="174"/>
      <c r="E12" s="174"/>
      <c r="F12" s="174"/>
      <c r="G12" s="174"/>
      <c r="H12" s="81"/>
      <c r="I12" s="182">
        <f>INFORMACIÓN!H3</f>
        <v>0</v>
      </c>
      <c r="J12" s="182"/>
      <c r="K12" s="182"/>
      <c r="L12" s="182"/>
      <c r="M12" s="182"/>
      <c r="N12" s="182"/>
      <c r="O12" s="182"/>
      <c r="P12" s="182"/>
      <c r="Q12" s="182"/>
      <c r="R12" s="182"/>
      <c r="S12"/>
      <c r="T12"/>
      <c r="U12"/>
      <c r="V12"/>
      <c r="W12"/>
      <c r="X12"/>
      <c r="Y12"/>
      <c r="Z12"/>
      <c r="AA12"/>
      <c r="AB12"/>
      <c r="AC12"/>
      <c r="AD12"/>
    </row>
    <row r="13" spans="1:30" s="80" customFormat="1" ht="16.95" customHeight="1" x14ac:dyDescent="0.3">
      <c r="B13" s="53"/>
      <c r="C13" s="174" t="s">
        <v>72</v>
      </c>
      <c r="D13" s="174"/>
      <c r="E13" s="174"/>
      <c r="F13" s="174"/>
      <c r="G13" s="174"/>
      <c r="H13" s="81"/>
      <c r="I13" s="182">
        <f>INFORMACIÓN!B9</f>
        <v>0</v>
      </c>
      <c r="J13" s="182"/>
      <c r="K13" s="182"/>
      <c r="L13" s="182"/>
      <c r="M13" s="182"/>
      <c r="N13" s="182"/>
      <c r="O13" s="182"/>
      <c r="P13" s="182"/>
      <c r="Q13" s="182"/>
      <c r="R13" s="182"/>
      <c r="S13"/>
      <c r="T13"/>
      <c r="U13"/>
      <c r="V13"/>
      <c r="W13"/>
      <c r="X13"/>
      <c r="Y13"/>
      <c r="Z13"/>
      <c r="AA13"/>
      <c r="AB13"/>
      <c r="AC13"/>
      <c r="AD13"/>
    </row>
    <row r="14" spans="1:30" ht="16.95" customHeight="1" x14ac:dyDescent="0.3"/>
    <row r="15" spans="1:30" ht="16.95" customHeight="1" x14ac:dyDescent="0.3">
      <c r="B15" s="55"/>
      <c r="C15" s="181" t="s">
        <v>99</v>
      </c>
      <c r="D15" s="181"/>
      <c r="E15" s="181"/>
      <c r="F15" s="181"/>
      <c r="G15" s="181"/>
      <c r="H15" s="181"/>
      <c r="I15" s="181"/>
      <c r="J15" s="181"/>
      <c r="K15" s="181"/>
      <c r="L15" s="181"/>
      <c r="M15" s="181"/>
      <c r="N15" s="181"/>
      <c r="O15" s="181"/>
      <c r="P15" s="181"/>
      <c r="Q15" s="181"/>
      <c r="R15" s="181"/>
    </row>
    <row r="16" spans="1:30" ht="10.199999999999999" customHeight="1" x14ac:dyDescent="0.3"/>
    <row r="17" spans="1:18" ht="16.95" customHeight="1" x14ac:dyDescent="0.3">
      <c r="B17" s="52"/>
      <c r="C17" s="155" t="s">
        <v>71</v>
      </c>
      <c r="D17" s="155"/>
      <c r="E17" s="155"/>
      <c r="F17" s="155"/>
      <c r="G17" s="155"/>
      <c r="H17" s="54"/>
      <c r="I17" s="173">
        <f>INFORMACIÓN!E7</f>
        <v>0</v>
      </c>
      <c r="J17" s="173"/>
      <c r="K17" s="173"/>
      <c r="L17" s="173"/>
      <c r="M17" s="173"/>
      <c r="N17" s="173"/>
      <c r="O17" s="173"/>
      <c r="P17" s="173"/>
      <c r="Q17" s="173"/>
      <c r="R17" s="173"/>
    </row>
    <row r="18" spans="1:18" x14ac:dyDescent="0.3">
      <c r="B18" s="52"/>
      <c r="C18" s="155" t="s">
        <v>70</v>
      </c>
      <c r="D18" s="155"/>
      <c r="E18" s="155"/>
      <c r="F18" s="155"/>
      <c r="G18" s="155"/>
      <c r="H18" s="54"/>
      <c r="I18" s="173">
        <f>INFORMACIÓN!E8</f>
        <v>0</v>
      </c>
      <c r="J18" s="173"/>
      <c r="K18" s="173"/>
      <c r="L18" s="173"/>
      <c r="M18" s="173"/>
      <c r="N18" s="173"/>
      <c r="O18" s="173"/>
      <c r="P18" s="173"/>
      <c r="Q18" s="173"/>
      <c r="R18" s="173"/>
    </row>
    <row r="19" spans="1:18" x14ac:dyDescent="0.3">
      <c r="B19" s="52"/>
      <c r="C19" s="155" t="s">
        <v>69</v>
      </c>
      <c r="D19" s="155"/>
      <c r="E19" s="155"/>
      <c r="F19" s="155"/>
      <c r="G19" s="155"/>
      <c r="H19" s="54"/>
      <c r="I19" s="173">
        <f>INFORMACIÓN!E9</f>
        <v>0</v>
      </c>
      <c r="J19" s="173"/>
      <c r="K19" s="173"/>
      <c r="L19" s="173"/>
      <c r="M19" s="173"/>
      <c r="N19" s="173"/>
      <c r="O19" s="173"/>
      <c r="P19" s="173"/>
      <c r="Q19" s="173"/>
      <c r="R19" s="173"/>
    </row>
    <row r="20" spans="1:18" ht="16.95" customHeight="1" x14ac:dyDescent="0.3">
      <c r="B20" s="52"/>
      <c r="C20" s="155" t="s">
        <v>68</v>
      </c>
      <c r="D20" s="155"/>
      <c r="E20" s="155"/>
      <c r="F20" s="155"/>
      <c r="G20" s="155"/>
      <c r="H20" s="54"/>
      <c r="I20" s="173">
        <f>INFORMACIÓN!E10</f>
        <v>0</v>
      </c>
      <c r="J20" s="173"/>
      <c r="K20" s="173"/>
      <c r="L20" s="173"/>
      <c r="M20" s="173"/>
      <c r="N20" s="173"/>
      <c r="O20" s="173"/>
      <c r="P20" s="173"/>
      <c r="Q20" s="173"/>
      <c r="R20" s="173"/>
    </row>
    <row r="21" spans="1:18" ht="16.95" customHeight="1" x14ac:dyDescent="0.3">
      <c r="B21" s="52"/>
      <c r="C21" s="155" t="s">
        <v>67</v>
      </c>
      <c r="D21" s="155"/>
      <c r="E21" s="155"/>
      <c r="F21" s="155"/>
      <c r="G21" s="155"/>
      <c r="H21" s="54"/>
      <c r="I21" s="173">
        <f>INFORMACIÓN!E11</f>
        <v>0</v>
      </c>
      <c r="J21" s="173"/>
      <c r="K21" s="173"/>
      <c r="L21" s="173"/>
      <c r="M21" s="173"/>
      <c r="N21" s="173"/>
      <c r="O21" s="173"/>
      <c r="P21" s="173"/>
      <c r="Q21" s="173"/>
      <c r="R21" s="173"/>
    </row>
    <row r="22" spans="1:18" ht="16.95" customHeight="1" x14ac:dyDescent="0.3">
      <c r="A22" s="54"/>
      <c r="B22" s="54"/>
      <c r="C22" s="54"/>
      <c r="D22" s="54"/>
      <c r="E22" s="54"/>
      <c r="F22" s="54"/>
      <c r="G22" s="54"/>
      <c r="H22" s="54"/>
      <c r="I22" s="54"/>
      <c r="J22" s="54"/>
      <c r="K22" s="54"/>
      <c r="L22" s="54"/>
      <c r="M22" s="54"/>
      <c r="N22" s="54"/>
      <c r="O22" s="54"/>
      <c r="P22" s="54"/>
      <c r="Q22" s="54"/>
      <c r="R22" s="54"/>
    </row>
    <row r="23" spans="1:18" ht="16.95" customHeight="1" x14ac:dyDescent="0.3">
      <c r="B23" s="58"/>
      <c r="C23" s="183" t="s">
        <v>212</v>
      </c>
      <c r="D23" s="183"/>
      <c r="E23" s="183"/>
      <c r="F23" s="183"/>
      <c r="G23" s="183"/>
      <c r="H23" s="183"/>
      <c r="I23" s="183"/>
      <c r="J23" s="183"/>
      <c r="K23" s="183"/>
      <c r="L23" s="183"/>
      <c r="M23" s="183"/>
      <c r="N23" s="183"/>
      <c r="O23" s="183"/>
      <c r="P23" s="183"/>
      <c r="Q23" s="183"/>
      <c r="R23" s="183"/>
    </row>
    <row r="24" spans="1:18" ht="16.95" customHeight="1" x14ac:dyDescent="0.3">
      <c r="A24" s="58"/>
      <c r="B24" s="58"/>
      <c r="C24" s="184"/>
      <c r="D24" s="184"/>
      <c r="E24" s="184"/>
      <c r="F24" s="184"/>
      <c r="G24" s="184"/>
      <c r="H24" s="184"/>
      <c r="I24" s="184"/>
      <c r="J24" s="184"/>
      <c r="K24" s="184"/>
      <c r="L24" s="184"/>
      <c r="M24" s="184"/>
      <c r="N24" s="184"/>
      <c r="O24" s="184"/>
      <c r="P24" s="184"/>
      <c r="Q24" s="184"/>
      <c r="R24" s="184"/>
    </row>
    <row r="25" spans="1:18" ht="16.95" customHeight="1" x14ac:dyDescent="0.3">
      <c r="A25" s="58"/>
      <c r="B25" s="58"/>
      <c r="C25" s="184"/>
      <c r="D25" s="184"/>
      <c r="E25" s="184"/>
      <c r="F25" s="184"/>
      <c r="G25" s="184"/>
      <c r="H25" s="184"/>
      <c r="I25" s="184"/>
      <c r="J25" s="184"/>
      <c r="K25" s="184"/>
      <c r="L25" s="184"/>
      <c r="M25" s="184"/>
      <c r="N25" s="184"/>
      <c r="O25" s="184"/>
      <c r="P25" s="184"/>
      <c r="Q25" s="184"/>
      <c r="R25" s="184"/>
    </row>
    <row r="26" spans="1:18" ht="16.95" customHeight="1" x14ac:dyDescent="0.3">
      <c r="A26" s="58"/>
      <c r="B26" s="58"/>
      <c r="C26" s="184"/>
      <c r="D26" s="184"/>
      <c r="E26" s="184"/>
      <c r="F26" s="184"/>
      <c r="G26" s="184"/>
      <c r="H26" s="184"/>
      <c r="I26" s="184"/>
      <c r="J26" s="184"/>
      <c r="K26" s="184"/>
      <c r="L26" s="184"/>
      <c r="M26" s="184"/>
      <c r="N26" s="184"/>
      <c r="O26" s="184"/>
      <c r="P26" s="184"/>
      <c r="Q26" s="184"/>
      <c r="R26" s="184"/>
    </row>
    <row r="27" spans="1:18" ht="23.4" customHeight="1" x14ac:dyDescent="0.3">
      <c r="A27" s="58"/>
      <c r="B27" s="58"/>
      <c r="C27" s="184"/>
      <c r="D27" s="184"/>
      <c r="E27" s="184"/>
      <c r="F27" s="184"/>
      <c r="G27" s="184"/>
      <c r="H27" s="184"/>
      <c r="I27" s="184"/>
      <c r="J27" s="184"/>
      <c r="K27" s="184"/>
      <c r="L27" s="184"/>
      <c r="M27" s="184"/>
      <c r="N27" s="184"/>
      <c r="O27" s="184"/>
      <c r="P27" s="184"/>
      <c r="Q27" s="184"/>
      <c r="R27" s="184"/>
    </row>
    <row r="28" spans="1:18" ht="30.6" customHeight="1" x14ac:dyDescent="0.3">
      <c r="A28" s="58"/>
      <c r="B28" s="58"/>
      <c r="C28" s="185"/>
      <c r="D28" s="185"/>
      <c r="E28" s="185"/>
      <c r="F28" s="185"/>
      <c r="G28" s="185"/>
      <c r="H28" s="185"/>
      <c r="I28" s="185"/>
      <c r="J28" s="185"/>
      <c r="K28" s="185"/>
      <c r="L28" s="185"/>
      <c r="M28" s="185"/>
      <c r="N28" s="185"/>
      <c r="O28" s="185"/>
      <c r="P28" s="185"/>
      <c r="Q28" s="185"/>
      <c r="R28" s="185"/>
    </row>
    <row r="29" spans="1:18" ht="16.95" customHeight="1" x14ac:dyDescent="0.3">
      <c r="A29" s="58"/>
      <c r="B29" s="58"/>
      <c r="C29" s="79"/>
      <c r="D29" s="79"/>
      <c r="E29" s="79"/>
      <c r="F29" s="79"/>
      <c r="G29" s="79"/>
      <c r="H29" s="79"/>
      <c r="I29" s="79"/>
      <c r="J29" s="79"/>
      <c r="K29" s="79"/>
      <c r="L29" s="79"/>
      <c r="M29" s="79"/>
      <c r="N29" s="79"/>
      <c r="O29" s="79"/>
      <c r="P29" s="79"/>
      <c r="Q29" s="79"/>
      <c r="R29" s="79"/>
    </row>
    <row r="30" spans="1:18" ht="11.4" customHeight="1" x14ac:dyDescent="0.3">
      <c r="A30" s="58"/>
      <c r="B30" s="58"/>
      <c r="C30" s="78"/>
      <c r="D30" s="78"/>
      <c r="E30" s="78"/>
      <c r="F30" s="78"/>
      <c r="G30" s="78"/>
      <c r="H30" s="78"/>
      <c r="I30" s="78"/>
      <c r="J30" s="78"/>
      <c r="K30" s="78"/>
      <c r="L30" s="78"/>
      <c r="M30" s="78"/>
      <c r="N30" s="78"/>
      <c r="O30" s="78"/>
      <c r="P30" s="78"/>
      <c r="Q30" s="78"/>
      <c r="R30" s="78"/>
    </row>
    <row r="31" spans="1:18" ht="16.95" customHeight="1" x14ac:dyDescent="0.3">
      <c r="B31" s="54"/>
      <c r="C31" s="52" t="s">
        <v>56</v>
      </c>
      <c r="D31" s="54"/>
      <c r="H31" s="52"/>
      <c r="I31" s="155" t="s">
        <v>157</v>
      </c>
      <c r="J31" s="155"/>
      <c r="K31" s="155"/>
      <c r="L31" s="155"/>
      <c r="M31" s="173" t="str">
        <f>INFORMACIÓN!B15</f>
        <v>ING. GABRIEL DURÁN</v>
      </c>
      <c r="N31" s="173"/>
      <c r="O31" s="173"/>
      <c r="P31" s="173"/>
      <c r="Q31" s="173"/>
      <c r="R31" s="173"/>
    </row>
    <row r="32" spans="1:18" ht="16.95" customHeight="1" x14ac:dyDescent="0.3">
      <c r="F32" s="52"/>
      <c r="G32" s="52"/>
      <c r="H32" s="52"/>
      <c r="I32" s="155" t="s">
        <v>66</v>
      </c>
      <c r="J32" s="155"/>
      <c r="K32" s="155"/>
      <c r="L32" s="155"/>
      <c r="M32" s="172">
        <f>INFORMACIÓN!B10</f>
        <v>0</v>
      </c>
      <c r="N32" s="172"/>
      <c r="O32" s="172"/>
      <c r="P32" s="74"/>
      <c r="Q32" s="74"/>
      <c r="R32" s="52"/>
    </row>
    <row r="33" spans="1:19" ht="16.95" customHeight="1" x14ac:dyDescent="0.3">
      <c r="I33" s="155" t="s">
        <v>65</v>
      </c>
      <c r="J33" s="155"/>
      <c r="K33" s="155"/>
      <c r="L33" s="155"/>
      <c r="M33" s="77">
        <v>13</v>
      </c>
      <c r="N33" s="54"/>
      <c r="O33" s="54"/>
      <c r="P33" s="54"/>
      <c r="Q33" s="54"/>
      <c r="R33" s="74"/>
    </row>
    <row r="34" spans="1:19" ht="16.95" customHeight="1" x14ac:dyDescent="0.3"/>
    <row r="35" spans="1:19" ht="16.95" customHeight="1" x14ac:dyDescent="0.3">
      <c r="C35" s="76"/>
      <c r="D35" s="76"/>
      <c r="E35" s="76"/>
      <c r="F35" s="76"/>
      <c r="G35" s="76"/>
    </row>
    <row r="36" spans="1:19" x14ac:dyDescent="0.3">
      <c r="B36" s="56"/>
      <c r="C36" s="75" t="s">
        <v>64</v>
      </c>
      <c r="D36" s="56"/>
      <c r="E36" s="56"/>
      <c r="F36" s="56"/>
      <c r="H36" s="52"/>
      <c r="J36" s="52"/>
      <c r="K36" s="52"/>
      <c r="L36" s="52"/>
      <c r="N36" s="74"/>
      <c r="O36" s="74"/>
    </row>
    <row r="37" spans="1:19" ht="13.2" customHeight="1" x14ac:dyDescent="0.3">
      <c r="B37" s="56"/>
      <c r="C37" s="58" t="s">
        <v>63</v>
      </c>
      <c r="D37" s="58"/>
      <c r="E37" s="58"/>
      <c r="F37" s="58"/>
      <c r="G37" s="58"/>
      <c r="J37" s="52"/>
      <c r="K37" s="52"/>
      <c r="L37" s="52"/>
      <c r="N37" s="73"/>
      <c r="O37" s="72"/>
      <c r="P37" s="72"/>
      <c r="Q37" s="72"/>
    </row>
    <row r="38" spans="1:19" ht="16.95" customHeight="1" x14ac:dyDescent="0.3">
      <c r="B38" s="71"/>
      <c r="C38" s="71"/>
      <c r="D38" s="71"/>
      <c r="E38" s="71"/>
      <c r="G38" s="54"/>
      <c r="H38" s="54"/>
      <c r="I38" s="54"/>
      <c r="J38" s="52"/>
      <c r="K38" s="52"/>
      <c r="L38" s="52"/>
      <c r="M38" s="52"/>
      <c r="N38" s="54"/>
      <c r="O38" s="155" t="str">
        <f>O1</f>
        <v>CERTIFICADO N°:</v>
      </c>
      <c r="P38" s="155"/>
      <c r="Q38" s="155"/>
      <c r="R38" s="154">
        <f>R1</f>
        <v>0</v>
      </c>
      <c r="S38" s="154"/>
    </row>
    <row r="39" spans="1:19" ht="16.95" customHeight="1" x14ac:dyDescent="0.3"/>
    <row r="40" spans="1:19" ht="16.95" customHeight="1" x14ac:dyDescent="0.3">
      <c r="B40" s="156" t="s">
        <v>97</v>
      </c>
      <c r="C40" s="156"/>
      <c r="D40" s="156"/>
      <c r="E40" s="156"/>
      <c r="F40" s="156"/>
      <c r="G40" s="156"/>
      <c r="H40" s="156"/>
      <c r="I40" s="156"/>
      <c r="J40" s="156"/>
      <c r="K40" s="156"/>
      <c r="L40" s="156"/>
      <c r="M40" s="156"/>
      <c r="N40" s="156"/>
      <c r="O40" s="156"/>
      <c r="P40" s="156"/>
      <c r="Q40" s="156"/>
      <c r="R40" s="156"/>
      <c r="S40" s="156"/>
    </row>
    <row r="41" spans="1:19" ht="16.95" customHeight="1" x14ac:dyDescent="0.3">
      <c r="B41" s="171" t="s">
        <v>213</v>
      </c>
      <c r="C41" s="171"/>
      <c r="D41" s="171"/>
      <c r="E41" s="171"/>
      <c r="F41" s="171"/>
      <c r="G41" s="171"/>
      <c r="H41" s="171"/>
      <c r="I41" s="171"/>
      <c r="J41" s="171"/>
      <c r="K41" s="171"/>
      <c r="L41" s="171"/>
      <c r="M41" s="171"/>
      <c r="N41" s="171"/>
      <c r="O41" s="171"/>
      <c r="P41" s="171"/>
      <c r="Q41" s="171"/>
      <c r="R41" s="171"/>
      <c r="S41" s="171"/>
    </row>
    <row r="42" spans="1:19" ht="16.95" customHeight="1" x14ac:dyDescent="0.3">
      <c r="A42" s="59"/>
      <c r="B42" s="148"/>
      <c r="C42" s="148"/>
      <c r="D42" s="148"/>
      <c r="E42" s="148"/>
      <c r="F42" s="148"/>
      <c r="G42" s="148"/>
      <c r="H42" s="148"/>
      <c r="I42" s="148"/>
      <c r="J42" s="148"/>
      <c r="K42" s="148"/>
      <c r="L42" s="148"/>
      <c r="M42" s="148"/>
      <c r="N42" s="148"/>
      <c r="O42" s="148"/>
      <c r="P42" s="148"/>
      <c r="Q42" s="148"/>
      <c r="R42" s="148"/>
      <c r="S42" s="148"/>
    </row>
    <row r="43" spans="1:19" ht="16.95" customHeight="1" x14ac:dyDescent="0.3">
      <c r="A43" s="59"/>
      <c r="B43" s="148"/>
      <c r="C43" s="148"/>
      <c r="D43" s="148"/>
      <c r="E43" s="148"/>
      <c r="F43" s="148"/>
      <c r="G43" s="148"/>
      <c r="H43" s="148"/>
      <c r="I43" s="148"/>
      <c r="J43" s="148"/>
      <c r="K43" s="148"/>
      <c r="L43" s="148"/>
      <c r="M43" s="148"/>
      <c r="N43" s="148"/>
      <c r="O43" s="148"/>
      <c r="P43" s="148"/>
      <c r="Q43" s="148"/>
      <c r="R43" s="148"/>
      <c r="S43" s="148"/>
    </row>
    <row r="44" spans="1:19" ht="9" customHeight="1" x14ac:dyDescent="0.3">
      <c r="C44" s="59"/>
      <c r="D44" s="59"/>
      <c r="E44" s="59"/>
      <c r="F44" s="59"/>
      <c r="G44" s="59"/>
      <c r="H44" s="59"/>
      <c r="I44" s="59"/>
      <c r="J44" s="59"/>
      <c r="K44" s="59"/>
      <c r="L44" s="59"/>
      <c r="M44" s="59"/>
      <c r="N44" s="59"/>
      <c r="O44" s="59"/>
      <c r="P44" s="59"/>
      <c r="Q44" s="59"/>
      <c r="R44" s="59"/>
    </row>
    <row r="45" spans="1:19" ht="16.95" customHeight="1" x14ac:dyDescent="0.3">
      <c r="E45" s="70"/>
      <c r="F45" s="157" t="s">
        <v>62</v>
      </c>
      <c r="G45" s="158"/>
      <c r="H45" s="158"/>
      <c r="I45" s="158"/>
      <c r="J45" s="159"/>
      <c r="K45" s="166" t="s">
        <v>61</v>
      </c>
      <c r="L45" s="167"/>
      <c r="M45" s="167"/>
      <c r="N45" s="167"/>
      <c r="O45" s="168"/>
    </row>
    <row r="46" spans="1:19" ht="16.95" customHeight="1" x14ac:dyDescent="0.3">
      <c r="E46" s="70"/>
      <c r="F46" s="161">
        <f>AVERAGE(INFORMACIÓN!B11:B12)</f>
        <v>24.3</v>
      </c>
      <c r="G46" s="162"/>
      <c r="H46" s="67" t="s">
        <v>21</v>
      </c>
      <c r="I46" s="69">
        <f>ABS(INFORMACIÓN!B11-INFORMACIÓN!B12)</f>
        <v>0.39999999999999858</v>
      </c>
      <c r="J46" s="68"/>
      <c r="K46" s="163">
        <f>AVERAGE(INFORMACIÓN!B13:B14)</f>
        <v>61.5</v>
      </c>
      <c r="L46" s="164"/>
      <c r="M46" s="67" t="s">
        <v>21</v>
      </c>
      <c r="N46" s="66">
        <f>ABS(INFORMACIÓN!B13-INFORMACIÓN!B14)</f>
        <v>3</v>
      </c>
      <c r="O46" s="65"/>
    </row>
    <row r="47" spans="1:19" ht="11.4" customHeight="1" x14ac:dyDescent="0.3">
      <c r="E47" s="54"/>
      <c r="F47" s="64"/>
      <c r="G47" s="61"/>
      <c r="H47" s="57"/>
      <c r="I47" s="63"/>
      <c r="K47" s="62"/>
      <c r="L47" s="61"/>
      <c r="M47" s="60"/>
    </row>
    <row r="48" spans="1:19" ht="16.95" customHeight="1" x14ac:dyDescent="0.3">
      <c r="B48" s="56"/>
      <c r="D48" s="56"/>
      <c r="F48" s="160" t="s">
        <v>207</v>
      </c>
      <c r="G48" s="160"/>
      <c r="H48" s="160"/>
      <c r="I48" s="160"/>
      <c r="J48" s="160"/>
      <c r="K48" s="165" t="s">
        <v>208</v>
      </c>
      <c r="L48" s="165"/>
      <c r="M48" s="165"/>
      <c r="N48" s="165"/>
      <c r="O48" s="165"/>
      <c r="P48" s="165"/>
    </row>
    <row r="49" spans="1:19" ht="13.2" customHeight="1" x14ac:dyDescent="0.3"/>
    <row r="50" spans="1:19" ht="16.95" customHeight="1" x14ac:dyDescent="0.3">
      <c r="B50" s="147" t="s">
        <v>95</v>
      </c>
      <c r="C50" s="147"/>
      <c r="D50" s="147"/>
      <c r="E50" s="147"/>
      <c r="F50" s="147"/>
      <c r="G50" s="147"/>
      <c r="H50" s="147"/>
      <c r="I50" s="147"/>
      <c r="J50" s="147"/>
      <c r="K50" s="147"/>
      <c r="L50" s="147"/>
      <c r="M50" s="147"/>
      <c r="N50" s="147"/>
      <c r="O50" s="147"/>
      <c r="P50" s="147"/>
      <c r="Q50" s="147"/>
      <c r="R50" s="147"/>
      <c r="S50" s="147"/>
    </row>
    <row r="51" spans="1:19" ht="16.95" customHeight="1" x14ac:dyDescent="0.3">
      <c r="B51" s="171" t="s">
        <v>214</v>
      </c>
      <c r="C51" s="171"/>
      <c r="D51" s="171"/>
      <c r="E51" s="171"/>
      <c r="F51" s="171"/>
      <c r="G51" s="171"/>
      <c r="H51" s="171"/>
      <c r="I51" s="171"/>
      <c r="J51" s="171"/>
      <c r="K51" s="171"/>
      <c r="L51" s="171"/>
      <c r="M51" s="171"/>
      <c r="N51" s="171"/>
      <c r="O51" s="171"/>
      <c r="P51" s="171"/>
      <c r="Q51" s="171"/>
      <c r="R51" s="171"/>
      <c r="S51" s="171"/>
    </row>
    <row r="52" spans="1:19" ht="16.95" customHeight="1" x14ac:dyDescent="0.3">
      <c r="A52" s="59"/>
      <c r="B52" s="148"/>
      <c r="C52" s="148"/>
      <c r="D52" s="148"/>
      <c r="E52" s="148"/>
      <c r="F52" s="148"/>
      <c r="G52" s="148"/>
      <c r="H52" s="148"/>
      <c r="I52" s="148"/>
      <c r="J52" s="148"/>
      <c r="K52" s="148"/>
      <c r="L52" s="148"/>
      <c r="M52" s="148"/>
      <c r="N52" s="148"/>
      <c r="O52" s="148"/>
      <c r="P52" s="148"/>
      <c r="Q52" s="148"/>
      <c r="R52" s="148"/>
      <c r="S52" s="148"/>
    </row>
    <row r="53" spans="1:19" ht="16.95" customHeight="1" x14ac:dyDescent="0.3">
      <c r="A53" s="59"/>
      <c r="B53" s="148"/>
      <c r="C53" s="148"/>
      <c r="D53" s="148"/>
      <c r="E53" s="148"/>
      <c r="F53" s="148"/>
      <c r="G53" s="148"/>
      <c r="H53" s="148"/>
      <c r="I53" s="148"/>
      <c r="J53" s="148"/>
      <c r="K53" s="148"/>
      <c r="L53" s="148"/>
      <c r="M53" s="148"/>
      <c r="N53" s="148"/>
      <c r="O53" s="148"/>
      <c r="P53" s="148"/>
      <c r="Q53" s="148"/>
      <c r="R53" s="148"/>
      <c r="S53" s="148"/>
    </row>
    <row r="54" spans="1:19" ht="16.95" customHeight="1" x14ac:dyDescent="0.3">
      <c r="A54" s="59"/>
      <c r="B54" s="148"/>
      <c r="C54" s="148"/>
      <c r="D54" s="148"/>
      <c r="E54" s="148"/>
      <c r="F54" s="148"/>
      <c r="G54" s="148"/>
      <c r="H54" s="148"/>
      <c r="I54" s="148"/>
      <c r="J54" s="148"/>
      <c r="K54" s="148"/>
      <c r="L54" s="148"/>
      <c r="M54" s="148"/>
      <c r="N54" s="148"/>
      <c r="O54" s="148"/>
      <c r="P54" s="148"/>
      <c r="Q54" s="148"/>
      <c r="R54" s="148"/>
      <c r="S54" s="148"/>
    </row>
    <row r="55" spans="1:19" ht="16.95" customHeight="1" x14ac:dyDescent="0.3">
      <c r="A55" s="59"/>
      <c r="B55" s="148"/>
      <c r="C55" s="148"/>
      <c r="D55" s="148"/>
      <c r="E55" s="148"/>
      <c r="F55" s="148"/>
      <c r="G55" s="148"/>
      <c r="H55" s="148"/>
      <c r="I55" s="148"/>
      <c r="J55" s="148"/>
      <c r="K55" s="148"/>
      <c r="L55" s="148"/>
      <c r="M55" s="148"/>
      <c r="N55" s="148"/>
      <c r="O55" s="148"/>
      <c r="P55" s="148"/>
      <c r="Q55" s="148"/>
      <c r="R55" s="148"/>
      <c r="S55" s="148"/>
    </row>
    <row r="56" spans="1:19" ht="16.95" customHeight="1" x14ac:dyDescent="0.3">
      <c r="A56" s="59"/>
      <c r="B56" s="148"/>
      <c r="C56" s="148"/>
      <c r="D56" s="148"/>
      <c r="E56" s="148"/>
      <c r="F56" s="148"/>
      <c r="G56" s="148"/>
      <c r="H56" s="148"/>
      <c r="I56" s="148"/>
      <c r="J56" s="148"/>
      <c r="K56" s="148"/>
      <c r="L56" s="148"/>
      <c r="M56" s="148"/>
      <c r="N56" s="148"/>
      <c r="O56" s="148"/>
      <c r="P56" s="148"/>
      <c r="Q56" s="148"/>
      <c r="R56" s="148"/>
      <c r="S56" s="148"/>
    </row>
    <row r="57" spans="1:19" ht="16.95" customHeight="1" x14ac:dyDescent="0.3">
      <c r="A57" s="59"/>
      <c r="B57" s="148"/>
      <c r="C57" s="148"/>
      <c r="D57" s="148"/>
      <c r="E57" s="148"/>
      <c r="F57" s="148"/>
      <c r="G57" s="148"/>
      <c r="H57" s="148"/>
      <c r="I57" s="148"/>
      <c r="J57" s="148"/>
      <c r="K57" s="148"/>
      <c r="L57" s="148"/>
      <c r="M57" s="148"/>
      <c r="N57" s="148"/>
      <c r="O57" s="148"/>
      <c r="P57" s="148"/>
      <c r="Q57" s="148"/>
      <c r="R57" s="148"/>
      <c r="S57" s="148"/>
    </row>
    <row r="58" spans="1:19" ht="16.95" customHeight="1" x14ac:dyDescent="0.3">
      <c r="A58" s="59"/>
      <c r="B58" s="148"/>
      <c r="C58" s="148"/>
      <c r="D58" s="148"/>
      <c r="E58" s="148"/>
      <c r="F58" s="148"/>
      <c r="G58" s="148"/>
      <c r="H58" s="148"/>
      <c r="I58" s="148"/>
      <c r="J58" s="148"/>
      <c r="K58" s="148"/>
      <c r="L58" s="148"/>
      <c r="M58" s="148"/>
      <c r="N58" s="148"/>
      <c r="O58" s="148"/>
      <c r="P58" s="148"/>
      <c r="Q58" s="148"/>
      <c r="R58" s="148"/>
      <c r="S58" s="148"/>
    </row>
    <row r="59" spans="1:19" ht="16.95" customHeight="1" x14ac:dyDescent="0.3">
      <c r="B59" s="59"/>
      <c r="C59" s="59"/>
      <c r="D59" s="59"/>
      <c r="E59" s="59"/>
      <c r="F59" s="59"/>
      <c r="G59" s="59"/>
      <c r="H59" s="59"/>
      <c r="I59" s="59"/>
      <c r="J59" s="59"/>
      <c r="K59" s="59"/>
      <c r="L59" s="59"/>
      <c r="M59" s="59"/>
      <c r="N59" s="59"/>
      <c r="O59" s="59"/>
      <c r="P59" s="59"/>
      <c r="Q59" s="59"/>
      <c r="R59" s="59"/>
      <c r="S59" s="59"/>
    </row>
    <row r="60" spans="1:19" ht="16.95" customHeight="1" x14ac:dyDescent="0.3">
      <c r="B60" s="156" t="s">
        <v>96</v>
      </c>
      <c r="C60" s="156"/>
      <c r="D60" s="156"/>
      <c r="E60" s="156"/>
      <c r="F60" s="156"/>
      <c r="G60" s="156"/>
      <c r="H60" s="156"/>
      <c r="I60" s="156"/>
      <c r="J60" s="156"/>
      <c r="K60" s="156"/>
      <c r="L60" s="156"/>
      <c r="M60" s="156"/>
      <c r="N60" s="156"/>
      <c r="O60" s="156"/>
      <c r="P60" s="156"/>
      <c r="Q60" s="156"/>
      <c r="R60" s="156"/>
      <c r="S60" s="156"/>
    </row>
    <row r="61" spans="1:19" ht="16.95" customHeight="1" x14ac:dyDescent="0.3">
      <c r="B61" s="171" t="s">
        <v>215</v>
      </c>
      <c r="C61" s="171"/>
      <c r="D61" s="171"/>
      <c r="E61" s="171"/>
      <c r="F61" s="171"/>
      <c r="G61" s="171"/>
      <c r="H61" s="171"/>
      <c r="I61" s="171"/>
      <c r="J61" s="171"/>
      <c r="K61" s="171"/>
      <c r="L61" s="171"/>
      <c r="M61" s="171"/>
      <c r="N61" s="171"/>
      <c r="O61" s="171"/>
      <c r="P61" s="171"/>
      <c r="Q61" s="171"/>
      <c r="R61" s="171"/>
      <c r="S61" s="171"/>
    </row>
    <row r="62" spans="1:19" ht="16.95" customHeight="1" x14ac:dyDescent="0.3">
      <c r="A62" s="59"/>
      <c r="B62" s="148"/>
      <c r="C62" s="148"/>
      <c r="D62" s="148"/>
      <c r="E62" s="148"/>
      <c r="F62" s="148"/>
      <c r="G62" s="148"/>
      <c r="H62" s="148"/>
      <c r="I62" s="148"/>
      <c r="J62" s="148"/>
      <c r="K62" s="148"/>
      <c r="L62" s="148"/>
      <c r="M62" s="148"/>
      <c r="N62" s="148"/>
      <c r="O62" s="148"/>
      <c r="P62" s="148"/>
      <c r="Q62" s="148"/>
      <c r="R62" s="148"/>
      <c r="S62" s="148"/>
    </row>
    <row r="63" spans="1:19" ht="13.8" customHeight="1" x14ac:dyDescent="0.3"/>
    <row r="64" spans="1:19" ht="15" customHeight="1" x14ac:dyDescent="0.3">
      <c r="B64" s="156" t="s">
        <v>100</v>
      </c>
      <c r="C64" s="156"/>
      <c r="D64" s="156"/>
      <c r="E64" s="156"/>
      <c r="F64" s="156"/>
      <c r="G64" s="156"/>
      <c r="H64" s="156"/>
      <c r="I64" s="156"/>
      <c r="J64" s="156"/>
      <c r="K64" s="156"/>
      <c r="L64" s="156"/>
      <c r="M64" s="156"/>
      <c r="N64" s="156"/>
      <c r="O64" s="156"/>
      <c r="P64" s="156"/>
      <c r="Q64" s="156"/>
      <c r="R64" s="156"/>
      <c r="S64" s="156"/>
    </row>
    <row r="65" spans="1:19" ht="19.2" customHeight="1" x14ac:dyDescent="0.3">
      <c r="B65" s="171" t="s">
        <v>216</v>
      </c>
      <c r="C65" s="171"/>
      <c r="D65" s="171"/>
      <c r="E65" s="171"/>
      <c r="F65" s="171"/>
      <c r="G65" s="171"/>
      <c r="H65" s="171"/>
      <c r="I65" s="171"/>
      <c r="J65" s="171"/>
      <c r="K65" s="171"/>
      <c r="L65" s="171"/>
      <c r="M65" s="171"/>
      <c r="N65" s="171"/>
      <c r="O65" s="171"/>
      <c r="P65" s="171"/>
      <c r="Q65" s="171"/>
      <c r="R65" s="171"/>
      <c r="S65" s="171"/>
    </row>
    <row r="66" spans="1:19" ht="16.95" customHeight="1" x14ac:dyDescent="0.3">
      <c r="A66" s="59"/>
      <c r="B66" s="148"/>
      <c r="C66" s="148"/>
      <c r="D66" s="148"/>
      <c r="E66" s="148"/>
      <c r="F66" s="148"/>
      <c r="G66" s="148"/>
      <c r="H66" s="148"/>
      <c r="I66" s="148"/>
      <c r="J66" s="148"/>
      <c r="K66" s="148"/>
      <c r="L66" s="148"/>
      <c r="M66" s="148"/>
      <c r="N66" s="148"/>
      <c r="O66" s="148"/>
      <c r="P66" s="148"/>
      <c r="Q66" s="148"/>
      <c r="R66" s="148"/>
      <c r="S66" s="148"/>
    </row>
    <row r="67" spans="1:19" ht="16.95" customHeight="1" x14ac:dyDescent="0.3">
      <c r="A67" s="59"/>
      <c r="B67" s="148"/>
      <c r="C67" s="148"/>
      <c r="D67" s="148"/>
      <c r="E67" s="148"/>
      <c r="F67" s="148"/>
      <c r="G67" s="148"/>
      <c r="H67" s="148"/>
      <c r="I67" s="148"/>
      <c r="J67" s="148"/>
      <c r="K67" s="148"/>
      <c r="L67" s="148"/>
      <c r="M67" s="148"/>
      <c r="N67" s="148"/>
      <c r="O67" s="148"/>
      <c r="P67" s="148"/>
      <c r="Q67" s="148"/>
      <c r="R67" s="148"/>
      <c r="S67" s="148"/>
    </row>
    <row r="68" spans="1:19" ht="16.95" customHeight="1" x14ac:dyDescent="0.3">
      <c r="A68" s="59"/>
      <c r="B68" s="148"/>
      <c r="C68" s="148"/>
      <c r="D68" s="148"/>
      <c r="E68" s="148"/>
      <c r="F68" s="148"/>
      <c r="G68" s="148"/>
      <c r="H68" s="148"/>
      <c r="I68" s="148"/>
      <c r="J68" s="148"/>
      <c r="K68" s="148"/>
      <c r="L68" s="148"/>
      <c r="M68" s="148"/>
      <c r="N68" s="148"/>
      <c r="O68" s="148"/>
      <c r="P68" s="148"/>
      <c r="Q68" s="148"/>
      <c r="R68" s="148"/>
      <c r="S68" s="148"/>
    </row>
    <row r="69" spans="1:19" ht="16.95" customHeight="1" x14ac:dyDescent="0.3"/>
    <row r="70" spans="1:19" ht="16.95" customHeight="1" x14ac:dyDescent="0.3">
      <c r="B70" s="150" t="s">
        <v>60</v>
      </c>
      <c r="C70" s="150"/>
      <c r="D70" s="150"/>
      <c r="E70" s="150"/>
      <c r="F70" s="150"/>
      <c r="G70" s="150"/>
      <c r="H70" s="150" t="s">
        <v>59</v>
      </c>
      <c r="I70" s="150"/>
      <c r="J70" s="150"/>
      <c r="K70" s="150"/>
      <c r="L70" s="150"/>
      <c r="M70" s="150" t="s">
        <v>189</v>
      </c>
      <c r="N70" s="150"/>
      <c r="O70" s="150"/>
      <c r="P70" s="150" t="s">
        <v>58</v>
      </c>
      <c r="Q70" s="150"/>
      <c r="R70" s="150"/>
      <c r="S70" s="150"/>
    </row>
    <row r="71" spans="1:19" ht="21.6" customHeight="1" x14ac:dyDescent="0.3">
      <c r="B71" s="151" t="s">
        <v>182</v>
      </c>
      <c r="C71" s="151"/>
      <c r="D71" s="151"/>
      <c r="E71" s="151"/>
      <c r="F71" s="151"/>
      <c r="G71" s="151"/>
      <c r="H71" s="151" t="s">
        <v>183</v>
      </c>
      <c r="I71" s="151"/>
      <c r="J71" s="151"/>
      <c r="K71" s="151"/>
      <c r="L71" s="151"/>
      <c r="M71" s="152">
        <v>45789</v>
      </c>
      <c r="N71" s="152"/>
      <c r="O71" s="152"/>
      <c r="P71" s="149" t="s">
        <v>184</v>
      </c>
      <c r="Q71" s="149"/>
      <c r="R71" s="149"/>
      <c r="S71" s="149"/>
    </row>
    <row r="72" spans="1:19" ht="16.95" customHeight="1" x14ac:dyDescent="0.3">
      <c r="B72" s="151" t="s">
        <v>185</v>
      </c>
      <c r="C72" s="151"/>
      <c r="D72" s="151"/>
      <c r="E72" s="151"/>
      <c r="F72" s="151"/>
      <c r="G72" s="151"/>
      <c r="H72" s="151" t="s">
        <v>186</v>
      </c>
      <c r="I72" s="151"/>
      <c r="J72" s="151"/>
      <c r="K72" s="151"/>
      <c r="L72" s="151"/>
      <c r="M72" s="152">
        <v>45860</v>
      </c>
      <c r="N72" s="152"/>
      <c r="O72" s="152"/>
      <c r="P72" s="151" t="s">
        <v>187</v>
      </c>
      <c r="Q72" s="151"/>
      <c r="R72" s="151"/>
      <c r="S72" s="151"/>
    </row>
    <row r="73" spans="1:19" ht="16.95" customHeight="1" x14ac:dyDescent="0.3">
      <c r="B73" s="227"/>
      <c r="C73" s="227"/>
      <c r="D73" s="227"/>
      <c r="E73" s="227"/>
      <c r="F73" s="227"/>
      <c r="G73" s="227"/>
      <c r="H73" s="227"/>
      <c r="I73" s="227"/>
      <c r="J73" s="227"/>
      <c r="K73" s="227"/>
      <c r="L73" s="227"/>
      <c r="M73" s="228"/>
      <c r="N73" s="228"/>
      <c r="O73" s="228"/>
      <c r="P73" s="227"/>
      <c r="Q73" s="227"/>
      <c r="R73" s="227"/>
      <c r="S73" s="227"/>
    </row>
    <row r="74" spans="1:19" ht="16.95" customHeight="1" x14ac:dyDescent="0.3"/>
    <row r="75" spans="1:19" ht="16.95" customHeight="1" x14ac:dyDescent="0.3">
      <c r="O75" s="155" t="str">
        <f>O1</f>
        <v>CERTIFICADO N°:</v>
      </c>
      <c r="P75" s="155"/>
      <c r="Q75" s="155"/>
      <c r="R75" s="154">
        <f>R1</f>
        <v>0</v>
      </c>
      <c r="S75" s="154"/>
    </row>
    <row r="76" spans="1:19" ht="16.95" customHeight="1" x14ac:dyDescent="0.3"/>
    <row r="77" spans="1:19" ht="16.95" customHeight="1" x14ac:dyDescent="0.3">
      <c r="B77" s="133" t="s">
        <v>101</v>
      </c>
      <c r="C77" s="133"/>
      <c r="D77" s="133"/>
      <c r="E77" s="133"/>
      <c r="F77" s="133"/>
      <c r="G77" s="133"/>
      <c r="H77" s="133"/>
      <c r="I77" s="133"/>
      <c r="J77" s="133"/>
      <c r="K77" s="133"/>
      <c r="L77" s="133"/>
      <c r="M77" s="133"/>
      <c r="N77" s="133"/>
      <c r="O77" s="133"/>
      <c r="P77" s="133"/>
      <c r="Q77" s="133"/>
      <c r="R77" s="133"/>
      <c r="S77" s="133"/>
    </row>
    <row r="79" spans="1:19" ht="16.95" customHeight="1" x14ac:dyDescent="0.3">
      <c r="B79" s="153" t="s">
        <v>217</v>
      </c>
      <c r="C79" s="153"/>
      <c r="D79" s="153"/>
      <c r="E79" s="153"/>
      <c r="F79" s="153"/>
      <c r="G79" s="153"/>
      <c r="H79" s="153"/>
      <c r="I79" s="153"/>
      <c r="J79" s="153"/>
      <c r="K79" s="153"/>
      <c r="L79" s="153"/>
      <c r="M79" s="153"/>
      <c r="N79" s="153"/>
      <c r="O79" s="153"/>
      <c r="P79" s="153"/>
      <c r="Q79" s="153"/>
      <c r="R79" s="153"/>
      <c r="S79" s="153"/>
    </row>
    <row r="80" spans="1:19" ht="16.95" customHeight="1" x14ac:dyDescent="0.3">
      <c r="B80" s="153"/>
      <c r="C80" s="153"/>
      <c r="D80" s="153"/>
      <c r="E80" s="153"/>
      <c r="F80" s="153"/>
      <c r="G80" s="153"/>
      <c r="H80" s="153"/>
      <c r="I80" s="153"/>
      <c r="J80" s="153"/>
      <c r="K80" s="153"/>
      <c r="L80" s="153"/>
      <c r="M80" s="153"/>
      <c r="N80" s="153"/>
      <c r="O80" s="153"/>
      <c r="P80" s="153"/>
      <c r="Q80" s="153"/>
      <c r="R80" s="153"/>
      <c r="S80" s="153"/>
    </row>
    <row r="82" spans="2:19" ht="16.95" customHeight="1" x14ac:dyDescent="0.3">
      <c r="B82" s="133" t="s">
        <v>102</v>
      </c>
      <c r="C82" s="133"/>
      <c r="D82" s="133"/>
      <c r="E82" s="133"/>
      <c r="F82" s="133"/>
      <c r="G82" s="133"/>
      <c r="H82" s="133"/>
      <c r="I82" s="133"/>
      <c r="J82" s="133"/>
      <c r="K82" s="133"/>
      <c r="L82" s="133"/>
      <c r="M82" s="133"/>
      <c r="N82" s="133"/>
      <c r="O82" s="133"/>
      <c r="P82" s="133"/>
      <c r="Q82" s="133"/>
      <c r="R82" s="133"/>
      <c r="S82" s="133"/>
    </row>
    <row r="84" spans="2:19" x14ac:dyDescent="0.3">
      <c r="B84" s="153" t="s">
        <v>218</v>
      </c>
      <c r="C84" s="153"/>
      <c r="D84" s="153"/>
      <c r="E84" s="153"/>
      <c r="F84" s="153"/>
      <c r="G84" s="153"/>
      <c r="H84" s="153"/>
      <c r="I84" s="153"/>
      <c r="J84" s="153"/>
      <c r="K84" s="153"/>
      <c r="L84" s="153"/>
      <c r="M84" s="153"/>
      <c r="N84" s="153"/>
      <c r="O84" s="153"/>
      <c r="P84" s="153"/>
      <c r="Q84" s="153"/>
      <c r="R84" s="153"/>
      <c r="S84" s="153"/>
    </row>
    <row r="85" spans="2:19" ht="16.95" customHeight="1" x14ac:dyDescent="0.3">
      <c r="B85" s="153"/>
      <c r="C85" s="153"/>
      <c r="D85" s="153"/>
      <c r="E85" s="153"/>
      <c r="F85" s="153"/>
      <c r="G85" s="153"/>
      <c r="H85" s="153"/>
      <c r="I85" s="153"/>
      <c r="J85" s="153"/>
      <c r="K85" s="153"/>
      <c r="L85" s="153"/>
      <c r="M85" s="153"/>
      <c r="N85" s="153"/>
      <c r="O85" s="153"/>
      <c r="P85" s="153"/>
      <c r="Q85" s="153"/>
      <c r="R85" s="153"/>
      <c r="S85" s="153"/>
    </row>
    <row r="86" spans="2:19" ht="16.95" customHeight="1" x14ac:dyDescent="0.3">
      <c r="B86" s="90"/>
      <c r="C86" s="89"/>
      <c r="D86" s="89"/>
      <c r="E86" s="89"/>
      <c r="F86" s="89"/>
    </row>
    <row r="87" spans="2:19" ht="16.95" customHeight="1" x14ac:dyDescent="0.3">
      <c r="B87" s="133" t="s">
        <v>103</v>
      </c>
      <c r="C87" s="133"/>
      <c r="D87" s="133"/>
      <c r="E87" s="133"/>
      <c r="F87" s="133"/>
      <c r="G87" s="133"/>
      <c r="H87" s="133"/>
      <c r="I87" s="133"/>
      <c r="J87" s="133"/>
      <c r="K87" s="133"/>
      <c r="L87" s="133"/>
      <c r="M87" s="133"/>
      <c r="N87" s="133"/>
      <c r="O87" s="133"/>
      <c r="P87" s="133"/>
      <c r="Q87" s="133"/>
      <c r="R87" s="133"/>
      <c r="S87" s="133"/>
    </row>
    <row r="88" spans="2:19" ht="16.95" customHeight="1" x14ac:dyDescent="0.3"/>
    <row r="89" spans="2:19" ht="16.95" customHeight="1" x14ac:dyDescent="0.3">
      <c r="B89" s="54" t="s">
        <v>219</v>
      </c>
      <c r="C89" s="91"/>
      <c r="D89" s="91"/>
      <c r="E89" s="91"/>
      <c r="F89" s="91"/>
    </row>
    <row r="90" spans="2:19" ht="16.95" customHeight="1" x14ac:dyDescent="0.3">
      <c r="B90" s="54" t="s">
        <v>220</v>
      </c>
      <c r="C90" s="91"/>
      <c r="D90" s="91"/>
      <c r="E90" s="91"/>
      <c r="F90" s="91"/>
    </row>
    <row r="91" spans="2:19" ht="16.95" customHeight="1" x14ac:dyDescent="0.3">
      <c r="B91" s="54" t="s">
        <v>221</v>
      </c>
      <c r="C91" s="91"/>
      <c r="D91" s="91"/>
      <c r="E91" s="91"/>
      <c r="F91" s="91"/>
    </row>
    <row r="92" spans="2:19" ht="16.95" customHeight="1" x14ac:dyDescent="0.3">
      <c r="B92" s="54" t="s">
        <v>222</v>
      </c>
      <c r="C92" s="91"/>
      <c r="D92" s="91"/>
      <c r="E92" s="91"/>
      <c r="F92" s="91"/>
    </row>
    <row r="93" spans="2:19" x14ac:dyDescent="0.3">
      <c r="B93" s="54" t="s">
        <v>223</v>
      </c>
      <c r="C93" s="91"/>
      <c r="D93" s="91"/>
      <c r="E93" s="91"/>
      <c r="F93" s="91"/>
    </row>
    <row r="94" spans="2:19" ht="16.649999999999999" customHeight="1" x14ac:dyDescent="0.3"/>
    <row r="95" spans="2:19" ht="16.649999999999999" customHeight="1" x14ac:dyDescent="0.3">
      <c r="B95" s="133" t="s">
        <v>104</v>
      </c>
      <c r="C95" s="133"/>
      <c r="D95" s="133"/>
      <c r="E95" s="133"/>
      <c r="F95" s="133"/>
      <c r="G95" s="133"/>
      <c r="H95" s="133"/>
      <c r="I95" s="133"/>
      <c r="J95" s="133"/>
      <c r="K95" s="133"/>
      <c r="L95" s="133"/>
      <c r="M95" s="133"/>
      <c r="N95" s="133"/>
      <c r="O95" s="133"/>
      <c r="P95" s="133"/>
      <c r="Q95" s="133"/>
      <c r="R95" s="133"/>
      <c r="S95" s="133"/>
    </row>
    <row r="96" spans="2:19" ht="16.649999999999999" customHeight="1" x14ac:dyDescent="0.3"/>
    <row r="97" spans="2:19" ht="16.649999999999999" customHeight="1" x14ac:dyDescent="0.3">
      <c r="B97" s="148" t="s">
        <v>224</v>
      </c>
      <c r="C97" s="148"/>
      <c r="D97" s="148"/>
      <c r="E97" s="148"/>
      <c r="F97" s="148"/>
      <c r="G97" s="148"/>
      <c r="H97" s="148"/>
      <c r="I97" s="148"/>
      <c r="J97" s="148"/>
      <c r="K97" s="148"/>
      <c r="L97" s="148"/>
      <c r="M97" s="148"/>
      <c r="N97" s="148"/>
      <c r="O97" s="148"/>
      <c r="P97" s="148"/>
      <c r="Q97" s="148"/>
      <c r="R97" s="148"/>
      <c r="S97" s="148"/>
    </row>
    <row r="98" spans="2:19" ht="16.649999999999999" customHeight="1" x14ac:dyDescent="0.3">
      <c r="B98" s="148"/>
      <c r="C98" s="148"/>
      <c r="D98" s="148"/>
      <c r="E98" s="148"/>
      <c r="F98" s="148"/>
      <c r="G98" s="148"/>
      <c r="H98" s="148"/>
      <c r="I98" s="148"/>
      <c r="J98" s="148"/>
      <c r="K98" s="148"/>
      <c r="L98" s="148"/>
      <c r="M98" s="148"/>
      <c r="N98" s="148"/>
      <c r="O98" s="148"/>
      <c r="P98" s="148"/>
      <c r="Q98" s="148"/>
      <c r="R98" s="148"/>
      <c r="S98" s="148"/>
    </row>
    <row r="99" spans="2:19" ht="16.649999999999999" customHeight="1" x14ac:dyDescent="0.3"/>
    <row r="100" spans="2:19" ht="16.649999999999999" customHeight="1" x14ac:dyDescent="0.3">
      <c r="B100" s="19" t="s">
        <v>109</v>
      </c>
    </row>
    <row r="101" spans="2:19" ht="16.649999999999999" customHeight="1" x14ac:dyDescent="0.3"/>
    <row r="102" spans="2:19" ht="14.4" customHeight="1" x14ac:dyDescent="0.3">
      <c r="D102" s="187" t="s">
        <v>105</v>
      </c>
      <c r="E102" s="187"/>
      <c r="F102" s="187"/>
      <c r="G102" s="187"/>
      <c r="H102" s="187"/>
      <c r="I102" s="186" t="s">
        <v>24</v>
      </c>
      <c r="J102" s="186"/>
      <c r="K102" s="186"/>
    </row>
    <row r="103" spans="2:19" ht="14.4" customHeight="1" x14ac:dyDescent="0.3">
      <c r="D103" s="187" t="s">
        <v>106</v>
      </c>
      <c r="E103" s="187"/>
      <c r="F103" s="187"/>
      <c r="G103" s="187"/>
      <c r="H103" s="187"/>
      <c r="I103" s="186" t="s">
        <v>225</v>
      </c>
      <c r="J103" s="186"/>
      <c r="K103" s="186"/>
    </row>
    <row r="104" spans="2:19" ht="14.4" customHeight="1" x14ac:dyDescent="0.3">
      <c r="D104" s="187" t="s">
        <v>107</v>
      </c>
      <c r="E104" s="187"/>
      <c r="F104" s="187"/>
      <c r="G104" s="187"/>
      <c r="H104" s="187"/>
      <c r="I104" s="186" t="s">
        <v>24</v>
      </c>
      <c r="J104" s="186"/>
      <c r="K104" s="186"/>
    </row>
    <row r="105" spans="2:19" ht="16.8" customHeight="1" x14ac:dyDescent="0.3">
      <c r="D105" s="187" t="s">
        <v>110</v>
      </c>
      <c r="E105" s="187"/>
      <c r="F105" s="187"/>
      <c r="G105" s="187"/>
      <c r="H105" s="187"/>
      <c r="I105" s="186" t="s">
        <v>226</v>
      </c>
      <c r="J105" s="186"/>
      <c r="K105" s="186"/>
    </row>
    <row r="106" spans="2:19" ht="16.8" customHeight="1" x14ac:dyDescent="0.3">
      <c r="D106" s="190" t="s">
        <v>111</v>
      </c>
      <c r="E106" s="190"/>
      <c r="F106" s="190"/>
      <c r="G106" s="190"/>
      <c r="H106" s="190"/>
      <c r="I106" s="191">
        <v>120</v>
      </c>
      <c r="J106" s="191"/>
      <c r="K106" s="191"/>
      <c r="L106" s="93" t="s">
        <v>180</v>
      </c>
    </row>
    <row r="107" spans="2:19" ht="16.649999999999999" customHeight="1" x14ac:dyDescent="0.3">
      <c r="D107" s="190" t="s">
        <v>112</v>
      </c>
      <c r="E107" s="190"/>
      <c r="F107" s="190"/>
      <c r="G107" s="190"/>
      <c r="H107" s="190"/>
      <c r="I107" s="191"/>
      <c r="J107" s="191"/>
      <c r="K107" s="191"/>
      <c r="L107" s="93" t="s">
        <v>179</v>
      </c>
    </row>
    <row r="114" spans="2:19" x14ac:dyDescent="0.3">
      <c r="O114" s="147" t="str">
        <f>O75</f>
        <v>CERTIFICADO N°:</v>
      </c>
      <c r="P114" s="147"/>
      <c r="Q114" s="147"/>
      <c r="R114" s="147">
        <f>R75</f>
        <v>0</v>
      </c>
      <c r="S114" s="147"/>
    </row>
    <row r="115" spans="2:19" x14ac:dyDescent="0.3">
      <c r="O115" s="26"/>
      <c r="P115" s="26"/>
      <c r="Q115" s="26"/>
      <c r="R115" s="26"/>
      <c r="S115" s="26"/>
    </row>
    <row r="116" spans="2:19" ht="16.8" customHeight="1" x14ac:dyDescent="0.3"/>
    <row r="117" spans="2:19" ht="16.8" customHeight="1" x14ac:dyDescent="0.3">
      <c r="B117" s="19" t="s">
        <v>227</v>
      </c>
    </row>
    <row r="118" spans="2:19" ht="16.8" customHeight="1" x14ac:dyDescent="0.3"/>
    <row r="119" spans="2:19" ht="16.8" customHeight="1" x14ac:dyDescent="0.3">
      <c r="B119" s="142" t="s">
        <v>113</v>
      </c>
      <c r="C119" s="142"/>
      <c r="D119" s="142"/>
      <c r="E119" s="142"/>
      <c r="F119" s="142"/>
      <c r="G119" s="142"/>
      <c r="H119" s="142"/>
      <c r="I119" s="142"/>
      <c r="J119" s="142"/>
      <c r="K119" s="142"/>
      <c r="L119" s="142"/>
      <c r="M119" s="142"/>
      <c r="N119" s="142"/>
      <c r="O119" s="142"/>
      <c r="P119" s="142" t="s">
        <v>114</v>
      </c>
      <c r="Q119" s="142"/>
      <c r="R119" s="142"/>
      <c r="S119" s="142"/>
    </row>
    <row r="120" spans="2:19" ht="14.4" customHeight="1" x14ac:dyDescent="0.3">
      <c r="B120" s="188" t="s">
        <v>121</v>
      </c>
      <c r="C120" s="188"/>
      <c r="D120" s="188"/>
      <c r="E120" s="188"/>
      <c r="F120" s="188"/>
      <c r="G120" s="188"/>
      <c r="H120" s="188"/>
      <c r="I120" s="188"/>
      <c r="J120" s="188"/>
      <c r="K120" s="188"/>
      <c r="L120" s="188"/>
      <c r="M120" s="188"/>
      <c r="N120" s="188"/>
      <c r="O120" s="188"/>
      <c r="P120" s="189" t="s">
        <v>115</v>
      </c>
      <c r="Q120" s="189"/>
      <c r="R120" s="189"/>
      <c r="S120" s="189"/>
    </row>
    <row r="121" spans="2:19" x14ac:dyDescent="0.3">
      <c r="B121" s="188"/>
      <c r="C121" s="188"/>
      <c r="D121" s="188"/>
      <c r="E121" s="188"/>
      <c r="F121" s="188"/>
      <c r="G121" s="188"/>
      <c r="H121" s="188"/>
      <c r="I121" s="188"/>
      <c r="J121" s="188"/>
      <c r="K121" s="188"/>
      <c r="L121" s="188"/>
      <c r="M121" s="188"/>
      <c r="N121" s="188"/>
      <c r="O121" s="188"/>
      <c r="P121" s="189"/>
      <c r="Q121" s="189"/>
      <c r="R121" s="189"/>
      <c r="S121" s="189"/>
    </row>
    <row r="122" spans="2:19" x14ac:dyDescent="0.3">
      <c r="B122" s="192" t="s">
        <v>117</v>
      </c>
      <c r="C122" s="192"/>
      <c r="D122" s="192"/>
      <c r="E122" s="192"/>
      <c r="F122" s="192"/>
      <c r="G122" s="192"/>
      <c r="H122" s="192"/>
      <c r="I122" s="192"/>
      <c r="J122" s="192"/>
      <c r="K122" s="192"/>
      <c r="L122" s="192"/>
      <c r="M122" s="192"/>
      <c r="N122" s="192"/>
      <c r="O122" s="192"/>
      <c r="P122" s="189" t="s">
        <v>115</v>
      </c>
      <c r="Q122" s="189"/>
      <c r="R122" s="189"/>
      <c r="S122" s="189"/>
    </row>
    <row r="123" spans="2:19" x14ac:dyDescent="0.3">
      <c r="B123" s="192"/>
      <c r="C123" s="192"/>
      <c r="D123" s="192"/>
      <c r="E123" s="192"/>
      <c r="F123" s="192"/>
      <c r="G123" s="192"/>
      <c r="H123" s="192"/>
      <c r="I123" s="192"/>
      <c r="J123" s="192"/>
      <c r="K123" s="192"/>
      <c r="L123" s="192"/>
      <c r="M123" s="192"/>
      <c r="N123" s="192"/>
      <c r="O123" s="192"/>
      <c r="P123" s="189"/>
      <c r="Q123" s="189"/>
      <c r="R123" s="189"/>
      <c r="S123" s="189"/>
    </row>
    <row r="124" spans="2:19" ht="14.4" customHeight="1" x14ac:dyDescent="0.3">
      <c r="B124" s="188" t="s">
        <v>228</v>
      </c>
      <c r="C124" s="188"/>
      <c r="D124" s="188"/>
      <c r="E124" s="188"/>
      <c r="F124" s="188"/>
      <c r="G124" s="188"/>
      <c r="H124" s="188"/>
      <c r="I124" s="188"/>
      <c r="J124" s="188"/>
      <c r="K124" s="188"/>
      <c r="L124" s="188"/>
      <c r="M124" s="188"/>
      <c r="N124" s="188"/>
      <c r="O124" s="188"/>
      <c r="P124" s="189" t="s">
        <v>115</v>
      </c>
      <c r="Q124" s="189"/>
      <c r="R124" s="189"/>
      <c r="S124" s="189"/>
    </row>
    <row r="125" spans="2:19" ht="14.4" customHeight="1" x14ac:dyDescent="0.3">
      <c r="B125" s="188"/>
      <c r="C125" s="188"/>
      <c r="D125" s="188"/>
      <c r="E125" s="188"/>
      <c r="F125" s="188"/>
      <c r="G125" s="188"/>
      <c r="H125" s="188"/>
      <c r="I125" s="188"/>
      <c r="J125" s="188"/>
      <c r="K125" s="188"/>
      <c r="L125" s="188"/>
      <c r="M125" s="188"/>
      <c r="N125" s="188"/>
      <c r="O125" s="188"/>
      <c r="P125" s="189"/>
      <c r="Q125" s="189"/>
      <c r="R125" s="189"/>
      <c r="S125" s="189"/>
    </row>
    <row r="126" spans="2:19" ht="14.4" customHeight="1" x14ac:dyDescent="0.3">
      <c r="B126" s="188" t="s">
        <v>122</v>
      </c>
      <c r="C126" s="188"/>
      <c r="D126" s="188"/>
      <c r="E126" s="188"/>
      <c r="F126" s="188"/>
      <c r="G126" s="188"/>
      <c r="H126" s="188"/>
      <c r="I126" s="188"/>
      <c r="J126" s="188"/>
      <c r="K126" s="188"/>
      <c r="L126" s="188"/>
      <c r="M126" s="188"/>
      <c r="N126" s="188"/>
      <c r="O126" s="188"/>
      <c r="P126" s="189" t="s">
        <v>115</v>
      </c>
      <c r="Q126" s="189"/>
      <c r="R126" s="189"/>
      <c r="S126" s="189"/>
    </row>
    <row r="127" spans="2:19" ht="14.4" customHeight="1" x14ac:dyDescent="0.3">
      <c r="B127" s="188"/>
      <c r="C127" s="188"/>
      <c r="D127" s="188"/>
      <c r="E127" s="188"/>
      <c r="F127" s="188"/>
      <c r="G127" s="188"/>
      <c r="H127" s="188"/>
      <c r="I127" s="188"/>
      <c r="J127" s="188"/>
      <c r="K127" s="188"/>
      <c r="L127" s="188"/>
      <c r="M127" s="188"/>
      <c r="N127" s="188"/>
      <c r="O127" s="188"/>
      <c r="P127" s="189"/>
      <c r="Q127" s="189"/>
      <c r="R127" s="189"/>
      <c r="S127" s="189"/>
    </row>
    <row r="128" spans="2:19" ht="14.4" customHeight="1" x14ac:dyDescent="0.3">
      <c r="B128" s="192" t="s">
        <v>229</v>
      </c>
      <c r="C128" s="192"/>
      <c r="D128" s="192"/>
      <c r="E128" s="192"/>
      <c r="F128" s="192"/>
      <c r="G128" s="192"/>
      <c r="H128" s="192"/>
      <c r="I128" s="192"/>
      <c r="J128" s="192"/>
      <c r="K128" s="192"/>
      <c r="L128" s="192"/>
      <c r="M128" s="192"/>
      <c r="N128" s="192"/>
      <c r="O128" s="192"/>
      <c r="P128" s="189" t="s">
        <v>115</v>
      </c>
      <c r="Q128" s="189"/>
      <c r="R128" s="189"/>
      <c r="S128" s="189"/>
    </row>
    <row r="129" spans="2:19" ht="14.4" customHeight="1" x14ac:dyDescent="0.3">
      <c r="B129" s="192"/>
      <c r="C129" s="192"/>
      <c r="D129" s="192"/>
      <c r="E129" s="192"/>
      <c r="F129" s="192"/>
      <c r="G129" s="192"/>
      <c r="H129" s="192"/>
      <c r="I129" s="192"/>
      <c r="J129" s="192"/>
      <c r="K129" s="192"/>
      <c r="L129" s="192"/>
      <c r="M129" s="192"/>
      <c r="N129" s="192"/>
      <c r="O129" s="192"/>
      <c r="P129" s="189"/>
      <c r="Q129" s="189"/>
      <c r="R129" s="189"/>
      <c r="S129" s="189"/>
    </row>
    <row r="130" spans="2:19" ht="14.4" customHeight="1" x14ac:dyDescent="0.3">
      <c r="B130" s="192" t="s">
        <v>118</v>
      </c>
      <c r="C130" s="192"/>
      <c r="D130" s="192"/>
      <c r="E130" s="192"/>
      <c r="F130" s="192"/>
      <c r="G130" s="192"/>
      <c r="H130" s="192"/>
      <c r="I130" s="192"/>
      <c r="J130" s="192"/>
      <c r="K130" s="192"/>
      <c r="L130" s="192"/>
      <c r="M130" s="192"/>
      <c r="N130" s="192"/>
      <c r="O130" s="192"/>
      <c r="P130" s="189" t="s">
        <v>115</v>
      </c>
      <c r="Q130" s="189"/>
      <c r="R130" s="189"/>
      <c r="S130" s="189"/>
    </row>
    <row r="131" spans="2:19" ht="14.4" customHeight="1" x14ac:dyDescent="0.3">
      <c r="B131" s="192"/>
      <c r="C131" s="192"/>
      <c r="D131" s="192"/>
      <c r="E131" s="192"/>
      <c r="F131" s="192"/>
      <c r="G131" s="192"/>
      <c r="H131" s="192"/>
      <c r="I131" s="192"/>
      <c r="J131" s="192"/>
      <c r="K131" s="192"/>
      <c r="L131" s="192"/>
      <c r="M131" s="192"/>
      <c r="N131" s="192"/>
      <c r="O131" s="192"/>
      <c r="P131" s="189"/>
      <c r="Q131" s="189"/>
      <c r="R131" s="189"/>
      <c r="S131" s="189"/>
    </row>
    <row r="132" spans="2:19" ht="14.4" customHeight="1" x14ac:dyDescent="0.3">
      <c r="B132" s="192" t="s">
        <v>123</v>
      </c>
      <c r="C132" s="192"/>
      <c r="D132" s="192"/>
      <c r="E132" s="192"/>
      <c r="F132" s="192"/>
      <c r="G132" s="192"/>
      <c r="H132" s="192"/>
      <c r="I132" s="192"/>
      <c r="J132" s="192"/>
      <c r="K132" s="192"/>
      <c r="L132" s="192"/>
      <c r="M132" s="192"/>
      <c r="N132" s="192"/>
      <c r="O132" s="192"/>
      <c r="P132" s="189" t="s">
        <v>115</v>
      </c>
      <c r="Q132" s="189"/>
      <c r="R132" s="189"/>
      <c r="S132" s="189"/>
    </row>
    <row r="133" spans="2:19" ht="14.4" customHeight="1" x14ac:dyDescent="0.3">
      <c r="B133" s="192"/>
      <c r="C133" s="192"/>
      <c r="D133" s="192"/>
      <c r="E133" s="192"/>
      <c r="F133" s="192"/>
      <c r="G133" s="192"/>
      <c r="H133" s="192"/>
      <c r="I133" s="192"/>
      <c r="J133" s="192"/>
      <c r="K133" s="192"/>
      <c r="L133" s="192"/>
      <c r="M133" s="192"/>
      <c r="N133" s="192"/>
      <c r="O133" s="192"/>
      <c r="P133" s="189"/>
      <c r="Q133" s="189"/>
      <c r="R133" s="189"/>
      <c r="S133" s="189"/>
    </row>
    <row r="134" spans="2:19" ht="14.4" customHeight="1" x14ac:dyDescent="0.3">
      <c r="B134" s="192" t="s">
        <v>119</v>
      </c>
      <c r="C134" s="192"/>
      <c r="D134" s="192"/>
      <c r="E134" s="192"/>
      <c r="F134" s="192"/>
      <c r="G134" s="192"/>
      <c r="H134" s="192"/>
      <c r="I134" s="192"/>
      <c r="J134" s="192"/>
      <c r="K134" s="192"/>
      <c r="L134" s="192"/>
      <c r="M134" s="192"/>
      <c r="N134" s="192"/>
      <c r="O134" s="192"/>
      <c r="P134" s="189" t="s">
        <v>115</v>
      </c>
      <c r="Q134" s="189"/>
      <c r="R134" s="189"/>
      <c r="S134" s="189"/>
    </row>
    <row r="135" spans="2:19" ht="14.4" customHeight="1" x14ac:dyDescent="0.3">
      <c r="B135" s="192"/>
      <c r="C135" s="192"/>
      <c r="D135" s="192"/>
      <c r="E135" s="192"/>
      <c r="F135" s="192"/>
      <c r="G135" s="192"/>
      <c r="H135" s="192"/>
      <c r="I135" s="192"/>
      <c r="J135" s="192"/>
      <c r="K135" s="192"/>
      <c r="L135" s="192"/>
      <c r="M135" s="192"/>
      <c r="N135" s="192"/>
      <c r="O135" s="192"/>
      <c r="P135" s="189"/>
      <c r="Q135" s="189"/>
      <c r="R135" s="189"/>
      <c r="S135" s="189"/>
    </row>
    <row r="136" spans="2:19" ht="14.4" customHeight="1" x14ac:dyDescent="0.3">
      <c r="B136" s="188" t="s">
        <v>230</v>
      </c>
      <c r="C136" s="188"/>
      <c r="D136" s="188"/>
      <c r="E136" s="188"/>
      <c r="F136" s="188"/>
      <c r="G136" s="188"/>
      <c r="H136" s="188"/>
      <c r="I136" s="188"/>
      <c r="J136" s="188"/>
      <c r="K136" s="188"/>
      <c r="L136" s="188"/>
      <c r="M136" s="188"/>
      <c r="N136" s="188"/>
      <c r="O136" s="188"/>
      <c r="P136" s="189" t="s">
        <v>115</v>
      </c>
      <c r="Q136" s="189"/>
      <c r="R136" s="189"/>
      <c r="S136" s="189"/>
    </row>
    <row r="137" spans="2:19" ht="16.2" customHeight="1" x14ac:dyDescent="0.3">
      <c r="B137" s="188"/>
      <c r="C137" s="188"/>
      <c r="D137" s="188"/>
      <c r="E137" s="188"/>
      <c r="F137" s="188"/>
      <c r="G137" s="188"/>
      <c r="H137" s="188"/>
      <c r="I137" s="188"/>
      <c r="J137" s="188"/>
      <c r="K137" s="188"/>
      <c r="L137" s="188"/>
      <c r="M137" s="188"/>
      <c r="N137" s="188"/>
      <c r="O137" s="188"/>
      <c r="P137" s="189"/>
      <c r="Q137" s="189"/>
      <c r="R137" s="189"/>
      <c r="S137" s="189"/>
    </row>
    <row r="138" spans="2:19" x14ac:dyDescent="0.3">
      <c r="B138" s="192" t="s">
        <v>231</v>
      </c>
      <c r="C138" s="192"/>
      <c r="D138" s="192"/>
      <c r="E138" s="192"/>
      <c r="F138" s="192"/>
      <c r="G138" s="192"/>
      <c r="H138" s="192"/>
      <c r="I138" s="192"/>
      <c r="J138" s="192"/>
      <c r="K138" s="192"/>
      <c r="L138" s="192"/>
      <c r="M138" s="192"/>
      <c r="N138" s="192"/>
      <c r="O138" s="192"/>
      <c r="P138" s="189" t="s">
        <v>115</v>
      </c>
      <c r="Q138" s="189"/>
      <c r="R138" s="189"/>
      <c r="S138" s="189"/>
    </row>
    <row r="139" spans="2:19" x14ac:dyDescent="0.3">
      <c r="B139" s="192"/>
      <c r="C139" s="192"/>
      <c r="D139" s="192"/>
      <c r="E139" s="192"/>
      <c r="F139" s="192"/>
      <c r="G139" s="192"/>
      <c r="H139" s="192"/>
      <c r="I139" s="192"/>
      <c r="J139" s="192"/>
      <c r="K139" s="192"/>
      <c r="L139" s="192"/>
      <c r="M139" s="192"/>
      <c r="N139" s="192"/>
      <c r="O139" s="192"/>
      <c r="P139" s="189"/>
      <c r="Q139" s="189"/>
      <c r="R139" s="189"/>
      <c r="S139" s="189"/>
    </row>
    <row r="140" spans="2:19" x14ac:dyDescent="0.3">
      <c r="B140" s="192" t="s">
        <v>120</v>
      </c>
      <c r="C140" s="192"/>
      <c r="D140" s="192"/>
      <c r="E140" s="192"/>
      <c r="F140" s="192"/>
      <c r="G140" s="192"/>
      <c r="H140" s="192"/>
      <c r="I140" s="192"/>
      <c r="J140" s="192"/>
      <c r="K140" s="192"/>
      <c r="L140" s="192"/>
      <c r="M140" s="192"/>
      <c r="N140" s="192"/>
      <c r="O140" s="192"/>
      <c r="P140" s="189" t="s">
        <v>115</v>
      </c>
      <c r="Q140" s="189"/>
      <c r="R140" s="189"/>
      <c r="S140" s="189"/>
    </row>
    <row r="141" spans="2:19" x14ac:dyDescent="0.3">
      <c r="B141" s="192"/>
      <c r="C141" s="192"/>
      <c r="D141" s="192"/>
      <c r="E141" s="192"/>
      <c r="F141" s="192"/>
      <c r="G141" s="192"/>
      <c r="H141" s="192"/>
      <c r="I141" s="192"/>
      <c r="J141" s="192"/>
      <c r="K141" s="192"/>
      <c r="L141" s="192"/>
      <c r="M141" s="192"/>
      <c r="N141" s="192"/>
      <c r="O141" s="192"/>
      <c r="P141" s="189"/>
      <c r="Q141" s="189"/>
      <c r="R141" s="189"/>
      <c r="S141" s="189"/>
    </row>
    <row r="142" spans="2:19" ht="16.8" customHeight="1" x14ac:dyDescent="0.3"/>
    <row r="143" spans="2:19" ht="14.4" customHeight="1" x14ac:dyDescent="0.3">
      <c r="B143" s="19" t="s">
        <v>124</v>
      </c>
      <c r="C143" s="19"/>
    </row>
    <row r="144" spans="2:19" ht="14.4" customHeight="1" x14ac:dyDescent="0.3"/>
    <row r="145" spans="2:19" ht="14.4" customHeight="1" x14ac:dyDescent="0.3">
      <c r="B145" s="193" t="s">
        <v>125</v>
      </c>
      <c r="C145" s="193"/>
      <c r="D145" s="193"/>
      <c r="E145" s="193"/>
      <c r="F145" s="193"/>
      <c r="G145" s="193"/>
      <c r="H145" s="193" t="s">
        <v>114</v>
      </c>
      <c r="I145" s="193"/>
      <c r="J145" s="193"/>
      <c r="K145" s="193"/>
      <c r="L145" s="193" t="s">
        <v>126</v>
      </c>
      <c r="M145" s="193"/>
      <c r="N145" s="193"/>
      <c r="O145" s="193"/>
      <c r="P145" s="193"/>
      <c r="Q145" s="193"/>
      <c r="R145" s="193"/>
      <c r="S145" s="193"/>
    </row>
    <row r="146" spans="2:19" ht="14.4" customHeight="1" x14ac:dyDescent="0.3">
      <c r="B146" s="186" t="s">
        <v>127</v>
      </c>
      <c r="C146" s="194"/>
      <c r="D146" s="194"/>
      <c r="E146" s="194"/>
      <c r="F146" s="194"/>
      <c r="G146" s="194"/>
      <c r="H146" s="186" t="s">
        <v>115</v>
      </c>
      <c r="I146" s="186"/>
      <c r="J146" s="186"/>
      <c r="K146" s="186"/>
      <c r="L146" s="191"/>
      <c r="M146" s="191"/>
      <c r="N146" s="191"/>
      <c r="O146" s="191"/>
      <c r="P146" s="191"/>
      <c r="Q146" s="191"/>
      <c r="R146" s="191"/>
      <c r="S146" s="191"/>
    </row>
    <row r="147" spans="2:19" ht="14.4" customHeight="1" x14ac:dyDescent="0.3">
      <c r="B147" s="186" t="s">
        <v>128</v>
      </c>
      <c r="C147" s="186"/>
      <c r="D147" s="186"/>
      <c r="E147" s="186"/>
      <c r="F147" s="186"/>
      <c r="G147" s="186"/>
      <c r="H147" s="186" t="s">
        <v>115</v>
      </c>
      <c r="I147" s="186"/>
      <c r="J147" s="186"/>
      <c r="K147" s="186"/>
      <c r="L147" s="191"/>
      <c r="M147" s="191"/>
      <c r="N147" s="191"/>
      <c r="O147" s="191"/>
      <c r="P147" s="191"/>
      <c r="Q147" s="191"/>
      <c r="R147" s="191"/>
      <c r="S147" s="191"/>
    </row>
    <row r="148" spans="2:19" ht="14.4" customHeight="1" x14ac:dyDescent="0.3">
      <c r="B148" s="186" t="s">
        <v>129</v>
      </c>
      <c r="C148" s="186"/>
      <c r="D148" s="186"/>
      <c r="E148" s="186"/>
      <c r="F148" s="186"/>
      <c r="G148" s="186"/>
      <c r="H148" s="186" t="s">
        <v>115</v>
      </c>
      <c r="I148" s="186"/>
      <c r="J148" s="186"/>
      <c r="K148" s="186"/>
      <c r="L148" s="191"/>
      <c r="M148" s="191"/>
      <c r="N148" s="191"/>
      <c r="O148" s="191"/>
      <c r="P148" s="191"/>
      <c r="Q148" s="191"/>
      <c r="R148" s="191"/>
      <c r="S148" s="191"/>
    </row>
    <row r="149" spans="2:19" ht="14.4" customHeight="1" x14ac:dyDescent="0.3">
      <c r="B149" s="186" t="s">
        <v>130</v>
      </c>
      <c r="C149" s="186"/>
      <c r="D149" s="186"/>
      <c r="E149" s="186"/>
      <c r="F149" s="186"/>
      <c r="G149" s="186"/>
      <c r="H149" s="186" t="s">
        <v>115</v>
      </c>
      <c r="I149" s="186"/>
      <c r="J149" s="186"/>
      <c r="K149" s="186"/>
      <c r="L149" s="191"/>
      <c r="M149" s="191"/>
      <c r="N149" s="191"/>
      <c r="O149" s="191"/>
      <c r="P149" s="191"/>
      <c r="Q149" s="191"/>
      <c r="R149" s="191"/>
      <c r="S149" s="191"/>
    </row>
    <row r="150" spans="2:19" ht="14.4" customHeight="1" x14ac:dyDescent="0.3">
      <c r="B150" s="186" t="s">
        <v>131</v>
      </c>
      <c r="C150" s="186"/>
      <c r="D150" s="186"/>
      <c r="E150" s="186"/>
      <c r="F150" s="186"/>
      <c r="G150" s="186"/>
      <c r="H150" s="186" t="s">
        <v>115</v>
      </c>
      <c r="I150" s="186"/>
      <c r="J150" s="186"/>
      <c r="K150" s="186"/>
      <c r="L150" s="191"/>
      <c r="M150" s="191"/>
      <c r="N150" s="191"/>
      <c r="O150" s="191"/>
      <c r="P150" s="191"/>
      <c r="Q150" s="191"/>
      <c r="R150" s="191"/>
      <c r="S150" s="191"/>
    </row>
    <row r="151" spans="2:19" ht="14.4" customHeight="1" x14ac:dyDescent="0.3">
      <c r="B151" s="186" t="s">
        <v>232</v>
      </c>
      <c r="C151" s="186"/>
      <c r="D151" s="186"/>
      <c r="E151" s="186"/>
      <c r="F151" s="186"/>
      <c r="G151" s="186"/>
      <c r="H151" s="186" t="s">
        <v>115</v>
      </c>
      <c r="I151" s="186"/>
      <c r="J151" s="186"/>
      <c r="K151" s="186"/>
      <c r="L151" s="191"/>
      <c r="M151" s="191"/>
      <c r="N151" s="191"/>
      <c r="O151" s="191"/>
      <c r="P151" s="191"/>
      <c r="Q151" s="191"/>
      <c r="R151" s="191"/>
      <c r="S151" s="191"/>
    </row>
    <row r="152" spans="2:19" ht="14.4" customHeight="1" x14ac:dyDescent="0.3">
      <c r="B152" s="186" t="s">
        <v>132</v>
      </c>
      <c r="C152" s="186"/>
      <c r="D152" s="186"/>
      <c r="E152" s="186"/>
      <c r="F152" s="186"/>
      <c r="G152" s="186"/>
      <c r="H152" s="186" t="s">
        <v>115</v>
      </c>
      <c r="I152" s="186"/>
      <c r="J152" s="186"/>
      <c r="K152" s="186"/>
      <c r="L152" s="191"/>
      <c r="M152" s="191"/>
      <c r="N152" s="191"/>
      <c r="O152" s="191"/>
      <c r="P152" s="191"/>
      <c r="Q152" s="191"/>
      <c r="R152" s="191"/>
      <c r="S152" s="191"/>
    </row>
    <row r="153" spans="2:19" ht="14.4" customHeight="1" x14ac:dyDescent="0.3">
      <c r="B153" s="186" t="s">
        <v>133</v>
      </c>
      <c r="C153" s="186"/>
      <c r="D153" s="186"/>
      <c r="E153" s="186"/>
      <c r="F153" s="186"/>
      <c r="G153" s="186"/>
      <c r="H153" s="186" t="s">
        <v>115</v>
      </c>
      <c r="I153" s="186"/>
      <c r="J153" s="186"/>
      <c r="K153" s="186"/>
      <c r="L153" s="191"/>
      <c r="M153" s="191"/>
      <c r="N153" s="191"/>
      <c r="O153" s="191"/>
      <c r="P153" s="191"/>
      <c r="Q153" s="191"/>
      <c r="R153" s="191"/>
      <c r="S153" s="191"/>
    </row>
    <row r="154" spans="2:19" ht="14.4" customHeight="1" x14ac:dyDescent="0.3"/>
    <row r="155" spans="2:19" ht="14.4" customHeight="1" x14ac:dyDescent="0.3"/>
    <row r="156" spans="2:19" ht="14.4" customHeight="1" x14ac:dyDescent="0.3">
      <c r="O156" s="147" t="str">
        <f>O114</f>
        <v>CERTIFICADO N°:</v>
      </c>
      <c r="P156" s="147"/>
      <c r="Q156" s="147"/>
      <c r="R156" s="147">
        <f>R114</f>
        <v>0</v>
      </c>
      <c r="S156" s="147"/>
    </row>
    <row r="157" spans="2:19" ht="14.4" customHeight="1" x14ac:dyDescent="0.3">
      <c r="O157" s="26"/>
      <c r="P157" s="26"/>
      <c r="Q157" s="26"/>
      <c r="R157" s="26"/>
      <c r="S157" s="26"/>
    </row>
    <row r="158" spans="2:19" ht="14.4" customHeight="1" x14ac:dyDescent="0.3"/>
    <row r="159" spans="2:19" ht="14.4" customHeight="1" x14ac:dyDescent="0.3">
      <c r="B159" s="133" t="s">
        <v>188</v>
      </c>
      <c r="C159" s="133"/>
      <c r="D159" s="133"/>
      <c r="E159" s="133"/>
      <c r="F159" s="133"/>
      <c r="G159" s="133"/>
      <c r="H159" s="133"/>
      <c r="I159" s="133"/>
      <c r="J159" s="133"/>
      <c r="K159" s="133"/>
      <c r="L159" s="133"/>
      <c r="M159" s="133"/>
      <c r="N159" s="133"/>
      <c r="O159" s="133"/>
      <c r="P159" s="133"/>
      <c r="Q159" s="133"/>
      <c r="R159" s="133"/>
      <c r="S159" s="133"/>
    </row>
    <row r="160" spans="2:19" ht="14.4" customHeight="1" x14ac:dyDescent="0.3"/>
    <row r="161" spans="2:19" ht="14.4" customHeight="1" x14ac:dyDescent="0.3">
      <c r="B161" s="137" t="s">
        <v>233</v>
      </c>
      <c r="C161" s="137"/>
      <c r="D161" s="137"/>
      <c r="E161" s="137"/>
      <c r="F161" s="137"/>
      <c r="G161" s="137"/>
      <c r="H161" s="137"/>
      <c r="I161" s="137"/>
      <c r="J161" s="137"/>
      <c r="K161" s="137"/>
      <c r="L161" s="137"/>
      <c r="M161" s="137"/>
      <c r="N161" s="137"/>
      <c r="O161" s="137"/>
      <c r="P161" s="137"/>
      <c r="Q161" s="137"/>
      <c r="R161" s="137"/>
      <c r="S161" s="137"/>
    </row>
    <row r="162" spans="2:19" ht="14.4" customHeight="1" x14ac:dyDescent="0.3">
      <c r="B162" s="137"/>
      <c r="C162" s="137"/>
      <c r="D162" s="137"/>
      <c r="E162" s="137"/>
      <c r="F162" s="137"/>
      <c r="G162" s="137"/>
      <c r="H162" s="137"/>
      <c r="I162" s="137"/>
      <c r="J162" s="137"/>
      <c r="K162" s="137"/>
      <c r="L162" s="137"/>
      <c r="M162" s="137"/>
      <c r="N162" s="137"/>
      <c r="O162" s="137"/>
      <c r="P162" s="137"/>
      <c r="Q162" s="137"/>
      <c r="R162" s="137"/>
      <c r="S162" s="137"/>
    </row>
    <row r="163" spans="2:19" ht="14.4" customHeight="1" x14ac:dyDescent="0.3"/>
    <row r="164" spans="2:19" ht="14.4" customHeight="1" x14ac:dyDescent="0.3">
      <c r="B164" s="19" t="s">
        <v>134</v>
      </c>
    </row>
    <row r="165" spans="2:19" ht="14.4" customHeight="1" x14ac:dyDescent="0.3"/>
    <row r="166" spans="2:19" ht="14.4" customHeight="1" x14ac:dyDescent="0.3">
      <c r="B166" s="137" t="s">
        <v>234</v>
      </c>
      <c r="C166" s="137"/>
      <c r="D166" s="137"/>
      <c r="E166" s="137"/>
      <c r="F166" s="137"/>
      <c r="G166" s="137"/>
      <c r="H166" s="137"/>
      <c r="I166" s="137"/>
      <c r="J166" s="137"/>
      <c r="K166" s="137"/>
      <c r="L166" s="137"/>
      <c r="M166" s="137"/>
      <c r="N166" s="137"/>
      <c r="O166" s="137"/>
      <c r="P166" s="137"/>
      <c r="Q166" s="137"/>
      <c r="R166" s="137"/>
      <c r="S166" s="137"/>
    </row>
    <row r="167" spans="2:19" ht="14.4" customHeight="1" x14ac:dyDescent="0.3">
      <c r="B167" s="137"/>
      <c r="C167" s="137"/>
      <c r="D167" s="137"/>
      <c r="E167" s="137"/>
      <c r="F167" s="137"/>
      <c r="G167" s="137"/>
      <c r="H167" s="137"/>
      <c r="I167" s="137"/>
      <c r="J167" s="137"/>
      <c r="K167" s="137"/>
      <c r="L167" s="137"/>
      <c r="M167" s="137"/>
      <c r="N167" s="137"/>
      <c r="O167" s="137"/>
      <c r="P167" s="137"/>
      <c r="Q167" s="137"/>
      <c r="R167" s="137"/>
      <c r="S167" s="137"/>
    </row>
    <row r="168" spans="2:19" ht="14.4" customHeight="1" x14ac:dyDescent="0.3"/>
    <row r="169" spans="2:19" ht="14.4" customHeight="1" x14ac:dyDescent="0.3">
      <c r="B169" s="137" t="s">
        <v>235</v>
      </c>
      <c r="C169" s="137"/>
      <c r="D169" s="137"/>
      <c r="E169" s="137"/>
      <c r="F169" s="137"/>
      <c r="G169" s="137"/>
      <c r="H169" s="137"/>
      <c r="I169" s="137"/>
      <c r="J169" s="137"/>
      <c r="K169" s="137"/>
      <c r="L169" s="137"/>
      <c r="M169" s="137"/>
      <c r="N169" s="137"/>
      <c r="O169" s="137"/>
      <c r="P169" s="137"/>
      <c r="Q169" s="137"/>
      <c r="R169" s="137"/>
      <c r="S169" s="137"/>
    </row>
    <row r="170" spans="2:19" ht="14.4" customHeight="1" x14ac:dyDescent="0.3">
      <c r="B170" s="137"/>
      <c r="C170" s="137"/>
      <c r="D170" s="137"/>
      <c r="E170" s="137"/>
      <c r="F170" s="137"/>
      <c r="G170" s="137"/>
      <c r="H170" s="137"/>
      <c r="I170" s="137"/>
      <c r="J170" s="137"/>
      <c r="K170" s="137"/>
      <c r="L170" s="137"/>
      <c r="M170" s="137"/>
      <c r="N170" s="137"/>
      <c r="O170" s="137"/>
      <c r="P170" s="137"/>
      <c r="Q170" s="137"/>
      <c r="R170" s="137"/>
      <c r="S170" s="137"/>
    </row>
    <row r="171" spans="2:19" ht="14.4" customHeight="1" x14ac:dyDescent="0.3"/>
    <row r="172" spans="2:19" ht="14.4" customHeight="1" x14ac:dyDescent="0.3">
      <c r="B172" t="s">
        <v>236</v>
      </c>
    </row>
    <row r="173" spans="2:19" ht="14.4" customHeight="1" x14ac:dyDescent="0.3"/>
    <row r="174" spans="2:19" ht="14.4" customHeight="1" x14ac:dyDescent="0.3">
      <c r="B174" s="137" t="s">
        <v>237</v>
      </c>
      <c r="C174" s="137"/>
      <c r="D174" s="137"/>
      <c r="E174" s="137"/>
      <c r="F174" s="137"/>
      <c r="G174" s="137"/>
      <c r="H174" s="137"/>
      <c r="I174" s="137"/>
      <c r="J174" s="137"/>
      <c r="K174" s="137"/>
      <c r="L174" s="137"/>
      <c r="M174" s="137"/>
      <c r="N174" s="137"/>
      <c r="O174" s="137"/>
      <c r="P174" s="137"/>
      <c r="Q174" s="137"/>
      <c r="R174" s="137"/>
      <c r="S174" s="137"/>
    </row>
    <row r="175" spans="2:19" ht="14.4" customHeight="1" x14ac:dyDescent="0.3">
      <c r="B175" s="137"/>
      <c r="C175" s="137"/>
      <c r="D175" s="137"/>
      <c r="E175" s="137"/>
      <c r="F175" s="137"/>
      <c r="G175" s="137"/>
      <c r="H175" s="137"/>
      <c r="I175" s="137"/>
      <c r="J175" s="137"/>
      <c r="K175" s="137"/>
      <c r="L175" s="137"/>
      <c r="M175" s="137"/>
      <c r="N175" s="137"/>
      <c r="O175" s="137"/>
      <c r="P175" s="137"/>
      <c r="Q175" s="137"/>
      <c r="R175" s="137"/>
      <c r="S175" s="137"/>
    </row>
    <row r="176" spans="2:19" ht="14.4" customHeight="1" x14ac:dyDescent="0.3"/>
    <row r="177" spans="2:19" ht="14.4" customHeight="1" x14ac:dyDescent="0.3">
      <c r="B177" s="137" t="s">
        <v>238</v>
      </c>
      <c r="C177" s="137"/>
      <c r="D177" s="137"/>
      <c r="E177" s="137"/>
      <c r="F177" s="137"/>
      <c r="G177" s="137"/>
      <c r="H177" s="137"/>
      <c r="I177" s="137"/>
      <c r="J177" s="137"/>
      <c r="K177" s="137"/>
      <c r="L177" s="137"/>
      <c r="M177" s="137"/>
      <c r="N177" s="137"/>
      <c r="O177" s="137"/>
      <c r="P177" s="137"/>
      <c r="Q177" s="137"/>
      <c r="R177" s="137"/>
      <c r="S177" s="137"/>
    </row>
    <row r="178" spans="2:19" ht="14.4" customHeight="1" x14ac:dyDescent="0.3">
      <c r="B178" s="137"/>
      <c r="C178" s="137"/>
      <c r="D178" s="137"/>
      <c r="E178" s="137"/>
      <c r="F178" s="137"/>
      <c r="G178" s="137"/>
      <c r="H178" s="137"/>
      <c r="I178" s="137"/>
      <c r="J178" s="137"/>
      <c r="K178" s="137"/>
      <c r="L178" s="137"/>
      <c r="M178" s="137"/>
      <c r="N178" s="137"/>
      <c r="O178" s="137"/>
      <c r="P178" s="137"/>
      <c r="Q178" s="137"/>
      <c r="R178" s="137"/>
      <c r="S178" s="137"/>
    </row>
    <row r="179" spans="2:19" ht="14.4" customHeight="1" x14ac:dyDescent="0.3"/>
    <row r="180" spans="2:19" ht="14.4" customHeight="1" x14ac:dyDescent="0.3">
      <c r="B180" s="19"/>
    </row>
    <row r="181" spans="2:19" ht="14.4" customHeight="1" x14ac:dyDescent="0.3"/>
    <row r="182" spans="2:19" ht="14.4" customHeight="1" x14ac:dyDescent="0.3"/>
    <row r="183" spans="2:19" ht="14.4" customHeight="1" x14ac:dyDescent="0.3"/>
    <row r="184" spans="2:19" ht="14.4" customHeight="1" x14ac:dyDescent="0.3"/>
    <row r="185" spans="2:19" ht="14.4" customHeight="1" x14ac:dyDescent="0.3"/>
    <row r="186" spans="2:19" ht="14.4" customHeight="1" x14ac:dyDescent="0.3"/>
    <row r="187" spans="2:19" ht="14.4" customHeight="1" x14ac:dyDescent="0.3"/>
    <row r="188" spans="2:19" ht="14.4" customHeight="1" x14ac:dyDescent="0.3"/>
    <row r="189" spans="2:19" ht="14.4" customHeight="1" x14ac:dyDescent="0.3"/>
    <row r="190" spans="2:19" ht="14.4" customHeight="1" x14ac:dyDescent="0.3"/>
    <row r="191" spans="2:19" ht="14.4" customHeight="1" x14ac:dyDescent="0.3"/>
    <row r="192" spans="2:19" ht="14.4" customHeight="1" x14ac:dyDescent="0.3"/>
    <row r="193" spans="2:19" ht="14.4" customHeight="1" x14ac:dyDescent="0.3"/>
    <row r="194" spans="2:19" ht="14.4" customHeight="1" x14ac:dyDescent="0.3"/>
    <row r="195" spans="2:19" ht="14.4" customHeight="1" x14ac:dyDescent="0.3"/>
    <row r="196" spans="2:19" ht="14.4" customHeight="1" x14ac:dyDescent="0.3"/>
    <row r="197" spans="2:19" ht="14.4" customHeight="1" x14ac:dyDescent="0.3"/>
    <row r="199" spans="2:19" x14ac:dyDescent="0.3">
      <c r="N199" s="98"/>
      <c r="O199" s="147" t="str">
        <f>O156</f>
        <v>CERTIFICADO N°:</v>
      </c>
      <c r="P199" s="147"/>
      <c r="Q199" s="147"/>
      <c r="R199" s="147">
        <f>R156</f>
        <v>0</v>
      </c>
      <c r="S199" s="147"/>
    </row>
    <row r="200" spans="2:19" x14ac:dyDescent="0.3">
      <c r="N200" s="98"/>
      <c r="O200" s="26"/>
      <c r="P200" s="26"/>
      <c r="Q200" s="26"/>
      <c r="R200" s="26"/>
      <c r="S200" s="26"/>
    </row>
    <row r="201" spans="2:19" x14ac:dyDescent="0.3">
      <c r="N201" s="98"/>
      <c r="O201" s="26"/>
      <c r="P201" s="26"/>
      <c r="Q201" s="26"/>
      <c r="R201" s="26"/>
      <c r="S201" s="26"/>
    </row>
    <row r="202" spans="2:19" x14ac:dyDescent="0.3">
      <c r="B202" s="19" t="s">
        <v>253</v>
      </c>
      <c r="C202" s="19" t="s">
        <v>190</v>
      </c>
      <c r="N202" s="98"/>
      <c r="O202" s="26"/>
      <c r="P202" s="26"/>
      <c r="Q202" s="26"/>
      <c r="R202" s="26"/>
      <c r="S202" s="26"/>
    </row>
    <row r="203" spans="2:19" x14ac:dyDescent="0.3">
      <c r="B203" s="19"/>
      <c r="C203" s="19"/>
      <c r="N203" s="98"/>
      <c r="O203" s="26"/>
      <c r="P203" s="26"/>
      <c r="Q203" s="26"/>
      <c r="R203" s="26"/>
      <c r="S203" s="26"/>
    </row>
    <row r="204" spans="2:19" x14ac:dyDescent="0.3">
      <c r="N204" s="98"/>
      <c r="O204" s="26"/>
      <c r="P204" s="26"/>
      <c r="Q204" s="26"/>
      <c r="R204" s="26"/>
      <c r="S204" s="26"/>
    </row>
    <row r="205" spans="2:19" x14ac:dyDescent="0.3">
      <c r="B205" s="187" t="s">
        <v>191</v>
      </c>
      <c r="C205" s="187"/>
      <c r="D205" s="187"/>
      <c r="E205" s="187"/>
      <c r="F205" s="187"/>
      <c r="G205" s="196"/>
      <c r="H205" s="197"/>
      <c r="I205" s="198"/>
      <c r="J205" s="113" t="s">
        <v>178</v>
      </c>
      <c r="N205" s="98"/>
      <c r="O205" s="26"/>
      <c r="P205" s="26"/>
      <c r="Q205" s="26"/>
      <c r="R205" s="26"/>
      <c r="S205" s="26"/>
    </row>
    <row r="206" spans="2:19" x14ac:dyDescent="0.3">
      <c r="B206" s="187" t="s">
        <v>192</v>
      </c>
      <c r="C206" s="187"/>
      <c r="D206" s="187"/>
      <c r="E206" s="187"/>
      <c r="F206" s="187"/>
      <c r="G206" s="191"/>
      <c r="H206" s="191"/>
      <c r="I206" s="191"/>
      <c r="J206" s="113" t="s">
        <v>177</v>
      </c>
      <c r="N206" s="98"/>
      <c r="O206" s="26"/>
      <c r="P206" s="26"/>
      <c r="Q206" s="26"/>
      <c r="R206" s="26"/>
      <c r="S206" s="26"/>
    </row>
    <row r="207" spans="2:19" x14ac:dyDescent="0.3">
      <c r="B207" s="187" t="s">
        <v>193</v>
      </c>
      <c r="C207" s="187"/>
      <c r="D207" s="187"/>
      <c r="E207" s="187"/>
      <c r="F207" s="187"/>
      <c r="G207" s="191"/>
      <c r="H207" s="191"/>
      <c r="I207" s="191"/>
      <c r="J207" s="113" t="s">
        <v>195</v>
      </c>
      <c r="N207" s="98"/>
      <c r="O207" s="26"/>
      <c r="P207" s="26"/>
      <c r="Q207" s="26"/>
      <c r="R207" s="26"/>
      <c r="S207" s="26"/>
    </row>
    <row r="208" spans="2:19" x14ac:dyDescent="0.3">
      <c r="B208" s="187" t="s">
        <v>194</v>
      </c>
      <c r="C208" s="187"/>
      <c r="D208" s="187"/>
      <c r="E208" s="187"/>
      <c r="F208" s="187"/>
      <c r="G208" s="186"/>
      <c r="H208" s="186"/>
      <c r="I208" s="186"/>
      <c r="J208" s="113" t="s">
        <v>195</v>
      </c>
      <c r="N208" s="98"/>
      <c r="O208" s="26"/>
      <c r="P208" s="26"/>
      <c r="Q208" s="26"/>
      <c r="R208" s="26"/>
      <c r="S208" s="26"/>
    </row>
    <row r="209" spans="2:19" x14ac:dyDescent="0.3">
      <c r="N209" s="98"/>
      <c r="O209" s="26"/>
      <c r="P209" s="26"/>
      <c r="Q209" s="26"/>
      <c r="R209" s="26"/>
      <c r="S209" s="26"/>
    </row>
    <row r="210" spans="2:19" x14ac:dyDescent="0.3">
      <c r="N210" s="98"/>
      <c r="O210" s="26"/>
      <c r="P210" s="26"/>
      <c r="Q210" s="26"/>
      <c r="R210" s="26"/>
      <c r="S210" s="26"/>
    </row>
    <row r="211" spans="2:19" x14ac:dyDescent="0.3">
      <c r="N211" s="98"/>
    </row>
    <row r="212" spans="2:19" x14ac:dyDescent="0.3">
      <c r="B212" s="19" t="s">
        <v>254</v>
      </c>
      <c r="N212" s="98"/>
    </row>
    <row r="213" spans="2:19" x14ac:dyDescent="0.3">
      <c r="B213" s="19"/>
      <c r="N213" s="98"/>
    </row>
    <row r="214" spans="2:19" x14ac:dyDescent="0.3">
      <c r="B214" s="19"/>
    </row>
    <row r="215" spans="2:19" ht="30" customHeight="1" x14ac:dyDescent="0.3">
      <c r="C215" s="138" t="s">
        <v>142</v>
      </c>
      <c r="D215" s="138"/>
      <c r="E215" s="138"/>
      <c r="F215" s="138"/>
      <c r="G215" s="138" t="s">
        <v>143</v>
      </c>
      <c r="H215" s="138"/>
      <c r="I215" s="138"/>
      <c r="J215" s="138"/>
      <c r="K215" s="139" t="s">
        <v>239</v>
      </c>
      <c r="L215" s="140"/>
      <c r="M215" s="140"/>
      <c r="N215" s="141"/>
      <c r="O215" s="142" t="s">
        <v>209</v>
      </c>
      <c r="P215" s="142"/>
      <c r="Q215" s="142"/>
    </row>
    <row r="216" spans="2:19" x14ac:dyDescent="0.3">
      <c r="C216" s="143" t="e">
        <f>MIN(#REF!)</f>
        <v>#REF!</v>
      </c>
      <c r="D216" s="186"/>
      <c r="E216" s="186"/>
      <c r="F216" s="186"/>
      <c r="G216" s="143" t="e">
        <f>MAX(#REF!)</f>
        <v>#REF!</v>
      </c>
      <c r="H216" s="186"/>
      <c r="I216" s="186"/>
      <c r="J216" s="186"/>
      <c r="K216" s="144" t="e">
        <f>AVERAGE(#REF!)</f>
        <v>#REF!</v>
      </c>
      <c r="L216" s="145"/>
      <c r="M216" s="145"/>
      <c r="N216" s="146"/>
      <c r="O216" s="199" t="e">
        <f>STDEV(C216:J216)</f>
        <v>#REF!</v>
      </c>
      <c r="P216" s="199"/>
      <c r="Q216" s="199"/>
    </row>
    <row r="217" spans="2:19" x14ac:dyDescent="0.3">
      <c r="C217" s="25"/>
      <c r="D217" s="25"/>
      <c r="E217" s="25"/>
      <c r="F217" s="25"/>
      <c r="G217" s="25"/>
      <c r="H217" s="25"/>
      <c r="I217" s="25"/>
      <c r="J217" s="25"/>
      <c r="K217" s="25"/>
      <c r="L217" s="25"/>
      <c r="M217" s="25"/>
      <c r="N217" s="25"/>
      <c r="O217" s="54"/>
      <c r="P217" s="54"/>
      <c r="Q217" s="54"/>
    </row>
    <row r="218" spans="2:19" x14ac:dyDescent="0.3">
      <c r="C218" s="194" t="s">
        <v>144</v>
      </c>
      <c r="D218" s="194"/>
      <c r="E218" s="194"/>
      <c r="F218" s="194"/>
      <c r="G218" s="194" t="s">
        <v>145</v>
      </c>
      <c r="H218" s="194"/>
      <c r="I218" s="194"/>
      <c r="J218" s="194"/>
      <c r="K218" s="200" t="s">
        <v>146</v>
      </c>
      <c r="L218" s="201"/>
      <c r="M218" s="201"/>
      <c r="N218" s="202"/>
      <c r="O218" s="142" t="s">
        <v>209</v>
      </c>
      <c r="P218" s="142"/>
      <c r="Q218" s="142"/>
    </row>
    <row r="219" spans="2:19" x14ac:dyDescent="0.3">
      <c r="C219" s="143" t="e">
        <f>MIN(#REF!)</f>
        <v>#REF!</v>
      </c>
      <c r="D219" s="186"/>
      <c r="E219" s="186"/>
      <c r="F219" s="186"/>
      <c r="G219" s="143">
        <f>MAX(P24:Q198)</f>
        <v>0</v>
      </c>
      <c r="H219" s="186"/>
      <c r="I219" s="186"/>
      <c r="J219" s="186"/>
      <c r="K219" s="144" t="e">
        <f>AVERAGE(#REF!)</f>
        <v>#REF!</v>
      </c>
      <c r="L219" s="145"/>
      <c r="M219" s="145"/>
      <c r="N219" s="146"/>
      <c r="O219" s="199" t="e">
        <f>STDEV(C219:J219)</f>
        <v>#REF!</v>
      </c>
      <c r="P219" s="199"/>
      <c r="Q219" s="199"/>
    </row>
    <row r="220" spans="2:19" x14ac:dyDescent="0.3">
      <c r="C220" s="54"/>
      <c r="D220" s="54"/>
      <c r="E220" s="54"/>
      <c r="F220" s="54"/>
      <c r="G220" s="54"/>
      <c r="H220" s="54"/>
      <c r="I220" s="54"/>
      <c r="J220" s="54"/>
      <c r="K220" s="54"/>
      <c r="L220" s="54"/>
      <c r="M220" s="54"/>
      <c r="N220" s="54"/>
      <c r="O220" s="54"/>
      <c r="P220" s="54"/>
      <c r="Q220" s="54"/>
    </row>
    <row r="221" spans="2:19" ht="33" customHeight="1" x14ac:dyDescent="0.3">
      <c r="C221" s="138" t="s">
        <v>136</v>
      </c>
      <c r="D221" s="138"/>
      <c r="E221" s="138"/>
      <c r="F221" s="138" t="s">
        <v>138</v>
      </c>
      <c r="G221" s="138"/>
      <c r="H221" s="138"/>
      <c r="I221" s="138" t="s">
        <v>139</v>
      </c>
      <c r="J221" s="138"/>
      <c r="K221" s="138"/>
      <c r="L221" s="139" t="s">
        <v>135</v>
      </c>
      <c r="M221" s="140"/>
      <c r="N221" s="141"/>
      <c r="O221" s="142" t="s">
        <v>10</v>
      </c>
      <c r="P221" s="142"/>
      <c r="Q221" s="54"/>
    </row>
    <row r="222" spans="2:19" x14ac:dyDescent="0.3">
      <c r="C222" s="195" t="e">
        <f>K216</f>
        <v>#REF!</v>
      </c>
      <c r="D222" s="195"/>
      <c r="E222" s="195"/>
      <c r="F222" s="195">
        <v>124</v>
      </c>
      <c r="G222" s="195"/>
      <c r="H222" s="195"/>
      <c r="I222" s="195" t="e">
        <f>F222-C222</f>
        <v>#REF!</v>
      </c>
      <c r="J222" s="195"/>
      <c r="K222" s="195"/>
      <c r="L222" s="134">
        <v>0.4</v>
      </c>
      <c r="M222" s="135"/>
      <c r="N222" s="136"/>
      <c r="O222" s="195">
        <v>2</v>
      </c>
      <c r="P222" s="195"/>
      <c r="Q222" s="54"/>
    </row>
    <row r="223" spans="2:19" x14ac:dyDescent="0.3">
      <c r="C223" s="54"/>
      <c r="D223" s="54"/>
      <c r="E223" s="54"/>
      <c r="F223" s="54"/>
      <c r="G223" s="54"/>
      <c r="H223" s="54"/>
      <c r="I223" s="54"/>
      <c r="J223" s="54"/>
      <c r="K223" s="54"/>
      <c r="L223" s="54"/>
      <c r="M223" s="54"/>
      <c r="N223" s="54"/>
      <c r="O223" s="54"/>
      <c r="P223" s="54"/>
      <c r="Q223" s="54"/>
    </row>
    <row r="224" spans="2:19" ht="28.8" customHeight="1" x14ac:dyDescent="0.3">
      <c r="C224" s="138" t="s">
        <v>137</v>
      </c>
      <c r="D224" s="138"/>
      <c r="E224" s="138"/>
      <c r="F224" s="138" t="s">
        <v>140</v>
      </c>
      <c r="G224" s="138"/>
      <c r="H224" s="138"/>
      <c r="I224" s="138" t="s">
        <v>141</v>
      </c>
      <c r="J224" s="138"/>
      <c r="K224" s="138"/>
      <c r="L224" s="139" t="s">
        <v>135</v>
      </c>
      <c r="M224" s="140"/>
      <c r="N224" s="141"/>
      <c r="O224" s="142" t="s">
        <v>10</v>
      </c>
      <c r="P224" s="142"/>
      <c r="Q224" s="54"/>
    </row>
    <row r="225" spans="3:19" x14ac:dyDescent="0.3">
      <c r="C225" s="143" t="e">
        <f>K219</f>
        <v>#REF!</v>
      </c>
      <c r="D225" s="143"/>
      <c r="E225" s="143"/>
      <c r="F225" s="143">
        <v>2</v>
      </c>
      <c r="G225" s="143"/>
      <c r="H225" s="143"/>
      <c r="I225" s="143" t="e">
        <f>F225-C225</f>
        <v>#REF!</v>
      </c>
      <c r="J225" s="143"/>
      <c r="K225" s="143"/>
      <c r="L225" s="144">
        <v>0.06</v>
      </c>
      <c r="M225" s="145"/>
      <c r="N225" s="146"/>
      <c r="O225" s="195">
        <v>2</v>
      </c>
      <c r="P225" s="195"/>
      <c r="Q225" s="54"/>
    </row>
    <row r="227" spans="3:19" ht="30.6" customHeight="1" x14ac:dyDescent="0.3">
      <c r="C227" s="138" t="s">
        <v>142</v>
      </c>
      <c r="D227" s="138"/>
      <c r="E227" s="138"/>
      <c r="F227" s="138"/>
      <c r="G227" s="138" t="s">
        <v>143</v>
      </c>
      <c r="H227" s="138"/>
      <c r="I227" s="138"/>
      <c r="J227" s="138"/>
      <c r="K227" s="130" t="s">
        <v>147</v>
      </c>
      <c r="L227" s="131"/>
      <c r="M227" s="132"/>
    </row>
    <row r="228" spans="3:19" x14ac:dyDescent="0.3">
      <c r="C228" s="143" t="e">
        <f>C216</f>
        <v>#REF!</v>
      </c>
      <c r="D228" s="186"/>
      <c r="E228" s="186"/>
      <c r="F228" s="186"/>
      <c r="G228" s="143" t="e">
        <f>G216</f>
        <v>#REF!</v>
      </c>
      <c r="H228" s="186"/>
      <c r="I228" s="186"/>
      <c r="J228" s="186"/>
      <c r="K228" s="127" t="e">
        <f>G228-C228</f>
        <v>#REF!</v>
      </c>
      <c r="L228" s="128"/>
      <c r="M228" s="129"/>
    </row>
    <row r="229" spans="3:19" x14ac:dyDescent="0.3">
      <c r="C229" s="25"/>
      <c r="D229" s="25"/>
      <c r="E229" s="25"/>
      <c r="F229" s="25"/>
      <c r="G229" s="25"/>
      <c r="H229" s="25"/>
      <c r="I229" s="25"/>
      <c r="J229" s="25"/>
    </row>
    <row r="230" spans="3:19" x14ac:dyDescent="0.3">
      <c r="C230" s="194" t="s">
        <v>144</v>
      </c>
      <c r="D230" s="194"/>
      <c r="E230" s="194"/>
      <c r="F230" s="194"/>
      <c r="G230" s="194" t="s">
        <v>145</v>
      </c>
      <c r="H230" s="194"/>
      <c r="I230" s="194"/>
      <c r="J230" s="194"/>
      <c r="K230" s="124" t="s">
        <v>148</v>
      </c>
      <c r="L230" s="125"/>
      <c r="M230" s="126"/>
    </row>
    <row r="231" spans="3:19" x14ac:dyDescent="0.3">
      <c r="C231" s="143" t="e">
        <f>C219</f>
        <v>#REF!</v>
      </c>
      <c r="D231" s="186"/>
      <c r="E231" s="186"/>
      <c r="F231" s="186"/>
      <c r="G231" s="143">
        <f>G219</f>
        <v>0</v>
      </c>
      <c r="H231" s="186"/>
      <c r="I231" s="186"/>
      <c r="J231" s="186"/>
      <c r="K231" s="127" t="e">
        <f>G231-C231</f>
        <v>#REF!</v>
      </c>
      <c r="L231" s="128"/>
      <c r="M231" s="129"/>
    </row>
    <row r="232" spans="3:19" x14ac:dyDescent="0.3">
      <c r="C232" s="119"/>
      <c r="D232" s="25"/>
      <c r="E232" s="25"/>
      <c r="F232" s="25"/>
      <c r="G232" s="119"/>
      <c r="H232" s="25"/>
      <c r="I232" s="25"/>
      <c r="J232" s="25"/>
      <c r="K232" s="120"/>
      <c r="L232" s="120"/>
      <c r="M232" s="120"/>
    </row>
    <row r="233" spans="3:19" x14ac:dyDescent="0.3">
      <c r="C233" s="119"/>
      <c r="D233" s="25"/>
      <c r="E233" s="25"/>
      <c r="F233" s="25"/>
      <c r="G233" s="119"/>
      <c r="H233" s="25"/>
      <c r="I233" s="25"/>
      <c r="J233" s="25"/>
      <c r="K233" s="120"/>
      <c r="L233" s="120"/>
      <c r="M233" s="120"/>
    </row>
    <row r="234" spans="3:19" x14ac:dyDescent="0.3">
      <c r="C234" s="119"/>
      <c r="D234" s="25"/>
      <c r="E234" s="25"/>
      <c r="F234" s="25"/>
      <c r="G234" s="119"/>
      <c r="H234" s="25"/>
      <c r="I234" s="25"/>
      <c r="J234" s="25"/>
      <c r="K234" s="120"/>
      <c r="L234" s="120"/>
      <c r="M234" s="120"/>
    </row>
    <row r="235" spans="3:19" x14ac:dyDescent="0.3">
      <c r="C235" s="119"/>
      <c r="D235" s="25"/>
      <c r="E235" s="25"/>
      <c r="F235" s="25"/>
      <c r="G235" s="119"/>
      <c r="H235" s="25"/>
      <c r="I235" s="25"/>
      <c r="J235" s="25"/>
      <c r="K235" s="120"/>
      <c r="L235" s="120"/>
      <c r="M235" s="120"/>
    </row>
    <row r="236" spans="3:19" x14ac:dyDescent="0.3">
      <c r="C236" s="119"/>
      <c r="D236" s="25"/>
      <c r="E236" s="25"/>
      <c r="F236" s="25"/>
      <c r="G236" s="119"/>
      <c r="H236" s="25"/>
      <c r="I236" s="25"/>
      <c r="J236" s="25"/>
      <c r="K236" s="120"/>
      <c r="L236" s="120"/>
      <c r="M236" s="120"/>
    </row>
    <row r="237" spans="3:19" x14ac:dyDescent="0.3">
      <c r="C237" s="119"/>
      <c r="D237" s="25"/>
      <c r="E237" s="25"/>
      <c r="F237" s="25"/>
      <c r="G237" s="119"/>
      <c r="H237" s="25"/>
      <c r="I237" s="25"/>
      <c r="J237" s="25"/>
      <c r="K237" s="120"/>
      <c r="L237" s="120"/>
      <c r="M237" s="120"/>
      <c r="O237" s="147" t="str">
        <f>O199</f>
        <v>CERTIFICADO N°:</v>
      </c>
      <c r="P237" s="147"/>
      <c r="Q237" s="147"/>
      <c r="R237" s="147">
        <f>R199</f>
        <v>0</v>
      </c>
      <c r="S237" s="147"/>
    </row>
    <row r="238" spans="3:19" x14ac:dyDescent="0.3">
      <c r="C238" s="119"/>
      <c r="D238" s="25"/>
      <c r="E238" s="25"/>
      <c r="F238" s="25"/>
      <c r="G238" s="119"/>
      <c r="H238" s="25"/>
      <c r="I238" s="25"/>
      <c r="J238" s="25"/>
      <c r="K238" s="120"/>
      <c r="L238" s="120"/>
      <c r="M238" s="120"/>
      <c r="O238" s="26"/>
      <c r="P238" s="26"/>
      <c r="Q238" s="26"/>
      <c r="R238" s="26"/>
      <c r="S238" s="26"/>
    </row>
    <row r="239" spans="3:19" x14ac:dyDescent="0.3">
      <c r="C239" s="119"/>
      <c r="D239" s="25"/>
      <c r="E239" s="25"/>
      <c r="F239" s="25"/>
      <c r="G239" s="119"/>
      <c r="H239" s="25"/>
      <c r="I239" s="25"/>
      <c r="J239" s="25"/>
      <c r="K239" s="120"/>
      <c r="L239" s="120"/>
      <c r="M239" s="120"/>
      <c r="O239" s="26"/>
      <c r="P239" s="26"/>
      <c r="Q239" s="26"/>
      <c r="R239" s="26"/>
      <c r="S239" s="26"/>
    </row>
    <row r="241" spans="2:19" x14ac:dyDescent="0.3">
      <c r="B241" s="54" t="s">
        <v>240</v>
      </c>
    </row>
    <row r="243" spans="2:19" ht="20.399999999999999" customHeight="1" x14ac:dyDescent="0.3">
      <c r="B243" s="148" t="s">
        <v>241</v>
      </c>
      <c r="C243" s="148"/>
      <c r="D243" s="148"/>
      <c r="E243" s="148"/>
      <c r="F243" s="148"/>
      <c r="G243" s="148"/>
      <c r="H243" s="148"/>
      <c r="I243" s="148"/>
      <c r="J243" s="148"/>
      <c r="K243" s="148"/>
      <c r="L243" s="148"/>
      <c r="M243" s="148"/>
      <c r="N243" s="148"/>
      <c r="O243" s="148"/>
      <c r="P243" s="148"/>
      <c r="Q243" s="148"/>
      <c r="R243" s="148"/>
      <c r="S243" s="148"/>
    </row>
    <row r="244" spans="2:19" ht="21" customHeight="1" x14ac:dyDescent="0.3">
      <c r="B244" s="148"/>
      <c r="C244" s="148"/>
      <c r="D244" s="148"/>
      <c r="E244" s="148"/>
      <c r="F244" s="148"/>
      <c r="G244" s="148"/>
      <c r="H244" s="148"/>
      <c r="I244" s="148"/>
      <c r="J244" s="148"/>
      <c r="K244" s="148"/>
      <c r="L244" s="148"/>
      <c r="M244" s="148"/>
      <c r="N244" s="148"/>
      <c r="O244" s="148"/>
      <c r="P244" s="148"/>
      <c r="Q244" s="148"/>
      <c r="R244" s="148"/>
      <c r="S244" s="148"/>
    </row>
    <row r="246" spans="2:19" ht="14.4" customHeight="1" x14ac:dyDescent="0.3">
      <c r="B246" s="148" t="s">
        <v>242</v>
      </c>
      <c r="C246" s="148"/>
      <c r="D246" s="148"/>
      <c r="E246" s="148"/>
      <c r="F246" s="148"/>
      <c r="G246" s="148"/>
      <c r="H246" s="148"/>
      <c r="I246" s="148"/>
      <c r="J246" s="148"/>
      <c r="K246" s="148"/>
      <c r="L246" s="148"/>
      <c r="M246" s="148"/>
      <c r="N246" s="148"/>
      <c r="O246" s="148"/>
      <c r="P246" s="148"/>
      <c r="Q246" s="148"/>
      <c r="R246" s="148"/>
      <c r="S246" s="148"/>
    </row>
    <row r="247" spans="2:19" x14ac:dyDescent="0.3">
      <c r="B247" s="148"/>
      <c r="C247" s="148"/>
      <c r="D247" s="148"/>
      <c r="E247" s="148"/>
      <c r="F247" s="148"/>
      <c r="G247" s="148"/>
      <c r="H247" s="148"/>
      <c r="I247" s="148"/>
      <c r="J247" s="148"/>
      <c r="K247" s="148"/>
      <c r="L247" s="148"/>
      <c r="M247" s="148"/>
      <c r="N247" s="148"/>
      <c r="O247" s="148"/>
      <c r="P247" s="148"/>
      <c r="Q247" s="148"/>
      <c r="R247" s="148"/>
      <c r="S247" s="148"/>
    </row>
    <row r="249" spans="2:19" ht="14.4" customHeight="1" x14ac:dyDescent="0.3">
      <c r="B249" s="148" t="s">
        <v>243</v>
      </c>
      <c r="C249" s="148"/>
      <c r="D249" s="148"/>
      <c r="E249" s="148"/>
      <c r="F249" s="148"/>
      <c r="G249" s="148"/>
      <c r="H249" s="148"/>
      <c r="I249" s="148"/>
      <c r="J249" s="148"/>
      <c r="K249" s="148"/>
      <c r="L249" s="148"/>
      <c r="M249" s="148"/>
      <c r="N249" s="148"/>
      <c r="O249" s="148"/>
      <c r="P249" s="148"/>
      <c r="Q249" s="148"/>
      <c r="R249" s="148"/>
      <c r="S249" s="148"/>
    </row>
    <row r="250" spans="2:19" x14ac:dyDescent="0.3">
      <c r="B250" s="148"/>
      <c r="C250" s="148"/>
      <c r="D250" s="148"/>
      <c r="E250" s="148"/>
      <c r="F250" s="148"/>
      <c r="G250" s="148"/>
      <c r="H250" s="148"/>
      <c r="I250" s="148"/>
      <c r="J250" s="148"/>
      <c r="K250" s="148"/>
      <c r="L250" s="148"/>
      <c r="M250" s="148"/>
      <c r="N250" s="148"/>
      <c r="O250" s="148"/>
      <c r="P250" s="148"/>
      <c r="Q250" s="148"/>
      <c r="R250" s="148"/>
      <c r="S250" s="148"/>
    </row>
    <row r="252" spans="2:19" ht="14.4" customHeight="1" x14ac:dyDescent="0.3">
      <c r="B252" s="148" t="s">
        <v>244</v>
      </c>
      <c r="C252" s="148"/>
      <c r="D252" s="148"/>
      <c r="E252" s="148"/>
      <c r="F252" s="148"/>
      <c r="G252" s="148"/>
      <c r="H252" s="148"/>
      <c r="I252" s="148"/>
      <c r="J252" s="148"/>
      <c r="K252" s="148"/>
      <c r="L252" s="148"/>
      <c r="M252" s="148"/>
      <c r="N252" s="148"/>
      <c r="O252" s="148"/>
      <c r="P252" s="148"/>
      <c r="Q252" s="148"/>
      <c r="R252" s="148"/>
      <c r="S252" s="148"/>
    </row>
    <row r="253" spans="2:19" ht="14.4" customHeight="1" x14ac:dyDescent="0.3">
      <c r="B253" s="148"/>
      <c r="C253" s="148"/>
      <c r="D253" s="148"/>
      <c r="E253" s="148"/>
      <c r="F253" s="148"/>
      <c r="G253" s="148"/>
      <c r="H253" s="148"/>
      <c r="I253" s="148"/>
      <c r="J253" s="148"/>
      <c r="K253" s="148"/>
      <c r="L253" s="148"/>
      <c r="M253" s="148"/>
      <c r="N253" s="148"/>
      <c r="O253" s="148"/>
      <c r="P253" s="148"/>
      <c r="Q253" s="148"/>
      <c r="R253" s="148"/>
      <c r="S253" s="148"/>
    </row>
    <row r="254" spans="2:19" x14ac:dyDescent="0.3">
      <c r="B254" s="59"/>
      <c r="C254" s="59"/>
      <c r="D254" s="59"/>
      <c r="E254" s="59"/>
      <c r="F254" s="59"/>
      <c r="G254" s="59"/>
      <c r="H254" s="59"/>
      <c r="I254" s="59"/>
      <c r="J254" s="59"/>
      <c r="K254" s="59"/>
      <c r="L254" s="59"/>
      <c r="M254" s="59"/>
      <c r="N254" s="59"/>
      <c r="O254" s="59"/>
      <c r="P254" s="59"/>
      <c r="Q254" s="59"/>
      <c r="R254" s="59"/>
      <c r="S254" s="59"/>
    </row>
    <row r="255" spans="2:19" ht="14.4" customHeight="1" x14ac:dyDescent="0.3">
      <c r="B255" s="212" t="s">
        <v>245</v>
      </c>
      <c r="C255" s="212"/>
      <c r="D255" s="212"/>
      <c r="E255" s="212"/>
      <c r="F255" s="212"/>
      <c r="G255" s="212"/>
      <c r="H255" s="212"/>
      <c r="I255" s="212"/>
      <c r="J255" s="212"/>
      <c r="K255" s="212"/>
      <c r="L255" s="212"/>
      <c r="M255" s="212"/>
      <c r="N255" s="212"/>
      <c r="O255" s="212"/>
      <c r="P255" s="212"/>
      <c r="Q255" s="212"/>
      <c r="R255" s="212"/>
      <c r="S255" s="212"/>
    </row>
    <row r="256" spans="2:19" x14ac:dyDescent="0.3">
      <c r="B256" s="212"/>
      <c r="C256" s="212"/>
      <c r="D256" s="212"/>
      <c r="E256" s="212"/>
      <c r="F256" s="212"/>
      <c r="G256" s="212"/>
      <c r="H256" s="212"/>
      <c r="I256" s="212"/>
      <c r="J256" s="212"/>
      <c r="K256" s="212"/>
      <c r="L256" s="212"/>
      <c r="M256" s="212"/>
      <c r="N256" s="212"/>
      <c r="O256" s="212"/>
      <c r="P256" s="212"/>
      <c r="Q256" s="212"/>
      <c r="R256" s="212"/>
      <c r="S256" s="212"/>
    </row>
    <row r="257" spans="2:19" x14ac:dyDescent="0.3">
      <c r="O257" s="19"/>
      <c r="P257" s="19"/>
      <c r="Q257" s="19"/>
      <c r="R257" s="19"/>
      <c r="S257" s="19"/>
    </row>
    <row r="259" spans="2:19" x14ac:dyDescent="0.3">
      <c r="B259" s="19" t="s">
        <v>255</v>
      </c>
    </row>
    <row r="261" spans="2:19" x14ac:dyDescent="0.3">
      <c r="C261" s="193" t="s">
        <v>113</v>
      </c>
      <c r="D261" s="193"/>
      <c r="E261" s="193"/>
      <c r="F261" s="193"/>
      <c r="G261" s="193" t="s">
        <v>114</v>
      </c>
      <c r="H261" s="193"/>
      <c r="I261" s="193"/>
      <c r="J261" s="193"/>
      <c r="K261" s="121" t="s">
        <v>149</v>
      </c>
      <c r="L261" s="122"/>
      <c r="M261" s="122"/>
      <c r="N261" s="123"/>
      <c r="O261" s="121" t="s">
        <v>150</v>
      </c>
      <c r="P261" s="122"/>
      <c r="Q261" s="122"/>
      <c r="R261" s="123"/>
    </row>
    <row r="262" spans="2:19" ht="25.2" customHeight="1" x14ac:dyDescent="0.3">
      <c r="C262" s="189" t="s">
        <v>152</v>
      </c>
      <c r="D262" s="189"/>
      <c r="E262" s="189"/>
      <c r="F262" s="189"/>
      <c r="G262" s="189" t="s">
        <v>161</v>
      </c>
      <c r="H262" s="189"/>
      <c r="I262" s="189"/>
      <c r="J262" s="189"/>
      <c r="K262" s="209" t="s">
        <v>151</v>
      </c>
      <c r="L262" s="210"/>
      <c r="M262" s="210"/>
      <c r="N262" s="211"/>
      <c r="O262" s="206" t="s">
        <v>115</v>
      </c>
      <c r="P262" s="207"/>
      <c r="Q262" s="207"/>
      <c r="R262" s="208"/>
    </row>
    <row r="263" spans="2:19" ht="25.2" customHeight="1" x14ac:dyDescent="0.3">
      <c r="C263" s="189" t="s">
        <v>153</v>
      </c>
      <c r="D263" s="189"/>
      <c r="E263" s="189"/>
      <c r="F263" s="189"/>
      <c r="G263" s="189" t="s">
        <v>162</v>
      </c>
      <c r="H263" s="189"/>
      <c r="I263" s="189"/>
      <c r="J263" s="189"/>
      <c r="K263" s="203" t="s">
        <v>159</v>
      </c>
      <c r="L263" s="204"/>
      <c r="M263" s="204"/>
      <c r="N263" s="205"/>
      <c r="O263" s="206" t="s">
        <v>115</v>
      </c>
      <c r="P263" s="207"/>
      <c r="Q263" s="207"/>
      <c r="R263" s="208"/>
    </row>
    <row r="264" spans="2:19" ht="25.2" customHeight="1" x14ac:dyDescent="0.3">
      <c r="C264" s="189" t="s">
        <v>154</v>
      </c>
      <c r="D264" s="189"/>
      <c r="E264" s="189"/>
      <c r="F264" s="189"/>
      <c r="G264" s="189" t="s">
        <v>163</v>
      </c>
      <c r="H264" s="189"/>
      <c r="I264" s="189"/>
      <c r="J264" s="189"/>
      <c r="K264" s="203" t="s">
        <v>196</v>
      </c>
      <c r="L264" s="204"/>
      <c r="M264" s="204"/>
      <c r="N264" s="205"/>
      <c r="O264" s="206" t="s">
        <v>115</v>
      </c>
      <c r="P264" s="207"/>
      <c r="Q264" s="207"/>
      <c r="R264" s="208"/>
    </row>
    <row r="265" spans="2:19" ht="25.2" customHeight="1" x14ac:dyDescent="0.3">
      <c r="C265" s="189" t="s">
        <v>155</v>
      </c>
      <c r="D265" s="189"/>
      <c r="E265" s="189"/>
      <c r="F265" s="189"/>
      <c r="G265" s="189" t="s">
        <v>164</v>
      </c>
      <c r="H265" s="189"/>
      <c r="I265" s="189"/>
      <c r="J265" s="189"/>
      <c r="K265" s="209" t="s">
        <v>198</v>
      </c>
      <c r="L265" s="210"/>
      <c r="M265" s="210"/>
      <c r="N265" s="211"/>
      <c r="O265" s="206" t="s">
        <v>115</v>
      </c>
      <c r="P265" s="207"/>
      <c r="Q265" s="207"/>
      <c r="R265" s="208"/>
    </row>
    <row r="266" spans="2:19" ht="25.2" customHeight="1" x14ac:dyDescent="0.3">
      <c r="C266" s="189" t="s">
        <v>197</v>
      </c>
      <c r="D266" s="189"/>
      <c r="E266" s="189"/>
      <c r="F266" s="189"/>
      <c r="G266" s="189"/>
      <c r="H266" s="189"/>
      <c r="I266" s="189"/>
      <c r="J266" s="189"/>
      <c r="K266" s="209" t="s">
        <v>199</v>
      </c>
      <c r="L266" s="210"/>
      <c r="M266" s="210"/>
      <c r="N266" s="211"/>
      <c r="O266" s="206" t="s">
        <v>115</v>
      </c>
      <c r="P266" s="207"/>
      <c r="Q266" s="207"/>
      <c r="R266" s="208"/>
    </row>
    <row r="267" spans="2:19" ht="25.2" customHeight="1" x14ac:dyDescent="0.3">
      <c r="C267" s="189" t="s">
        <v>193</v>
      </c>
      <c r="D267" s="189"/>
      <c r="E267" s="189"/>
      <c r="F267" s="189"/>
      <c r="G267" s="189"/>
      <c r="H267" s="189"/>
      <c r="I267" s="189"/>
      <c r="J267" s="189"/>
      <c r="K267" s="209" t="s">
        <v>160</v>
      </c>
      <c r="L267" s="210"/>
      <c r="M267" s="210"/>
      <c r="N267" s="211"/>
      <c r="O267" s="206" t="s">
        <v>115</v>
      </c>
      <c r="P267" s="207"/>
      <c r="Q267" s="207"/>
      <c r="R267" s="208"/>
    </row>
    <row r="268" spans="2:19" ht="25.2" customHeight="1" x14ac:dyDescent="0.3">
      <c r="C268" s="92"/>
      <c r="D268" s="92"/>
      <c r="E268" s="92"/>
      <c r="F268" s="92"/>
      <c r="G268" s="92"/>
      <c r="H268" s="92"/>
      <c r="I268" s="92"/>
      <c r="J268" s="92"/>
      <c r="K268" s="94"/>
      <c r="L268" s="94"/>
    </row>
    <row r="269" spans="2:19" x14ac:dyDescent="0.3">
      <c r="C269" s="92"/>
      <c r="D269" s="92"/>
      <c r="E269" s="92"/>
      <c r="F269" s="92"/>
      <c r="G269" s="92"/>
      <c r="H269" s="92"/>
      <c r="I269" s="92"/>
      <c r="J269" s="92"/>
      <c r="K269" s="94"/>
      <c r="L269" s="94"/>
    </row>
    <row r="270" spans="2:19" x14ac:dyDescent="0.3">
      <c r="C270" s="92"/>
      <c r="D270" s="92"/>
      <c r="E270" s="92"/>
      <c r="F270" s="92"/>
      <c r="G270" s="92"/>
      <c r="H270" s="92"/>
      <c r="I270" s="92"/>
      <c r="J270" s="92"/>
      <c r="K270" s="94"/>
      <c r="L270" s="94"/>
      <c r="M270" s="94"/>
      <c r="N270" s="94"/>
      <c r="O270" s="96"/>
      <c r="P270" s="96"/>
      <c r="Q270" s="96"/>
      <c r="R270" s="96"/>
    </row>
    <row r="271" spans="2:19" x14ac:dyDescent="0.3">
      <c r="C271" s="92"/>
      <c r="D271" s="92"/>
      <c r="E271" s="92"/>
      <c r="F271" s="92"/>
      <c r="G271" s="92"/>
      <c r="H271" s="92"/>
      <c r="I271" s="92"/>
      <c r="J271" s="92"/>
      <c r="K271" s="94"/>
      <c r="L271" s="94"/>
      <c r="M271" s="94"/>
      <c r="N271" s="94"/>
      <c r="O271" s="96"/>
      <c r="P271" s="96"/>
      <c r="Q271" s="96"/>
      <c r="R271" s="96"/>
    </row>
    <row r="272" spans="2:19" x14ac:dyDescent="0.3">
      <c r="C272" s="92"/>
      <c r="D272" s="92"/>
      <c r="E272" s="92"/>
      <c r="F272" s="92"/>
      <c r="G272" s="92"/>
      <c r="H272" s="92"/>
      <c r="I272" s="92"/>
      <c r="J272" s="92"/>
      <c r="K272" s="94"/>
      <c r="L272" s="94"/>
      <c r="M272" s="94"/>
      <c r="N272" s="94"/>
      <c r="O272" s="96"/>
      <c r="P272" s="96"/>
      <c r="Q272" s="96"/>
      <c r="R272" s="96"/>
    </row>
    <row r="273" spans="2:19" x14ac:dyDescent="0.3">
      <c r="C273" s="92"/>
      <c r="D273" s="92"/>
      <c r="E273" s="92"/>
      <c r="F273" s="92"/>
      <c r="G273" s="92"/>
      <c r="H273" s="92"/>
      <c r="I273" s="92"/>
      <c r="J273" s="92"/>
      <c r="K273" s="94"/>
      <c r="L273" s="94"/>
      <c r="M273" s="94"/>
      <c r="N273" s="94"/>
      <c r="O273" s="96"/>
      <c r="P273" s="96"/>
      <c r="Q273" s="96"/>
      <c r="R273" s="96"/>
    </row>
    <row r="274" spans="2:19" x14ac:dyDescent="0.3">
      <c r="C274" s="92"/>
      <c r="D274" s="92"/>
      <c r="E274" s="92"/>
      <c r="F274" s="92"/>
      <c r="G274" s="25"/>
      <c r="H274" s="25"/>
      <c r="I274" s="25"/>
      <c r="J274" s="25"/>
      <c r="K274" s="94"/>
      <c r="L274" s="95"/>
      <c r="M274" s="95"/>
      <c r="O274" s="147" t="str">
        <f>O237</f>
        <v>CERTIFICADO N°:</v>
      </c>
      <c r="P274" s="147"/>
      <c r="Q274" s="147"/>
      <c r="R274" s="147">
        <f>R237</f>
        <v>0</v>
      </c>
      <c r="S274" s="147"/>
    </row>
    <row r="275" spans="2:19" ht="12.6" customHeight="1" x14ac:dyDescent="0.3">
      <c r="C275" s="92"/>
      <c r="D275" s="92"/>
      <c r="E275" s="92"/>
      <c r="F275" s="92"/>
      <c r="G275" s="25"/>
      <c r="H275" s="25"/>
      <c r="I275" s="25"/>
      <c r="J275" s="25"/>
      <c r="K275" s="94"/>
      <c r="L275" s="95"/>
      <c r="M275" s="95"/>
    </row>
    <row r="276" spans="2:19" ht="12.6" customHeight="1" x14ac:dyDescent="0.3">
      <c r="C276" s="92"/>
      <c r="D276" s="92"/>
      <c r="E276" s="92"/>
      <c r="F276" s="92"/>
      <c r="G276" s="25"/>
      <c r="H276" s="25"/>
      <c r="I276" s="25"/>
      <c r="J276" s="25"/>
      <c r="K276" s="94"/>
      <c r="L276" s="95"/>
      <c r="M276" s="95"/>
    </row>
    <row r="278" spans="2:19" x14ac:dyDescent="0.3">
      <c r="B278" s="19" t="s">
        <v>256</v>
      </c>
    </row>
    <row r="317" spans="15:19" x14ac:dyDescent="0.3">
      <c r="O317" s="147" t="str">
        <f>O274</f>
        <v>CERTIFICADO N°:</v>
      </c>
      <c r="P317" s="147"/>
      <c r="Q317" s="147"/>
      <c r="R317" s="147">
        <f>R274</f>
        <v>0</v>
      </c>
      <c r="S317" s="147"/>
    </row>
    <row r="318" spans="15:19" x14ac:dyDescent="0.3">
      <c r="O318" s="26"/>
      <c r="P318" s="26"/>
      <c r="Q318" s="26"/>
      <c r="R318" s="26"/>
      <c r="S318" s="26"/>
    </row>
    <row r="319" spans="15:19" x14ac:dyDescent="0.3">
      <c r="O319" s="26"/>
      <c r="P319" s="26"/>
      <c r="Q319" s="26"/>
      <c r="R319" s="26"/>
      <c r="S319" s="26"/>
    </row>
    <row r="321" spans="2:19" x14ac:dyDescent="0.3">
      <c r="B321" s="133" t="s">
        <v>200</v>
      </c>
      <c r="C321" s="133"/>
      <c r="D321" s="133"/>
      <c r="E321" s="133"/>
      <c r="F321" s="133"/>
      <c r="G321" s="133"/>
      <c r="H321" s="133"/>
      <c r="I321" s="133"/>
      <c r="J321" s="133"/>
      <c r="K321" s="133"/>
      <c r="L321" s="133"/>
      <c r="M321" s="133"/>
      <c r="N321" s="133"/>
      <c r="O321" s="133"/>
      <c r="P321" s="133"/>
      <c r="Q321" s="133"/>
      <c r="R321" s="133"/>
      <c r="S321" s="133"/>
    </row>
    <row r="323" spans="2:19" ht="14.4" customHeight="1" x14ac:dyDescent="0.3">
      <c r="B323" s="137" t="s">
        <v>246</v>
      </c>
      <c r="C323" s="137"/>
      <c r="D323" s="137"/>
      <c r="E323" s="137"/>
      <c r="F323" s="137"/>
      <c r="G323" s="137"/>
      <c r="H323" s="137"/>
      <c r="I323" s="137"/>
      <c r="J323" s="137"/>
      <c r="K323" s="137"/>
      <c r="L323" s="137"/>
      <c r="M323" s="137"/>
      <c r="N323" s="137"/>
      <c r="O323" s="137"/>
      <c r="P323" s="137"/>
      <c r="Q323" s="137"/>
      <c r="R323" s="137"/>
      <c r="S323" s="137"/>
    </row>
    <row r="324" spans="2:19" x14ac:dyDescent="0.3">
      <c r="B324" s="137"/>
      <c r="C324" s="137"/>
      <c r="D324" s="137"/>
      <c r="E324" s="137"/>
      <c r="F324" s="137"/>
      <c r="G324" s="137"/>
      <c r="H324" s="137"/>
      <c r="I324" s="137"/>
      <c r="J324" s="137"/>
      <c r="K324" s="137"/>
      <c r="L324" s="137"/>
      <c r="M324" s="137"/>
      <c r="N324" s="137"/>
      <c r="O324" s="137"/>
      <c r="P324" s="137"/>
      <c r="Q324" s="137"/>
      <c r="R324" s="137"/>
      <c r="S324" s="137"/>
    </row>
    <row r="326" spans="2:19" x14ac:dyDescent="0.3">
      <c r="B326" s="19" t="s">
        <v>156</v>
      </c>
    </row>
    <row r="328" spans="2:19" ht="14.4" customHeight="1" x14ac:dyDescent="0.3">
      <c r="B328" s="137" t="s">
        <v>234</v>
      </c>
      <c r="C328" s="137"/>
      <c r="D328" s="137"/>
      <c r="E328" s="137"/>
      <c r="F328" s="137"/>
      <c r="G328" s="137"/>
      <c r="H328" s="137"/>
      <c r="I328" s="137"/>
      <c r="J328" s="137"/>
      <c r="K328" s="137"/>
      <c r="L328" s="137"/>
      <c r="M328" s="137"/>
      <c r="N328" s="137"/>
      <c r="O328" s="137"/>
      <c r="P328" s="137"/>
      <c r="Q328" s="137"/>
      <c r="R328" s="137"/>
      <c r="S328" s="137"/>
    </row>
    <row r="329" spans="2:19" x14ac:dyDescent="0.3">
      <c r="B329" s="137"/>
      <c r="C329" s="137"/>
      <c r="D329" s="137"/>
      <c r="E329" s="137"/>
      <c r="F329" s="137"/>
      <c r="G329" s="137"/>
      <c r="H329" s="137"/>
      <c r="I329" s="137"/>
      <c r="J329" s="137"/>
      <c r="K329" s="137"/>
      <c r="L329" s="137"/>
      <c r="M329" s="137"/>
      <c r="N329" s="137"/>
      <c r="O329" s="137"/>
      <c r="P329" s="137"/>
      <c r="Q329" s="137"/>
      <c r="R329" s="137"/>
      <c r="S329" s="137"/>
    </row>
    <row r="331" spans="2:19" x14ac:dyDescent="0.3">
      <c r="B331" t="s">
        <v>247</v>
      </c>
    </row>
    <row r="333" spans="2:19" ht="14.4" customHeight="1" x14ac:dyDescent="0.3">
      <c r="B333" s="137" t="s">
        <v>235</v>
      </c>
      <c r="C333" s="137"/>
      <c r="D333" s="137"/>
      <c r="E333" s="137"/>
      <c r="F333" s="137"/>
      <c r="G333" s="137"/>
      <c r="H333" s="137"/>
      <c r="I333" s="137"/>
      <c r="J333" s="137"/>
      <c r="K333" s="137"/>
      <c r="L333" s="137"/>
      <c r="M333" s="137"/>
      <c r="N333" s="137"/>
      <c r="O333" s="137"/>
      <c r="P333" s="137"/>
      <c r="Q333" s="137"/>
      <c r="R333" s="137"/>
      <c r="S333" s="137"/>
    </row>
    <row r="334" spans="2:19" x14ac:dyDescent="0.3">
      <c r="B334" s="137"/>
      <c r="C334" s="137"/>
      <c r="D334" s="137"/>
      <c r="E334" s="137"/>
      <c r="F334" s="137"/>
      <c r="G334" s="137"/>
      <c r="H334" s="137"/>
      <c r="I334" s="137"/>
      <c r="J334" s="137"/>
      <c r="K334" s="137"/>
      <c r="L334" s="137"/>
      <c r="M334" s="137"/>
      <c r="N334" s="137"/>
      <c r="O334" s="137"/>
      <c r="P334" s="137"/>
      <c r="Q334" s="137"/>
      <c r="R334" s="137"/>
      <c r="S334" s="137"/>
    </row>
    <row r="336" spans="2:19" x14ac:dyDescent="0.3">
      <c r="B336" t="s">
        <v>236</v>
      </c>
    </row>
    <row r="338" spans="2:19" ht="14.4" customHeight="1" x14ac:dyDescent="0.3">
      <c r="B338" s="137" t="s">
        <v>237</v>
      </c>
      <c r="C338" s="137"/>
      <c r="D338" s="137"/>
      <c r="E338" s="137"/>
      <c r="F338" s="137"/>
      <c r="G338" s="137"/>
      <c r="H338" s="137"/>
      <c r="I338" s="137"/>
      <c r="J338" s="137"/>
      <c r="K338" s="137"/>
      <c r="L338" s="137"/>
      <c r="M338" s="137"/>
      <c r="N338" s="137"/>
      <c r="O338" s="137"/>
      <c r="P338" s="137"/>
      <c r="Q338" s="137"/>
      <c r="R338" s="137"/>
      <c r="S338" s="137"/>
    </row>
    <row r="339" spans="2:19" x14ac:dyDescent="0.3">
      <c r="B339" s="137"/>
      <c r="C339" s="137"/>
      <c r="D339" s="137"/>
      <c r="E339" s="137"/>
      <c r="F339" s="137"/>
      <c r="G339" s="137"/>
      <c r="H339" s="137"/>
      <c r="I339" s="137"/>
      <c r="J339" s="137"/>
      <c r="K339" s="137"/>
      <c r="L339" s="137"/>
      <c r="M339" s="137"/>
      <c r="N339" s="137"/>
      <c r="O339" s="137"/>
      <c r="P339" s="137"/>
      <c r="Q339" s="137"/>
      <c r="R339" s="137"/>
      <c r="S339" s="137"/>
    </row>
    <row r="341" spans="2:19" ht="14.4" customHeight="1" x14ac:dyDescent="0.3">
      <c r="B341" s="137" t="s">
        <v>248</v>
      </c>
      <c r="C341" s="137"/>
      <c r="D341" s="137"/>
      <c r="E341" s="137"/>
      <c r="F341" s="137"/>
      <c r="G341" s="137"/>
      <c r="H341" s="137"/>
      <c r="I341" s="137"/>
      <c r="J341" s="137"/>
      <c r="K341" s="137"/>
      <c r="L341" s="137"/>
      <c r="M341" s="137"/>
      <c r="N341" s="137"/>
      <c r="O341" s="137"/>
      <c r="P341" s="137"/>
      <c r="Q341" s="137"/>
      <c r="R341" s="137"/>
      <c r="S341" s="137"/>
    </row>
    <row r="342" spans="2:19" x14ac:dyDescent="0.3">
      <c r="B342" s="137"/>
      <c r="C342" s="137"/>
      <c r="D342" s="137"/>
      <c r="E342" s="137"/>
      <c r="F342" s="137"/>
      <c r="G342" s="137"/>
      <c r="H342" s="137"/>
      <c r="I342" s="137"/>
      <c r="J342" s="137"/>
      <c r="K342" s="137"/>
      <c r="L342" s="137"/>
      <c r="M342" s="137"/>
      <c r="N342" s="137"/>
      <c r="O342" s="137"/>
      <c r="P342" s="137"/>
      <c r="Q342" s="137"/>
      <c r="R342" s="137"/>
      <c r="S342" s="137"/>
    </row>
    <row r="344" spans="2:19" x14ac:dyDescent="0.3">
      <c r="B344" s="19"/>
    </row>
    <row r="360" spans="2:19" x14ac:dyDescent="0.3">
      <c r="O360" s="147" t="str">
        <f>O317</f>
        <v>CERTIFICADO N°:</v>
      </c>
      <c r="P360" s="147"/>
      <c r="Q360" s="147"/>
      <c r="R360" s="147">
        <f>R317</f>
        <v>0</v>
      </c>
      <c r="S360" s="147"/>
    </row>
    <row r="361" spans="2:19" x14ac:dyDescent="0.3">
      <c r="O361" s="26"/>
      <c r="P361" s="26"/>
      <c r="Q361" s="26"/>
      <c r="R361" s="26"/>
      <c r="S361" s="26"/>
    </row>
    <row r="362" spans="2:19" x14ac:dyDescent="0.3">
      <c r="O362" s="26"/>
      <c r="P362" s="26"/>
      <c r="Q362" s="26"/>
      <c r="R362" s="26"/>
      <c r="S362" s="26"/>
    </row>
    <row r="363" spans="2:19" x14ac:dyDescent="0.3">
      <c r="O363" s="26"/>
      <c r="P363" s="26"/>
      <c r="Q363" s="26"/>
      <c r="R363" s="26"/>
      <c r="S363" s="26"/>
    </row>
    <row r="365" spans="2:19" x14ac:dyDescent="0.3">
      <c r="B365" s="19" t="s">
        <v>257</v>
      </c>
    </row>
    <row r="366" spans="2:19" x14ac:dyDescent="0.3">
      <c r="B366" s="19"/>
    </row>
    <row r="367" spans="2:19" x14ac:dyDescent="0.3">
      <c r="B367" s="187" t="s">
        <v>191</v>
      </c>
      <c r="C367" s="187"/>
      <c r="D367" s="187"/>
      <c r="E367" s="187"/>
      <c r="F367" s="187"/>
      <c r="G367" s="196">
        <f>G205</f>
        <v>0</v>
      </c>
      <c r="H367" s="197"/>
      <c r="I367" s="198"/>
      <c r="J367" s="113" t="s">
        <v>178</v>
      </c>
    </row>
    <row r="368" spans="2:19" x14ac:dyDescent="0.3">
      <c r="B368" s="187" t="s">
        <v>201</v>
      </c>
      <c r="C368" s="187"/>
      <c r="D368" s="187"/>
      <c r="E368" s="187"/>
      <c r="F368" s="187"/>
      <c r="G368" s="196">
        <f>G206</f>
        <v>0</v>
      </c>
      <c r="H368" s="197"/>
      <c r="I368" s="198"/>
      <c r="J368" s="113" t="s">
        <v>177</v>
      </c>
    </row>
    <row r="369" spans="2:17" x14ac:dyDescent="0.3">
      <c r="B369" s="187" t="s">
        <v>193</v>
      </c>
      <c r="C369" s="187"/>
      <c r="D369" s="187"/>
      <c r="E369" s="187"/>
      <c r="F369" s="187"/>
      <c r="G369" s="196">
        <f>G207</f>
        <v>0</v>
      </c>
      <c r="H369" s="197"/>
      <c r="I369" s="198"/>
      <c r="J369" s="113" t="s">
        <v>195</v>
      </c>
    </row>
    <row r="370" spans="2:17" x14ac:dyDescent="0.3">
      <c r="B370" s="187" t="s">
        <v>194</v>
      </c>
      <c r="C370" s="187"/>
      <c r="D370" s="187"/>
      <c r="E370" s="187"/>
      <c r="F370" s="187"/>
      <c r="G370" s="196">
        <f>G208</f>
        <v>0</v>
      </c>
      <c r="H370" s="197"/>
      <c r="I370" s="198"/>
      <c r="J370" s="113" t="s">
        <v>195</v>
      </c>
    </row>
    <row r="373" spans="2:17" x14ac:dyDescent="0.3">
      <c r="B373" s="19" t="s">
        <v>258</v>
      </c>
    </row>
    <row r="374" spans="2:17" x14ac:dyDescent="0.3">
      <c r="B374" s="19"/>
    </row>
    <row r="375" spans="2:17" ht="29.4" customHeight="1" x14ac:dyDescent="0.3">
      <c r="C375" s="138" t="s">
        <v>142</v>
      </c>
      <c r="D375" s="138"/>
      <c r="E375" s="138"/>
      <c r="F375" s="138"/>
      <c r="G375" s="138" t="s">
        <v>143</v>
      </c>
      <c r="H375" s="138"/>
      <c r="I375" s="138"/>
      <c r="J375" s="138"/>
      <c r="K375" s="139" t="s">
        <v>239</v>
      </c>
      <c r="L375" s="140"/>
      <c r="M375" s="140"/>
      <c r="N375" s="141"/>
      <c r="O375" s="142" t="s">
        <v>209</v>
      </c>
      <c r="P375" s="142"/>
      <c r="Q375" s="142"/>
    </row>
    <row r="376" spans="2:17" x14ac:dyDescent="0.3">
      <c r="C376" s="143"/>
      <c r="D376" s="186"/>
      <c r="E376" s="186"/>
      <c r="F376" s="186"/>
      <c r="G376" s="143"/>
      <c r="H376" s="186"/>
      <c r="I376" s="186"/>
      <c r="J376" s="186"/>
      <c r="K376" s="144"/>
      <c r="L376" s="145"/>
      <c r="M376" s="145"/>
      <c r="N376" s="146"/>
      <c r="O376" s="199" t="e">
        <f>STDEVA(C376:J376)</f>
        <v>#DIV/0!</v>
      </c>
      <c r="P376" s="199"/>
      <c r="Q376" s="199"/>
    </row>
    <row r="377" spans="2:17" x14ac:dyDescent="0.3">
      <c r="C377" s="25"/>
      <c r="D377" s="25"/>
      <c r="E377" s="25"/>
      <c r="F377" s="25"/>
      <c r="G377" s="25"/>
      <c r="H377" s="25"/>
      <c r="I377" s="25"/>
      <c r="J377" s="25"/>
      <c r="K377" s="25"/>
      <c r="L377" s="25"/>
      <c r="M377" s="25"/>
      <c r="N377" s="25"/>
      <c r="O377" s="54"/>
      <c r="P377" s="54"/>
      <c r="Q377" s="54"/>
    </row>
    <row r="378" spans="2:17" x14ac:dyDescent="0.3">
      <c r="C378" s="194" t="s">
        <v>144</v>
      </c>
      <c r="D378" s="194"/>
      <c r="E378" s="194"/>
      <c r="F378" s="194"/>
      <c r="G378" s="194" t="s">
        <v>145</v>
      </c>
      <c r="H378" s="194"/>
      <c r="I378" s="194"/>
      <c r="J378" s="194"/>
      <c r="K378" s="200" t="s">
        <v>146</v>
      </c>
      <c r="L378" s="201"/>
      <c r="M378" s="201"/>
      <c r="N378" s="202"/>
      <c r="O378" s="142" t="s">
        <v>209</v>
      </c>
      <c r="P378" s="142"/>
      <c r="Q378" s="142"/>
    </row>
    <row r="379" spans="2:17" x14ac:dyDescent="0.3">
      <c r="C379" s="143"/>
      <c r="D379" s="186"/>
      <c r="E379" s="186"/>
      <c r="F379" s="186"/>
      <c r="G379" s="143"/>
      <c r="H379" s="186"/>
      <c r="I379" s="186"/>
      <c r="J379" s="186"/>
      <c r="K379" s="144"/>
      <c r="L379" s="145"/>
      <c r="M379" s="145"/>
      <c r="N379" s="146"/>
      <c r="O379" s="199" t="e">
        <f>STDEV(C379:J379)</f>
        <v>#DIV/0!</v>
      </c>
      <c r="P379" s="199"/>
      <c r="Q379" s="199"/>
    </row>
    <row r="380" spans="2:17" x14ac:dyDescent="0.3">
      <c r="C380" s="54"/>
      <c r="D380" s="54"/>
      <c r="E380" s="54"/>
      <c r="F380" s="54"/>
      <c r="G380" s="54"/>
      <c r="H380" s="54"/>
      <c r="I380" s="54"/>
      <c r="J380" s="54"/>
      <c r="K380" s="54"/>
      <c r="L380" s="54"/>
      <c r="M380" s="54"/>
      <c r="N380" s="54"/>
      <c r="O380" s="54"/>
      <c r="P380" s="54"/>
      <c r="Q380" s="54"/>
    </row>
    <row r="381" spans="2:17" ht="27.6" customHeight="1" x14ac:dyDescent="0.3">
      <c r="C381" s="138" t="s">
        <v>136</v>
      </c>
      <c r="D381" s="138"/>
      <c r="E381" s="138"/>
      <c r="F381" s="138" t="s">
        <v>138</v>
      </c>
      <c r="G381" s="138"/>
      <c r="H381" s="138"/>
      <c r="I381" s="138" t="s">
        <v>139</v>
      </c>
      <c r="J381" s="138"/>
      <c r="K381" s="138"/>
      <c r="L381" s="139" t="s">
        <v>135</v>
      </c>
      <c r="M381" s="140"/>
      <c r="N381" s="141"/>
      <c r="O381" s="142" t="s">
        <v>10</v>
      </c>
      <c r="P381" s="142"/>
      <c r="Q381" s="54"/>
    </row>
    <row r="382" spans="2:17" x14ac:dyDescent="0.3">
      <c r="C382" s="143"/>
      <c r="D382" s="143"/>
      <c r="E382" s="143"/>
      <c r="F382" s="195"/>
      <c r="G382" s="195"/>
      <c r="H382" s="195"/>
      <c r="I382" s="143">
        <f>F382-C382</f>
        <v>0</v>
      </c>
      <c r="J382" s="143"/>
      <c r="K382" s="143"/>
      <c r="L382" s="134">
        <v>0.5</v>
      </c>
      <c r="M382" s="135"/>
      <c r="N382" s="136"/>
      <c r="O382" s="195">
        <v>2</v>
      </c>
      <c r="P382" s="195"/>
      <c r="Q382" s="54"/>
    </row>
    <row r="383" spans="2:17" x14ac:dyDescent="0.3">
      <c r="C383" s="54"/>
      <c r="D383" s="54"/>
      <c r="E383" s="54"/>
      <c r="F383" s="54"/>
      <c r="G383" s="54"/>
      <c r="H383" s="54"/>
      <c r="I383" s="54"/>
      <c r="J383" s="54"/>
      <c r="K383" s="54"/>
      <c r="L383" s="54"/>
      <c r="M383" s="54"/>
      <c r="N383" s="54"/>
      <c r="O383" s="54"/>
      <c r="P383" s="54"/>
      <c r="Q383" s="54"/>
    </row>
    <row r="384" spans="2:17" ht="28.2" customHeight="1" x14ac:dyDescent="0.3">
      <c r="C384" s="138" t="s">
        <v>137</v>
      </c>
      <c r="D384" s="138"/>
      <c r="E384" s="138"/>
      <c r="F384" s="138" t="s">
        <v>140</v>
      </c>
      <c r="G384" s="138"/>
      <c r="H384" s="138"/>
      <c r="I384" s="138" t="s">
        <v>141</v>
      </c>
      <c r="J384" s="138"/>
      <c r="K384" s="138"/>
      <c r="L384" s="139" t="s">
        <v>135</v>
      </c>
      <c r="M384" s="140"/>
      <c r="N384" s="141"/>
      <c r="O384" s="142" t="s">
        <v>10</v>
      </c>
      <c r="P384" s="142"/>
      <c r="Q384" s="54"/>
    </row>
    <row r="385" spans="3:19" x14ac:dyDescent="0.3">
      <c r="C385" s="143"/>
      <c r="D385" s="143"/>
      <c r="E385" s="143"/>
      <c r="F385" s="143"/>
      <c r="G385" s="143"/>
      <c r="H385" s="143"/>
      <c r="I385" s="143">
        <f>F385-C385</f>
        <v>0</v>
      </c>
      <c r="J385" s="143"/>
      <c r="K385" s="143"/>
      <c r="L385" s="144">
        <v>0.04</v>
      </c>
      <c r="M385" s="145"/>
      <c r="N385" s="146"/>
      <c r="O385" s="195">
        <v>2</v>
      </c>
      <c r="P385" s="195"/>
      <c r="Q385" s="54"/>
    </row>
    <row r="387" spans="3:19" ht="27.6" customHeight="1" x14ac:dyDescent="0.3">
      <c r="C387" s="138" t="s">
        <v>142</v>
      </c>
      <c r="D387" s="138"/>
      <c r="E387" s="138"/>
      <c r="F387" s="138"/>
      <c r="G387" s="138" t="s">
        <v>143</v>
      </c>
      <c r="H387" s="138"/>
      <c r="I387" s="138"/>
      <c r="J387" s="138"/>
      <c r="K387" s="130" t="s">
        <v>147</v>
      </c>
      <c r="L387" s="131"/>
      <c r="M387" s="132"/>
    </row>
    <row r="388" spans="3:19" x14ac:dyDescent="0.3">
      <c r="C388" s="143"/>
      <c r="D388" s="186"/>
      <c r="E388" s="186"/>
      <c r="F388" s="186"/>
      <c r="G388" s="143"/>
      <c r="H388" s="186"/>
      <c r="I388" s="186"/>
      <c r="J388" s="186"/>
      <c r="K388" s="127">
        <f>G388-C388</f>
        <v>0</v>
      </c>
      <c r="L388" s="128"/>
      <c r="M388" s="129"/>
    </row>
    <row r="389" spans="3:19" x14ac:dyDescent="0.3">
      <c r="C389" s="25"/>
      <c r="D389" s="25"/>
      <c r="E389" s="25"/>
      <c r="F389" s="25"/>
      <c r="G389" s="25"/>
      <c r="H389" s="25"/>
      <c r="I389" s="25"/>
      <c r="J389" s="25"/>
    </row>
    <row r="390" spans="3:19" x14ac:dyDescent="0.3">
      <c r="C390" s="194" t="s">
        <v>144</v>
      </c>
      <c r="D390" s="194"/>
      <c r="E390" s="194"/>
      <c r="F390" s="194"/>
      <c r="G390" s="194" t="s">
        <v>145</v>
      </c>
      <c r="H390" s="194"/>
      <c r="I390" s="194"/>
      <c r="J390" s="194"/>
      <c r="K390" s="124" t="s">
        <v>148</v>
      </c>
      <c r="L390" s="125"/>
      <c r="M390" s="126"/>
    </row>
    <row r="391" spans="3:19" x14ac:dyDescent="0.3">
      <c r="C391" s="143"/>
      <c r="D391" s="186"/>
      <c r="E391" s="186"/>
      <c r="F391" s="186"/>
      <c r="G391" s="143"/>
      <c r="H391" s="186"/>
      <c r="I391" s="186"/>
      <c r="J391" s="186"/>
      <c r="K391" s="127">
        <f>G391-C391</f>
        <v>0</v>
      </c>
      <c r="L391" s="128"/>
      <c r="M391" s="129"/>
    </row>
    <row r="392" spans="3:19" x14ac:dyDescent="0.3">
      <c r="C392" s="119"/>
      <c r="D392" s="25"/>
      <c r="E392" s="25"/>
      <c r="F392" s="25"/>
      <c r="G392" s="119"/>
      <c r="H392" s="25"/>
      <c r="I392" s="25"/>
      <c r="J392" s="25"/>
      <c r="K392" s="120"/>
      <c r="L392" s="120"/>
      <c r="M392" s="120"/>
    </row>
    <row r="393" spans="3:19" x14ac:dyDescent="0.3">
      <c r="C393" s="119"/>
      <c r="D393" s="25"/>
      <c r="E393" s="25"/>
      <c r="F393" s="25"/>
      <c r="G393" s="119"/>
      <c r="H393" s="25"/>
      <c r="I393" s="25"/>
      <c r="J393" s="25"/>
      <c r="K393" s="120"/>
      <c r="L393" s="120"/>
      <c r="M393" s="120"/>
    </row>
    <row r="394" spans="3:19" x14ac:dyDescent="0.3">
      <c r="C394" s="119"/>
      <c r="D394" s="25"/>
      <c r="E394" s="25"/>
      <c r="F394" s="25"/>
      <c r="G394" s="119"/>
      <c r="H394" s="25"/>
      <c r="I394" s="25"/>
      <c r="J394" s="25"/>
      <c r="K394" s="120"/>
      <c r="L394" s="120"/>
      <c r="M394" s="120"/>
    </row>
    <row r="395" spans="3:19" x14ac:dyDescent="0.3">
      <c r="C395" s="119"/>
      <c r="D395" s="25"/>
      <c r="E395" s="25"/>
      <c r="F395" s="25"/>
      <c r="G395" s="119"/>
      <c r="H395" s="25"/>
      <c r="I395" s="25"/>
      <c r="J395" s="25"/>
      <c r="K395" s="120"/>
      <c r="L395" s="120"/>
      <c r="M395" s="120"/>
    </row>
    <row r="396" spans="3:19" x14ac:dyDescent="0.3">
      <c r="C396" s="119"/>
      <c r="D396" s="25"/>
      <c r="E396" s="25"/>
      <c r="F396" s="25"/>
      <c r="G396" s="119"/>
      <c r="H396" s="25"/>
      <c r="I396" s="25"/>
      <c r="J396" s="25"/>
      <c r="K396" s="120"/>
      <c r="L396" s="120"/>
      <c r="M396" s="120"/>
    </row>
    <row r="397" spans="3:19" x14ac:dyDescent="0.3">
      <c r="C397" s="119"/>
      <c r="D397" s="25"/>
      <c r="E397" s="25"/>
      <c r="F397" s="25"/>
      <c r="G397" s="119"/>
      <c r="H397" s="25"/>
      <c r="I397" s="25"/>
      <c r="J397" s="25"/>
      <c r="K397" s="120"/>
      <c r="L397" s="120"/>
      <c r="M397" s="120"/>
    </row>
    <row r="398" spans="3:19" x14ac:dyDescent="0.3">
      <c r="C398" s="119"/>
      <c r="D398" s="25"/>
      <c r="E398" s="25"/>
      <c r="F398" s="25"/>
      <c r="G398" s="119"/>
      <c r="H398" s="25"/>
      <c r="I398" s="25"/>
      <c r="J398" s="25"/>
      <c r="K398" s="120"/>
      <c r="L398" s="120"/>
      <c r="M398" s="120"/>
    </row>
    <row r="399" spans="3:19" x14ac:dyDescent="0.3">
      <c r="C399" s="119"/>
      <c r="D399" s="25"/>
      <c r="E399" s="25"/>
      <c r="F399" s="25"/>
      <c r="G399" s="119"/>
      <c r="H399" s="25"/>
      <c r="I399" s="25"/>
      <c r="J399" s="25"/>
      <c r="K399" s="120"/>
      <c r="L399" s="120"/>
      <c r="M399" s="120"/>
      <c r="O399" s="147" t="str">
        <f>O360</f>
        <v>CERTIFICADO N°:</v>
      </c>
      <c r="P399" s="147"/>
      <c r="Q399" s="147"/>
      <c r="R399" s="147">
        <f>R360</f>
        <v>0</v>
      </c>
      <c r="S399" s="147"/>
    </row>
    <row r="400" spans="3:19" x14ac:dyDescent="0.3">
      <c r="C400" s="119"/>
      <c r="D400" s="25"/>
      <c r="E400" s="25"/>
      <c r="F400" s="25"/>
      <c r="G400" s="119"/>
      <c r="H400" s="25"/>
      <c r="I400" s="25"/>
      <c r="J400" s="25"/>
      <c r="K400" s="120"/>
      <c r="L400" s="120"/>
      <c r="M400" s="120"/>
    </row>
    <row r="402" spans="2:19" x14ac:dyDescent="0.3">
      <c r="B402" s="54" t="s">
        <v>240</v>
      </c>
    </row>
    <row r="404" spans="2:19" ht="19.8" customHeight="1" x14ac:dyDescent="0.3">
      <c r="B404" s="148" t="s">
        <v>241</v>
      </c>
      <c r="C404" s="148"/>
      <c r="D404" s="148"/>
      <c r="E404" s="148"/>
      <c r="F404" s="148"/>
      <c r="G404" s="148"/>
      <c r="H404" s="148"/>
      <c r="I404" s="148"/>
      <c r="J404" s="148"/>
      <c r="K404" s="148"/>
      <c r="L404" s="148"/>
      <c r="M404" s="148"/>
      <c r="N404" s="148"/>
      <c r="O404" s="148"/>
      <c r="P404" s="148"/>
      <c r="Q404" s="148"/>
      <c r="R404" s="148"/>
      <c r="S404" s="148"/>
    </row>
    <row r="405" spans="2:19" ht="25.2" customHeight="1" x14ac:dyDescent="0.3">
      <c r="B405" s="148"/>
      <c r="C405" s="148"/>
      <c r="D405" s="148"/>
      <c r="E405" s="148"/>
      <c r="F405" s="148"/>
      <c r="G405" s="148"/>
      <c r="H405" s="148"/>
      <c r="I405" s="148"/>
      <c r="J405" s="148"/>
      <c r="K405" s="148"/>
      <c r="L405" s="148"/>
      <c r="M405" s="148"/>
      <c r="N405" s="148"/>
      <c r="O405" s="148"/>
      <c r="P405" s="148"/>
      <c r="Q405" s="148"/>
      <c r="R405" s="148"/>
      <c r="S405" s="148"/>
    </row>
    <row r="407" spans="2:19" ht="14.4" customHeight="1" x14ac:dyDescent="0.3">
      <c r="B407" s="148" t="s">
        <v>242</v>
      </c>
      <c r="C407" s="148"/>
      <c r="D407" s="148"/>
      <c r="E407" s="148"/>
      <c r="F407" s="148"/>
      <c r="G407" s="148"/>
      <c r="H407" s="148"/>
      <c r="I407" s="148"/>
      <c r="J407" s="148"/>
      <c r="K407" s="148"/>
      <c r="L407" s="148"/>
      <c r="M407" s="148"/>
      <c r="N407" s="148"/>
      <c r="O407" s="148"/>
      <c r="P407" s="148"/>
      <c r="Q407" s="148"/>
      <c r="R407" s="148"/>
      <c r="S407" s="148"/>
    </row>
    <row r="408" spans="2:19" x14ac:dyDescent="0.3">
      <c r="B408" s="148"/>
      <c r="C408" s="148"/>
      <c r="D408" s="148"/>
      <c r="E408" s="148"/>
      <c r="F408" s="148"/>
      <c r="G408" s="148"/>
      <c r="H408" s="148"/>
      <c r="I408" s="148"/>
      <c r="J408" s="148"/>
      <c r="K408" s="148"/>
      <c r="L408" s="148"/>
      <c r="M408" s="148"/>
      <c r="N408" s="148"/>
      <c r="O408" s="148"/>
      <c r="P408" s="148"/>
      <c r="Q408" s="148"/>
      <c r="R408" s="148"/>
      <c r="S408" s="148"/>
    </row>
    <row r="410" spans="2:19" ht="14.4" customHeight="1" x14ac:dyDescent="0.3">
      <c r="B410" s="148" t="s">
        <v>243</v>
      </c>
      <c r="C410" s="148"/>
      <c r="D410" s="148"/>
      <c r="E410" s="148"/>
      <c r="F410" s="148"/>
      <c r="G410" s="148"/>
      <c r="H410" s="148"/>
      <c r="I410" s="148"/>
      <c r="J410" s="148"/>
      <c r="K410" s="148"/>
      <c r="L410" s="148"/>
      <c r="M410" s="148"/>
      <c r="N410" s="148"/>
      <c r="O410" s="148"/>
      <c r="P410" s="148"/>
      <c r="Q410" s="148"/>
      <c r="R410" s="148"/>
      <c r="S410" s="148"/>
    </row>
    <row r="411" spans="2:19" x14ac:dyDescent="0.3">
      <c r="B411" s="148"/>
      <c r="C411" s="148"/>
      <c r="D411" s="148"/>
      <c r="E411" s="148"/>
      <c r="F411" s="148"/>
      <c r="G411" s="148"/>
      <c r="H411" s="148"/>
      <c r="I411" s="148"/>
      <c r="J411" s="148"/>
      <c r="K411" s="148"/>
      <c r="L411" s="148"/>
      <c r="M411" s="148"/>
      <c r="N411" s="148"/>
      <c r="O411" s="148"/>
      <c r="P411" s="148"/>
      <c r="Q411" s="148"/>
      <c r="R411" s="148"/>
      <c r="S411" s="148"/>
    </row>
    <row r="413" spans="2:19" ht="14.4" customHeight="1" x14ac:dyDescent="0.3">
      <c r="B413" s="148" t="s">
        <v>244</v>
      </c>
      <c r="C413" s="148"/>
      <c r="D413" s="148"/>
      <c r="E413" s="148"/>
      <c r="F413" s="148"/>
      <c r="G413" s="148"/>
      <c r="H413" s="148"/>
      <c r="I413" s="148"/>
      <c r="J413" s="148"/>
      <c r="K413" s="148"/>
      <c r="L413" s="148"/>
      <c r="M413" s="148"/>
      <c r="N413" s="148"/>
      <c r="O413" s="148"/>
      <c r="P413" s="148"/>
      <c r="Q413" s="148"/>
      <c r="R413" s="148"/>
      <c r="S413" s="148"/>
    </row>
    <row r="414" spans="2:19" ht="14.4" customHeight="1" x14ac:dyDescent="0.3">
      <c r="B414" s="148"/>
      <c r="C414" s="148"/>
      <c r="D414" s="148"/>
      <c r="E414" s="148"/>
      <c r="F414" s="148"/>
      <c r="G414" s="148"/>
      <c r="H414" s="148"/>
      <c r="I414" s="148"/>
      <c r="J414" s="148"/>
      <c r="K414" s="148"/>
      <c r="L414" s="148"/>
      <c r="M414" s="148"/>
      <c r="N414" s="148"/>
      <c r="O414" s="148"/>
      <c r="P414" s="148"/>
      <c r="Q414" s="148"/>
      <c r="R414" s="148"/>
      <c r="S414" s="148"/>
    </row>
    <row r="415" spans="2:19" x14ac:dyDescent="0.3">
      <c r="B415" s="59"/>
      <c r="C415" s="59"/>
      <c r="D415" s="59"/>
      <c r="E415" s="59"/>
      <c r="F415" s="59"/>
      <c r="G415" s="59"/>
      <c r="H415" s="59"/>
      <c r="I415" s="59"/>
      <c r="J415" s="59"/>
      <c r="K415" s="59"/>
      <c r="L415" s="59"/>
      <c r="M415" s="59"/>
      <c r="N415" s="59"/>
      <c r="O415" s="59"/>
      <c r="P415" s="59"/>
      <c r="Q415" s="59"/>
      <c r="R415" s="59"/>
      <c r="S415" s="59"/>
    </row>
    <row r="416" spans="2:19" ht="14.4" customHeight="1" x14ac:dyDescent="0.3">
      <c r="B416" s="212" t="s">
        <v>245</v>
      </c>
      <c r="C416" s="212"/>
      <c r="D416" s="212"/>
      <c r="E416" s="212"/>
      <c r="F416" s="212"/>
      <c r="G416" s="212"/>
      <c r="H416" s="212"/>
      <c r="I416" s="212"/>
      <c r="J416" s="212"/>
      <c r="K416" s="212"/>
      <c r="L416" s="212"/>
      <c r="M416" s="212"/>
      <c r="N416" s="212"/>
      <c r="O416" s="212"/>
      <c r="P416" s="212"/>
      <c r="Q416" s="212"/>
      <c r="R416" s="212"/>
      <c r="S416" s="212"/>
    </row>
    <row r="417" spans="2:19" x14ac:dyDescent="0.3">
      <c r="B417" s="212"/>
      <c r="C417" s="212"/>
      <c r="D417" s="212"/>
      <c r="E417" s="212"/>
      <c r="F417" s="212"/>
      <c r="G417" s="212"/>
      <c r="H417" s="212"/>
      <c r="I417" s="212"/>
      <c r="J417" s="212"/>
      <c r="K417" s="212"/>
      <c r="L417" s="212"/>
      <c r="M417" s="212"/>
      <c r="N417" s="212"/>
      <c r="O417" s="212"/>
      <c r="P417" s="212"/>
      <c r="Q417" s="212"/>
      <c r="R417" s="212"/>
      <c r="S417" s="212"/>
    </row>
    <row r="418" spans="2:19" ht="14.4" customHeight="1" x14ac:dyDescent="0.3">
      <c r="B418" s="212"/>
      <c r="C418" s="212"/>
      <c r="D418" s="212"/>
      <c r="E418" s="212"/>
      <c r="F418" s="212"/>
      <c r="G418" s="212"/>
      <c r="H418" s="212"/>
      <c r="I418" s="212"/>
      <c r="J418" s="212"/>
      <c r="K418" s="212"/>
      <c r="L418" s="212"/>
      <c r="M418" s="212"/>
      <c r="N418" s="212"/>
      <c r="O418" s="212"/>
      <c r="P418" s="212"/>
      <c r="Q418" s="212"/>
      <c r="R418" s="212"/>
      <c r="S418" s="212"/>
    </row>
    <row r="419" spans="2:19" x14ac:dyDescent="0.3">
      <c r="O419" s="19"/>
      <c r="P419" s="19"/>
      <c r="Q419" s="19"/>
      <c r="R419" s="19"/>
      <c r="S419" s="19"/>
    </row>
    <row r="421" spans="2:19" x14ac:dyDescent="0.3">
      <c r="B421" s="19" t="s">
        <v>259</v>
      </c>
    </row>
    <row r="423" spans="2:19" x14ac:dyDescent="0.3">
      <c r="C423" s="193" t="s">
        <v>113</v>
      </c>
      <c r="D423" s="193"/>
      <c r="E423" s="193"/>
      <c r="F423" s="193"/>
      <c r="G423" s="193" t="s">
        <v>114</v>
      </c>
      <c r="H423" s="193"/>
      <c r="I423" s="193"/>
      <c r="J423" s="193"/>
      <c r="K423" s="121" t="s">
        <v>149</v>
      </c>
      <c r="L423" s="122"/>
      <c r="M423" s="122"/>
      <c r="N423" s="123"/>
      <c r="O423" s="121" t="s">
        <v>150</v>
      </c>
      <c r="P423" s="122"/>
      <c r="Q423" s="122"/>
      <c r="R423" s="123"/>
    </row>
    <row r="424" spans="2:19" ht="27" customHeight="1" x14ac:dyDescent="0.3">
      <c r="C424" s="189" t="s">
        <v>152</v>
      </c>
      <c r="D424" s="189"/>
      <c r="E424" s="189"/>
      <c r="F424" s="189"/>
      <c r="G424" s="189" t="s">
        <v>161</v>
      </c>
      <c r="H424" s="189"/>
      <c r="I424" s="189"/>
      <c r="J424" s="189"/>
      <c r="K424" s="209" t="s">
        <v>151</v>
      </c>
      <c r="L424" s="210"/>
      <c r="M424" s="210"/>
      <c r="N424" s="211"/>
      <c r="O424" s="206" t="s">
        <v>115</v>
      </c>
      <c r="P424" s="207"/>
      <c r="Q424" s="207"/>
      <c r="R424" s="208"/>
    </row>
    <row r="425" spans="2:19" ht="30" customHeight="1" x14ac:dyDescent="0.3">
      <c r="C425" s="189" t="s">
        <v>153</v>
      </c>
      <c r="D425" s="189"/>
      <c r="E425" s="189"/>
      <c r="F425" s="189"/>
      <c r="G425" s="189" t="s">
        <v>162</v>
      </c>
      <c r="H425" s="189"/>
      <c r="I425" s="189"/>
      <c r="J425" s="189"/>
      <c r="K425" s="203" t="s">
        <v>159</v>
      </c>
      <c r="L425" s="204"/>
      <c r="M425" s="204"/>
      <c r="N425" s="205"/>
      <c r="O425" s="206" t="s">
        <v>115</v>
      </c>
      <c r="P425" s="207"/>
      <c r="Q425" s="207"/>
      <c r="R425" s="208"/>
    </row>
    <row r="426" spans="2:19" ht="30" customHeight="1" x14ac:dyDescent="0.3">
      <c r="C426" s="189" t="s">
        <v>154</v>
      </c>
      <c r="D426" s="189"/>
      <c r="E426" s="189"/>
      <c r="F426" s="189"/>
      <c r="G426" s="189" t="s">
        <v>163</v>
      </c>
      <c r="H426" s="189"/>
      <c r="I426" s="189"/>
      <c r="J426" s="189"/>
      <c r="K426" s="203" t="s">
        <v>196</v>
      </c>
      <c r="L426" s="204"/>
      <c r="M426" s="204"/>
      <c r="N426" s="205"/>
      <c r="O426" s="206" t="s">
        <v>115</v>
      </c>
      <c r="P426" s="207"/>
      <c r="Q426" s="207"/>
      <c r="R426" s="208"/>
    </row>
    <row r="427" spans="2:19" ht="27" customHeight="1" x14ac:dyDescent="0.3">
      <c r="C427" s="189" t="s">
        <v>155</v>
      </c>
      <c r="D427" s="189"/>
      <c r="E427" s="189"/>
      <c r="F427" s="189"/>
      <c r="G427" s="189" t="s">
        <v>164</v>
      </c>
      <c r="H427" s="189"/>
      <c r="I427" s="189"/>
      <c r="J427" s="189"/>
      <c r="K427" s="209" t="s">
        <v>198</v>
      </c>
      <c r="L427" s="210"/>
      <c r="M427" s="210"/>
      <c r="N427" s="211"/>
      <c r="O427" s="206" t="s">
        <v>115</v>
      </c>
      <c r="P427" s="207"/>
      <c r="Q427" s="207"/>
      <c r="R427" s="208"/>
    </row>
    <row r="428" spans="2:19" ht="27.6" customHeight="1" x14ac:dyDescent="0.3">
      <c r="C428" s="189" t="s">
        <v>197</v>
      </c>
      <c r="D428" s="189"/>
      <c r="E428" s="189"/>
      <c r="F428" s="189"/>
      <c r="G428" s="189"/>
      <c r="H428" s="189"/>
      <c r="I428" s="189"/>
      <c r="J428" s="189"/>
      <c r="K428" s="209" t="s">
        <v>199</v>
      </c>
      <c r="L428" s="210"/>
      <c r="M428" s="210"/>
      <c r="N428" s="211"/>
      <c r="O428" s="206" t="s">
        <v>115</v>
      </c>
      <c r="P428" s="207"/>
      <c r="Q428" s="207"/>
      <c r="R428" s="208"/>
    </row>
    <row r="429" spans="2:19" ht="25.8" customHeight="1" x14ac:dyDescent="0.3">
      <c r="C429" s="189" t="s">
        <v>193</v>
      </c>
      <c r="D429" s="189"/>
      <c r="E429" s="189"/>
      <c r="F429" s="189"/>
      <c r="G429" s="189"/>
      <c r="H429" s="189"/>
      <c r="I429" s="189"/>
      <c r="J429" s="189"/>
      <c r="K429" s="209" t="s">
        <v>160</v>
      </c>
      <c r="L429" s="210"/>
      <c r="M429" s="210"/>
      <c r="N429" s="211"/>
      <c r="O429" s="206" t="s">
        <v>115</v>
      </c>
      <c r="P429" s="207"/>
      <c r="Q429" s="207"/>
      <c r="R429" s="208"/>
    </row>
    <row r="430" spans="2:19" ht="14.4" customHeight="1" x14ac:dyDescent="0.3">
      <c r="C430" s="92"/>
      <c r="D430" s="92"/>
      <c r="E430" s="92"/>
      <c r="F430" s="92"/>
      <c r="G430" s="92"/>
      <c r="H430" s="92"/>
      <c r="I430" s="92"/>
      <c r="J430" s="92"/>
      <c r="K430" s="94"/>
      <c r="L430" s="94"/>
      <c r="M430" s="94"/>
      <c r="N430" s="94"/>
      <c r="O430" s="96"/>
      <c r="P430" s="96"/>
      <c r="Q430" s="96"/>
      <c r="R430" s="96"/>
    </row>
    <row r="431" spans="2:19" ht="14.4" customHeight="1" x14ac:dyDescent="0.3">
      <c r="C431" s="92"/>
      <c r="D431" s="92"/>
      <c r="E431" s="92"/>
      <c r="F431" s="92"/>
      <c r="G431" s="92"/>
      <c r="H431" s="92"/>
      <c r="I431" s="92"/>
      <c r="J431" s="92"/>
      <c r="K431" s="94"/>
      <c r="L431" s="94"/>
      <c r="M431" s="94"/>
      <c r="N431" s="94"/>
      <c r="O431" s="96"/>
      <c r="P431" s="96"/>
      <c r="Q431" s="96"/>
      <c r="R431" s="96"/>
    </row>
    <row r="432" spans="2:19" ht="14.4" customHeight="1" x14ac:dyDescent="0.3">
      <c r="C432" s="92"/>
      <c r="D432" s="92"/>
      <c r="E432" s="92"/>
      <c r="F432" s="92"/>
      <c r="G432" s="92"/>
      <c r="H432" s="92"/>
      <c r="I432" s="92"/>
      <c r="J432" s="92"/>
      <c r="K432" s="94"/>
      <c r="L432" s="94"/>
      <c r="M432" s="94"/>
      <c r="N432" s="94"/>
      <c r="O432" s="96"/>
      <c r="P432" s="96"/>
      <c r="Q432" s="96"/>
      <c r="R432" s="96"/>
    </row>
    <row r="433" spans="2:19" ht="14.4" customHeight="1" x14ac:dyDescent="0.3">
      <c r="C433" s="92"/>
      <c r="D433" s="92"/>
      <c r="E433" s="92"/>
      <c r="F433" s="92"/>
      <c r="G433" s="92"/>
      <c r="H433" s="92"/>
      <c r="I433" s="92"/>
      <c r="J433" s="92"/>
      <c r="K433" s="94"/>
      <c r="L433" s="94"/>
      <c r="M433" s="94"/>
      <c r="N433" s="94"/>
      <c r="O433" s="96"/>
      <c r="P433" s="96"/>
      <c r="Q433" s="96"/>
      <c r="R433" s="96"/>
    </row>
    <row r="434" spans="2:19" ht="14.4" customHeight="1" x14ac:dyDescent="0.3">
      <c r="C434" s="92"/>
      <c r="D434" s="92"/>
      <c r="E434" s="92"/>
      <c r="F434" s="92"/>
      <c r="G434" s="92"/>
      <c r="H434" s="92"/>
      <c r="I434" s="92"/>
      <c r="J434" s="92"/>
      <c r="K434" s="94"/>
      <c r="L434" s="94"/>
      <c r="M434" s="94"/>
      <c r="N434" s="94"/>
      <c r="O434" s="96"/>
      <c r="P434" s="96"/>
      <c r="Q434" s="96"/>
      <c r="R434" s="96"/>
    </row>
    <row r="435" spans="2:19" ht="14.4" customHeight="1" x14ac:dyDescent="0.3">
      <c r="C435" s="92"/>
      <c r="D435" s="92"/>
      <c r="E435" s="92"/>
      <c r="F435" s="92"/>
      <c r="G435" s="92"/>
      <c r="H435" s="92"/>
      <c r="I435" s="92"/>
      <c r="J435" s="92"/>
      <c r="K435" s="94"/>
      <c r="L435" s="94"/>
      <c r="M435" s="94"/>
      <c r="N435" s="94"/>
      <c r="O435" s="147" t="str">
        <f>O399</f>
        <v>CERTIFICADO N°:</v>
      </c>
      <c r="P435" s="147"/>
      <c r="Q435" s="147"/>
      <c r="R435" s="147">
        <f>R399</f>
        <v>0</v>
      </c>
      <c r="S435" s="147"/>
    </row>
    <row r="436" spans="2:19" x14ac:dyDescent="0.3">
      <c r="C436" s="92"/>
      <c r="D436" s="92"/>
      <c r="E436" s="92"/>
      <c r="F436" s="92"/>
      <c r="G436" s="25"/>
      <c r="H436" s="25"/>
      <c r="I436" s="25"/>
      <c r="J436" s="25"/>
      <c r="K436" s="94"/>
      <c r="L436" s="95"/>
      <c r="M436" s="95"/>
      <c r="N436" s="95"/>
      <c r="O436" s="96"/>
    </row>
    <row r="437" spans="2:19" x14ac:dyDescent="0.3">
      <c r="C437" s="92"/>
      <c r="D437" s="92"/>
      <c r="E437" s="92"/>
      <c r="F437" s="92"/>
      <c r="G437" s="25"/>
      <c r="H437" s="25"/>
      <c r="I437" s="25"/>
      <c r="J437" s="25"/>
      <c r="K437" s="94"/>
      <c r="L437" s="95"/>
      <c r="M437" s="95"/>
      <c r="N437" s="95"/>
      <c r="O437" s="96"/>
    </row>
    <row r="438" spans="2:19" x14ac:dyDescent="0.3">
      <c r="B438" s="19" t="s">
        <v>260</v>
      </c>
    </row>
    <row r="478" spans="15:19" x14ac:dyDescent="0.3">
      <c r="O478" s="147" t="str">
        <f>O435</f>
        <v>CERTIFICADO N°:</v>
      </c>
      <c r="P478" s="147"/>
      <c r="Q478" s="147"/>
      <c r="R478" s="147">
        <f>R435</f>
        <v>0</v>
      </c>
      <c r="S478" s="147"/>
    </row>
    <row r="479" spans="15:19" x14ac:dyDescent="0.3">
      <c r="O479" s="26"/>
      <c r="P479" s="26"/>
      <c r="Q479" s="26"/>
      <c r="R479" s="26"/>
      <c r="S479" s="26"/>
    </row>
    <row r="480" spans="15:19" x14ac:dyDescent="0.3">
      <c r="O480" s="26"/>
      <c r="P480" s="26"/>
      <c r="Q480" s="26"/>
      <c r="R480" s="26"/>
      <c r="S480" s="26"/>
    </row>
    <row r="481" spans="2:19" x14ac:dyDescent="0.3">
      <c r="B481" s="19" t="s">
        <v>261</v>
      </c>
    </row>
    <row r="482" spans="2:19" x14ac:dyDescent="0.3">
      <c r="B482" s="19"/>
    </row>
    <row r="484" spans="2:19" x14ac:dyDescent="0.3">
      <c r="B484" s="193" t="s">
        <v>210</v>
      </c>
      <c r="C484" s="193"/>
      <c r="D484" s="193"/>
      <c r="E484" s="193"/>
      <c r="F484" s="193"/>
      <c r="G484" s="193"/>
      <c r="H484" s="193"/>
      <c r="I484" s="193"/>
      <c r="J484" s="193"/>
      <c r="K484" s="193"/>
      <c r="L484" s="193"/>
      <c r="M484" s="193"/>
      <c r="N484" s="193" t="s">
        <v>114</v>
      </c>
      <c r="O484" s="193"/>
      <c r="P484" s="193"/>
      <c r="Q484" s="193"/>
      <c r="R484" s="193"/>
      <c r="S484" s="193"/>
    </row>
    <row r="485" spans="2:19" x14ac:dyDescent="0.3">
      <c r="B485" s="191"/>
      <c r="C485" s="191"/>
      <c r="D485" s="191"/>
      <c r="E485" s="191"/>
      <c r="F485" s="191"/>
      <c r="G485" s="191"/>
      <c r="H485" s="191"/>
      <c r="I485" s="191"/>
      <c r="J485" s="191"/>
      <c r="K485" s="191"/>
      <c r="L485" s="191"/>
      <c r="M485" s="191"/>
      <c r="N485" s="214" t="s">
        <v>115</v>
      </c>
      <c r="O485" s="214"/>
      <c r="P485" s="214"/>
      <c r="Q485" s="214"/>
      <c r="R485" s="214"/>
      <c r="S485" s="214"/>
    </row>
    <row r="486" spans="2:19" x14ac:dyDescent="0.3">
      <c r="B486" s="191"/>
      <c r="C486" s="191"/>
      <c r="D486" s="191"/>
      <c r="E486" s="191"/>
      <c r="F486" s="191"/>
      <c r="G486" s="191"/>
      <c r="H486" s="191"/>
      <c r="I486" s="191"/>
      <c r="J486" s="191"/>
      <c r="K486" s="191"/>
      <c r="L486" s="191"/>
      <c r="M486" s="191"/>
      <c r="N486" s="214"/>
      <c r="O486" s="214"/>
      <c r="P486" s="214"/>
      <c r="Q486" s="214"/>
      <c r="R486" s="214"/>
      <c r="S486" s="214"/>
    </row>
    <row r="487" spans="2:19" x14ac:dyDescent="0.3">
      <c r="B487" s="191"/>
      <c r="C487" s="191"/>
      <c r="D487" s="191"/>
      <c r="E487" s="191"/>
      <c r="F487" s="191"/>
      <c r="G487" s="191"/>
      <c r="H487" s="191"/>
      <c r="I487" s="191"/>
      <c r="J487" s="191"/>
      <c r="K487" s="191"/>
      <c r="L487" s="191"/>
      <c r="M487" s="191"/>
      <c r="N487" s="214"/>
      <c r="O487" s="214"/>
      <c r="P487" s="214"/>
      <c r="Q487" s="214"/>
      <c r="R487" s="214"/>
      <c r="S487" s="214"/>
    </row>
    <row r="488" spans="2:19" x14ac:dyDescent="0.3">
      <c r="B488" s="191"/>
      <c r="C488" s="191"/>
      <c r="D488" s="191"/>
      <c r="E488" s="191"/>
      <c r="F488" s="191"/>
      <c r="G488" s="191"/>
      <c r="H488" s="191"/>
      <c r="I488" s="191"/>
      <c r="J488" s="191"/>
      <c r="K488" s="191"/>
      <c r="L488" s="191"/>
      <c r="M488" s="191"/>
      <c r="N488" s="214"/>
      <c r="O488" s="214"/>
      <c r="P488" s="214"/>
      <c r="Q488" s="214"/>
      <c r="R488" s="214"/>
      <c r="S488" s="214"/>
    </row>
    <row r="489" spans="2:19" x14ac:dyDescent="0.3">
      <c r="B489" s="191"/>
      <c r="C489" s="191"/>
      <c r="D489" s="191"/>
      <c r="E489" s="191"/>
      <c r="F489" s="191"/>
      <c r="G489" s="191"/>
      <c r="H489" s="191"/>
      <c r="I489" s="191"/>
      <c r="J489" s="191"/>
      <c r="K489" s="191"/>
      <c r="L489" s="191"/>
      <c r="M489" s="191"/>
      <c r="N489" s="214"/>
      <c r="O489" s="214"/>
      <c r="P489" s="214"/>
      <c r="Q489" s="214"/>
      <c r="R489" s="214"/>
      <c r="S489" s="214"/>
    </row>
    <row r="490" spans="2:19" x14ac:dyDescent="0.3">
      <c r="B490" s="191"/>
      <c r="C490" s="191"/>
      <c r="D490" s="191"/>
      <c r="E490" s="191"/>
      <c r="F490" s="191"/>
      <c r="G490" s="191"/>
      <c r="H490" s="191"/>
      <c r="I490" s="191"/>
      <c r="J490" s="191"/>
      <c r="K490" s="191"/>
      <c r="L490" s="191"/>
      <c r="M490" s="191"/>
      <c r="N490" s="214"/>
      <c r="O490" s="214"/>
      <c r="P490" s="214"/>
      <c r="Q490" s="214"/>
      <c r="R490" s="214"/>
      <c r="S490" s="214"/>
    </row>
    <row r="491" spans="2:19" x14ac:dyDescent="0.3">
      <c r="B491" s="191"/>
      <c r="C491" s="191"/>
      <c r="D491" s="191"/>
      <c r="E491" s="191"/>
      <c r="F491" s="191"/>
      <c r="G491" s="191"/>
      <c r="H491" s="191"/>
      <c r="I491" s="191"/>
      <c r="J491" s="191"/>
      <c r="K491" s="191"/>
      <c r="L491" s="191"/>
      <c r="M491" s="191"/>
      <c r="N491" s="214"/>
      <c r="O491" s="214"/>
      <c r="P491" s="214"/>
      <c r="Q491" s="214"/>
      <c r="R491" s="214"/>
      <c r="S491" s="214"/>
    </row>
    <row r="492" spans="2:19" x14ac:dyDescent="0.3">
      <c r="B492" s="191"/>
      <c r="C492" s="191"/>
      <c r="D492" s="191"/>
      <c r="E492" s="191"/>
      <c r="F492" s="191"/>
      <c r="G492" s="191"/>
      <c r="H492" s="191"/>
      <c r="I492" s="191"/>
      <c r="J492" s="191"/>
      <c r="K492" s="191"/>
      <c r="L492" s="191"/>
      <c r="M492" s="191"/>
      <c r="N492" s="214"/>
      <c r="O492" s="214"/>
      <c r="P492" s="214"/>
      <c r="Q492" s="214"/>
      <c r="R492" s="214"/>
      <c r="S492" s="214"/>
    </row>
    <row r="493" spans="2:19" x14ac:dyDescent="0.3">
      <c r="B493" s="191"/>
      <c r="C493" s="191"/>
      <c r="D493" s="191"/>
      <c r="E493" s="191"/>
      <c r="F493" s="191"/>
      <c r="G493" s="191"/>
      <c r="H493" s="191"/>
      <c r="I493" s="191"/>
      <c r="J493" s="191"/>
      <c r="K493" s="191"/>
      <c r="L493" s="191"/>
      <c r="M493" s="191"/>
      <c r="N493" s="214"/>
      <c r="O493" s="214"/>
      <c r="P493" s="214"/>
      <c r="Q493" s="214"/>
      <c r="R493" s="214"/>
      <c r="S493" s="214"/>
    </row>
    <row r="494" spans="2:19" x14ac:dyDescent="0.3">
      <c r="B494" s="191"/>
      <c r="C494" s="191"/>
      <c r="D494" s="191"/>
      <c r="E494" s="191"/>
      <c r="F494" s="191"/>
      <c r="G494" s="191"/>
      <c r="H494" s="191"/>
      <c r="I494" s="191"/>
      <c r="J494" s="191"/>
      <c r="K494" s="191"/>
      <c r="L494" s="191"/>
      <c r="M494" s="191"/>
      <c r="N494" s="214"/>
      <c r="O494" s="214"/>
      <c r="P494" s="214"/>
      <c r="Q494" s="214"/>
      <c r="R494" s="214"/>
      <c r="S494" s="214"/>
    </row>
    <row r="495" spans="2:19" x14ac:dyDescent="0.3">
      <c r="B495" s="191"/>
      <c r="C495" s="191"/>
      <c r="D495" s="191"/>
      <c r="E495" s="191"/>
      <c r="F495" s="191"/>
      <c r="G495" s="191"/>
      <c r="H495" s="191"/>
      <c r="I495" s="191"/>
      <c r="J495" s="191"/>
      <c r="K495" s="191"/>
      <c r="L495" s="191"/>
      <c r="M495" s="191"/>
      <c r="N495" s="214"/>
      <c r="O495" s="214"/>
      <c r="P495" s="214"/>
      <c r="Q495" s="214"/>
      <c r="R495" s="214"/>
      <c r="S495" s="214"/>
    </row>
    <row r="496" spans="2:19" x14ac:dyDescent="0.3">
      <c r="B496" s="191"/>
      <c r="C496" s="191"/>
      <c r="D496" s="191"/>
      <c r="E496" s="191"/>
      <c r="F496" s="191"/>
      <c r="G496" s="191"/>
      <c r="H496" s="191"/>
      <c r="I496" s="191"/>
      <c r="J496" s="191"/>
      <c r="K496" s="191"/>
      <c r="L496" s="191"/>
      <c r="M496" s="191"/>
      <c r="N496" s="214"/>
      <c r="O496" s="214"/>
      <c r="P496" s="214"/>
      <c r="Q496" s="214"/>
      <c r="R496" s="214"/>
      <c r="S496" s="214"/>
    </row>
    <row r="498" spans="2:19" x14ac:dyDescent="0.3">
      <c r="B498" s="193" t="s">
        <v>211</v>
      </c>
      <c r="C498" s="193"/>
      <c r="D498" s="193"/>
      <c r="E498" s="193"/>
      <c r="F498" s="193"/>
      <c r="G498" s="193"/>
      <c r="H498" s="193"/>
      <c r="I498" s="193"/>
      <c r="J498" s="193"/>
      <c r="K498" s="193"/>
      <c r="L498" s="193"/>
      <c r="M498" s="193"/>
      <c r="N498" s="193" t="s">
        <v>114</v>
      </c>
      <c r="O498" s="193"/>
      <c r="P498" s="193"/>
      <c r="Q498" s="193"/>
      <c r="R498" s="193"/>
      <c r="S498" s="193"/>
    </row>
    <row r="499" spans="2:19" x14ac:dyDescent="0.3">
      <c r="B499" s="191"/>
      <c r="C499" s="191"/>
      <c r="D499" s="191"/>
      <c r="E499" s="191"/>
      <c r="F499" s="191"/>
      <c r="G499" s="191"/>
      <c r="H499" s="191"/>
      <c r="I499" s="191"/>
      <c r="J499" s="191"/>
      <c r="K499" s="191"/>
      <c r="L499" s="191"/>
      <c r="M499" s="191"/>
      <c r="N499" s="214" t="s">
        <v>115</v>
      </c>
      <c r="O499" s="214"/>
      <c r="P499" s="214"/>
      <c r="Q499" s="214"/>
      <c r="R499" s="214"/>
      <c r="S499" s="214"/>
    </row>
    <row r="500" spans="2:19" x14ac:dyDescent="0.3">
      <c r="B500" s="191"/>
      <c r="C500" s="191"/>
      <c r="D500" s="191"/>
      <c r="E500" s="191"/>
      <c r="F500" s="191"/>
      <c r="G500" s="191"/>
      <c r="H500" s="191"/>
      <c r="I500" s="191"/>
      <c r="J500" s="191"/>
      <c r="K500" s="191"/>
      <c r="L500" s="191"/>
      <c r="M500" s="191"/>
      <c r="N500" s="214"/>
      <c r="O500" s="214"/>
      <c r="P500" s="214"/>
      <c r="Q500" s="214"/>
      <c r="R500" s="214"/>
      <c r="S500" s="214"/>
    </row>
    <row r="501" spans="2:19" x14ac:dyDescent="0.3">
      <c r="B501" s="191"/>
      <c r="C501" s="191"/>
      <c r="D501" s="191"/>
      <c r="E501" s="191"/>
      <c r="F501" s="191"/>
      <c r="G501" s="191"/>
      <c r="H501" s="191"/>
      <c r="I501" s="191"/>
      <c r="J501" s="191"/>
      <c r="K501" s="191"/>
      <c r="L501" s="191"/>
      <c r="M501" s="191"/>
      <c r="N501" s="214"/>
      <c r="O501" s="214"/>
      <c r="P501" s="214"/>
      <c r="Q501" s="214"/>
      <c r="R501" s="214"/>
      <c r="S501" s="214"/>
    </row>
    <row r="502" spans="2:19" x14ac:dyDescent="0.3">
      <c r="B502" s="191"/>
      <c r="C502" s="191"/>
      <c r="D502" s="191"/>
      <c r="E502" s="191"/>
      <c r="F502" s="191"/>
      <c r="G502" s="191"/>
      <c r="H502" s="191"/>
      <c r="I502" s="191"/>
      <c r="J502" s="191"/>
      <c r="K502" s="191"/>
      <c r="L502" s="191"/>
      <c r="M502" s="191"/>
      <c r="N502" s="214"/>
      <c r="O502" s="214"/>
      <c r="P502" s="214"/>
      <c r="Q502" s="214"/>
      <c r="R502" s="214"/>
      <c r="S502" s="214"/>
    </row>
    <row r="503" spans="2:19" x14ac:dyDescent="0.3">
      <c r="B503" s="191"/>
      <c r="C503" s="191"/>
      <c r="D503" s="191"/>
      <c r="E503" s="191"/>
      <c r="F503" s="191"/>
      <c r="G503" s="191"/>
      <c r="H503" s="191"/>
      <c r="I503" s="191"/>
      <c r="J503" s="191"/>
      <c r="K503" s="191"/>
      <c r="L503" s="191"/>
      <c r="M503" s="191"/>
      <c r="N503" s="214"/>
      <c r="O503" s="214"/>
      <c r="P503" s="214"/>
      <c r="Q503" s="214"/>
      <c r="R503" s="214"/>
      <c r="S503" s="214"/>
    </row>
    <row r="504" spans="2:19" x14ac:dyDescent="0.3">
      <c r="B504" s="191"/>
      <c r="C504" s="191"/>
      <c r="D504" s="191"/>
      <c r="E504" s="191"/>
      <c r="F504" s="191"/>
      <c r="G504" s="191"/>
      <c r="H504" s="191"/>
      <c r="I504" s="191"/>
      <c r="J504" s="191"/>
      <c r="K504" s="191"/>
      <c r="L504" s="191"/>
      <c r="M504" s="191"/>
      <c r="N504" s="214"/>
      <c r="O504" s="214"/>
      <c r="P504" s="214"/>
      <c r="Q504" s="214"/>
      <c r="R504" s="214"/>
      <c r="S504" s="214"/>
    </row>
    <row r="505" spans="2:19" x14ac:dyDescent="0.3">
      <c r="B505" s="191"/>
      <c r="C505" s="191"/>
      <c r="D505" s="191"/>
      <c r="E505" s="191"/>
      <c r="F505" s="191"/>
      <c r="G505" s="191"/>
      <c r="H505" s="191"/>
      <c r="I505" s="191"/>
      <c r="J505" s="191"/>
      <c r="K505" s="191"/>
      <c r="L505" s="191"/>
      <c r="M505" s="191"/>
      <c r="N505" s="214"/>
      <c r="O505" s="214"/>
      <c r="P505" s="214"/>
      <c r="Q505" s="214"/>
      <c r="R505" s="214"/>
      <c r="S505" s="214"/>
    </row>
    <row r="506" spans="2:19" x14ac:dyDescent="0.3">
      <c r="B506" s="191"/>
      <c r="C506" s="191"/>
      <c r="D506" s="191"/>
      <c r="E506" s="191"/>
      <c r="F506" s="191"/>
      <c r="G506" s="191"/>
      <c r="H506" s="191"/>
      <c r="I506" s="191"/>
      <c r="J506" s="191"/>
      <c r="K506" s="191"/>
      <c r="L506" s="191"/>
      <c r="M506" s="191"/>
      <c r="N506" s="214"/>
      <c r="O506" s="214"/>
      <c r="P506" s="214"/>
      <c r="Q506" s="214"/>
      <c r="R506" s="214"/>
      <c r="S506" s="214"/>
    </row>
    <row r="507" spans="2:19" x14ac:dyDescent="0.3">
      <c r="B507" s="191"/>
      <c r="C507" s="191"/>
      <c r="D507" s="191"/>
      <c r="E507" s="191"/>
      <c r="F507" s="191"/>
      <c r="G507" s="191"/>
      <c r="H507" s="191"/>
      <c r="I507" s="191"/>
      <c r="J507" s="191"/>
      <c r="K507" s="191"/>
      <c r="L507" s="191"/>
      <c r="M507" s="191"/>
      <c r="N507" s="214"/>
      <c r="O507" s="214"/>
      <c r="P507" s="214"/>
      <c r="Q507" s="214"/>
      <c r="R507" s="214"/>
      <c r="S507" s="214"/>
    </row>
    <row r="508" spans="2:19" x14ac:dyDescent="0.3">
      <c r="B508" s="191"/>
      <c r="C508" s="191"/>
      <c r="D508" s="191"/>
      <c r="E508" s="191"/>
      <c r="F508" s="191"/>
      <c r="G508" s="191"/>
      <c r="H508" s="191"/>
      <c r="I508" s="191"/>
      <c r="J508" s="191"/>
      <c r="K508" s="191"/>
      <c r="L508" s="191"/>
      <c r="M508" s="191"/>
      <c r="N508" s="214"/>
      <c r="O508" s="214"/>
      <c r="P508" s="214"/>
      <c r="Q508" s="214"/>
      <c r="R508" s="214"/>
      <c r="S508" s="214"/>
    </row>
    <row r="509" spans="2:19" x14ac:dyDescent="0.3">
      <c r="B509" s="191"/>
      <c r="C509" s="191"/>
      <c r="D509" s="191"/>
      <c r="E509" s="191"/>
      <c r="F509" s="191"/>
      <c r="G509" s="191"/>
      <c r="H509" s="191"/>
      <c r="I509" s="191"/>
      <c r="J509" s="191"/>
      <c r="K509" s="191"/>
      <c r="L509" s="191"/>
      <c r="M509" s="191"/>
      <c r="N509" s="214"/>
      <c r="O509" s="214"/>
      <c r="P509" s="214"/>
      <c r="Q509" s="214"/>
      <c r="R509" s="214"/>
      <c r="S509" s="214"/>
    </row>
    <row r="510" spans="2:19" x14ac:dyDescent="0.3">
      <c r="B510" s="191"/>
      <c r="C510" s="191"/>
      <c r="D510" s="191"/>
      <c r="E510" s="191"/>
      <c r="F510" s="191"/>
      <c r="G510" s="191"/>
      <c r="H510" s="191"/>
      <c r="I510" s="191"/>
      <c r="J510" s="191"/>
      <c r="K510" s="191"/>
      <c r="L510" s="191"/>
      <c r="M510" s="191"/>
      <c r="N510" s="214"/>
      <c r="O510" s="214"/>
      <c r="P510" s="214"/>
      <c r="Q510" s="214"/>
      <c r="R510" s="214"/>
      <c r="S510" s="214"/>
    </row>
    <row r="514" spans="2:19" x14ac:dyDescent="0.3">
      <c r="O514" s="26"/>
      <c r="P514" s="26"/>
      <c r="Q514" s="26"/>
      <c r="R514" s="26"/>
      <c r="S514" s="26"/>
    </row>
    <row r="515" spans="2:19" x14ac:dyDescent="0.3">
      <c r="O515" s="26"/>
      <c r="P515" s="26"/>
      <c r="Q515" s="26"/>
      <c r="R515" s="26"/>
      <c r="S515" s="26"/>
    </row>
    <row r="516" spans="2:19" x14ac:dyDescent="0.3">
      <c r="O516" s="26"/>
      <c r="P516" s="26"/>
      <c r="Q516" s="26"/>
      <c r="R516" s="26"/>
      <c r="S516" s="26"/>
    </row>
    <row r="517" spans="2:19" x14ac:dyDescent="0.3">
      <c r="O517" s="26"/>
      <c r="P517" s="26"/>
      <c r="Q517" s="26"/>
      <c r="R517" s="26"/>
      <c r="S517" s="26"/>
    </row>
    <row r="518" spans="2:19" x14ac:dyDescent="0.3">
      <c r="O518" s="26"/>
      <c r="P518" s="26"/>
      <c r="Q518" s="26"/>
      <c r="R518" s="26"/>
      <c r="S518" s="26"/>
    </row>
    <row r="519" spans="2:19" x14ac:dyDescent="0.3">
      <c r="O519" s="26"/>
      <c r="P519" s="26"/>
      <c r="Q519" s="26"/>
      <c r="R519" s="26"/>
      <c r="S519" s="26"/>
    </row>
    <row r="520" spans="2:19" x14ac:dyDescent="0.3">
      <c r="O520" s="26"/>
      <c r="P520" s="26"/>
      <c r="Q520" s="26"/>
      <c r="R520" s="26"/>
      <c r="S520" s="26"/>
    </row>
    <row r="521" spans="2:19" x14ac:dyDescent="0.3">
      <c r="O521" s="147" t="str">
        <f>O478</f>
        <v>CERTIFICADO N°:</v>
      </c>
      <c r="P521" s="147"/>
      <c r="Q521" s="147"/>
      <c r="R521" s="147">
        <f>R478</f>
        <v>0</v>
      </c>
      <c r="S521" s="147"/>
    </row>
    <row r="522" spans="2:19" x14ac:dyDescent="0.3">
      <c r="O522" s="26"/>
      <c r="P522" s="26"/>
      <c r="Q522" s="26"/>
      <c r="R522" s="26"/>
      <c r="S522" s="26"/>
    </row>
    <row r="523" spans="2:19" x14ac:dyDescent="0.3">
      <c r="O523" s="26"/>
      <c r="P523" s="26"/>
      <c r="Q523" s="26"/>
      <c r="R523" s="26"/>
      <c r="S523" s="26"/>
    </row>
    <row r="524" spans="2:19" x14ac:dyDescent="0.3">
      <c r="O524" s="26"/>
      <c r="P524" s="26"/>
      <c r="Q524" s="26"/>
      <c r="R524" s="26"/>
      <c r="S524" s="26"/>
    </row>
    <row r="525" spans="2:19" x14ac:dyDescent="0.3">
      <c r="B525" s="133" t="s">
        <v>203</v>
      </c>
      <c r="C525" s="133"/>
      <c r="D525" s="133"/>
      <c r="E525" s="133"/>
      <c r="F525" s="133"/>
      <c r="G525" s="133"/>
      <c r="H525" s="133"/>
      <c r="I525" s="133"/>
      <c r="J525" s="133"/>
      <c r="K525" s="133"/>
      <c r="L525" s="133"/>
      <c r="M525" s="133"/>
      <c r="N525" s="133"/>
      <c r="O525" s="133"/>
      <c r="P525" s="133"/>
      <c r="Q525" s="133"/>
      <c r="R525" s="133"/>
      <c r="S525" s="133"/>
    </row>
    <row r="527" spans="2:19" x14ac:dyDescent="0.3">
      <c r="B527" s="137" t="s">
        <v>233</v>
      </c>
      <c r="C527" s="137"/>
      <c r="D527" s="137"/>
      <c r="E527" s="137"/>
      <c r="F527" s="137"/>
      <c r="G527" s="137"/>
      <c r="H527" s="137"/>
      <c r="I527" s="137"/>
      <c r="J527" s="137"/>
      <c r="K527" s="137"/>
      <c r="L527" s="137"/>
      <c r="M527" s="137"/>
      <c r="N527" s="137"/>
      <c r="O527" s="137"/>
      <c r="P527" s="137"/>
      <c r="Q527" s="137"/>
      <c r="R527" s="137"/>
      <c r="S527" s="137"/>
    </row>
    <row r="528" spans="2:19" x14ac:dyDescent="0.3">
      <c r="B528" s="137"/>
      <c r="C528" s="137"/>
      <c r="D528" s="137"/>
      <c r="E528" s="137"/>
      <c r="F528" s="137"/>
      <c r="G528" s="137"/>
      <c r="H528" s="137"/>
      <c r="I528" s="137"/>
      <c r="J528" s="137"/>
      <c r="K528" s="137"/>
      <c r="L528" s="137"/>
      <c r="M528" s="137"/>
      <c r="N528" s="137"/>
      <c r="O528" s="137"/>
      <c r="P528" s="137"/>
      <c r="Q528" s="137"/>
      <c r="R528" s="137"/>
      <c r="S528" s="137"/>
    </row>
    <row r="530" spans="2:19" x14ac:dyDescent="0.3">
      <c r="B530" s="19" t="s">
        <v>204</v>
      </c>
    </row>
    <row r="532" spans="2:19" x14ac:dyDescent="0.3">
      <c r="B532" s="137" t="s">
        <v>234</v>
      </c>
      <c r="C532" s="137"/>
      <c r="D532" s="137"/>
      <c r="E532" s="137"/>
      <c r="F532" s="137"/>
      <c r="G532" s="137"/>
      <c r="H532" s="137"/>
      <c r="I532" s="137"/>
      <c r="J532" s="137"/>
      <c r="K532" s="137"/>
      <c r="L532" s="137"/>
      <c r="M532" s="137"/>
      <c r="N532" s="137"/>
      <c r="O532" s="137"/>
      <c r="P532" s="137"/>
      <c r="Q532" s="137"/>
      <c r="R532" s="137"/>
      <c r="S532" s="137"/>
    </row>
    <row r="533" spans="2:19" x14ac:dyDescent="0.3">
      <c r="B533" s="137"/>
      <c r="C533" s="137"/>
      <c r="D533" s="137"/>
      <c r="E533" s="137"/>
      <c r="F533" s="137"/>
      <c r="G533" s="137"/>
      <c r="H533" s="137"/>
      <c r="I533" s="137"/>
      <c r="J533" s="137"/>
      <c r="K533" s="137"/>
      <c r="L533" s="137"/>
      <c r="M533" s="137"/>
      <c r="N533" s="137"/>
      <c r="O533" s="137"/>
      <c r="P533" s="137"/>
      <c r="Q533" s="137"/>
      <c r="R533" s="137"/>
      <c r="S533" s="137"/>
    </row>
    <row r="535" spans="2:19" x14ac:dyDescent="0.3">
      <c r="B535" s="137" t="s">
        <v>235</v>
      </c>
      <c r="C535" s="137"/>
      <c r="D535" s="137"/>
      <c r="E535" s="137"/>
      <c r="F535" s="137"/>
      <c r="G535" s="137"/>
      <c r="H535" s="137"/>
      <c r="I535" s="137"/>
      <c r="J535" s="137"/>
      <c r="K535" s="137"/>
      <c r="L535" s="137"/>
      <c r="M535" s="137"/>
      <c r="N535" s="137"/>
      <c r="O535" s="137"/>
      <c r="P535" s="137"/>
      <c r="Q535" s="137"/>
      <c r="R535" s="137"/>
      <c r="S535" s="137"/>
    </row>
    <row r="536" spans="2:19" x14ac:dyDescent="0.3">
      <c r="B536" s="137"/>
      <c r="C536" s="137"/>
      <c r="D536" s="137"/>
      <c r="E536" s="137"/>
      <c r="F536" s="137"/>
      <c r="G536" s="137"/>
      <c r="H536" s="137"/>
      <c r="I536" s="137"/>
      <c r="J536" s="137"/>
      <c r="K536" s="137"/>
      <c r="L536" s="137"/>
      <c r="M536" s="137"/>
      <c r="N536" s="137"/>
      <c r="O536" s="137"/>
      <c r="P536" s="137"/>
      <c r="Q536" s="137"/>
      <c r="R536" s="137"/>
      <c r="S536" s="137"/>
    </row>
    <row r="538" spans="2:19" x14ac:dyDescent="0.3">
      <c r="B538" t="s">
        <v>236</v>
      </c>
    </row>
    <row r="540" spans="2:19" x14ac:dyDescent="0.3">
      <c r="B540" s="137" t="s">
        <v>237</v>
      </c>
      <c r="C540" s="137"/>
      <c r="D540" s="137"/>
      <c r="E540" s="137"/>
      <c r="F540" s="137"/>
      <c r="G540" s="137"/>
      <c r="H540" s="137"/>
      <c r="I540" s="137"/>
      <c r="J540" s="137"/>
      <c r="K540" s="137"/>
      <c r="L540" s="137"/>
      <c r="M540" s="137"/>
      <c r="N540" s="137"/>
      <c r="O540" s="137"/>
      <c r="P540" s="137"/>
      <c r="Q540" s="137"/>
      <c r="R540" s="137"/>
      <c r="S540" s="137"/>
    </row>
    <row r="541" spans="2:19" x14ac:dyDescent="0.3">
      <c r="B541" s="137"/>
      <c r="C541" s="137"/>
      <c r="D541" s="137"/>
      <c r="E541" s="137"/>
      <c r="F541" s="137"/>
      <c r="G541" s="137"/>
      <c r="H541" s="137"/>
      <c r="I541" s="137"/>
      <c r="J541" s="137"/>
      <c r="K541" s="137"/>
      <c r="L541" s="137"/>
      <c r="M541" s="137"/>
      <c r="N541" s="137"/>
      <c r="O541" s="137"/>
      <c r="P541" s="137"/>
      <c r="Q541" s="137"/>
      <c r="R541" s="137"/>
      <c r="S541" s="137"/>
    </row>
    <row r="543" spans="2:19" x14ac:dyDescent="0.3">
      <c r="B543" s="137" t="s">
        <v>238</v>
      </c>
      <c r="C543" s="137"/>
      <c r="D543" s="137"/>
      <c r="E543" s="137"/>
      <c r="F543" s="137"/>
      <c r="G543" s="137"/>
      <c r="H543" s="137"/>
      <c r="I543" s="137"/>
      <c r="J543" s="137"/>
      <c r="K543" s="137"/>
      <c r="L543" s="137"/>
      <c r="M543" s="137"/>
      <c r="N543" s="137"/>
      <c r="O543" s="137"/>
      <c r="P543" s="137"/>
      <c r="Q543" s="137"/>
      <c r="R543" s="137"/>
      <c r="S543" s="137"/>
    </row>
    <row r="544" spans="2:19" x14ac:dyDescent="0.3">
      <c r="B544" s="137"/>
      <c r="C544" s="137"/>
      <c r="D544" s="137"/>
      <c r="E544" s="137"/>
      <c r="F544" s="137"/>
      <c r="G544" s="137"/>
      <c r="H544" s="137"/>
      <c r="I544" s="137"/>
      <c r="J544" s="137"/>
      <c r="K544" s="137"/>
      <c r="L544" s="137"/>
      <c r="M544" s="137"/>
      <c r="N544" s="137"/>
      <c r="O544" s="137"/>
      <c r="P544" s="137"/>
      <c r="Q544" s="137"/>
      <c r="R544" s="137"/>
      <c r="S544" s="137"/>
    </row>
    <row r="546" spans="2:2" x14ac:dyDescent="0.3">
      <c r="B546" s="19"/>
    </row>
    <row r="564" spans="2:20" x14ac:dyDescent="0.3">
      <c r="N564" s="98"/>
      <c r="O564" s="147" t="str">
        <f>O478</f>
        <v>CERTIFICADO N°:</v>
      </c>
      <c r="P564" s="147"/>
      <c r="Q564" s="147"/>
      <c r="R564" s="147">
        <f>R478</f>
        <v>0</v>
      </c>
      <c r="S564" s="147"/>
    </row>
    <row r="565" spans="2:20" x14ac:dyDescent="0.3">
      <c r="N565" s="98"/>
      <c r="O565" s="26"/>
      <c r="P565" s="26"/>
      <c r="Q565" s="26"/>
      <c r="R565" s="26"/>
      <c r="S565" s="26"/>
    </row>
    <row r="566" spans="2:20" x14ac:dyDescent="0.3">
      <c r="N566" s="98"/>
      <c r="O566" s="26"/>
      <c r="P566" s="26"/>
      <c r="Q566" s="26"/>
      <c r="R566" s="26"/>
      <c r="S566" s="26"/>
    </row>
    <row r="567" spans="2:20" x14ac:dyDescent="0.3">
      <c r="N567" s="98"/>
      <c r="O567" s="26"/>
      <c r="P567" s="26"/>
      <c r="Q567" s="26"/>
      <c r="R567" s="26"/>
      <c r="S567" s="26"/>
    </row>
    <row r="568" spans="2:20" x14ac:dyDescent="0.3">
      <c r="B568" s="19" t="s">
        <v>262</v>
      </c>
      <c r="C568" s="19" t="s">
        <v>190</v>
      </c>
      <c r="N568" s="98"/>
      <c r="O568" s="26"/>
      <c r="P568" s="26"/>
      <c r="Q568" s="26"/>
      <c r="R568" s="26"/>
      <c r="S568" s="26"/>
    </row>
    <row r="569" spans="2:20" x14ac:dyDescent="0.3">
      <c r="B569" s="19"/>
      <c r="C569" s="19"/>
      <c r="N569" s="98"/>
      <c r="O569" s="26"/>
      <c r="P569" s="26"/>
      <c r="Q569" s="26"/>
      <c r="R569" s="26"/>
      <c r="S569" s="26"/>
    </row>
    <row r="570" spans="2:20" x14ac:dyDescent="0.3">
      <c r="N570" s="98"/>
      <c r="O570" s="26"/>
      <c r="P570" s="26"/>
      <c r="Q570" s="26"/>
      <c r="R570" s="26"/>
      <c r="S570" s="26"/>
    </row>
    <row r="571" spans="2:20" x14ac:dyDescent="0.3">
      <c r="C571" s="187" t="s">
        <v>191</v>
      </c>
      <c r="D571" s="187"/>
      <c r="E571" s="187"/>
      <c r="F571" s="187"/>
      <c r="G571" s="187"/>
      <c r="H571" s="196"/>
      <c r="I571" s="197"/>
      <c r="J571" s="198"/>
      <c r="K571" s="113" t="s">
        <v>178</v>
      </c>
      <c r="O571" s="98"/>
      <c r="P571" s="26"/>
      <c r="Q571" s="26"/>
      <c r="R571" s="26"/>
      <c r="S571" s="26"/>
      <c r="T571" s="26"/>
    </row>
    <row r="572" spans="2:20" x14ac:dyDescent="0.3">
      <c r="C572" s="187" t="s">
        <v>192</v>
      </c>
      <c r="D572" s="187"/>
      <c r="E572" s="187"/>
      <c r="F572" s="187"/>
      <c r="G572" s="187"/>
      <c r="H572" s="191"/>
      <c r="I572" s="191"/>
      <c r="J572" s="191"/>
      <c r="K572" s="113" t="s">
        <v>177</v>
      </c>
      <c r="O572" s="98"/>
      <c r="P572" s="26"/>
      <c r="Q572" s="26"/>
      <c r="R572" s="26"/>
      <c r="S572" s="26"/>
      <c r="T572" s="26"/>
    </row>
    <row r="573" spans="2:20" x14ac:dyDescent="0.3">
      <c r="C573" s="187" t="s">
        <v>193</v>
      </c>
      <c r="D573" s="187"/>
      <c r="E573" s="187"/>
      <c r="F573" s="187"/>
      <c r="G573" s="187"/>
      <c r="H573" s="191"/>
      <c r="I573" s="191"/>
      <c r="J573" s="191"/>
      <c r="K573" s="113" t="s">
        <v>195</v>
      </c>
      <c r="O573" s="98"/>
      <c r="P573" s="26"/>
      <c r="Q573" s="26"/>
      <c r="R573" s="26"/>
      <c r="S573" s="26"/>
      <c r="T573" s="26"/>
    </row>
    <row r="574" spans="2:20" x14ac:dyDescent="0.3">
      <c r="C574" s="187" t="s">
        <v>194</v>
      </c>
      <c r="D574" s="187"/>
      <c r="E574" s="187"/>
      <c r="F574" s="187"/>
      <c r="G574" s="187"/>
      <c r="H574" s="186"/>
      <c r="I574" s="186"/>
      <c r="J574" s="186"/>
      <c r="K574" s="113" t="s">
        <v>195</v>
      </c>
      <c r="O574" s="98"/>
      <c r="P574" s="26"/>
      <c r="Q574" s="26"/>
      <c r="R574" s="26"/>
      <c r="S574" s="26"/>
      <c r="T574" s="26"/>
    </row>
    <row r="575" spans="2:20" x14ac:dyDescent="0.3">
      <c r="N575" s="98"/>
      <c r="O575" s="26"/>
      <c r="P575" s="26"/>
      <c r="Q575" s="26"/>
      <c r="R575" s="26"/>
      <c r="S575" s="26"/>
    </row>
    <row r="576" spans="2:20" x14ac:dyDescent="0.3">
      <c r="N576" s="98"/>
      <c r="O576" s="26"/>
      <c r="P576" s="26"/>
      <c r="Q576" s="26"/>
      <c r="R576" s="26"/>
      <c r="S576" s="26"/>
    </row>
    <row r="577" spans="2:17" x14ac:dyDescent="0.3">
      <c r="N577" s="98"/>
    </row>
    <row r="578" spans="2:17" x14ac:dyDescent="0.3">
      <c r="B578" s="19" t="s">
        <v>263</v>
      </c>
      <c r="N578" s="98"/>
    </row>
    <row r="579" spans="2:17" x14ac:dyDescent="0.3">
      <c r="B579" s="19"/>
      <c r="N579" s="98"/>
    </row>
    <row r="580" spans="2:17" x14ac:dyDescent="0.3">
      <c r="B580" s="19"/>
    </row>
    <row r="581" spans="2:17" x14ac:dyDescent="0.3">
      <c r="C581" s="138" t="s">
        <v>142</v>
      </c>
      <c r="D581" s="138"/>
      <c r="E581" s="138"/>
      <c r="F581" s="138"/>
      <c r="G581" s="138" t="s">
        <v>143</v>
      </c>
      <c r="H581" s="138"/>
      <c r="I581" s="138"/>
      <c r="J581" s="138"/>
      <c r="K581" s="139" t="s">
        <v>239</v>
      </c>
      <c r="L581" s="140"/>
      <c r="M581" s="140"/>
      <c r="N581" s="141"/>
      <c r="O581" s="142" t="s">
        <v>209</v>
      </c>
      <c r="P581" s="142"/>
      <c r="Q581" s="142"/>
    </row>
    <row r="582" spans="2:17" x14ac:dyDescent="0.3">
      <c r="C582" s="143"/>
      <c r="D582" s="186"/>
      <c r="E582" s="186"/>
      <c r="F582" s="186"/>
      <c r="G582" s="143"/>
      <c r="H582" s="186"/>
      <c r="I582" s="186"/>
      <c r="J582" s="186"/>
      <c r="K582" s="144" t="e">
        <f>AVERAGE(C582:J582)</f>
        <v>#DIV/0!</v>
      </c>
      <c r="L582" s="145"/>
      <c r="M582" s="145"/>
      <c r="N582" s="146"/>
      <c r="O582" s="199" t="e">
        <f>STDEVA(C582:J582)</f>
        <v>#DIV/0!</v>
      </c>
      <c r="P582" s="199"/>
      <c r="Q582" s="199"/>
    </row>
    <row r="583" spans="2:17" x14ac:dyDescent="0.3">
      <c r="C583" s="25"/>
      <c r="D583" s="25"/>
      <c r="E583" s="25"/>
      <c r="F583" s="25"/>
      <c r="G583" s="25"/>
      <c r="H583" s="25"/>
      <c r="I583" s="25"/>
      <c r="J583" s="25"/>
      <c r="K583" s="25"/>
      <c r="L583" s="25"/>
      <c r="M583" s="25"/>
      <c r="N583" s="25"/>
      <c r="O583" s="54"/>
      <c r="P583" s="54"/>
      <c r="Q583" s="54"/>
    </row>
    <row r="584" spans="2:17" x14ac:dyDescent="0.3">
      <c r="C584" s="194" t="s">
        <v>144</v>
      </c>
      <c r="D584" s="194"/>
      <c r="E584" s="194"/>
      <c r="F584" s="194"/>
      <c r="G584" s="194" t="s">
        <v>145</v>
      </c>
      <c r="H584" s="194"/>
      <c r="I584" s="194"/>
      <c r="J584" s="194"/>
      <c r="K584" s="200" t="s">
        <v>146</v>
      </c>
      <c r="L584" s="201"/>
      <c r="M584" s="201"/>
      <c r="N584" s="202"/>
      <c r="O584" s="142" t="s">
        <v>209</v>
      </c>
      <c r="P584" s="142"/>
      <c r="Q584" s="142"/>
    </row>
    <row r="585" spans="2:17" x14ac:dyDescent="0.3">
      <c r="C585" s="143"/>
      <c r="D585" s="186"/>
      <c r="E585" s="186"/>
      <c r="F585" s="186"/>
      <c r="G585" s="143"/>
      <c r="H585" s="186"/>
      <c r="I585" s="186"/>
      <c r="J585" s="186"/>
      <c r="K585" s="144" t="e">
        <f>AVERAGE(C585:J585)</f>
        <v>#DIV/0!</v>
      </c>
      <c r="L585" s="145"/>
      <c r="M585" s="145"/>
      <c r="N585" s="146"/>
      <c r="O585" s="199" t="e">
        <f>STDEV(C585:J585)</f>
        <v>#DIV/0!</v>
      </c>
      <c r="P585" s="199"/>
      <c r="Q585" s="199"/>
    </row>
    <row r="586" spans="2:17" x14ac:dyDescent="0.3">
      <c r="C586" s="54"/>
      <c r="D586" s="54"/>
      <c r="E586" s="54"/>
      <c r="F586" s="54"/>
      <c r="G586" s="54"/>
      <c r="H586" s="54"/>
      <c r="I586" s="54"/>
      <c r="J586" s="54"/>
      <c r="K586" s="54"/>
      <c r="L586" s="54"/>
      <c r="M586" s="54"/>
      <c r="N586" s="54"/>
      <c r="O586" s="54"/>
      <c r="P586" s="54"/>
      <c r="Q586" s="54"/>
    </row>
    <row r="587" spans="2:17" x14ac:dyDescent="0.3">
      <c r="C587" s="138" t="s">
        <v>136</v>
      </c>
      <c r="D587" s="138"/>
      <c r="E587" s="138"/>
      <c r="F587" s="138" t="s">
        <v>138</v>
      </c>
      <c r="G587" s="138"/>
      <c r="H587" s="138"/>
      <c r="I587" s="138" t="s">
        <v>139</v>
      </c>
      <c r="J587" s="138"/>
      <c r="K587" s="138"/>
      <c r="L587" s="139" t="s">
        <v>135</v>
      </c>
      <c r="M587" s="140"/>
      <c r="N587" s="141"/>
      <c r="O587" s="142" t="s">
        <v>10</v>
      </c>
      <c r="P587" s="142"/>
      <c r="Q587" s="54"/>
    </row>
    <row r="588" spans="2:17" x14ac:dyDescent="0.3">
      <c r="C588" s="195"/>
      <c r="D588" s="195"/>
      <c r="E588" s="195"/>
      <c r="F588" s="195"/>
      <c r="G588" s="195"/>
      <c r="H588" s="195"/>
      <c r="I588" s="195">
        <f>F588-C588</f>
        <v>0</v>
      </c>
      <c r="J588" s="195"/>
      <c r="K588" s="195"/>
      <c r="L588" s="134">
        <v>0.4</v>
      </c>
      <c r="M588" s="135"/>
      <c r="N588" s="136"/>
      <c r="O588" s="195">
        <v>2</v>
      </c>
      <c r="P588" s="195"/>
      <c r="Q588" s="54"/>
    </row>
    <row r="589" spans="2:17" x14ac:dyDescent="0.3">
      <c r="C589" s="54"/>
      <c r="D589" s="54"/>
      <c r="E589" s="54"/>
      <c r="F589" s="54"/>
      <c r="G589" s="54"/>
      <c r="H589" s="54"/>
      <c r="I589" s="54"/>
      <c r="J589" s="54"/>
      <c r="K589" s="54"/>
      <c r="L589" s="54"/>
      <c r="M589" s="54"/>
      <c r="N589" s="54"/>
      <c r="O589" s="54"/>
      <c r="P589" s="54"/>
      <c r="Q589" s="54"/>
    </row>
    <row r="590" spans="2:17" x14ac:dyDescent="0.3">
      <c r="C590" s="138" t="s">
        <v>137</v>
      </c>
      <c r="D590" s="138"/>
      <c r="E590" s="138"/>
      <c r="F590" s="138" t="s">
        <v>140</v>
      </c>
      <c r="G590" s="138"/>
      <c r="H590" s="138"/>
      <c r="I590" s="138" t="s">
        <v>141</v>
      </c>
      <c r="J590" s="138"/>
      <c r="K590" s="138"/>
      <c r="L590" s="139" t="s">
        <v>135</v>
      </c>
      <c r="M590" s="140"/>
      <c r="N590" s="141"/>
      <c r="O590" s="142" t="s">
        <v>10</v>
      </c>
      <c r="P590" s="142"/>
      <c r="Q590" s="54"/>
    </row>
    <row r="591" spans="2:17" x14ac:dyDescent="0.3">
      <c r="C591" s="143"/>
      <c r="D591" s="143"/>
      <c r="E591" s="143"/>
      <c r="F591" s="143"/>
      <c r="G591" s="143"/>
      <c r="H591" s="143"/>
      <c r="I591" s="143">
        <f>F591-C591</f>
        <v>0</v>
      </c>
      <c r="J591" s="143"/>
      <c r="K591" s="143"/>
      <c r="L591" s="144">
        <v>0.06</v>
      </c>
      <c r="M591" s="145"/>
      <c r="N591" s="146"/>
      <c r="O591" s="195">
        <v>2</v>
      </c>
      <c r="P591" s="195"/>
      <c r="Q591" s="54"/>
    </row>
    <row r="593" spans="3:19" x14ac:dyDescent="0.3">
      <c r="C593" s="138" t="s">
        <v>142</v>
      </c>
      <c r="D593" s="138"/>
      <c r="E593" s="138"/>
      <c r="F593" s="138"/>
      <c r="G593" s="138" t="s">
        <v>143</v>
      </c>
      <c r="H593" s="138"/>
      <c r="I593" s="138"/>
      <c r="J593" s="138"/>
      <c r="K593" s="130" t="s">
        <v>147</v>
      </c>
      <c r="L593" s="131"/>
      <c r="M593" s="132"/>
    </row>
    <row r="594" spans="3:19" x14ac:dyDescent="0.3">
      <c r="C594" s="143"/>
      <c r="D594" s="186"/>
      <c r="E594" s="186"/>
      <c r="F594" s="186"/>
      <c r="G594" s="143"/>
      <c r="H594" s="186"/>
      <c r="I594" s="186"/>
      <c r="J594" s="186"/>
      <c r="K594" s="127">
        <f>G594-C594</f>
        <v>0</v>
      </c>
      <c r="L594" s="128"/>
      <c r="M594" s="129"/>
    </row>
    <row r="595" spans="3:19" x14ac:dyDescent="0.3">
      <c r="C595" s="25"/>
      <c r="D595" s="25"/>
      <c r="E595" s="25"/>
      <c r="F595" s="25"/>
      <c r="G595" s="25"/>
      <c r="H595" s="25"/>
      <c r="I595" s="25"/>
      <c r="J595" s="25"/>
    </row>
    <row r="596" spans="3:19" x14ac:dyDescent="0.3">
      <c r="C596" s="194" t="s">
        <v>144</v>
      </c>
      <c r="D596" s="194"/>
      <c r="E596" s="194"/>
      <c r="F596" s="194"/>
      <c r="G596" s="194" t="s">
        <v>145</v>
      </c>
      <c r="H596" s="194"/>
      <c r="I596" s="194"/>
      <c r="J596" s="194"/>
      <c r="K596" s="124" t="s">
        <v>148</v>
      </c>
      <c r="L596" s="125"/>
      <c r="M596" s="126"/>
    </row>
    <row r="597" spans="3:19" x14ac:dyDescent="0.3">
      <c r="C597" s="143"/>
      <c r="D597" s="186"/>
      <c r="E597" s="186"/>
      <c r="F597" s="186"/>
      <c r="G597" s="143"/>
      <c r="H597" s="186"/>
      <c r="I597" s="186"/>
      <c r="J597" s="186"/>
      <c r="K597" s="127">
        <f>G597-C597</f>
        <v>0</v>
      </c>
      <c r="L597" s="128"/>
      <c r="M597" s="129"/>
    </row>
    <row r="598" spans="3:19" x14ac:dyDescent="0.3">
      <c r="C598" s="119"/>
      <c r="D598" s="25"/>
      <c r="E598" s="25"/>
      <c r="F598" s="25"/>
      <c r="G598" s="119"/>
      <c r="H598" s="25"/>
      <c r="I598" s="25"/>
      <c r="J598" s="25"/>
      <c r="K598" s="120"/>
      <c r="L598" s="120"/>
      <c r="M598" s="120"/>
    </row>
    <row r="599" spans="3:19" x14ac:dyDescent="0.3">
      <c r="C599" s="119"/>
      <c r="D599" s="25"/>
      <c r="E599" s="25"/>
      <c r="F599" s="25"/>
      <c r="G599" s="119"/>
      <c r="H599" s="25"/>
      <c r="I599" s="25"/>
      <c r="J599" s="25"/>
      <c r="K599" s="120"/>
      <c r="L599" s="120"/>
      <c r="M599" s="120"/>
    </row>
    <row r="600" spans="3:19" x14ac:dyDescent="0.3">
      <c r="C600" s="119"/>
      <c r="D600" s="25"/>
      <c r="E600" s="25"/>
      <c r="F600" s="25"/>
      <c r="G600" s="119"/>
      <c r="H600" s="25"/>
      <c r="I600" s="25"/>
      <c r="J600" s="25"/>
      <c r="K600" s="120"/>
      <c r="L600" s="120"/>
      <c r="M600" s="120"/>
    </row>
    <row r="601" spans="3:19" x14ac:dyDescent="0.3">
      <c r="C601" s="119"/>
      <c r="D601" s="25"/>
      <c r="E601" s="25"/>
      <c r="F601" s="25"/>
      <c r="G601" s="119"/>
      <c r="H601" s="25"/>
      <c r="I601" s="25"/>
      <c r="J601" s="25"/>
      <c r="K601" s="120"/>
      <c r="L601" s="120"/>
      <c r="M601" s="120"/>
    </row>
    <row r="602" spans="3:19" x14ac:dyDescent="0.3">
      <c r="C602" s="119"/>
      <c r="D602" s="25"/>
      <c r="E602" s="25"/>
      <c r="F602" s="25"/>
      <c r="G602" s="119"/>
      <c r="H602" s="25"/>
      <c r="I602" s="25"/>
      <c r="J602" s="25"/>
      <c r="K602" s="120"/>
      <c r="L602" s="120"/>
      <c r="M602" s="120"/>
    </row>
    <row r="603" spans="3:19" x14ac:dyDescent="0.3">
      <c r="C603" s="119"/>
      <c r="D603" s="25"/>
      <c r="E603" s="25"/>
      <c r="F603" s="25"/>
      <c r="G603" s="119"/>
      <c r="H603" s="25"/>
      <c r="I603" s="25"/>
      <c r="J603" s="25"/>
      <c r="K603" s="120"/>
      <c r="L603" s="120"/>
      <c r="M603" s="120"/>
    </row>
    <row r="604" spans="3:19" x14ac:dyDescent="0.3">
      <c r="C604" s="119"/>
      <c r="D604" s="25"/>
      <c r="E604" s="25"/>
      <c r="F604" s="25"/>
      <c r="G604" s="119"/>
      <c r="H604" s="25"/>
      <c r="I604" s="25"/>
      <c r="J604" s="25"/>
      <c r="K604" s="120"/>
      <c r="L604" s="120"/>
      <c r="M604" s="120"/>
    </row>
    <row r="605" spans="3:19" x14ac:dyDescent="0.3">
      <c r="C605" s="119"/>
      <c r="D605" s="25"/>
      <c r="E605" s="25"/>
      <c r="F605" s="25"/>
      <c r="G605" s="119"/>
      <c r="H605" s="25"/>
      <c r="I605" s="25"/>
      <c r="J605" s="25"/>
      <c r="K605" s="120"/>
      <c r="L605" s="120"/>
      <c r="M605" s="120"/>
    </row>
    <row r="606" spans="3:19" x14ac:dyDescent="0.3">
      <c r="C606" s="119"/>
      <c r="D606" s="25"/>
      <c r="E606" s="25"/>
      <c r="F606" s="25"/>
      <c r="G606" s="119"/>
      <c r="H606" s="25"/>
      <c r="I606" s="25"/>
      <c r="J606" s="25"/>
      <c r="K606" s="120"/>
      <c r="L606" s="120"/>
      <c r="M606" s="120"/>
    </row>
    <row r="607" spans="3:19" x14ac:dyDescent="0.3">
      <c r="C607" s="119"/>
      <c r="D607" s="25"/>
      <c r="E607" s="25"/>
      <c r="F607" s="25"/>
      <c r="G607" s="119"/>
      <c r="H607" s="25"/>
      <c r="I607" s="25"/>
      <c r="J607" s="25"/>
      <c r="K607" s="120"/>
      <c r="L607" s="120"/>
      <c r="M607" s="120"/>
      <c r="O607" s="147" t="str">
        <f>O564</f>
        <v>CERTIFICADO N°:</v>
      </c>
      <c r="P607" s="147"/>
      <c r="Q607" s="147"/>
      <c r="R607" s="147">
        <f>R564</f>
        <v>0</v>
      </c>
      <c r="S607" s="147"/>
    </row>
    <row r="608" spans="3:19" x14ac:dyDescent="0.3">
      <c r="C608" s="119"/>
      <c r="D608" s="25"/>
      <c r="E608" s="25"/>
      <c r="F608" s="25"/>
      <c r="G608" s="119"/>
      <c r="H608" s="25"/>
      <c r="I608" s="25"/>
      <c r="J608" s="25"/>
      <c r="K608" s="120"/>
      <c r="L608" s="120"/>
      <c r="M608" s="120"/>
      <c r="O608" s="26"/>
      <c r="P608" s="26"/>
      <c r="Q608" s="26"/>
      <c r="R608" s="26"/>
      <c r="S608" s="26"/>
    </row>
    <row r="609" spans="2:19" x14ac:dyDescent="0.3">
      <c r="C609" s="119"/>
      <c r="D609" s="25"/>
      <c r="E609" s="25"/>
      <c r="F609" s="25"/>
      <c r="G609" s="119"/>
      <c r="H609" s="25"/>
      <c r="I609" s="25"/>
      <c r="J609" s="25"/>
      <c r="K609" s="120"/>
      <c r="L609" s="120"/>
      <c r="M609" s="120"/>
      <c r="O609" s="26"/>
      <c r="P609" s="26"/>
      <c r="Q609" s="26"/>
      <c r="R609" s="26"/>
      <c r="S609" s="26"/>
    </row>
    <row r="611" spans="2:19" x14ac:dyDescent="0.3">
      <c r="B611" s="54" t="s">
        <v>240</v>
      </c>
    </row>
    <row r="613" spans="2:19" ht="23.4" customHeight="1" x14ac:dyDescent="0.3">
      <c r="B613" s="148" t="s">
        <v>249</v>
      </c>
      <c r="C613" s="148"/>
      <c r="D613" s="148"/>
      <c r="E613" s="148"/>
      <c r="F613" s="148"/>
      <c r="G613" s="148"/>
      <c r="H613" s="148"/>
      <c r="I613" s="148"/>
      <c r="J613" s="148"/>
      <c r="K613" s="148"/>
      <c r="L613" s="148"/>
      <c r="M613" s="148"/>
      <c r="N613" s="148"/>
      <c r="O613" s="148"/>
      <c r="P613" s="148"/>
      <c r="Q613" s="148"/>
      <c r="R613" s="148"/>
      <c r="S613" s="148"/>
    </row>
    <row r="614" spans="2:19" ht="22.2" customHeight="1" x14ac:dyDescent="0.3">
      <c r="B614" s="148"/>
      <c r="C614" s="148"/>
      <c r="D614" s="148"/>
      <c r="E614" s="148"/>
      <c r="F614" s="148"/>
      <c r="G614" s="148"/>
      <c r="H614" s="148"/>
      <c r="I614" s="148"/>
      <c r="J614" s="148"/>
      <c r="K614" s="148"/>
      <c r="L614" s="148"/>
      <c r="M614" s="148"/>
      <c r="N614" s="148"/>
      <c r="O614" s="148"/>
      <c r="P614" s="148"/>
      <c r="Q614" s="148"/>
      <c r="R614" s="148"/>
      <c r="S614" s="148"/>
    </row>
    <row r="616" spans="2:19" x14ac:dyDescent="0.3">
      <c r="B616" s="148" t="s">
        <v>250</v>
      </c>
      <c r="C616" s="148"/>
      <c r="D616" s="148"/>
      <c r="E616" s="148"/>
      <c r="F616" s="148"/>
      <c r="G616" s="148"/>
      <c r="H616" s="148"/>
      <c r="I616" s="148"/>
      <c r="J616" s="148"/>
      <c r="K616" s="148"/>
      <c r="L616" s="148"/>
      <c r="M616" s="148"/>
      <c r="N616" s="148"/>
      <c r="O616" s="148"/>
      <c r="P616" s="148"/>
      <c r="Q616" s="148"/>
      <c r="R616" s="148"/>
      <c r="S616" s="148"/>
    </row>
    <row r="617" spans="2:19" x14ac:dyDescent="0.3">
      <c r="B617" s="148"/>
      <c r="C617" s="148"/>
      <c r="D617" s="148"/>
      <c r="E617" s="148"/>
      <c r="F617" s="148"/>
      <c r="G617" s="148"/>
      <c r="H617" s="148"/>
      <c r="I617" s="148"/>
      <c r="J617" s="148"/>
      <c r="K617" s="148"/>
      <c r="L617" s="148"/>
      <c r="M617" s="148"/>
      <c r="N617" s="148"/>
      <c r="O617" s="148"/>
      <c r="P617" s="148"/>
      <c r="Q617" s="148"/>
      <c r="R617" s="148"/>
      <c r="S617" s="148"/>
    </row>
    <row r="619" spans="2:19" x14ac:dyDescent="0.3">
      <c r="B619" s="148" t="s">
        <v>243</v>
      </c>
      <c r="C619" s="148"/>
      <c r="D619" s="148"/>
      <c r="E619" s="148"/>
      <c r="F619" s="148"/>
      <c r="G619" s="148"/>
      <c r="H619" s="148"/>
      <c r="I619" s="148"/>
      <c r="J619" s="148"/>
      <c r="K619" s="148"/>
      <c r="L619" s="148"/>
      <c r="M619" s="148"/>
      <c r="N619" s="148"/>
      <c r="O619" s="148"/>
      <c r="P619" s="148"/>
      <c r="Q619" s="148"/>
      <c r="R619" s="148"/>
      <c r="S619" s="148"/>
    </row>
    <row r="620" spans="2:19" x14ac:dyDescent="0.3">
      <c r="B620" s="148"/>
      <c r="C620" s="148"/>
      <c r="D620" s="148"/>
      <c r="E620" s="148"/>
      <c r="F620" s="148"/>
      <c r="G620" s="148"/>
      <c r="H620" s="148"/>
      <c r="I620" s="148"/>
      <c r="J620" s="148"/>
      <c r="K620" s="148"/>
      <c r="L620" s="148"/>
      <c r="M620" s="148"/>
      <c r="N620" s="148"/>
      <c r="O620" s="148"/>
      <c r="P620" s="148"/>
      <c r="Q620" s="148"/>
      <c r="R620" s="148"/>
      <c r="S620" s="148"/>
    </row>
    <row r="622" spans="2:19" x14ac:dyDescent="0.3">
      <c r="B622" s="148" t="s">
        <v>251</v>
      </c>
      <c r="C622" s="148"/>
      <c r="D622" s="148"/>
      <c r="E622" s="148"/>
      <c r="F622" s="148"/>
      <c r="G622" s="148"/>
      <c r="H622" s="148"/>
      <c r="I622" s="148"/>
      <c r="J622" s="148"/>
      <c r="K622" s="148"/>
      <c r="L622" s="148"/>
      <c r="M622" s="148"/>
      <c r="N622" s="148"/>
      <c r="O622" s="148"/>
      <c r="P622" s="148"/>
      <c r="Q622" s="148"/>
      <c r="R622" s="148"/>
      <c r="S622" s="148"/>
    </row>
    <row r="623" spans="2:19" x14ac:dyDescent="0.3">
      <c r="B623" s="148"/>
      <c r="C623" s="148"/>
      <c r="D623" s="148"/>
      <c r="E623" s="148"/>
      <c r="F623" s="148"/>
      <c r="G623" s="148"/>
      <c r="H623" s="148"/>
      <c r="I623" s="148"/>
      <c r="J623" s="148"/>
      <c r="K623" s="148"/>
      <c r="L623" s="148"/>
      <c r="M623" s="148"/>
      <c r="N623" s="148"/>
      <c r="O623" s="148"/>
      <c r="P623" s="148"/>
      <c r="Q623" s="148"/>
      <c r="R623" s="148"/>
      <c r="S623" s="148"/>
    </row>
    <row r="624" spans="2:19" x14ac:dyDescent="0.3">
      <c r="B624" s="59"/>
      <c r="C624" s="59"/>
      <c r="D624" s="59"/>
      <c r="E624" s="59"/>
      <c r="F624" s="59"/>
      <c r="G624" s="59"/>
      <c r="H624" s="59"/>
      <c r="I624" s="59"/>
      <c r="J624" s="59"/>
      <c r="K624" s="59"/>
      <c r="L624" s="59"/>
      <c r="M624" s="59"/>
      <c r="N624" s="59"/>
      <c r="O624" s="59"/>
      <c r="P624" s="59"/>
      <c r="Q624" s="59"/>
      <c r="R624" s="59"/>
      <c r="S624" s="59"/>
    </row>
    <row r="625" spans="2:19" x14ac:dyDescent="0.3">
      <c r="B625" s="212" t="s">
        <v>252</v>
      </c>
      <c r="C625" s="212"/>
      <c r="D625" s="212"/>
      <c r="E625" s="212"/>
      <c r="F625" s="212"/>
      <c r="G625" s="212"/>
      <c r="H625" s="212"/>
      <c r="I625" s="212"/>
      <c r="J625" s="212"/>
      <c r="K625" s="212"/>
      <c r="L625" s="212"/>
      <c r="M625" s="212"/>
      <c r="N625" s="212"/>
      <c r="O625" s="212"/>
      <c r="P625" s="212"/>
      <c r="Q625" s="212"/>
      <c r="R625" s="212"/>
      <c r="S625" s="212"/>
    </row>
    <row r="626" spans="2:19" x14ac:dyDescent="0.3">
      <c r="B626" s="212"/>
      <c r="C626" s="212"/>
      <c r="D626" s="212"/>
      <c r="E626" s="212"/>
      <c r="F626" s="212"/>
      <c r="G626" s="212"/>
      <c r="H626" s="212"/>
      <c r="I626" s="212"/>
      <c r="J626" s="212"/>
      <c r="K626" s="212"/>
      <c r="L626" s="212"/>
      <c r="M626" s="212"/>
      <c r="N626" s="212"/>
      <c r="O626" s="212"/>
      <c r="P626" s="212"/>
      <c r="Q626" s="212"/>
      <c r="R626" s="212"/>
      <c r="S626" s="212"/>
    </row>
    <row r="627" spans="2:19" x14ac:dyDescent="0.3">
      <c r="O627" s="19"/>
      <c r="P627" s="19"/>
      <c r="Q627" s="19"/>
      <c r="R627" s="19"/>
      <c r="S627" s="19"/>
    </row>
    <row r="629" spans="2:19" x14ac:dyDescent="0.3">
      <c r="B629" s="19" t="s">
        <v>264</v>
      </c>
    </row>
    <row r="631" spans="2:19" x14ac:dyDescent="0.3">
      <c r="C631" s="193" t="s">
        <v>113</v>
      </c>
      <c r="D631" s="193"/>
      <c r="E631" s="193"/>
      <c r="F631" s="193"/>
      <c r="G631" s="193" t="s">
        <v>114</v>
      </c>
      <c r="H631" s="193"/>
      <c r="I631" s="193"/>
      <c r="J631" s="193"/>
      <c r="K631" s="121" t="s">
        <v>149</v>
      </c>
      <c r="L631" s="122"/>
      <c r="M631" s="122"/>
      <c r="N631" s="123"/>
      <c r="O631" s="121" t="s">
        <v>150</v>
      </c>
      <c r="P631" s="122"/>
      <c r="Q631" s="122"/>
      <c r="R631" s="123"/>
    </row>
    <row r="632" spans="2:19" x14ac:dyDescent="0.3">
      <c r="C632" s="189" t="s">
        <v>152</v>
      </c>
      <c r="D632" s="189"/>
      <c r="E632" s="189"/>
      <c r="F632" s="189"/>
      <c r="G632" s="189" t="s">
        <v>161</v>
      </c>
      <c r="H632" s="189"/>
      <c r="I632" s="189"/>
      <c r="J632" s="189"/>
      <c r="K632" s="209" t="s">
        <v>151</v>
      </c>
      <c r="L632" s="210"/>
      <c r="M632" s="210"/>
      <c r="N632" s="211"/>
      <c r="O632" s="206" t="s">
        <v>115</v>
      </c>
      <c r="P632" s="207"/>
      <c r="Q632" s="207"/>
      <c r="R632" s="208"/>
    </row>
    <row r="633" spans="2:19" x14ac:dyDescent="0.3">
      <c r="C633" s="189" t="s">
        <v>153</v>
      </c>
      <c r="D633" s="189"/>
      <c r="E633" s="189"/>
      <c r="F633" s="189"/>
      <c r="G633" s="189" t="s">
        <v>162</v>
      </c>
      <c r="H633" s="189"/>
      <c r="I633" s="189"/>
      <c r="J633" s="189"/>
      <c r="K633" s="203" t="s">
        <v>159</v>
      </c>
      <c r="L633" s="204"/>
      <c r="M633" s="204"/>
      <c r="N633" s="205"/>
      <c r="O633" s="206" t="s">
        <v>115</v>
      </c>
      <c r="P633" s="207"/>
      <c r="Q633" s="207"/>
      <c r="R633" s="208"/>
    </row>
    <row r="634" spans="2:19" x14ac:dyDescent="0.3">
      <c r="C634" s="189" t="s">
        <v>154</v>
      </c>
      <c r="D634" s="189"/>
      <c r="E634" s="189"/>
      <c r="F634" s="189"/>
      <c r="G634" s="189" t="s">
        <v>163</v>
      </c>
      <c r="H634" s="189"/>
      <c r="I634" s="189"/>
      <c r="J634" s="189"/>
      <c r="K634" s="203" t="s">
        <v>196</v>
      </c>
      <c r="L634" s="204"/>
      <c r="M634" s="204"/>
      <c r="N634" s="205"/>
      <c r="O634" s="206" t="s">
        <v>115</v>
      </c>
      <c r="P634" s="207"/>
      <c r="Q634" s="207"/>
      <c r="R634" s="208"/>
    </row>
    <row r="635" spans="2:19" x14ac:dyDescent="0.3">
      <c r="C635" s="189" t="s">
        <v>155</v>
      </c>
      <c r="D635" s="189"/>
      <c r="E635" s="189"/>
      <c r="F635" s="189"/>
      <c r="G635" s="189" t="s">
        <v>164</v>
      </c>
      <c r="H635" s="189"/>
      <c r="I635" s="189"/>
      <c r="J635" s="189"/>
      <c r="K635" s="209" t="s">
        <v>198</v>
      </c>
      <c r="L635" s="210"/>
      <c r="M635" s="210"/>
      <c r="N635" s="211"/>
      <c r="O635" s="206" t="s">
        <v>115</v>
      </c>
      <c r="P635" s="207"/>
      <c r="Q635" s="207"/>
      <c r="R635" s="208"/>
    </row>
    <row r="636" spans="2:19" x14ac:dyDescent="0.3">
      <c r="C636" s="189" t="s">
        <v>197</v>
      </c>
      <c r="D636" s="189"/>
      <c r="E636" s="189"/>
      <c r="F636" s="189"/>
      <c r="G636" s="189"/>
      <c r="H636" s="189"/>
      <c r="I636" s="189"/>
      <c r="J636" s="189"/>
      <c r="K636" s="209" t="s">
        <v>199</v>
      </c>
      <c r="L636" s="210"/>
      <c r="M636" s="210"/>
      <c r="N636" s="211"/>
      <c r="O636" s="206" t="s">
        <v>115</v>
      </c>
      <c r="P636" s="207"/>
      <c r="Q636" s="207"/>
      <c r="R636" s="208"/>
    </row>
    <row r="637" spans="2:19" x14ac:dyDescent="0.3">
      <c r="C637" s="189" t="s">
        <v>193</v>
      </c>
      <c r="D637" s="189"/>
      <c r="E637" s="189"/>
      <c r="F637" s="189"/>
      <c r="G637" s="189"/>
      <c r="H637" s="189"/>
      <c r="I637" s="189"/>
      <c r="J637" s="189"/>
      <c r="K637" s="209" t="s">
        <v>202</v>
      </c>
      <c r="L637" s="210"/>
      <c r="M637" s="210"/>
      <c r="N637" s="211"/>
      <c r="O637" s="206" t="s">
        <v>115</v>
      </c>
      <c r="P637" s="207"/>
      <c r="Q637" s="207"/>
      <c r="R637" s="208"/>
    </row>
    <row r="638" spans="2:19" x14ac:dyDescent="0.3">
      <c r="C638" s="92"/>
      <c r="D638" s="92"/>
      <c r="E638" s="92"/>
      <c r="F638" s="92"/>
      <c r="G638" s="92"/>
      <c r="H638" s="92"/>
      <c r="I638" s="92"/>
      <c r="J638" s="92"/>
      <c r="K638" s="94"/>
      <c r="L638" s="94"/>
    </row>
    <row r="639" spans="2:19" x14ac:dyDescent="0.3">
      <c r="C639" s="92"/>
      <c r="D639" s="92"/>
      <c r="E639" s="92"/>
      <c r="F639" s="92"/>
      <c r="G639" s="92"/>
      <c r="H639" s="92"/>
      <c r="I639" s="92"/>
      <c r="J639" s="92"/>
      <c r="K639" s="94"/>
      <c r="L639" s="94"/>
    </row>
    <row r="640" spans="2:19" x14ac:dyDescent="0.3">
      <c r="C640" s="92"/>
      <c r="D640" s="92"/>
      <c r="E640" s="92"/>
      <c r="F640" s="92"/>
      <c r="G640" s="92"/>
      <c r="H640" s="92"/>
      <c r="I640" s="92"/>
      <c r="J640" s="92"/>
      <c r="K640" s="94"/>
      <c r="L640" s="94"/>
    </row>
    <row r="641" spans="2:19" x14ac:dyDescent="0.3">
      <c r="C641" s="92"/>
      <c r="D641" s="92"/>
      <c r="E641" s="92"/>
      <c r="F641" s="92"/>
      <c r="G641" s="92"/>
      <c r="H641" s="92"/>
      <c r="I641" s="92"/>
      <c r="J641" s="92"/>
      <c r="K641" s="94"/>
      <c r="L641" s="94"/>
    </row>
    <row r="642" spans="2:19" x14ac:dyDescent="0.3">
      <c r="C642" s="92"/>
      <c r="D642" s="92"/>
      <c r="E642" s="92"/>
      <c r="F642" s="92"/>
      <c r="G642" s="92"/>
      <c r="H642" s="92"/>
      <c r="I642" s="92"/>
      <c r="J642" s="92"/>
      <c r="K642" s="94"/>
      <c r="L642" s="94"/>
    </row>
    <row r="643" spans="2:19" x14ac:dyDescent="0.3">
      <c r="C643" s="92"/>
      <c r="D643" s="92"/>
      <c r="E643" s="92"/>
      <c r="F643" s="92"/>
      <c r="G643" s="92"/>
      <c r="H643" s="92"/>
      <c r="I643" s="92"/>
      <c r="J643" s="92"/>
      <c r="K643" s="94"/>
      <c r="L643" s="94"/>
    </row>
    <row r="644" spans="2:19" x14ac:dyDescent="0.3">
      <c r="C644" s="92"/>
      <c r="D644" s="92"/>
      <c r="E644" s="92"/>
      <c r="F644" s="92"/>
      <c r="G644" s="92"/>
      <c r="H644" s="92"/>
      <c r="I644" s="92"/>
      <c r="J644" s="92"/>
      <c r="K644" s="94"/>
      <c r="L644" s="94"/>
    </row>
    <row r="645" spans="2:19" x14ac:dyDescent="0.3">
      <c r="C645" s="92"/>
      <c r="D645" s="92"/>
      <c r="E645" s="92"/>
      <c r="F645" s="92"/>
      <c r="G645" s="92"/>
      <c r="H645" s="92"/>
      <c r="I645" s="92"/>
      <c r="J645" s="92"/>
      <c r="K645" s="94"/>
      <c r="L645" s="94"/>
      <c r="M645" s="94"/>
      <c r="N645" s="94"/>
      <c r="O645" s="96"/>
      <c r="P645" s="96"/>
      <c r="Q645" s="96"/>
      <c r="R645" s="96"/>
    </row>
    <row r="646" spans="2:19" x14ac:dyDescent="0.3">
      <c r="C646" s="92"/>
      <c r="D646" s="92"/>
      <c r="E646" s="92"/>
      <c r="F646" s="92"/>
      <c r="G646" s="92"/>
      <c r="H646" s="92"/>
      <c r="I646" s="92"/>
      <c r="J646" s="92"/>
      <c r="K646" s="94"/>
      <c r="L646" s="94"/>
      <c r="M646" s="94"/>
      <c r="N646" s="94"/>
      <c r="O646" s="96"/>
      <c r="P646" s="96"/>
      <c r="Q646" s="96"/>
      <c r="R646" s="96"/>
    </row>
    <row r="647" spans="2:19" x14ac:dyDescent="0.3">
      <c r="C647" s="92"/>
      <c r="D647" s="92"/>
      <c r="E647" s="92"/>
      <c r="F647" s="92"/>
      <c r="G647" s="92"/>
      <c r="H647" s="92"/>
      <c r="I647" s="92"/>
      <c r="J647" s="92"/>
      <c r="K647" s="94"/>
      <c r="L647" s="94"/>
      <c r="M647" s="94"/>
      <c r="N647" s="94"/>
      <c r="O647" s="96"/>
      <c r="P647" s="96"/>
      <c r="Q647" s="96"/>
      <c r="R647" s="96"/>
    </row>
    <row r="648" spans="2:19" x14ac:dyDescent="0.3">
      <c r="C648" s="92"/>
      <c r="D648" s="92"/>
      <c r="E648" s="92"/>
      <c r="F648" s="92"/>
      <c r="G648" s="25"/>
      <c r="H648" s="25"/>
      <c r="I648" s="25"/>
      <c r="J648" s="25"/>
      <c r="K648" s="94"/>
      <c r="L648" s="95"/>
      <c r="M648" s="95"/>
      <c r="N648" s="95"/>
      <c r="O648" s="96"/>
      <c r="P648" s="96"/>
      <c r="Q648" s="96"/>
      <c r="R648" s="96"/>
    </row>
    <row r="649" spans="2:19" x14ac:dyDescent="0.3">
      <c r="C649" s="92"/>
      <c r="D649" s="92"/>
      <c r="E649" s="92"/>
      <c r="F649" s="92"/>
      <c r="G649" s="25"/>
      <c r="H649" s="25"/>
      <c r="I649" s="25"/>
      <c r="J649" s="25"/>
      <c r="K649" s="94"/>
      <c r="L649" s="95"/>
      <c r="M649" s="95"/>
      <c r="O649" s="147" t="str">
        <f>O607</f>
        <v>CERTIFICADO N°:</v>
      </c>
      <c r="P649" s="147"/>
      <c r="Q649" s="147"/>
      <c r="R649" s="147">
        <f>R607</f>
        <v>0</v>
      </c>
      <c r="S649" s="147"/>
    </row>
    <row r="650" spans="2:19" x14ac:dyDescent="0.3">
      <c r="C650" s="92"/>
      <c r="D650" s="92"/>
      <c r="E650" s="92"/>
      <c r="F650" s="92"/>
      <c r="G650" s="25"/>
      <c r="H650" s="25"/>
      <c r="I650" s="25"/>
      <c r="J650" s="25"/>
      <c r="K650" s="94"/>
      <c r="L650" s="95"/>
      <c r="M650" s="95"/>
    </row>
    <row r="651" spans="2:19" x14ac:dyDescent="0.3">
      <c r="C651" s="92"/>
      <c r="D651" s="92"/>
      <c r="E651" s="92"/>
      <c r="F651" s="92"/>
      <c r="G651" s="25"/>
      <c r="H651" s="25"/>
      <c r="I651" s="25"/>
      <c r="J651" s="25"/>
      <c r="K651" s="94"/>
      <c r="L651" s="95"/>
      <c r="M651" s="95"/>
    </row>
    <row r="653" spans="2:19" x14ac:dyDescent="0.3">
      <c r="B653" s="19" t="s">
        <v>265</v>
      </c>
    </row>
    <row r="692" spans="2:19" x14ac:dyDescent="0.3">
      <c r="O692" s="147" t="str">
        <f>O649</f>
        <v>CERTIFICADO N°:</v>
      </c>
      <c r="P692" s="147"/>
      <c r="Q692" s="147"/>
      <c r="R692" s="147">
        <f>R649</f>
        <v>0</v>
      </c>
      <c r="S692" s="147"/>
    </row>
    <row r="693" spans="2:19" x14ac:dyDescent="0.3">
      <c r="O693" s="26"/>
      <c r="P693" s="26"/>
      <c r="Q693" s="26"/>
      <c r="R693" s="26"/>
      <c r="S693" s="26"/>
    </row>
    <row r="694" spans="2:19" x14ac:dyDescent="0.3">
      <c r="O694" s="26"/>
      <c r="P694" s="26"/>
      <c r="Q694" s="26"/>
      <c r="R694" s="26"/>
      <c r="S694" s="26"/>
    </row>
    <row r="696" spans="2:19" x14ac:dyDescent="0.3">
      <c r="B696" s="133" t="s">
        <v>205</v>
      </c>
      <c r="C696" s="133"/>
      <c r="D696" s="133"/>
      <c r="E696" s="133"/>
      <c r="F696" s="133"/>
      <c r="G696" s="133"/>
      <c r="H696" s="133"/>
      <c r="I696" s="133"/>
      <c r="J696" s="133"/>
      <c r="K696" s="133"/>
      <c r="L696" s="133"/>
      <c r="M696" s="133"/>
      <c r="N696" s="133"/>
      <c r="O696" s="133"/>
      <c r="P696" s="133"/>
      <c r="Q696" s="133"/>
      <c r="R696" s="133"/>
      <c r="S696" s="133"/>
    </row>
    <row r="698" spans="2:19" x14ac:dyDescent="0.3">
      <c r="B698" s="137" t="s">
        <v>246</v>
      </c>
      <c r="C698" s="137"/>
      <c r="D698" s="137"/>
      <c r="E698" s="137"/>
      <c r="F698" s="137"/>
      <c r="G698" s="137"/>
      <c r="H698" s="137"/>
      <c r="I698" s="137"/>
      <c r="J698" s="137"/>
      <c r="K698" s="137"/>
      <c r="L698" s="137"/>
      <c r="M698" s="137"/>
      <c r="N698" s="137"/>
      <c r="O698" s="137"/>
      <c r="P698" s="137"/>
      <c r="Q698" s="137"/>
      <c r="R698" s="137"/>
      <c r="S698" s="137"/>
    </row>
    <row r="699" spans="2:19" x14ac:dyDescent="0.3">
      <c r="B699" s="137"/>
      <c r="C699" s="137"/>
      <c r="D699" s="137"/>
      <c r="E699" s="137"/>
      <c r="F699" s="137"/>
      <c r="G699" s="137"/>
      <c r="H699" s="137"/>
      <c r="I699" s="137"/>
      <c r="J699" s="137"/>
      <c r="K699" s="137"/>
      <c r="L699" s="137"/>
      <c r="M699" s="137"/>
      <c r="N699" s="137"/>
      <c r="O699" s="137"/>
      <c r="P699" s="137"/>
      <c r="Q699" s="137"/>
      <c r="R699" s="137"/>
      <c r="S699" s="137"/>
    </row>
    <row r="701" spans="2:19" x14ac:dyDescent="0.3">
      <c r="B701" s="19" t="s">
        <v>206</v>
      </c>
    </row>
    <row r="703" spans="2:19" x14ac:dyDescent="0.3">
      <c r="B703" s="137" t="s">
        <v>234</v>
      </c>
      <c r="C703" s="137"/>
      <c r="D703" s="137"/>
      <c r="E703" s="137"/>
      <c r="F703" s="137"/>
      <c r="G703" s="137"/>
      <c r="H703" s="137"/>
      <c r="I703" s="137"/>
      <c r="J703" s="137"/>
      <c r="K703" s="137"/>
      <c r="L703" s="137"/>
      <c r="M703" s="137"/>
      <c r="N703" s="137"/>
      <c r="O703" s="137"/>
      <c r="P703" s="137"/>
      <c r="Q703" s="137"/>
      <c r="R703" s="137"/>
      <c r="S703" s="137"/>
    </row>
    <row r="704" spans="2:19" x14ac:dyDescent="0.3">
      <c r="B704" s="137"/>
      <c r="C704" s="137"/>
      <c r="D704" s="137"/>
      <c r="E704" s="137"/>
      <c r="F704" s="137"/>
      <c r="G704" s="137"/>
      <c r="H704" s="137"/>
      <c r="I704" s="137"/>
      <c r="J704" s="137"/>
      <c r="K704" s="137"/>
      <c r="L704" s="137"/>
      <c r="M704" s="137"/>
      <c r="N704" s="137"/>
      <c r="O704" s="137"/>
      <c r="P704" s="137"/>
      <c r="Q704" s="137"/>
      <c r="R704" s="137"/>
      <c r="S704" s="137"/>
    </row>
    <row r="706" spans="2:19" x14ac:dyDescent="0.3">
      <c r="B706" t="s">
        <v>247</v>
      </c>
    </row>
    <row r="708" spans="2:19" x14ac:dyDescent="0.3">
      <c r="B708" s="137" t="s">
        <v>235</v>
      </c>
      <c r="C708" s="137"/>
      <c r="D708" s="137"/>
      <c r="E708" s="137"/>
      <c r="F708" s="137"/>
      <c r="G708" s="137"/>
      <c r="H708" s="137"/>
      <c r="I708" s="137"/>
      <c r="J708" s="137"/>
      <c r="K708" s="137"/>
      <c r="L708" s="137"/>
      <c r="M708" s="137"/>
      <c r="N708" s="137"/>
      <c r="O708" s="137"/>
      <c r="P708" s="137"/>
      <c r="Q708" s="137"/>
      <c r="R708" s="137"/>
      <c r="S708" s="137"/>
    </row>
    <row r="709" spans="2:19" x14ac:dyDescent="0.3">
      <c r="B709" s="137"/>
      <c r="C709" s="137"/>
      <c r="D709" s="137"/>
      <c r="E709" s="137"/>
      <c r="F709" s="137"/>
      <c r="G709" s="137"/>
      <c r="H709" s="137"/>
      <c r="I709" s="137"/>
      <c r="J709" s="137"/>
      <c r="K709" s="137"/>
      <c r="L709" s="137"/>
      <c r="M709" s="137"/>
      <c r="N709" s="137"/>
      <c r="O709" s="137"/>
      <c r="P709" s="137"/>
      <c r="Q709" s="137"/>
      <c r="R709" s="137"/>
      <c r="S709" s="137"/>
    </row>
    <row r="711" spans="2:19" x14ac:dyDescent="0.3">
      <c r="B711" t="s">
        <v>236</v>
      </c>
    </row>
    <row r="713" spans="2:19" x14ac:dyDescent="0.3">
      <c r="B713" s="137" t="s">
        <v>237</v>
      </c>
      <c r="C713" s="137"/>
      <c r="D713" s="137"/>
      <c r="E713" s="137"/>
      <c r="F713" s="137"/>
      <c r="G713" s="137"/>
      <c r="H713" s="137"/>
      <c r="I713" s="137"/>
      <c r="J713" s="137"/>
      <c r="K713" s="137"/>
      <c r="L713" s="137"/>
      <c r="M713" s="137"/>
      <c r="N713" s="137"/>
      <c r="O713" s="137"/>
      <c r="P713" s="137"/>
      <c r="Q713" s="137"/>
      <c r="R713" s="137"/>
      <c r="S713" s="137"/>
    </row>
    <row r="714" spans="2:19" x14ac:dyDescent="0.3">
      <c r="B714" s="137"/>
      <c r="C714" s="137"/>
      <c r="D714" s="137"/>
      <c r="E714" s="137"/>
      <c r="F714" s="137"/>
      <c r="G714" s="137"/>
      <c r="H714" s="137"/>
      <c r="I714" s="137"/>
      <c r="J714" s="137"/>
      <c r="K714" s="137"/>
      <c r="L714" s="137"/>
      <c r="M714" s="137"/>
      <c r="N714" s="137"/>
      <c r="O714" s="137"/>
      <c r="P714" s="137"/>
      <c r="Q714" s="137"/>
      <c r="R714" s="137"/>
      <c r="S714" s="137"/>
    </row>
    <row r="716" spans="2:19" x14ac:dyDescent="0.3">
      <c r="B716" s="137" t="s">
        <v>248</v>
      </c>
      <c r="C716" s="137"/>
      <c r="D716" s="137"/>
      <c r="E716" s="137"/>
      <c r="F716" s="137"/>
      <c r="G716" s="137"/>
      <c r="H716" s="137"/>
      <c r="I716" s="137"/>
      <c r="J716" s="137"/>
      <c r="K716" s="137"/>
      <c r="L716" s="137"/>
      <c r="M716" s="137"/>
      <c r="N716" s="137"/>
      <c r="O716" s="137"/>
      <c r="P716" s="137"/>
      <c r="Q716" s="137"/>
      <c r="R716" s="137"/>
      <c r="S716" s="137"/>
    </row>
    <row r="717" spans="2:19" x14ac:dyDescent="0.3">
      <c r="B717" s="137"/>
      <c r="C717" s="137"/>
      <c r="D717" s="137"/>
      <c r="E717" s="137"/>
      <c r="F717" s="137"/>
      <c r="G717" s="137"/>
      <c r="H717" s="137"/>
      <c r="I717" s="137"/>
      <c r="J717" s="137"/>
      <c r="K717" s="137"/>
      <c r="L717" s="137"/>
      <c r="M717" s="137"/>
      <c r="N717" s="137"/>
      <c r="O717" s="137"/>
      <c r="P717" s="137"/>
      <c r="Q717" s="137"/>
      <c r="R717" s="137"/>
      <c r="S717" s="137"/>
    </row>
    <row r="719" spans="2:19" x14ac:dyDescent="0.3">
      <c r="B719" s="19"/>
    </row>
    <row r="735" spans="15:19" x14ac:dyDescent="0.3">
      <c r="O735" s="147" t="str">
        <f>O692</f>
        <v>CERTIFICADO N°:</v>
      </c>
      <c r="P735" s="147"/>
      <c r="Q735" s="147"/>
      <c r="R735" s="147">
        <f>R692</f>
        <v>0</v>
      </c>
      <c r="S735" s="147"/>
    </row>
    <row r="736" spans="15:19" x14ac:dyDescent="0.3">
      <c r="O736" s="26"/>
      <c r="P736" s="26"/>
      <c r="Q736" s="26"/>
      <c r="R736" s="26"/>
      <c r="S736" s="26"/>
    </row>
    <row r="737" spans="2:19" x14ac:dyDescent="0.3">
      <c r="O737" s="26"/>
      <c r="P737" s="26"/>
      <c r="Q737" s="26"/>
      <c r="R737" s="26"/>
      <c r="S737" s="26"/>
    </row>
    <row r="738" spans="2:19" x14ac:dyDescent="0.3">
      <c r="B738" s="19" t="s">
        <v>266</v>
      </c>
    </row>
    <row r="739" spans="2:19" x14ac:dyDescent="0.3">
      <c r="B739" s="19"/>
    </row>
    <row r="740" spans="2:19" x14ac:dyDescent="0.3">
      <c r="B740" s="187" t="s">
        <v>191</v>
      </c>
      <c r="C740" s="187"/>
      <c r="D740" s="187"/>
      <c r="E740" s="187"/>
      <c r="F740" s="187"/>
      <c r="G740" s="196">
        <f>H571</f>
        <v>0</v>
      </c>
      <c r="H740" s="197"/>
      <c r="I740" s="198"/>
      <c r="J740" s="113" t="s">
        <v>178</v>
      </c>
    </row>
    <row r="741" spans="2:19" x14ac:dyDescent="0.3">
      <c r="B741" s="187" t="s">
        <v>201</v>
      </c>
      <c r="C741" s="187"/>
      <c r="D741" s="187"/>
      <c r="E741" s="187"/>
      <c r="F741" s="187"/>
      <c r="G741" s="196">
        <f t="shared" ref="G741:G743" si="0">H572</f>
        <v>0</v>
      </c>
      <c r="H741" s="197"/>
      <c r="I741" s="198"/>
      <c r="J741" s="113" t="s">
        <v>177</v>
      </c>
    </row>
    <row r="742" spans="2:19" x14ac:dyDescent="0.3">
      <c r="B742" s="187" t="s">
        <v>193</v>
      </c>
      <c r="C742" s="187"/>
      <c r="D742" s="187"/>
      <c r="E742" s="187"/>
      <c r="F742" s="187"/>
      <c r="G742" s="196">
        <f t="shared" si="0"/>
        <v>0</v>
      </c>
      <c r="H742" s="197"/>
      <c r="I742" s="198"/>
      <c r="J742" s="113" t="s">
        <v>195</v>
      </c>
    </row>
    <row r="743" spans="2:19" x14ac:dyDescent="0.3">
      <c r="B743" s="187" t="s">
        <v>194</v>
      </c>
      <c r="C743" s="187"/>
      <c r="D743" s="187"/>
      <c r="E743" s="187"/>
      <c r="F743" s="187"/>
      <c r="G743" s="196">
        <f t="shared" si="0"/>
        <v>0</v>
      </c>
      <c r="H743" s="197"/>
      <c r="I743" s="198"/>
      <c r="J743" s="113" t="s">
        <v>195</v>
      </c>
    </row>
    <row r="746" spans="2:19" x14ac:dyDescent="0.3">
      <c r="B746" s="19" t="s">
        <v>267</v>
      </c>
    </row>
    <row r="747" spans="2:19" x14ac:dyDescent="0.3">
      <c r="B747" s="19"/>
    </row>
    <row r="748" spans="2:19" x14ac:dyDescent="0.3">
      <c r="C748" s="138" t="s">
        <v>142</v>
      </c>
      <c r="D748" s="138"/>
      <c r="E748" s="138"/>
      <c r="F748" s="138"/>
      <c r="G748" s="138" t="s">
        <v>143</v>
      </c>
      <c r="H748" s="138"/>
      <c r="I748" s="138"/>
      <c r="J748" s="138"/>
      <c r="K748" s="139" t="s">
        <v>239</v>
      </c>
      <c r="L748" s="140"/>
      <c r="M748" s="140"/>
      <c r="N748" s="141"/>
      <c r="O748" s="142" t="s">
        <v>209</v>
      </c>
      <c r="P748" s="142"/>
      <c r="Q748" s="142"/>
    </row>
    <row r="749" spans="2:19" x14ac:dyDescent="0.3">
      <c r="C749" s="143"/>
      <c r="D749" s="186"/>
      <c r="E749" s="186"/>
      <c r="F749" s="186"/>
      <c r="G749" s="143"/>
      <c r="H749" s="186"/>
      <c r="I749" s="186"/>
      <c r="J749" s="186"/>
      <c r="K749" s="144" t="e">
        <f>AVERAGE(C749:J749)</f>
        <v>#DIV/0!</v>
      </c>
      <c r="L749" s="145"/>
      <c r="M749" s="145"/>
      <c r="N749" s="146"/>
      <c r="O749" s="199" t="e">
        <f>STDEVA(C749:J749)</f>
        <v>#DIV/0!</v>
      </c>
      <c r="P749" s="199"/>
      <c r="Q749" s="199"/>
    </row>
    <row r="750" spans="2:19" x14ac:dyDescent="0.3">
      <c r="C750" s="25"/>
      <c r="D750" s="25"/>
      <c r="E750" s="25"/>
      <c r="F750" s="25"/>
      <c r="G750" s="25"/>
      <c r="H750" s="25"/>
      <c r="I750" s="25"/>
      <c r="J750" s="25"/>
      <c r="K750" s="25"/>
      <c r="L750" s="25"/>
      <c r="M750" s="25"/>
      <c r="N750" s="25"/>
      <c r="O750" s="54"/>
      <c r="P750" s="54"/>
      <c r="Q750" s="54"/>
    </row>
    <row r="751" spans="2:19" x14ac:dyDescent="0.3">
      <c r="C751" s="194" t="s">
        <v>144</v>
      </c>
      <c r="D751" s="194"/>
      <c r="E751" s="194"/>
      <c r="F751" s="194"/>
      <c r="G751" s="194" t="s">
        <v>145</v>
      </c>
      <c r="H751" s="194"/>
      <c r="I751" s="194"/>
      <c r="J751" s="194"/>
      <c r="K751" s="200" t="s">
        <v>146</v>
      </c>
      <c r="L751" s="201"/>
      <c r="M751" s="201"/>
      <c r="N751" s="202"/>
      <c r="O751" s="142" t="s">
        <v>209</v>
      </c>
      <c r="P751" s="142"/>
      <c r="Q751" s="142"/>
    </row>
    <row r="752" spans="2:19" x14ac:dyDescent="0.3">
      <c r="C752" s="143"/>
      <c r="D752" s="186"/>
      <c r="E752" s="186"/>
      <c r="F752" s="186"/>
      <c r="G752" s="143"/>
      <c r="H752" s="186"/>
      <c r="I752" s="186"/>
      <c r="J752" s="186"/>
      <c r="K752" s="144" t="e">
        <f>AVERAGE(C752:J752)</f>
        <v>#DIV/0!</v>
      </c>
      <c r="L752" s="145"/>
      <c r="M752" s="145"/>
      <c r="N752" s="146"/>
      <c r="O752" s="199" t="e">
        <f>STDEV(C752:J752)</f>
        <v>#DIV/0!</v>
      </c>
      <c r="P752" s="199"/>
      <c r="Q752" s="199"/>
    </row>
    <row r="753" spans="3:17" x14ac:dyDescent="0.3">
      <c r="C753" s="54"/>
      <c r="D753" s="54"/>
      <c r="E753" s="54"/>
      <c r="F753" s="54"/>
      <c r="G753" s="54"/>
      <c r="H753" s="54"/>
      <c r="I753" s="54"/>
      <c r="J753" s="54"/>
      <c r="K753" s="54"/>
      <c r="L753" s="54"/>
      <c r="M753" s="54"/>
      <c r="N753" s="54"/>
      <c r="O753" s="54"/>
      <c r="P753" s="54"/>
      <c r="Q753" s="54"/>
    </row>
    <row r="754" spans="3:17" x14ac:dyDescent="0.3">
      <c r="C754" s="138" t="s">
        <v>136</v>
      </c>
      <c r="D754" s="138"/>
      <c r="E754" s="138"/>
      <c r="F754" s="138" t="s">
        <v>138</v>
      </c>
      <c r="G754" s="138"/>
      <c r="H754" s="138"/>
      <c r="I754" s="138" t="s">
        <v>139</v>
      </c>
      <c r="J754" s="138"/>
      <c r="K754" s="138"/>
      <c r="L754" s="139" t="s">
        <v>135</v>
      </c>
      <c r="M754" s="140"/>
      <c r="N754" s="141"/>
      <c r="O754" s="142" t="s">
        <v>10</v>
      </c>
      <c r="P754" s="142"/>
      <c r="Q754" s="54"/>
    </row>
    <row r="755" spans="3:17" x14ac:dyDescent="0.3">
      <c r="C755" s="143"/>
      <c r="D755" s="143"/>
      <c r="E755" s="143"/>
      <c r="F755" s="195"/>
      <c r="G755" s="195"/>
      <c r="H755" s="195"/>
      <c r="I755" s="143">
        <f>F755-C755</f>
        <v>0</v>
      </c>
      <c r="J755" s="143"/>
      <c r="K755" s="143"/>
      <c r="L755" s="134">
        <v>0.5</v>
      </c>
      <c r="M755" s="135"/>
      <c r="N755" s="136"/>
      <c r="O755" s="195">
        <v>2</v>
      </c>
      <c r="P755" s="195"/>
      <c r="Q755" s="54"/>
    </row>
    <row r="756" spans="3:17" x14ac:dyDescent="0.3">
      <c r="C756" s="54"/>
      <c r="D756" s="54"/>
      <c r="E756" s="54"/>
      <c r="F756" s="54"/>
      <c r="G756" s="54"/>
      <c r="H756" s="54"/>
      <c r="I756" s="54"/>
      <c r="J756" s="54"/>
      <c r="K756" s="54"/>
      <c r="L756" s="54"/>
      <c r="M756" s="54"/>
      <c r="N756" s="54"/>
      <c r="O756" s="54"/>
      <c r="P756" s="54"/>
      <c r="Q756" s="54"/>
    </row>
    <row r="757" spans="3:17" x14ac:dyDescent="0.3">
      <c r="C757" s="138" t="s">
        <v>137</v>
      </c>
      <c r="D757" s="138"/>
      <c r="E757" s="138"/>
      <c r="F757" s="138" t="s">
        <v>140</v>
      </c>
      <c r="G757" s="138"/>
      <c r="H757" s="138"/>
      <c r="I757" s="138" t="s">
        <v>141</v>
      </c>
      <c r="J757" s="138"/>
      <c r="K757" s="138"/>
      <c r="L757" s="139" t="s">
        <v>135</v>
      </c>
      <c r="M757" s="140"/>
      <c r="N757" s="141"/>
      <c r="O757" s="142" t="s">
        <v>10</v>
      </c>
      <c r="P757" s="142"/>
      <c r="Q757" s="54"/>
    </row>
    <row r="758" spans="3:17" x14ac:dyDescent="0.3">
      <c r="C758" s="143"/>
      <c r="D758" s="143"/>
      <c r="E758" s="143"/>
      <c r="F758" s="143"/>
      <c r="G758" s="143"/>
      <c r="H758" s="143"/>
      <c r="I758" s="143">
        <f>F758-C758</f>
        <v>0</v>
      </c>
      <c r="J758" s="143"/>
      <c r="K758" s="143"/>
      <c r="L758" s="144">
        <v>0.04</v>
      </c>
      <c r="M758" s="145"/>
      <c r="N758" s="146"/>
      <c r="O758" s="195">
        <v>2</v>
      </c>
      <c r="P758" s="195"/>
      <c r="Q758" s="54"/>
    </row>
    <row r="760" spans="3:17" x14ac:dyDescent="0.3">
      <c r="C760" s="138" t="s">
        <v>142</v>
      </c>
      <c r="D760" s="138"/>
      <c r="E760" s="138"/>
      <c r="F760" s="138"/>
      <c r="G760" s="138" t="s">
        <v>143</v>
      </c>
      <c r="H760" s="138"/>
      <c r="I760" s="138"/>
      <c r="J760" s="138"/>
      <c r="K760" s="130" t="s">
        <v>147</v>
      </c>
      <c r="L760" s="131"/>
      <c r="M760" s="132"/>
    </row>
    <row r="761" spans="3:17" x14ac:dyDescent="0.3">
      <c r="C761" s="143"/>
      <c r="D761" s="186"/>
      <c r="E761" s="186"/>
      <c r="F761" s="186"/>
      <c r="G761" s="143"/>
      <c r="H761" s="186"/>
      <c r="I761" s="186"/>
      <c r="J761" s="186"/>
      <c r="K761" s="127">
        <f>G761-C761</f>
        <v>0</v>
      </c>
      <c r="L761" s="128"/>
      <c r="M761" s="129"/>
    </row>
    <row r="762" spans="3:17" x14ac:dyDescent="0.3">
      <c r="C762" s="25"/>
      <c r="D762" s="25"/>
      <c r="E762" s="25"/>
      <c r="F762" s="25"/>
      <c r="G762" s="25"/>
      <c r="H762" s="25"/>
      <c r="I762" s="25"/>
      <c r="J762" s="25"/>
    </row>
    <row r="763" spans="3:17" x14ac:dyDescent="0.3">
      <c r="C763" s="194" t="s">
        <v>144</v>
      </c>
      <c r="D763" s="194"/>
      <c r="E763" s="194"/>
      <c r="F763" s="194"/>
      <c r="G763" s="194" t="s">
        <v>145</v>
      </c>
      <c r="H763" s="194"/>
      <c r="I763" s="194"/>
      <c r="J763" s="194"/>
      <c r="K763" s="124" t="s">
        <v>148</v>
      </c>
      <c r="L763" s="125"/>
      <c r="M763" s="126"/>
    </row>
    <row r="764" spans="3:17" x14ac:dyDescent="0.3">
      <c r="C764" s="143"/>
      <c r="D764" s="186"/>
      <c r="E764" s="186"/>
      <c r="F764" s="186"/>
      <c r="G764" s="143"/>
      <c r="H764" s="186"/>
      <c r="I764" s="186"/>
      <c r="J764" s="186"/>
      <c r="K764" s="127">
        <f>G764-C764</f>
        <v>0</v>
      </c>
      <c r="L764" s="128"/>
      <c r="M764" s="129"/>
    </row>
    <row r="765" spans="3:17" x14ac:dyDescent="0.3">
      <c r="C765" s="119"/>
      <c r="D765" s="25"/>
      <c r="E765" s="25"/>
      <c r="F765" s="25"/>
      <c r="G765" s="119"/>
      <c r="H765" s="25"/>
      <c r="I765" s="25"/>
      <c r="J765" s="25"/>
      <c r="K765" s="120"/>
      <c r="L765" s="120"/>
      <c r="M765" s="120"/>
    </row>
    <row r="766" spans="3:17" x14ac:dyDescent="0.3">
      <c r="C766" s="119"/>
      <c r="D766" s="25"/>
      <c r="E766" s="25"/>
      <c r="F766" s="25"/>
      <c r="G766" s="119"/>
      <c r="H766" s="25"/>
      <c r="I766" s="25"/>
      <c r="J766" s="25"/>
      <c r="K766" s="120"/>
      <c r="L766" s="120"/>
      <c r="M766" s="120"/>
    </row>
    <row r="767" spans="3:17" x14ac:dyDescent="0.3">
      <c r="C767" s="119"/>
      <c r="D767" s="25"/>
      <c r="E767" s="25"/>
      <c r="F767" s="25"/>
      <c r="G767" s="119"/>
      <c r="H767" s="25"/>
      <c r="I767" s="25"/>
      <c r="J767" s="25"/>
      <c r="K767" s="120"/>
      <c r="L767" s="120"/>
      <c r="M767" s="120"/>
    </row>
    <row r="768" spans="3:17" x14ac:dyDescent="0.3">
      <c r="C768" s="119"/>
      <c r="D768" s="25"/>
      <c r="E768" s="25"/>
      <c r="F768" s="25"/>
      <c r="G768" s="119"/>
      <c r="H768" s="25"/>
      <c r="I768" s="25"/>
      <c r="J768" s="25"/>
      <c r="K768" s="120"/>
      <c r="L768" s="120"/>
      <c r="M768" s="120"/>
    </row>
    <row r="769" spans="2:19" x14ac:dyDescent="0.3">
      <c r="C769" s="119"/>
      <c r="D769" s="25"/>
      <c r="E769" s="25"/>
      <c r="F769" s="25"/>
      <c r="G769" s="119"/>
      <c r="H769" s="25"/>
      <c r="I769" s="25"/>
      <c r="J769" s="25"/>
      <c r="K769" s="120"/>
      <c r="L769" s="120"/>
      <c r="M769" s="120"/>
    </row>
    <row r="770" spans="2:19" x14ac:dyDescent="0.3">
      <c r="C770" s="119"/>
      <c r="D770" s="25"/>
      <c r="E770" s="25"/>
      <c r="F770" s="25"/>
      <c r="G770" s="119"/>
      <c r="H770" s="25"/>
      <c r="I770" s="25"/>
      <c r="J770" s="25"/>
      <c r="K770" s="120"/>
      <c r="L770" s="120"/>
      <c r="M770" s="120"/>
    </row>
    <row r="771" spans="2:19" x14ac:dyDescent="0.3">
      <c r="C771" s="119"/>
      <c r="D771" s="25"/>
      <c r="E771" s="25"/>
      <c r="F771" s="25"/>
      <c r="G771" s="119"/>
      <c r="H771" s="25"/>
      <c r="I771" s="25"/>
      <c r="J771" s="25"/>
      <c r="K771" s="120"/>
      <c r="L771" s="120"/>
      <c r="M771" s="120"/>
    </row>
    <row r="772" spans="2:19" x14ac:dyDescent="0.3">
      <c r="C772" s="119"/>
      <c r="D772" s="25"/>
      <c r="E772" s="25"/>
      <c r="F772" s="25"/>
      <c r="G772" s="119"/>
      <c r="H772" s="25"/>
      <c r="I772" s="25"/>
      <c r="J772" s="25"/>
      <c r="K772" s="120"/>
      <c r="L772" s="120"/>
      <c r="M772" s="120"/>
    </row>
    <row r="773" spans="2:19" x14ac:dyDescent="0.3">
      <c r="C773" s="119"/>
      <c r="D773" s="25"/>
      <c r="E773" s="25"/>
      <c r="F773" s="25"/>
      <c r="G773" s="119"/>
      <c r="H773" s="25"/>
      <c r="I773" s="25"/>
      <c r="J773" s="25"/>
      <c r="K773" s="120"/>
      <c r="L773" s="120"/>
      <c r="M773" s="120"/>
    </row>
    <row r="774" spans="2:19" x14ac:dyDescent="0.3">
      <c r="C774" s="119"/>
      <c r="D774" s="25"/>
      <c r="E774" s="25"/>
      <c r="F774" s="25"/>
      <c r="G774" s="119"/>
      <c r="H774" s="25"/>
      <c r="I774" s="25"/>
      <c r="J774" s="25"/>
      <c r="K774" s="120"/>
      <c r="L774" s="120"/>
      <c r="M774" s="120"/>
    </row>
    <row r="775" spans="2:19" x14ac:dyDescent="0.3">
      <c r="C775" s="119"/>
      <c r="D775" s="25"/>
      <c r="E775" s="25"/>
      <c r="F775" s="25"/>
      <c r="G775" s="119"/>
      <c r="H775" s="25"/>
      <c r="I775" s="25"/>
      <c r="J775" s="25"/>
      <c r="K775" s="120"/>
      <c r="L775" s="120"/>
      <c r="M775" s="120"/>
    </row>
    <row r="776" spans="2:19" x14ac:dyDescent="0.3">
      <c r="C776" s="119"/>
      <c r="D776" s="25"/>
      <c r="E776" s="25"/>
      <c r="F776" s="25"/>
      <c r="G776" s="119"/>
      <c r="H776" s="25"/>
      <c r="I776" s="25"/>
      <c r="J776" s="25"/>
      <c r="K776" s="120"/>
      <c r="L776" s="120"/>
      <c r="M776" s="120"/>
    </row>
    <row r="777" spans="2:19" x14ac:dyDescent="0.3">
      <c r="C777" s="119"/>
      <c r="D777" s="25"/>
      <c r="E777" s="25"/>
      <c r="F777" s="25"/>
      <c r="G777" s="119"/>
      <c r="H777" s="25"/>
      <c r="I777" s="25"/>
      <c r="J777" s="25"/>
      <c r="K777" s="120"/>
      <c r="L777" s="120"/>
      <c r="M777" s="120"/>
    </row>
    <row r="778" spans="2:19" x14ac:dyDescent="0.3">
      <c r="C778" s="119"/>
      <c r="D778" s="25"/>
      <c r="E778" s="25"/>
      <c r="F778" s="25"/>
      <c r="G778" s="119"/>
      <c r="H778" s="25"/>
      <c r="I778" s="25"/>
      <c r="J778" s="25"/>
      <c r="K778" s="120"/>
      <c r="L778" s="120"/>
      <c r="M778" s="120"/>
      <c r="O778" s="147" t="str">
        <f>O735</f>
        <v>CERTIFICADO N°:</v>
      </c>
      <c r="P778" s="147"/>
      <c r="Q778" s="147"/>
      <c r="R778" s="147">
        <f>R735</f>
        <v>0</v>
      </c>
      <c r="S778" s="147"/>
    </row>
    <row r="779" spans="2:19" x14ac:dyDescent="0.3">
      <c r="C779" s="119"/>
      <c r="D779" s="25"/>
      <c r="E779" s="25"/>
      <c r="F779" s="25"/>
      <c r="G779" s="119"/>
      <c r="H779" s="25"/>
      <c r="I779" s="25"/>
      <c r="J779" s="25"/>
      <c r="K779" s="120"/>
      <c r="L779" s="120"/>
      <c r="M779" s="120"/>
    </row>
    <row r="781" spans="2:19" x14ac:dyDescent="0.3">
      <c r="B781" s="54" t="s">
        <v>240</v>
      </c>
    </row>
    <row r="783" spans="2:19" ht="22.8" customHeight="1" x14ac:dyDescent="0.3">
      <c r="B783" s="148" t="s">
        <v>249</v>
      </c>
      <c r="C783" s="148"/>
      <c r="D783" s="148"/>
      <c r="E783" s="148"/>
      <c r="F783" s="148"/>
      <c r="G783" s="148"/>
      <c r="H783" s="148"/>
      <c r="I783" s="148"/>
      <c r="J783" s="148"/>
      <c r="K783" s="148"/>
      <c r="L783" s="148"/>
      <c r="M783" s="148"/>
      <c r="N783" s="148"/>
      <c r="O783" s="148"/>
      <c r="P783" s="148"/>
      <c r="Q783" s="148"/>
      <c r="R783" s="148"/>
      <c r="S783" s="148"/>
    </row>
    <row r="784" spans="2:19" ht="24" customHeight="1" x14ac:dyDescent="0.3">
      <c r="B784" s="148"/>
      <c r="C784" s="148"/>
      <c r="D784" s="148"/>
      <c r="E784" s="148"/>
      <c r="F784" s="148"/>
      <c r="G784" s="148"/>
      <c r="H784" s="148"/>
      <c r="I784" s="148"/>
      <c r="J784" s="148"/>
      <c r="K784" s="148"/>
      <c r="L784" s="148"/>
      <c r="M784" s="148"/>
      <c r="N784" s="148"/>
      <c r="O784" s="148"/>
      <c r="P784" s="148"/>
      <c r="Q784" s="148"/>
      <c r="R784" s="148"/>
      <c r="S784" s="148"/>
    </row>
    <row r="786" spans="2:19" ht="14.4" customHeight="1" x14ac:dyDescent="0.3">
      <c r="B786" s="148" t="s">
        <v>250</v>
      </c>
      <c r="C786" s="148"/>
      <c r="D786" s="148"/>
      <c r="E786" s="148"/>
      <c r="F786" s="148"/>
      <c r="G786" s="148"/>
      <c r="H786" s="148"/>
      <c r="I786" s="148"/>
      <c r="J786" s="148"/>
      <c r="K786" s="148"/>
      <c r="L786" s="148"/>
      <c r="M786" s="148"/>
      <c r="N786" s="148"/>
      <c r="O786" s="148"/>
      <c r="P786" s="148"/>
      <c r="Q786" s="148"/>
      <c r="R786" s="148"/>
      <c r="S786" s="148"/>
    </row>
    <row r="787" spans="2:19" x14ac:dyDescent="0.3">
      <c r="B787" s="148"/>
      <c r="C787" s="148"/>
      <c r="D787" s="148"/>
      <c r="E787" s="148"/>
      <c r="F787" s="148"/>
      <c r="G787" s="148"/>
      <c r="H787" s="148"/>
      <c r="I787" s="148"/>
      <c r="J787" s="148"/>
      <c r="K787" s="148"/>
      <c r="L787" s="148"/>
      <c r="M787" s="148"/>
      <c r="N787" s="148"/>
      <c r="O787" s="148"/>
      <c r="P787" s="148"/>
      <c r="Q787" s="148"/>
      <c r="R787" s="148"/>
      <c r="S787" s="148"/>
    </row>
    <row r="789" spans="2:19" ht="14.4" customHeight="1" x14ac:dyDescent="0.3">
      <c r="B789" s="148" t="s">
        <v>243</v>
      </c>
      <c r="C789" s="148"/>
      <c r="D789" s="148"/>
      <c r="E789" s="148"/>
      <c r="F789" s="148"/>
      <c r="G789" s="148"/>
      <c r="H789" s="148"/>
      <c r="I789" s="148"/>
      <c r="J789" s="148"/>
      <c r="K789" s="148"/>
      <c r="L789" s="148"/>
      <c r="M789" s="148"/>
      <c r="N789" s="148"/>
      <c r="O789" s="148"/>
      <c r="P789" s="148"/>
      <c r="Q789" s="148"/>
      <c r="R789" s="148"/>
      <c r="S789" s="148"/>
    </row>
    <row r="790" spans="2:19" x14ac:dyDescent="0.3">
      <c r="B790" s="148"/>
      <c r="C790" s="148"/>
      <c r="D790" s="148"/>
      <c r="E790" s="148"/>
      <c r="F790" s="148"/>
      <c r="G790" s="148"/>
      <c r="H790" s="148"/>
      <c r="I790" s="148"/>
      <c r="J790" s="148"/>
      <c r="K790" s="148"/>
      <c r="L790" s="148"/>
      <c r="M790" s="148"/>
      <c r="N790" s="148"/>
      <c r="O790" s="148"/>
      <c r="P790" s="148"/>
      <c r="Q790" s="148"/>
      <c r="R790" s="148"/>
      <c r="S790" s="148"/>
    </row>
    <row r="792" spans="2:19" ht="14.4" customHeight="1" x14ac:dyDescent="0.3">
      <c r="B792" s="148" t="s">
        <v>251</v>
      </c>
      <c r="C792" s="148"/>
      <c r="D792" s="148"/>
      <c r="E792" s="148"/>
      <c r="F792" s="148"/>
      <c r="G792" s="148"/>
      <c r="H792" s="148"/>
      <c r="I792" s="148"/>
      <c r="J792" s="148"/>
      <c r="K792" s="148"/>
      <c r="L792" s="148"/>
      <c r="M792" s="148"/>
      <c r="N792" s="148"/>
      <c r="O792" s="148"/>
      <c r="P792" s="148"/>
      <c r="Q792" s="148"/>
      <c r="R792" s="148"/>
      <c r="S792" s="148"/>
    </row>
    <row r="793" spans="2:19" x14ac:dyDescent="0.3">
      <c r="B793" s="148"/>
      <c r="C793" s="148"/>
      <c r="D793" s="148"/>
      <c r="E793" s="148"/>
      <c r="F793" s="148"/>
      <c r="G793" s="148"/>
      <c r="H793" s="148"/>
      <c r="I793" s="148"/>
      <c r="J793" s="148"/>
      <c r="K793" s="148"/>
      <c r="L793" s="148"/>
      <c r="M793" s="148"/>
      <c r="N793" s="148"/>
      <c r="O793" s="148"/>
      <c r="P793" s="148"/>
      <c r="Q793" s="148"/>
      <c r="R793" s="148"/>
      <c r="S793" s="148"/>
    </row>
    <row r="794" spans="2:19" x14ac:dyDescent="0.3">
      <c r="B794" s="59"/>
      <c r="C794" s="59"/>
      <c r="D794" s="59"/>
      <c r="E794" s="59"/>
      <c r="F794" s="59"/>
      <c r="G794" s="59"/>
      <c r="H794" s="59"/>
      <c r="I794" s="59"/>
      <c r="J794" s="59"/>
      <c r="K794" s="59"/>
      <c r="L794" s="59"/>
      <c r="M794" s="59"/>
      <c r="N794" s="59"/>
      <c r="O794" s="59"/>
      <c r="P794" s="59"/>
      <c r="Q794" s="59"/>
      <c r="R794" s="59"/>
      <c r="S794" s="59"/>
    </row>
    <row r="795" spans="2:19" ht="14.4" customHeight="1" x14ac:dyDescent="0.3">
      <c r="B795" s="212" t="s">
        <v>252</v>
      </c>
      <c r="C795" s="212"/>
      <c r="D795" s="212"/>
      <c r="E795" s="212"/>
      <c r="F795" s="212"/>
      <c r="G795" s="212"/>
      <c r="H795" s="212"/>
      <c r="I795" s="212"/>
      <c r="J795" s="212"/>
      <c r="K795" s="212"/>
      <c r="L795" s="212"/>
      <c r="M795" s="212"/>
      <c r="N795" s="212"/>
      <c r="O795" s="212"/>
      <c r="P795" s="212"/>
      <c r="Q795" s="212"/>
      <c r="R795" s="212"/>
      <c r="S795" s="212"/>
    </row>
    <row r="796" spans="2:19" x14ac:dyDescent="0.3">
      <c r="B796" s="212"/>
      <c r="C796" s="212"/>
      <c r="D796" s="212"/>
      <c r="E796" s="212"/>
      <c r="F796" s="212"/>
      <c r="G796" s="212"/>
      <c r="H796" s="212"/>
      <c r="I796" s="212"/>
      <c r="J796" s="212"/>
      <c r="K796" s="212"/>
      <c r="L796" s="212"/>
      <c r="M796" s="212"/>
      <c r="N796" s="212"/>
      <c r="O796" s="212"/>
      <c r="P796" s="212"/>
      <c r="Q796" s="212"/>
      <c r="R796" s="212"/>
      <c r="S796" s="212"/>
    </row>
    <row r="797" spans="2:19" x14ac:dyDescent="0.3">
      <c r="B797" s="212"/>
      <c r="C797" s="212"/>
      <c r="D797" s="212"/>
      <c r="E797" s="212"/>
      <c r="F797" s="212"/>
      <c r="G797" s="212"/>
      <c r="H797" s="212"/>
      <c r="I797" s="212"/>
      <c r="J797" s="212"/>
      <c r="K797" s="212"/>
      <c r="L797" s="212"/>
      <c r="M797" s="212"/>
      <c r="N797" s="212"/>
      <c r="O797" s="212"/>
      <c r="P797" s="212"/>
      <c r="Q797" s="212"/>
      <c r="R797" s="212"/>
      <c r="S797" s="212"/>
    </row>
    <row r="798" spans="2:19" x14ac:dyDescent="0.3">
      <c r="O798" s="19"/>
      <c r="P798" s="19"/>
      <c r="Q798" s="19"/>
      <c r="R798" s="19"/>
      <c r="S798" s="19"/>
    </row>
    <row r="800" spans="2:19" x14ac:dyDescent="0.3">
      <c r="B800" s="19" t="s">
        <v>268</v>
      </c>
    </row>
    <row r="802" spans="3:18" x14ac:dyDescent="0.3">
      <c r="C802" s="193" t="s">
        <v>113</v>
      </c>
      <c r="D802" s="193"/>
      <c r="E802" s="193"/>
      <c r="F802" s="193"/>
      <c r="G802" s="193" t="s">
        <v>114</v>
      </c>
      <c r="H802" s="193"/>
      <c r="I802" s="193"/>
      <c r="J802" s="193"/>
      <c r="K802" s="121" t="s">
        <v>149</v>
      </c>
      <c r="L802" s="122"/>
      <c r="M802" s="122"/>
      <c r="N802" s="123"/>
      <c r="O802" s="121" t="s">
        <v>150</v>
      </c>
      <c r="P802" s="122"/>
      <c r="Q802" s="122"/>
      <c r="R802" s="123"/>
    </row>
    <row r="803" spans="3:18" x14ac:dyDescent="0.3">
      <c r="C803" s="189" t="s">
        <v>152</v>
      </c>
      <c r="D803" s="189"/>
      <c r="E803" s="189"/>
      <c r="F803" s="189"/>
      <c r="G803" s="189" t="s">
        <v>161</v>
      </c>
      <c r="H803" s="189"/>
      <c r="I803" s="189"/>
      <c r="J803" s="189"/>
      <c r="K803" s="209" t="s">
        <v>151</v>
      </c>
      <c r="L803" s="210"/>
      <c r="M803" s="210"/>
      <c r="N803" s="211"/>
      <c r="O803" s="206" t="s">
        <v>115</v>
      </c>
      <c r="P803" s="207"/>
      <c r="Q803" s="207"/>
      <c r="R803" s="208"/>
    </row>
    <row r="804" spans="3:18" x14ac:dyDescent="0.3">
      <c r="C804" s="189" t="s">
        <v>153</v>
      </c>
      <c r="D804" s="189"/>
      <c r="E804" s="189"/>
      <c r="F804" s="189"/>
      <c r="G804" s="189" t="s">
        <v>162</v>
      </c>
      <c r="H804" s="189"/>
      <c r="I804" s="189"/>
      <c r="J804" s="189"/>
      <c r="K804" s="203" t="s">
        <v>159</v>
      </c>
      <c r="L804" s="204"/>
      <c r="M804" s="204"/>
      <c r="N804" s="205"/>
      <c r="O804" s="206" t="s">
        <v>115</v>
      </c>
      <c r="P804" s="207"/>
      <c r="Q804" s="207"/>
      <c r="R804" s="208"/>
    </row>
    <row r="805" spans="3:18" x14ac:dyDescent="0.3">
      <c r="C805" s="189" t="s">
        <v>154</v>
      </c>
      <c r="D805" s="189"/>
      <c r="E805" s="189"/>
      <c r="F805" s="189"/>
      <c r="G805" s="189" t="s">
        <v>163</v>
      </c>
      <c r="H805" s="189"/>
      <c r="I805" s="189"/>
      <c r="J805" s="189"/>
      <c r="K805" s="203" t="s">
        <v>196</v>
      </c>
      <c r="L805" s="204"/>
      <c r="M805" s="204"/>
      <c r="N805" s="205"/>
      <c r="O805" s="206" t="s">
        <v>115</v>
      </c>
      <c r="P805" s="207"/>
      <c r="Q805" s="207"/>
      <c r="R805" s="208"/>
    </row>
    <row r="806" spans="3:18" x14ac:dyDescent="0.3">
      <c r="C806" s="189" t="s">
        <v>155</v>
      </c>
      <c r="D806" s="189"/>
      <c r="E806" s="189"/>
      <c r="F806" s="189"/>
      <c r="G806" s="189" t="s">
        <v>164</v>
      </c>
      <c r="H806" s="189"/>
      <c r="I806" s="189"/>
      <c r="J806" s="189"/>
      <c r="K806" s="209" t="s">
        <v>198</v>
      </c>
      <c r="L806" s="210"/>
      <c r="M806" s="210"/>
      <c r="N806" s="211"/>
      <c r="O806" s="206" t="s">
        <v>115</v>
      </c>
      <c r="P806" s="207"/>
      <c r="Q806" s="207"/>
      <c r="R806" s="208"/>
    </row>
    <row r="807" spans="3:18" x14ac:dyDescent="0.3">
      <c r="C807" s="189" t="s">
        <v>197</v>
      </c>
      <c r="D807" s="189"/>
      <c r="E807" s="189"/>
      <c r="F807" s="189"/>
      <c r="G807" s="189"/>
      <c r="H807" s="189"/>
      <c r="I807" s="189"/>
      <c r="J807" s="189"/>
      <c r="K807" s="209" t="s">
        <v>199</v>
      </c>
      <c r="L807" s="210"/>
      <c r="M807" s="210"/>
      <c r="N807" s="211"/>
      <c r="O807" s="206" t="s">
        <v>115</v>
      </c>
      <c r="P807" s="207"/>
      <c r="Q807" s="207"/>
      <c r="R807" s="208"/>
    </row>
    <row r="808" spans="3:18" x14ac:dyDescent="0.3">
      <c r="C808" s="189" t="s">
        <v>193</v>
      </c>
      <c r="D808" s="189"/>
      <c r="E808" s="189"/>
      <c r="F808" s="189"/>
      <c r="G808" s="189"/>
      <c r="H808" s="189"/>
      <c r="I808" s="189"/>
      <c r="J808" s="189"/>
      <c r="K808" s="209" t="s">
        <v>202</v>
      </c>
      <c r="L808" s="210"/>
      <c r="M808" s="210"/>
      <c r="N808" s="211"/>
      <c r="O808" s="206" t="s">
        <v>115</v>
      </c>
      <c r="P808" s="207"/>
      <c r="Q808" s="207"/>
      <c r="R808" s="208"/>
    </row>
    <row r="809" spans="3:18" x14ac:dyDescent="0.3">
      <c r="C809" s="92"/>
      <c r="D809" s="92"/>
      <c r="E809" s="92"/>
      <c r="F809" s="92"/>
      <c r="G809" s="92"/>
      <c r="H809" s="92"/>
      <c r="I809" s="92"/>
      <c r="J809" s="92"/>
      <c r="K809" s="94"/>
      <c r="L809" s="94"/>
      <c r="M809" s="94"/>
      <c r="N809" s="94"/>
      <c r="O809" s="96"/>
      <c r="P809" s="96"/>
      <c r="Q809" s="96"/>
      <c r="R809" s="96"/>
    </row>
    <row r="810" spans="3:18" x14ac:dyDescent="0.3">
      <c r="C810" s="92"/>
      <c r="D810" s="92"/>
      <c r="E810" s="92"/>
      <c r="F810" s="92"/>
      <c r="G810" s="92"/>
      <c r="H810" s="92"/>
      <c r="I810" s="92"/>
      <c r="J810" s="92"/>
      <c r="K810" s="94"/>
      <c r="L810" s="94"/>
      <c r="M810" s="94"/>
      <c r="N810" s="94"/>
      <c r="O810" s="96"/>
      <c r="P810" s="96"/>
      <c r="Q810" s="96"/>
      <c r="R810" s="96"/>
    </row>
    <row r="811" spans="3:18" x14ac:dyDescent="0.3">
      <c r="C811" s="92"/>
      <c r="D811" s="92"/>
      <c r="E811" s="92"/>
      <c r="F811" s="92"/>
      <c r="G811" s="92"/>
      <c r="H811" s="92"/>
      <c r="I811" s="92"/>
      <c r="J811" s="92"/>
      <c r="K811" s="94"/>
      <c r="L811" s="94"/>
      <c r="M811" s="94"/>
      <c r="N811" s="94"/>
      <c r="O811" s="96"/>
      <c r="P811" s="96"/>
      <c r="Q811" s="96"/>
      <c r="R811" s="96"/>
    </row>
    <row r="812" spans="3:18" x14ac:dyDescent="0.3">
      <c r="C812" s="92"/>
      <c r="D812" s="92"/>
      <c r="E812" s="92"/>
      <c r="F812" s="92"/>
      <c r="G812" s="92"/>
      <c r="H812" s="92"/>
      <c r="I812" s="92"/>
      <c r="J812" s="92"/>
      <c r="K812" s="94"/>
      <c r="L812" s="94"/>
      <c r="M812" s="94"/>
      <c r="N812" s="94"/>
      <c r="O812" s="96"/>
      <c r="P812" s="96"/>
      <c r="Q812" s="96"/>
      <c r="R812" s="96"/>
    </row>
    <row r="813" spans="3:18" x14ac:dyDescent="0.3">
      <c r="C813" s="92"/>
      <c r="D813" s="92"/>
      <c r="E813" s="92"/>
      <c r="F813" s="92"/>
      <c r="G813" s="92"/>
      <c r="H813" s="92"/>
      <c r="I813" s="92"/>
      <c r="J813" s="92"/>
      <c r="K813" s="94"/>
      <c r="L813" s="94"/>
      <c r="M813" s="94"/>
      <c r="N813" s="94"/>
      <c r="O813" s="96"/>
      <c r="P813" s="96"/>
      <c r="Q813" s="96"/>
      <c r="R813" s="96"/>
    </row>
    <row r="814" spans="3:18" x14ac:dyDescent="0.3">
      <c r="C814" s="92"/>
      <c r="D814" s="92"/>
      <c r="E814" s="92"/>
      <c r="F814" s="92"/>
      <c r="G814" s="92"/>
      <c r="H814" s="92"/>
      <c r="I814" s="92"/>
      <c r="J814" s="92"/>
      <c r="K814" s="94"/>
      <c r="L814" s="94"/>
      <c r="M814" s="94"/>
      <c r="N814" s="94"/>
      <c r="O814" s="96"/>
      <c r="P814" s="96"/>
      <c r="Q814" s="96"/>
      <c r="R814" s="96"/>
    </row>
    <row r="815" spans="3:18" x14ac:dyDescent="0.3">
      <c r="C815" s="92"/>
      <c r="D815" s="92"/>
      <c r="E815" s="92"/>
      <c r="F815" s="92"/>
      <c r="G815" s="92"/>
      <c r="H815" s="92"/>
      <c r="I815" s="92"/>
      <c r="J815" s="92"/>
      <c r="K815" s="94"/>
      <c r="L815" s="94"/>
      <c r="M815" s="94"/>
      <c r="N815" s="94"/>
      <c r="O815" s="96"/>
      <c r="P815" s="96"/>
      <c r="Q815" s="96"/>
      <c r="R815" s="96"/>
    </row>
    <row r="816" spans="3:18" x14ac:dyDescent="0.3">
      <c r="C816" s="92"/>
      <c r="D816" s="92"/>
      <c r="E816" s="92"/>
      <c r="F816" s="92"/>
      <c r="G816" s="92"/>
      <c r="H816" s="92"/>
      <c r="I816" s="92"/>
      <c r="J816" s="92"/>
      <c r="K816" s="94"/>
      <c r="L816" s="94"/>
      <c r="M816" s="94"/>
      <c r="N816" s="94"/>
      <c r="O816" s="96"/>
      <c r="P816" s="96"/>
      <c r="Q816" s="96"/>
      <c r="R816" s="96"/>
    </row>
    <row r="817" spans="2:19" x14ac:dyDescent="0.3">
      <c r="C817" s="92"/>
      <c r="D817" s="92"/>
      <c r="E817" s="92"/>
      <c r="F817" s="92"/>
      <c r="G817" s="92"/>
      <c r="H817" s="92"/>
      <c r="I817" s="92"/>
      <c r="J817" s="92"/>
      <c r="K817" s="94"/>
      <c r="L817" s="94"/>
      <c r="M817" s="94"/>
      <c r="N817" s="94"/>
      <c r="O817" s="96"/>
      <c r="P817" s="96"/>
      <c r="Q817" s="96"/>
      <c r="R817" s="96"/>
    </row>
    <row r="818" spans="2:19" x14ac:dyDescent="0.3">
      <c r="C818" s="92"/>
      <c r="D818" s="92"/>
      <c r="E818" s="92"/>
      <c r="F818" s="92"/>
      <c r="G818" s="92"/>
      <c r="H818" s="92"/>
      <c r="I818" s="92"/>
      <c r="J818" s="92"/>
      <c r="K818" s="94"/>
      <c r="L818" s="94"/>
      <c r="M818" s="94"/>
      <c r="N818" s="94"/>
      <c r="O818" s="96"/>
      <c r="P818" s="96"/>
      <c r="Q818" s="96"/>
      <c r="R818" s="96"/>
    </row>
    <row r="819" spans="2:19" x14ac:dyDescent="0.3">
      <c r="C819" s="92"/>
      <c r="D819" s="92"/>
      <c r="E819" s="92"/>
      <c r="F819" s="92"/>
      <c r="G819" s="92"/>
      <c r="H819" s="92"/>
      <c r="I819" s="92"/>
      <c r="J819" s="92"/>
      <c r="K819" s="94"/>
      <c r="L819" s="94"/>
      <c r="M819" s="94"/>
      <c r="N819" s="94"/>
      <c r="O819" s="96"/>
      <c r="P819" s="96"/>
      <c r="Q819" s="96"/>
      <c r="R819" s="96"/>
    </row>
    <row r="820" spans="2:19" x14ac:dyDescent="0.3">
      <c r="C820" s="92"/>
      <c r="D820" s="92"/>
      <c r="E820" s="92"/>
      <c r="F820" s="92"/>
      <c r="G820" s="92"/>
      <c r="H820" s="92"/>
      <c r="I820" s="92"/>
      <c r="J820" s="92"/>
      <c r="K820" s="94"/>
      <c r="L820" s="94"/>
      <c r="M820" s="94"/>
      <c r="N820" s="94"/>
      <c r="O820" s="147" t="str">
        <f>O778</f>
        <v>CERTIFICADO N°:</v>
      </c>
      <c r="P820" s="147"/>
      <c r="Q820" s="147"/>
      <c r="R820" s="147">
        <f>R778</f>
        <v>0</v>
      </c>
      <c r="S820" s="147"/>
    </row>
    <row r="821" spans="2:19" x14ac:dyDescent="0.3">
      <c r="C821" s="92"/>
      <c r="D821" s="92"/>
      <c r="E821" s="92"/>
      <c r="F821" s="92"/>
      <c r="G821" s="25"/>
      <c r="H821" s="25"/>
      <c r="I821" s="25"/>
      <c r="J821" s="25"/>
      <c r="K821" s="94"/>
      <c r="L821" s="95"/>
      <c r="M821" s="95"/>
      <c r="N821" s="95"/>
      <c r="O821" s="96"/>
    </row>
    <row r="822" spans="2:19" x14ac:dyDescent="0.3">
      <c r="C822" s="92"/>
      <c r="D822" s="92"/>
      <c r="E822" s="92"/>
      <c r="F822" s="92"/>
      <c r="G822" s="25"/>
      <c r="H822" s="25"/>
      <c r="I822" s="25"/>
      <c r="J822" s="25"/>
      <c r="K822" s="94"/>
      <c r="L822" s="95"/>
      <c r="M822" s="95"/>
      <c r="N822" s="95"/>
      <c r="O822" s="96"/>
    </row>
    <row r="823" spans="2:19" x14ac:dyDescent="0.3">
      <c r="B823" s="19" t="s">
        <v>269</v>
      </c>
    </row>
    <row r="863" spans="15:19" x14ac:dyDescent="0.3">
      <c r="O863" s="147" t="str">
        <f>O820</f>
        <v>CERTIFICADO N°:</v>
      </c>
      <c r="P863" s="147"/>
      <c r="Q863" s="147"/>
      <c r="R863" s="147">
        <f>R820</f>
        <v>0</v>
      </c>
      <c r="S863" s="147"/>
    </row>
    <row r="866" spans="2:19" x14ac:dyDescent="0.3">
      <c r="B866" s="19" t="s">
        <v>270</v>
      </c>
    </row>
    <row r="868" spans="2:19" x14ac:dyDescent="0.3">
      <c r="B868" s="193" t="s">
        <v>210</v>
      </c>
      <c r="C868" s="193"/>
      <c r="D868" s="193"/>
      <c r="E868" s="193"/>
      <c r="F868" s="193"/>
      <c r="G868" s="193"/>
      <c r="H868" s="193"/>
      <c r="I868" s="193"/>
      <c r="J868" s="193"/>
      <c r="K868" s="193"/>
      <c r="L868" s="193"/>
      <c r="M868" s="193"/>
      <c r="N868" s="193" t="s">
        <v>114</v>
      </c>
      <c r="O868" s="193"/>
      <c r="P868" s="193"/>
      <c r="Q868" s="193"/>
      <c r="R868" s="193"/>
      <c r="S868" s="193"/>
    </row>
    <row r="869" spans="2:19" x14ac:dyDescent="0.3">
      <c r="B869" s="191"/>
      <c r="C869" s="191"/>
      <c r="D869" s="191"/>
      <c r="E869" s="191"/>
      <c r="F869" s="191"/>
      <c r="G869" s="191"/>
      <c r="H869" s="191"/>
      <c r="I869" s="191"/>
      <c r="J869" s="191"/>
      <c r="K869" s="191"/>
      <c r="L869" s="191"/>
      <c r="M869" s="191"/>
      <c r="N869" s="213" t="s">
        <v>115</v>
      </c>
      <c r="O869" s="213"/>
      <c r="P869" s="213"/>
      <c r="Q869" s="213"/>
      <c r="R869" s="213"/>
      <c r="S869" s="213"/>
    </row>
    <row r="870" spans="2:19" x14ac:dyDescent="0.3">
      <c r="B870" s="191"/>
      <c r="C870" s="191"/>
      <c r="D870" s="191"/>
      <c r="E870" s="191"/>
      <c r="F870" s="191"/>
      <c r="G870" s="191"/>
      <c r="H870" s="191"/>
      <c r="I870" s="191"/>
      <c r="J870" s="191"/>
      <c r="K870" s="191"/>
      <c r="L870" s="191"/>
      <c r="M870" s="191"/>
      <c r="N870" s="213"/>
      <c r="O870" s="213"/>
      <c r="P870" s="213"/>
      <c r="Q870" s="213"/>
      <c r="R870" s="213"/>
      <c r="S870" s="213"/>
    </row>
    <row r="871" spans="2:19" x14ac:dyDescent="0.3">
      <c r="B871" s="191"/>
      <c r="C871" s="191"/>
      <c r="D871" s="191"/>
      <c r="E871" s="191"/>
      <c r="F871" s="191"/>
      <c r="G871" s="191"/>
      <c r="H871" s="191"/>
      <c r="I871" s="191"/>
      <c r="J871" s="191"/>
      <c r="K871" s="191"/>
      <c r="L871" s="191"/>
      <c r="M871" s="191"/>
      <c r="N871" s="213"/>
      <c r="O871" s="213"/>
      <c r="P871" s="213"/>
      <c r="Q871" s="213"/>
      <c r="R871" s="213"/>
      <c r="S871" s="213"/>
    </row>
    <row r="872" spans="2:19" x14ac:dyDescent="0.3">
      <c r="B872" s="191"/>
      <c r="C872" s="191"/>
      <c r="D872" s="191"/>
      <c r="E872" s="191"/>
      <c r="F872" s="191"/>
      <c r="G872" s="191"/>
      <c r="H872" s="191"/>
      <c r="I872" s="191"/>
      <c r="J872" s="191"/>
      <c r="K872" s="191"/>
      <c r="L872" s="191"/>
      <c r="M872" s="191"/>
      <c r="N872" s="213"/>
      <c r="O872" s="213"/>
      <c r="P872" s="213"/>
      <c r="Q872" s="213"/>
      <c r="R872" s="213"/>
      <c r="S872" s="213"/>
    </row>
    <row r="873" spans="2:19" x14ac:dyDescent="0.3">
      <c r="B873" s="191"/>
      <c r="C873" s="191"/>
      <c r="D873" s="191"/>
      <c r="E873" s="191"/>
      <c r="F873" s="191"/>
      <c r="G873" s="191"/>
      <c r="H873" s="191"/>
      <c r="I873" s="191"/>
      <c r="J873" s="191"/>
      <c r="K873" s="191"/>
      <c r="L873" s="191"/>
      <c r="M873" s="191"/>
      <c r="N873" s="213"/>
      <c r="O873" s="213"/>
      <c r="P873" s="213"/>
      <c r="Q873" s="213"/>
      <c r="R873" s="213"/>
      <c r="S873" s="213"/>
    </row>
    <row r="874" spans="2:19" x14ac:dyDescent="0.3">
      <c r="B874" s="191"/>
      <c r="C874" s="191"/>
      <c r="D874" s="191"/>
      <c r="E874" s="191"/>
      <c r="F874" s="191"/>
      <c r="G874" s="191"/>
      <c r="H874" s="191"/>
      <c r="I874" s="191"/>
      <c r="J874" s="191"/>
      <c r="K874" s="191"/>
      <c r="L874" s="191"/>
      <c r="M874" s="191"/>
      <c r="N874" s="213"/>
      <c r="O874" s="213"/>
      <c r="P874" s="213"/>
      <c r="Q874" s="213"/>
      <c r="R874" s="213"/>
      <c r="S874" s="213"/>
    </row>
    <row r="875" spans="2:19" x14ac:dyDescent="0.3">
      <c r="B875" s="191"/>
      <c r="C875" s="191"/>
      <c r="D875" s="191"/>
      <c r="E875" s="191"/>
      <c r="F875" s="191"/>
      <c r="G875" s="191"/>
      <c r="H875" s="191"/>
      <c r="I875" s="191"/>
      <c r="J875" s="191"/>
      <c r="K875" s="191"/>
      <c r="L875" s="191"/>
      <c r="M875" s="191"/>
      <c r="N875" s="213"/>
      <c r="O875" s="213"/>
      <c r="P875" s="213"/>
      <c r="Q875" s="213"/>
      <c r="R875" s="213"/>
      <c r="S875" s="213"/>
    </row>
    <row r="876" spans="2:19" x14ac:dyDescent="0.3">
      <c r="B876" s="191"/>
      <c r="C876" s="191"/>
      <c r="D876" s="191"/>
      <c r="E876" s="191"/>
      <c r="F876" s="191"/>
      <c r="G876" s="191"/>
      <c r="H876" s="191"/>
      <c r="I876" s="191"/>
      <c r="J876" s="191"/>
      <c r="K876" s="191"/>
      <c r="L876" s="191"/>
      <c r="M876" s="191"/>
      <c r="N876" s="213"/>
      <c r="O876" s="213"/>
      <c r="P876" s="213"/>
      <c r="Q876" s="213"/>
      <c r="R876" s="213"/>
      <c r="S876" s="213"/>
    </row>
    <row r="877" spans="2:19" x14ac:dyDescent="0.3">
      <c r="B877" s="191"/>
      <c r="C877" s="191"/>
      <c r="D877" s="191"/>
      <c r="E877" s="191"/>
      <c r="F877" s="191"/>
      <c r="G877" s="191"/>
      <c r="H877" s="191"/>
      <c r="I877" s="191"/>
      <c r="J877" s="191"/>
      <c r="K877" s="191"/>
      <c r="L877" s="191"/>
      <c r="M877" s="191"/>
      <c r="N877" s="213"/>
      <c r="O877" s="213"/>
      <c r="P877" s="213"/>
      <c r="Q877" s="213"/>
      <c r="R877" s="213"/>
      <c r="S877" s="213"/>
    </row>
    <row r="878" spans="2:19" x14ac:dyDescent="0.3">
      <c r="B878" s="191"/>
      <c r="C878" s="191"/>
      <c r="D878" s="191"/>
      <c r="E878" s="191"/>
      <c r="F878" s="191"/>
      <c r="G878" s="191"/>
      <c r="H878" s="191"/>
      <c r="I878" s="191"/>
      <c r="J878" s="191"/>
      <c r="K878" s="191"/>
      <c r="L878" s="191"/>
      <c r="M878" s="191"/>
      <c r="N878" s="213"/>
      <c r="O878" s="213"/>
      <c r="P878" s="213"/>
      <c r="Q878" s="213"/>
      <c r="R878" s="213"/>
      <c r="S878" s="213"/>
    </row>
    <row r="879" spans="2:19" x14ac:dyDescent="0.3">
      <c r="B879" s="191"/>
      <c r="C879" s="191"/>
      <c r="D879" s="191"/>
      <c r="E879" s="191"/>
      <c r="F879" s="191"/>
      <c r="G879" s="191"/>
      <c r="H879" s="191"/>
      <c r="I879" s="191"/>
      <c r="J879" s="191"/>
      <c r="K879" s="191"/>
      <c r="L879" s="191"/>
      <c r="M879" s="191"/>
      <c r="N879" s="213"/>
      <c r="O879" s="213"/>
      <c r="P879" s="213"/>
      <c r="Q879" s="213"/>
      <c r="R879" s="213"/>
      <c r="S879" s="213"/>
    </row>
    <row r="880" spans="2:19" x14ac:dyDescent="0.3">
      <c r="B880" s="191"/>
      <c r="C880" s="191"/>
      <c r="D880" s="191"/>
      <c r="E880" s="191"/>
      <c r="F880" s="191"/>
      <c r="G880" s="191"/>
      <c r="H880" s="191"/>
      <c r="I880" s="191"/>
      <c r="J880" s="191"/>
      <c r="K880" s="191"/>
      <c r="L880" s="191"/>
      <c r="M880" s="191"/>
      <c r="N880" s="213"/>
      <c r="O880" s="213"/>
      <c r="P880" s="213"/>
      <c r="Q880" s="213"/>
      <c r="R880" s="213"/>
      <c r="S880" s="213"/>
    </row>
    <row r="882" spans="2:19" x14ac:dyDescent="0.3">
      <c r="B882" s="193" t="s">
        <v>211</v>
      </c>
      <c r="C882" s="193"/>
      <c r="D882" s="193"/>
      <c r="E882" s="193"/>
      <c r="F882" s="193"/>
      <c r="G882" s="193"/>
      <c r="H882" s="193"/>
      <c r="I882" s="193"/>
      <c r="J882" s="193"/>
      <c r="K882" s="193"/>
      <c r="L882" s="193"/>
      <c r="M882" s="193"/>
      <c r="N882" s="193" t="s">
        <v>114</v>
      </c>
      <c r="O882" s="193"/>
      <c r="P882" s="193"/>
      <c r="Q882" s="193"/>
      <c r="R882" s="193"/>
      <c r="S882" s="193"/>
    </row>
    <row r="883" spans="2:19" x14ac:dyDescent="0.3">
      <c r="B883" s="191"/>
      <c r="C883" s="191"/>
      <c r="D883" s="191"/>
      <c r="E883" s="191"/>
      <c r="F883" s="191"/>
      <c r="G883" s="191"/>
      <c r="H883" s="191"/>
      <c r="I883" s="191"/>
      <c r="J883" s="191"/>
      <c r="K883" s="191"/>
      <c r="L883" s="191"/>
      <c r="M883" s="191"/>
      <c r="N883" s="213" t="s">
        <v>115</v>
      </c>
      <c r="O883" s="213"/>
      <c r="P883" s="213"/>
      <c r="Q883" s="213"/>
      <c r="R883" s="213"/>
      <c r="S883" s="213"/>
    </row>
    <row r="884" spans="2:19" x14ac:dyDescent="0.3">
      <c r="B884" s="191"/>
      <c r="C884" s="191"/>
      <c r="D884" s="191"/>
      <c r="E884" s="191"/>
      <c r="F884" s="191"/>
      <c r="G884" s="191"/>
      <c r="H884" s="191"/>
      <c r="I884" s="191"/>
      <c r="J884" s="191"/>
      <c r="K884" s="191"/>
      <c r="L884" s="191"/>
      <c r="M884" s="191"/>
      <c r="N884" s="213"/>
      <c r="O884" s="213"/>
      <c r="P884" s="213"/>
      <c r="Q884" s="213"/>
      <c r="R884" s="213"/>
      <c r="S884" s="213"/>
    </row>
    <row r="885" spans="2:19" x14ac:dyDescent="0.3">
      <c r="B885" s="191"/>
      <c r="C885" s="191"/>
      <c r="D885" s="191"/>
      <c r="E885" s="191"/>
      <c r="F885" s="191"/>
      <c r="G885" s="191"/>
      <c r="H885" s="191"/>
      <c r="I885" s="191"/>
      <c r="J885" s="191"/>
      <c r="K885" s="191"/>
      <c r="L885" s="191"/>
      <c r="M885" s="191"/>
      <c r="N885" s="213"/>
      <c r="O885" s="213"/>
      <c r="P885" s="213"/>
      <c r="Q885" s="213"/>
      <c r="R885" s="213"/>
      <c r="S885" s="213"/>
    </row>
    <row r="886" spans="2:19" x14ac:dyDescent="0.3">
      <c r="B886" s="191"/>
      <c r="C886" s="191"/>
      <c r="D886" s="191"/>
      <c r="E886" s="191"/>
      <c r="F886" s="191"/>
      <c r="G886" s="191"/>
      <c r="H886" s="191"/>
      <c r="I886" s="191"/>
      <c r="J886" s="191"/>
      <c r="K886" s="191"/>
      <c r="L886" s="191"/>
      <c r="M886" s="191"/>
      <c r="N886" s="213"/>
      <c r="O886" s="213"/>
      <c r="P886" s="213"/>
      <c r="Q886" s="213"/>
      <c r="R886" s="213"/>
      <c r="S886" s="213"/>
    </row>
    <row r="887" spans="2:19" x14ac:dyDescent="0.3">
      <c r="B887" s="191"/>
      <c r="C887" s="191"/>
      <c r="D887" s="191"/>
      <c r="E887" s="191"/>
      <c r="F887" s="191"/>
      <c r="G887" s="191"/>
      <c r="H887" s="191"/>
      <c r="I887" s="191"/>
      <c r="J887" s="191"/>
      <c r="K887" s="191"/>
      <c r="L887" s="191"/>
      <c r="M887" s="191"/>
      <c r="N887" s="213"/>
      <c r="O887" s="213"/>
      <c r="P887" s="213"/>
      <c r="Q887" s="213"/>
      <c r="R887" s="213"/>
      <c r="S887" s="213"/>
    </row>
    <row r="888" spans="2:19" x14ac:dyDescent="0.3">
      <c r="B888" s="191"/>
      <c r="C888" s="191"/>
      <c r="D888" s="191"/>
      <c r="E888" s="191"/>
      <c r="F888" s="191"/>
      <c r="G888" s="191"/>
      <c r="H888" s="191"/>
      <c r="I888" s="191"/>
      <c r="J888" s="191"/>
      <c r="K888" s="191"/>
      <c r="L888" s="191"/>
      <c r="M888" s="191"/>
      <c r="N888" s="213"/>
      <c r="O888" s="213"/>
      <c r="P888" s="213"/>
      <c r="Q888" s="213"/>
      <c r="R888" s="213"/>
      <c r="S888" s="213"/>
    </row>
    <row r="889" spans="2:19" x14ac:dyDescent="0.3">
      <c r="B889" s="191"/>
      <c r="C889" s="191"/>
      <c r="D889" s="191"/>
      <c r="E889" s="191"/>
      <c r="F889" s="191"/>
      <c r="G889" s="191"/>
      <c r="H889" s="191"/>
      <c r="I889" s="191"/>
      <c r="J889" s="191"/>
      <c r="K889" s="191"/>
      <c r="L889" s="191"/>
      <c r="M889" s="191"/>
      <c r="N889" s="213"/>
      <c r="O889" s="213"/>
      <c r="P889" s="213"/>
      <c r="Q889" s="213"/>
      <c r="R889" s="213"/>
      <c r="S889" s="213"/>
    </row>
    <row r="890" spans="2:19" x14ac:dyDescent="0.3">
      <c r="B890" s="191"/>
      <c r="C890" s="191"/>
      <c r="D890" s="191"/>
      <c r="E890" s="191"/>
      <c r="F890" s="191"/>
      <c r="G890" s="191"/>
      <c r="H890" s="191"/>
      <c r="I890" s="191"/>
      <c r="J890" s="191"/>
      <c r="K890" s="191"/>
      <c r="L890" s="191"/>
      <c r="M890" s="191"/>
      <c r="N890" s="213"/>
      <c r="O890" s="213"/>
      <c r="P890" s="213"/>
      <c r="Q890" s="213"/>
      <c r="R890" s="213"/>
      <c r="S890" s="213"/>
    </row>
    <row r="891" spans="2:19" x14ac:dyDescent="0.3">
      <c r="B891" s="191"/>
      <c r="C891" s="191"/>
      <c r="D891" s="191"/>
      <c r="E891" s="191"/>
      <c r="F891" s="191"/>
      <c r="G891" s="191"/>
      <c r="H891" s="191"/>
      <c r="I891" s="191"/>
      <c r="J891" s="191"/>
      <c r="K891" s="191"/>
      <c r="L891" s="191"/>
      <c r="M891" s="191"/>
      <c r="N891" s="213"/>
      <c r="O891" s="213"/>
      <c r="P891" s="213"/>
      <c r="Q891" s="213"/>
      <c r="R891" s="213"/>
      <c r="S891" s="213"/>
    </row>
    <row r="892" spans="2:19" x14ac:dyDescent="0.3">
      <c r="B892" s="191"/>
      <c r="C892" s="191"/>
      <c r="D892" s="191"/>
      <c r="E892" s="191"/>
      <c r="F892" s="191"/>
      <c r="G892" s="191"/>
      <c r="H892" s="191"/>
      <c r="I892" s="191"/>
      <c r="J892" s="191"/>
      <c r="K892" s="191"/>
      <c r="L892" s="191"/>
      <c r="M892" s="191"/>
      <c r="N892" s="213"/>
      <c r="O892" s="213"/>
      <c r="P892" s="213"/>
      <c r="Q892" s="213"/>
      <c r="R892" s="213"/>
      <c r="S892" s="213"/>
    </row>
    <row r="893" spans="2:19" x14ac:dyDescent="0.3">
      <c r="B893" s="191"/>
      <c r="C893" s="191"/>
      <c r="D893" s="191"/>
      <c r="E893" s="191"/>
      <c r="F893" s="191"/>
      <c r="G893" s="191"/>
      <c r="H893" s="191"/>
      <c r="I893" s="191"/>
      <c r="J893" s="191"/>
      <c r="K893" s="191"/>
      <c r="L893" s="191"/>
      <c r="M893" s="191"/>
      <c r="N893" s="213"/>
      <c r="O893" s="213"/>
      <c r="P893" s="213"/>
      <c r="Q893" s="213"/>
      <c r="R893" s="213"/>
      <c r="S893" s="213"/>
    </row>
    <row r="894" spans="2:19" x14ac:dyDescent="0.3">
      <c r="B894" s="191"/>
      <c r="C894" s="191"/>
      <c r="D894" s="191"/>
      <c r="E894" s="191"/>
      <c r="F894" s="191"/>
      <c r="G894" s="191"/>
      <c r="H894" s="191"/>
      <c r="I894" s="191"/>
      <c r="J894" s="191"/>
      <c r="K894" s="191"/>
      <c r="L894" s="191"/>
      <c r="M894" s="191"/>
      <c r="N894" s="213"/>
      <c r="O894" s="213"/>
      <c r="P894" s="213"/>
      <c r="Q894" s="213"/>
      <c r="R894" s="213"/>
      <c r="S894" s="213"/>
    </row>
  </sheetData>
  <mergeCells count="577">
    <mergeCell ref="B484:M484"/>
    <mergeCell ref="N484:S484"/>
    <mergeCell ref="B485:M496"/>
    <mergeCell ref="N485:S496"/>
    <mergeCell ref="B498:M498"/>
    <mergeCell ref="N498:S498"/>
    <mergeCell ref="B499:M510"/>
    <mergeCell ref="N499:S510"/>
    <mergeCell ref="O521:Q521"/>
    <mergeCell ref="R521:S521"/>
    <mergeCell ref="O820:Q820"/>
    <mergeCell ref="R820:S820"/>
    <mergeCell ref="B868:M868"/>
    <mergeCell ref="N868:S868"/>
    <mergeCell ref="B869:M880"/>
    <mergeCell ref="N869:S880"/>
    <mergeCell ref="B882:M882"/>
    <mergeCell ref="N882:S882"/>
    <mergeCell ref="B883:M894"/>
    <mergeCell ref="N883:S894"/>
    <mergeCell ref="O863:Q863"/>
    <mergeCell ref="R863:S863"/>
    <mergeCell ref="C806:F806"/>
    <mergeCell ref="G806:J806"/>
    <mergeCell ref="K806:N806"/>
    <mergeCell ref="O806:R806"/>
    <mergeCell ref="C807:F807"/>
    <mergeCell ref="G807:J807"/>
    <mergeCell ref="K807:N807"/>
    <mergeCell ref="O807:R807"/>
    <mergeCell ref="C808:F808"/>
    <mergeCell ref="G808:J808"/>
    <mergeCell ref="K808:N808"/>
    <mergeCell ref="O808:R808"/>
    <mergeCell ref="C803:F803"/>
    <mergeCell ref="G803:J803"/>
    <mergeCell ref="K803:N803"/>
    <mergeCell ref="O803:R803"/>
    <mergeCell ref="C804:F804"/>
    <mergeCell ref="G804:J804"/>
    <mergeCell ref="K804:N804"/>
    <mergeCell ref="O804:R804"/>
    <mergeCell ref="C805:F805"/>
    <mergeCell ref="G805:J805"/>
    <mergeCell ref="K805:N805"/>
    <mergeCell ref="O805:R805"/>
    <mergeCell ref="B786:S787"/>
    <mergeCell ref="B789:S790"/>
    <mergeCell ref="B792:S793"/>
    <mergeCell ref="B795:S796"/>
    <mergeCell ref="B797:S797"/>
    <mergeCell ref="C802:F802"/>
    <mergeCell ref="G802:J802"/>
    <mergeCell ref="K802:N802"/>
    <mergeCell ref="O802:R802"/>
    <mergeCell ref="C763:F763"/>
    <mergeCell ref="G763:J763"/>
    <mergeCell ref="K763:M763"/>
    <mergeCell ref="C764:F764"/>
    <mergeCell ref="G764:J764"/>
    <mergeCell ref="K764:M764"/>
    <mergeCell ref="O778:Q778"/>
    <mergeCell ref="R778:S778"/>
    <mergeCell ref="B783:S784"/>
    <mergeCell ref="C758:E758"/>
    <mergeCell ref="F758:H758"/>
    <mergeCell ref="I758:K758"/>
    <mergeCell ref="L758:N758"/>
    <mergeCell ref="O758:P758"/>
    <mergeCell ref="C760:F760"/>
    <mergeCell ref="G760:J760"/>
    <mergeCell ref="K760:M760"/>
    <mergeCell ref="C761:F761"/>
    <mergeCell ref="G761:J761"/>
    <mergeCell ref="K761:M761"/>
    <mergeCell ref="C755:E755"/>
    <mergeCell ref="F755:H755"/>
    <mergeCell ref="I755:K755"/>
    <mergeCell ref="L755:N755"/>
    <mergeCell ref="O755:P755"/>
    <mergeCell ref="C757:E757"/>
    <mergeCell ref="F757:H757"/>
    <mergeCell ref="I757:K757"/>
    <mergeCell ref="L757:N757"/>
    <mergeCell ref="O757:P757"/>
    <mergeCell ref="C752:F752"/>
    <mergeCell ref="G752:J752"/>
    <mergeCell ref="K752:N752"/>
    <mergeCell ref="O752:Q752"/>
    <mergeCell ref="C754:E754"/>
    <mergeCell ref="F754:H754"/>
    <mergeCell ref="I754:K754"/>
    <mergeCell ref="L754:N754"/>
    <mergeCell ref="O754:P754"/>
    <mergeCell ref="K748:N748"/>
    <mergeCell ref="O748:Q748"/>
    <mergeCell ref="C749:F749"/>
    <mergeCell ref="G749:J749"/>
    <mergeCell ref="K749:N749"/>
    <mergeCell ref="O749:Q749"/>
    <mergeCell ref="C751:F751"/>
    <mergeCell ref="G751:J751"/>
    <mergeCell ref="K751:N751"/>
    <mergeCell ref="O751:Q751"/>
    <mergeCell ref="B740:F740"/>
    <mergeCell ref="G740:I740"/>
    <mergeCell ref="B741:F741"/>
    <mergeCell ref="G741:I741"/>
    <mergeCell ref="B742:F742"/>
    <mergeCell ref="G742:I742"/>
    <mergeCell ref="B743:F743"/>
    <mergeCell ref="G743:I743"/>
    <mergeCell ref="C748:F748"/>
    <mergeCell ref="G748:J748"/>
    <mergeCell ref="O692:Q692"/>
    <mergeCell ref="R692:S692"/>
    <mergeCell ref="B696:S696"/>
    <mergeCell ref="B698:S699"/>
    <mergeCell ref="B703:S704"/>
    <mergeCell ref="B708:S709"/>
    <mergeCell ref="B713:S714"/>
    <mergeCell ref="B716:S717"/>
    <mergeCell ref="O735:Q735"/>
    <mergeCell ref="R735:S735"/>
    <mergeCell ref="C636:F636"/>
    <mergeCell ref="G636:J636"/>
    <mergeCell ref="K636:N636"/>
    <mergeCell ref="O636:R636"/>
    <mergeCell ref="C637:F637"/>
    <mergeCell ref="G637:J637"/>
    <mergeCell ref="K637:N637"/>
    <mergeCell ref="O637:R637"/>
    <mergeCell ref="O649:Q649"/>
    <mergeCell ref="R649:S649"/>
    <mergeCell ref="C633:F633"/>
    <mergeCell ref="G633:J633"/>
    <mergeCell ref="K633:N633"/>
    <mergeCell ref="O633:R633"/>
    <mergeCell ref="C634:F634"/>
    <mergeCell ref="G634:J634"/>
    <mergeCell ref="K634:N634"/>
    <mergeCell ref="O634:R634"/>
    <mergeCell ref="C635:F635"/>
    <mergeCell ref="G635:J635"/>
    <mergeCell ref="K635:N635"/>
    <mergeCell ref="O635:R635"/>
    <mergeCell ref="B625:S626"/>
    <mergeCell ref="C631:F631"/>
    <mergeCell ref="G631:J631"/>
    <mergeCell ref="K631:N631"/>
    <mergeCell ref="O631:R631"/>
    <mergeCell ref="C632:F632"/>
    <mergeCell ref="G632:J632"/>
    <mergeCell ref="K632:N632"/>
    <mergeCell ref="O632:R632"/>
    <mergeCell ref="C597:F597"/>
    <mergeCell ref="G597:J597"/>
    <mergeCell ref="K597:M597"/>
    <mergeCell ref="O607:Q607"/>
    <mergeCell ref="R607:S607"/>
    <mergeCell ref="B613:S614"/>
    <mergeCell ref="B616:S617"/>
    <mergeCell ref="B619:S620"/>
    <mergeCell ref="B622:S623"/>
    <mergeCell ref="C593:F593"/>
    <mergeCell ref="G593:J593"/>
    <mergeCell ref="K593:M593"/>
    <mergeCell ref="C594:F594"/>
    <mergeCell ref="G594:J594"/>
    <mergeCell ref="K594:M594"/>
    <mergeCell ref="C596:F596"/>
    <mergeCell ref="G596:J596"/>
    <mergeCell ref="K596:M596"/>
    <mergeCell ref="C590:E590"/>
    <mergeCell ref="F590:H590"/>
    <mergeCell ref="I590:K590"/>
    <mergeCell ref="L590:N590"/>
    <mergeCell ref="O590:P590"/>
    <mergeCell ref="C591:E591"/>
    <mergeCell ref="F591:H591"/>
    <mergeCell ref="I591:K591"/>
    <mergeCell ref="L591:N591"/>
    <mergeCell ref="O591:P591"/>
    <mergeCell ref="C587:E587"/>
    <mergeCell ref="F587:H587"/>
    <mergeCell ref="I587:K587"/>
    <mergeCell ref="L587:N587"/>
    <mergeCell ref="O587:P587"/>
    <mergeCell ref="C588:E588"/>
    <mergeCell ref="F588:H588"/>
    <mergeCell ref="I588:K588"/>
    <mergeCell ref="L588:N588"/>
    <mergeCell ref="O588:P588"/>
    <mergeCell ref="C571:G571"/>
    <mergeCell ref="H571:J571"/>
    <mergeCell ref="C572:G572"/>
    <mergeCell ref="H572:J572"/>
    <mergeCell ref="K584:N584"/>
    <mergeCell ref="O584:Q584"/>
    <mergeCell ref="C585:F585"/>
    <mergeCell ref="G585:J585"/>
    <mergeCell ref="K585:N585"/>
    <mergeCell ref="O585:Q585"/>
    <mergeCell ref="C581:F581"/>
    <mergeCell ref="G581:J581"/>
    <mergeCell ref="K581:N581"/>
    <mergeCell ref="O581:Q581"/>
    <mergeCell ref="C582:F582"/>
    <mergeCell ref="G582:J582"/>
    <mergeCell ref="K582:N582"/>
    <mergeCell ref="O582:Q582"/>
    <mergeCell ref="C584:F584"/>
    <mergeCell ref="G584:J584"/>
    <mergeCell ref="R399:S399"/>
    <mergeCell ref="O435:Q435"/>
    <mergeCell ref="R435:S435"/>
    <mergeCell ref="O478:Q478"/>
    <mergeCell ref="R478:S478"/>
    <mergeCell ref="B416:S417"/>
    <mergeCell ref="C429:F429"/>
    <mergeCell ref="G429:J429"/>
    <mergeCell ref="K429:N429"/>
    <mergeCell ref="O429:R429"/>
    <mergeCell ref="B418:S418"/>
    <mergeCell ref="C428:F428"/>
    <mergeCell ref="G428:J428"/>
    <mergeCell ref="K428:N428"/>
    <mergeCell ref="O428:R428"/>
    <mergeCell ref="B410:S411"/>
    <mergeCell ref="B413:S414"/>
    <mergeCell ref="C423:F423"/>
    <mergeCell ref="G423:J423"/>
    <mergeCell ref="O425:R425"/>
    <mergeCell ref="K425:N425"/>
    <mergeCell ref="O424:R424"/>
    <mergeCell ref="K424:N424"/>
    <mergeCell ref="O423:R423"/>
    <mergeCell ref="B368:F368"/>
    <mergeCell ref="G368:I368"/>
    <mergeCell ref="B369:F369"/>
    <mergeCell ref="G369:I369"/>
    <mergeCell ref="B370:F370"/>
    <mergeCell ref="G370:I370"/>
    <mergeCell ref="B333:S334"/>
    <mergeCell ref="B338:S339"/>
    <mergeCell ref="B341:S342"/>
    <mergeCell ref="B255:S256"/>
    <mergeCell ref="K263:N263"/>
    <mergeCell ref="O263:R263"/>
    <mergeCell ref="G264:J264"/>
    <mergeCell ref="K264:N264"/>
    <mergeCell ref="O264:R264"/>
    <mergeCell ref="O317:Q317"/>
    <mergeCell ref="R317:S317"/>
    <mergeCell ref="B367:F367"/>
    <mergeCell ref="G367:I367"/>
    <mergeCell ref="O274:Q274"/>
    <mergeCell ref="R274:S274"/>
    <mergeCell ref="C266:F266"/>
    <mergeCell ref="G266:J266"/>
    <mergeCell ref="K266:N266"/>
    <mergeCell ref="O266:R266"/>
    <mergeCell ref="C267:F267"/>
    <mergeCell ref="G267:J267"/>
    <mergeCell ref="K267:N267"/>
    <mergeCell ref="O267:R267"/>
    <mergeCell ref="B208:F208"/>
    <mergeCell ref="G208:I208"/>
    <mergeCell ref="B252:S253"/>
    <mergeCell ref="F221:H221"/>
    <mergeCell ref="C221:E221"/>
    <mergeCell ref="F222:H222"/>
    <mergeCell ref="I222:K222"/>
    <mergeCell ref="C218:F218"/>
    <mergeCell ref="G218:J218"/>
    <mergeCell ref="K218:N218"/>
    <mergeCell ref="C219:F219"/>
    <mergeCell ref="G219:J219"/>
    <mergeCell ref="K219:N219"/>
    <mergeCell ref="O225:P225"/>
    <mergeCell ref="G216:J216"/>
    <mergeCell ref="K216:N216"/>
    <mergeCell ref="O215:Q215"/>
    <mergeCell ref="O216:Q216"/>
    <mergeCell ref="O237:Q237"/>
    <mergeCell ref="R237:S237"/>
    <mergeCell ref="O219:Q219"/>
    <mergeCell ref="C227:F227"/>
    <mergeCell ref="G227:J227"/>
    <mergeCell ref="C228:F228"/>
    <mergeCell ref="B404:S405"/>
    <mergeCell ref="B407:S408"/>
    <mergeCell ref="R199:S199"/>
    <mergeCell ref="O360:Q360"/>
    <mergeCell ref="R360:S360"/>
    <mergeCell ref="C265:F265"/>
    <mergeCell ref="G265:J265"/>
    <mergeCell ref="K265:N265"/>
    <mergeCell ref="O265:R265"/>
    <mergeCell ref="G261:J261"/>
    <mergeCell ref="K261:N261"/>
    <mergeCell ref="O261:R261"/>
    <mergeCell ref="G262:J262"/>
    <mergeCell ref="K262:N262"/>
    <mergeCell ref="O262:R262"/>
    <mergeCell ref="G263:J263"/>
    <mergeCell ref="C261:F261"/>
    <mergeCell ref="C262:F262"/>
    <mergeCell ref="C263:F263"/>
    <mergeCell ref="C264:F264"/>
    <mergeCell ref="L221:N221"/>
    <mergeCell ref="O221:P221"/>
    <mergeCell ref="C215:F215"/>
    <mergeCell ref="G215:J215"/>
    <mergeCell ref="O564:Q564"/>
    <mergeCell ref="R564:S564"/>
    <mergeCell ref="C573:G573"/>
    <mergeCell ref="H573:J573"/>
    <mergeCell ref="C574:G574"/>
    <mergeCell ref="H574:J574"/>
    <mergeCell ref="C424:F424"/>
    <mergeCell ref="G424:J424"/>
    <mergeCell ref="C425:F425"/>
    <mergeCell ref="G425:J425"/>
    <mergeCell ref="C426:F426"/>
    <mergeCell ref="G426:J426"/>
    <mergeCell ref="K426:N426"/>
    <mergeCell ref="O426:R426"/>
    <mergeCell ref="C427:F427"/>
    <mergeCell ref="G427:J427"/>
    <mergeCell ref="K427:N427"/>
    <mergeCell ref="O427:R427"/>
    <mergeCell ref="B525:S525"/>
    <mergeCell ref="B527:S528"/>
    <mergeCell ref="B532:S533"/>
    <mergeCell ref="B535:S536"/>
    <mergeCell ref="B540:S541"/>
    <mergeCell ref="B543:S544"/>
    <mergeCell ref="C387:F387"/>
    <mergeCell ref="G387:J387"/>
    <mergeCell ref="C388:F388"/>
    <mergeCell ref="G388:J388"/>
    <mergeCell ref="C390:F390"/>
    <mergeCell ref="G390:J390"/>
    <mergeCell ref="C391:F391"/>
    <mergeCell ref="G391:J391"/>
    <mergeCell ref="K391:M391"/>
    <mergeCell ref="C384:E384"/>
    <mergeCell ref="F384:H384"/>
    <mergeCell ref="I384:K384"/>
    <mergeCell ref="L384:N384"/>
    <mergeCell ref="O384:P384"/>
    <mergeCell ref="C385:E385"/>
    <mergeCell ref="F385:H385"/>
    <mergeCell ref="I385:K385"/>
    <mergeCell ref="L385:N385"/>
    <mergeCell ref="O385:P385"/>
    <mergeCell ref="C381:E381"/>
    <mergeCell ref="F381:H381"/>
    <mergeCell ref="I381:K381"/>
    <mergeCell ref="L381:N381"/>
    <mergeCell ref="O381:P381"/>
    <mergeCell ref="C382:E382"/>
    <mergeCell ref="F382:H382"/>
    <mergeCell ref="I382:K382"/>
    <mergeCell ref="L382:N382"/>
    <mergeCell ref="O382:P382"/>
    <mergeCell ref="C376:F376"/>
    <mergeCell ref="G376:J376"/>
    <mergeCell ref="K376:N376"/>
    <mergeCell ref="O376:Q376"/>
    <mergeCell ref="C378:F378"/>
    <mergeCell ref="G378:J378"/>
    <mergeCell ref="K378:N378"/>
    <mergeCell ref="O378:Q378"/>
    <mergeCell ref="C379:F379"/>
    <mergeCell ref="G379:J379"/>
    <mergeCell ref="K379:N379"/>
    <mergeCell ref="O379:Q379"/>
    <mergeCell ref="G228:J228"/>
    <mergeCell ref="C230:F230"/>
    <mergeCell ref="G230:J230"/>
    <mergeCell ref="C231:F231"/>
    <mergeCell ref="G231:J231"/>
    <mergeCell ref="K227:M227"/>
    <mergeCell ref="K228:M228"/>
    <mergeCell ref="K230:M230"/>
    <mergeCell ref="K231:M231"/>
    <mergeCell ref="O222:P222"/>
    <mergeCell ref="C222:E222"/>
    <mergeCell ref="C224:E224"/>
    <mergeCell ref="I221:K221"/>
    <mergeCell ref="O218:Q218"/>
    <mergeCell ref="B161:S162"/>
    <mergeCell ref="B166:S167"/>
    <mergeCell ref="B169:S170"/>
    <mergeCell ref="B152:G152"/>
    <mergeCell ref="B153:G153"/>
    <mergeCell ref="B174:S175"/>
    <mergeCell ref="B177:S178"/>
    <mergeCell ref="H152:K152"/>
    <mergeCell ref="H153:K153"/>
    <mergeCell ref="L152:S152"/>
    <mergeCell ref="L153:S153"/>
    <mergeCell ref="O156:Q156"/>
    <mergeCell ref="R156:S156"/>
    <mergeCell ref="B159:S159"/>
    <mergeCell ref="O199:Q199"/>
    <mergeCell ref="K215:N215"/>
    <mergeCell ref="C216:F216"/>
    <mergeCell ref="B205:F205"/>
    <mergeCell ref="G205:I205"/>
    <mergeCell ref="B206:F206"/>
    <mergeCell ref="G206:I206"/>
    <mergeCell ref="B207:F207"/>
    <mergeCell ref="G207:I207"/>
    <mergeCell ref="L145:S145"/>
    <mergeCell ref="B146:G146"/>
    <mergeCell ref="B147:G147"/>
    <mergeCell ref="B148:G148"/>
    <mergeCell ref="B149:G149"/>
    <mergeCell ref="B150:G150"/>
    <mergeCell ref="B151:G151"/>
    <mergeCell ref="L146:S146"/>
    <mergeCell ref="L147:S147"/>
    <mergeCell ref="L148:S148"/>
    <mergeCell ref="L149:S149"/>
    <mergeCell ref="L150:S150"/>
    <mergeCell ref="L151:S151"/>
    <mergeCell ref="H146:K146"/>
    <mergeCell ref="H147:K147"/>
    <mergeCell ref="H148:K148"/>
    <mergeCell ref="H149:K149"/>
    <mergeCell ref="H150:K150"/>
    <mergeCell ref="H151:K151"/>
    <mergeCell ref="B145:G145"/>
    <mergeCell ref="H145:K145"/>
    <mergeCell ref="B134:O135"/>
    <mergeCell ref="P128:S129"/>
    <mergeCell ref="P130:S131"/>
    <mergeCell ref="P132:S133"/>
    <mergeCell ref="P134:S135"/>
    <mergeCell ref="B136:O137"/>
    <mergeCell ref="B138:O139"/>
    <mergeCell ref="B140:O141"/>
    <mergeCell ref="P136:S137"/>
    <mergeCell ref="P138:S139"/>
    <mergeCell ref="P140:S141"/>
    <mergeCell ref="B122:O123"/>
    <mergeCell ref="P122:S123"/>
    <mergeCell ref="B124:O125"/>
    <mergeCell ref="B126:O127"/>
    <mergeCell ref="P124:S125"/>
    <mergeCell ref="P126:S127"/>
    <mergeCell ref="B128:O129"/>
    <mergeCell ref="B130:O131"/>
    <mergeCell ref="B132:O133"/>
    <mergeCell ref="O114:Q114"/>
    <mergeCell ref="R114:S114"/>
    <mergeCell ref="B119:O119"/>
    <mergeCell ref="P119:S119"/>
    <mergeCell ref="B120:O121"/>
    <mergeCell ref="P120:S121"/>
    <mergeCell ref="D107:H107"/>
    <mergeCell ref="I107:K107"/>
    <mergeCell ref="I106:K106"/>
    <mergeCell ref="D106:H106"/>
    <mergeCell ref="I104:K104"/>
    <mergeCell ref="I103:K103"/>
    <mergeCell ref="D105:H105"/>
    <mergeCell ref="I105:K105"/>
    <mergeCell ref="B84:S85"/>
    <mergeCell ref="B87:S87"/>
    <mergeCell ref="B95:S95"/>
    <mergeCell ref="B97:S98"/>
    <mergeCell ref="D102:H102"/>
    <mergeCell ref="D103:H103"/>
    <mergeCell ref="D104:H104"/>
    <mergeCell ref="I102:K102"/>
    <mergeCell ref="B60:S60"/>
    <mergeCell ref="I7:R7"/>
    <mergeCell ref="I8:R8"/>
    <mergeCell ref="C15:R15"/>
    <mergeCell ref="C17:G17"/>
    <mergeCell ref="C18:G18"/>
    <mergeCell ref="I13:R13"/>
    <mergeCell ref="I19:R19"/>
    <mergeCell ref="I20:R20"/>
    <mergeCell ref="I21:R21"/>
    <mergeCell ref="C23:R28"/>
    <mergeCell ref="I11:R11"/>
    <mergeCell ref="I12:R12"/>
    <mergeCell ref="B51:S58"/>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B64:S64"/>
    <mergeCell ref="F45:J45"/>
    <mergeCell ref="F48:J48"/>
    <mergeCell ref="F46:G46"/>
    <mergeCell ref="K46:L46"/>
    <mergeCell ref="K48:P48"/>
    <mergeCell ref="K45:O45"/>
    <mergeCell ref="P70:S70"/>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P71:S71"/>
    <mergeCell ref="H70:L70"/>
    <mergeCell ref="H71:L71"/>
    <mergeCell ref="M70:O70"/>
    <mergeCell ref="M71:O71"/>
    <mergeCell ref="B70:G70"/>
    <mergeCell ref="B71:G71"/>
    <mergeCell ref="B79:S80"/>
    <mergeCell ref="B82:S82"/>
    <mergeCell ref="R75:S75"/>
    <mergeCell ref="O75:Q75"/>
    <mergeCell ref="B77:S77"/>
    <mergeCell ref="B72:G72"/>
    <mergeCell ref="H72:L72"/>
    <mergeCell ref="M72:O72"/>
    <mergeCell ref="P72:S72"/>
    <mergeCell ref="K423:N423"/>
    <mergeCell ref="K390:M390"/>
    <mergeCell ref="K388:M388"/>
    <mergeCell ref="K387:M387"/>
    <mergeCell ref="B321:S321"/>
    <mergeCell ref="L222:N222"/>
    <mergeCell ref="B328:S329"/>
    <mergeCell ref="B323:S324"/>
    <mergeCell ref="F224:H224"/>
    <mergeCell ref="I224:K224"/>
    <mergeCell ref="L224:N224"/>
    <mergeCell ref="O224:P224"/>
    <mergeCell ref="C225:E225"/>
    <mergeCell ref="F225:H225"/>
    <mergeCell ref="I225:K225"/>
    <mergeCell ref="L225:N225"/>
    <mergeCell ref="O399:Q399"/>
    <mergeCell ref="C375:F375"/>
    <mergeCell ref="G375:J375"/>
    <mergeCell ref="K375:N375"/>
    <mergeCell ref="O375:Q375"/>
    <mergeCell ref="B243:S244"/>
    <mergeCell ref="B246:S247"/>
    <mergeCell ref="B249:S250"/>
  </mergeCells>
  <phoneticPr fontId="26"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VALIDACIÓN&amp;R&amp;8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extLst>
    <ext xmlns:x14="http://schemas.microsoft.com/office/spreadsheetml/2009/9/main" uri="{CCE6A557-97BC-4b89-ADB6-D9C93CAAB3DF}">
      <x14:dataValidations xmlns:xm="http://schemas.microsoft.com/office/excel/2006/main" count="2">
        <x14:dataValidation type="list" allowBlank="1" showInputMessage="1" showErrorMessage="1" xr:uid="{0DD72A91-71AB-41E1-ABB8-F50D7E023A63}">
          <x14:formula1>
            <xm:f>MEDIDA!$H$3:$H$5</xm:f>
          </x14:formula1>
          <xm:sqref>I102:I104</xm:sqref>
        </x14:dataValidation>
        <x14:dataValidation type="list" allowBlank="1" showInputMessage="1" showErrorMessage="1" xr:uid="{92581FBA-5377-480A-817C-21C1C826ECCC}">
          <x14:formula1>
            <xm:f>MEDIDA!$K$3:$K$4</xm:f>
          </x14:formula1>
          <xm:sqref>P120:S141 H146:K153 O270:R273 O436:O437 O424:R434 O262:R267 O645:R648 O821:O822 O803:R819 O632:R637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99A5F-64E1-41CA-83F3-93326CB48C8E}">
  <dimension ref="B1:G95"/>
  <sheetViews>
    <sheetView workbookViewId="0">
      <selection activeCell="I6" sqref="I6"/>
    </sheetView>
  </sheetViews>
  <sheetFormatPr baseColWidth="10" defaultRowHeight="14.4" x14ac:dyDescent="0.3"/>
  <cols>
    <col min="2" max="2" width="17" bestFit="1" customWidth="1"/>
    <col min="3" max="3" width="16.88671875" bestFit="1" customWidth="1"/>
    <col min="6" max="6" width="12.33203125" customWidth="1"/>
    <col min="7" max="7" width="12.6640625" bestFit="1" customWidth="1"/>
  </cols>
  <sheetData>
    <row r="1" spans="2:7" x14ac:dyDescent="0.3">
      <c r="F1" s="19" t="s">
        <v>181</v>
      </c>
      <c r="G1" s="117">
        <v>0.34320601851851851</v>
      </c>
    </row>
    <row r="2" spans="2:7" x14ac:dyDescent="0.3">
      <c r="B2" s="104" t="s">
        <v>166</v>
      </c>
      <c r="C2" s="104" t="s">
        <v>165</v>
      </c>
    </row>
    <row r="3" spans="2:7" x14ac:dyDescent="0.3">
      <c r="B3" s="118">
        <f>G1</f>
        <v>0.34320601851851851</v>
      </c>
      <c r="C3" s="97">
        <v>93.05</v>
      </c>
    </row>
    <row r="4" spans="2:7" x14ac:dyDescent="0.3">
      <c r="B4" s="118" t="e">
        <f>B3+(VALUE(('CERTIFICADO '!#REF!/43)/1440))</f>
        <v>#REF!</v>
      </c>
      <c r="C4" s="97">
        <v>104.67</v>
      </c>
    </row>
    <row r="5" spans="2:7" x14ac:dyDescent="0.3">
      <c r="B5" s="118" t="e">
        <f>B4+(VALUE(('CERTIFICADO '!#REF!/43)/1440))</f>
        <v>#REF!</v>
      </c>
      <c r="C5" s="97">
        <v>114.34</v>
      </c>
    </row>
    <row r="6" spans="2:7" x14ac:dyDescent="0.3">
      <c r="B6" s="118" t="e">
        <f>B5+(VALUE(('CERTIFICADO '!#REF!/43)/1440))</f>
        <v>#REF!</v>
      </c>
      <c r="C6" s="103">
        <v>122.96</v>
      </c>
    </row>
    <row r="7" spans="2:7" x14ac:dyDescent="0.3">
      <c r="B7" s="118" t="e">
        <f>B6+(VALUE(('CERTIFICADO '!#REF!/43)/1440))</f>
        <v>#REF!</v>
      </c>
      <c r="C7" s="103">
        <v>123.08</v>
      </c>
    </row>
    <row r="8" spans="2:7" x14ac:dyDescent="0.3">
      <c r="B8" s="118" t="e">
        <f>B7+(VALUE(('CERTIFICADO '!#REF!/43)/1440))</f>
        <v>#REF!</v>
      </c>
      <c r="C8" s="103">
        <v>123.15</v>
      </c>
    </row>
    <row r="9" spans="2:7" x14ac:dyDescent="0.3">
      <c r="B9" s="118" t="e">
        <f>B8+(VALUE(('CERTIFICADO '!#REF!/43)/1440))</f>
        <v>#REF!</v>
      </c>
      <c r="C9" s="103">
        <v>123.22</v>
      </c>
    </row>
    <row r="10" spans="2:7" x14ac:dyDescent="0.3">
      <c r="B10" s="118" t="e">
        <f>B9+(VALUE(('CERTIFICADO '!#REF!/43)/1440))</f>
        <v>#REF!</v>
      </c>
      <c r="C10" s="103">
        <v>123.1</v>
      </c>
    </row>
    <row r="11" spans="2:7" x14ac:dyDescent="0.3">
      <c r="B11" s="118" t="e">
        <f>B10+(VALUE(('CERTIFICADO '!#REF!/43)/1440))</f>
        <v>#REF!</v>
      </c>
      <c r="C11" s="103">
        <v>123.33</v>
      </c>
    </row>
    <row r="12" spans="2:7" x14ac:dyDescent="0.3">
      <c r="B12" s="118" t="e">
        <f>B11+(VALUE(('CERTIFICADO '!#REF!/43)/1440))</f>
        <v>#REF!</v>
      </c>
      <c r="C12" s="103">
        <v>123.21</v>
      </c>
    </row>
    <row r="13" spans="2:7" x14ac:dyDescent="0.3">
      <c r="B13" s="118" t="e">
        <f>B12+(VALUE(('CERTIFICADO '!#REF!/43)/1440))</f>
        <v>#REF!</v>
      </c>
      <c r="C13" s="103">
        <v>123.45</v>
      </c>
    </row>
    <row r="14" spans="2:7" x14ac:dyDescent="0.3">
      <c r="B14" s="118" t="e">
        <f>B13+(VALUE(('CERTIFICADO '!#REF!/43)/1440))</f>
        <v>#REF!</v>
      </c>
      <c r="C14" s="103">
        <v>123.38</v>
      </c>
    </row>
    <row r="15" spans="2:7" x14ac:dyDescent="0.3">
      <c r="B15" s="118" t="e">
        <f>B14+(VALUE(('CERTIFICADO '!#REF!/43)/1440))</f>
        <v>#REF!</v>
      </c>
      <c r="C15" s="103">
        <v>123.29</v>
      </c>
    </row>
    <row r="16" spans="2:7" x14ac:dyDescent="0.3">
      <c r="B16" s="118" t="e">
        <f>B15+(VALUE(('CERTIFICADO '!#REF!/43)/1440))</f>
        <v>#REF!</v>
      </c>
      <c r="C16" s="103">
        <v>123.51</v>
      </c>
    </row>
    <row r="17" spans="2:3" x14ac:dyDescent="0.3">
      <c r="B17" s="118" t="e">
        <f>B16+(VALUE(('CERTIFICADO '!#REF!/43)/1440))</f>
        <v>#REF!</v>
      </c>
      <c r="C17" s="103">
        <v>123.76</v>
      </c>
    </row>
    <row r="18" spans="2:3" x14ac:dyDescent="0.3">
      <c r="B18" s="118" t="e">
        <f>B17+(VALUE(('CERTIFICADO '!#REF!/43)/1440))</f>
        <v>#REF!</v>
      </c>
      <c r="C18" s="103">
        <v>123.12</v>
      </c>
    </row>
    <row r="19" spans="2:3" x14ac:dyDescent="0.3">
      <c r="B19" s="118" t="e">
        <f>B18+(VALUE(('CERTIFICADO '!#REF!/43)/1440))</f>
        <v>#REF!</v>
      </c>
      <c r="C19" s="103">
        <v>123.18</v>
      </c>
    </row>
    <row r="20" spans="2:3" x14ac:dyDescent="0.3">
      <c r="B20" s="118" t="e">
        <f>B19+(VALUE(('CERTIFICADO '!#REF!/43)/1440))</f>
        <v>#REF!</v>
      </c>
      <c r="C20" s="103">
        <v>123.07</v>
      </c>
    </row>
    <row r="21" spans="2:3" x14ac:dyDescent="0.3">
      <c r="B21" s="118" t="e">
        <f>B20+(VALUE(('CERTIFICADO '!#REF!/43)/1440))</f>
        <v>#REF!</v>
      </c>
      <c r="C21" s="103">
        <v>123.26</v>
      </c>
    </row>
    <row r="22" spans="2:3" x14ac:dyDescent="0.3">
      <c r="B22" s="118" t="e">
        <f>B21+(VALUE(('CERTIFICADO '!#REF!/43)/1440))</f>
        <v>#REF!</v>
      </c>
      <c r="C22" s="103">
        <v>123.61</v>
      </c>
    </row>
    <row r="23" spans="2:3" x14ac:dyDescent="0.3">
      <c r="B23" s="118" t="e">
        <f>B22+(VALUE(('CERTIFICADO '!#REF!/43)/1440))</f>
        <v>#REF!</v>
      </c>
      <c r="C23" s="103">
        <v>123.3</v>
      </c>
    </row>
    <row r="24" spans="2:3" x14ac:dyDescent="0.3">
      <c r="B24" s="118" t="e">
        <f>B23+(VALUE(('CERTIFICADO '!#REF!/43)/1440))</f>
        <v>#REF!</v>
      </c>
      <c r="C24" s="103">
        <v>123.43</v>
      </c>
    </row>
    <row r="25" spans="2:3" x14ac:dyDescent="0.3">
      <c r="B25" s="118" t="e">
        <f>B24+(VALUE(('CERTIFICADO '!#REF!/43)/1440))</f>
        <v>#REF!</v>
      </c>
      <c r="C25" s="103">
        <v>123.72</v>
      </c>
    </row>
    <row r="26" spans="2:3" x14ac:dyDescent="0.3">
      <c r="B26" s="118" t="e">
        <f>B25+(VALUE(('CERTIFICADO '!#REF!/43)/1440))</f>
        <v>#REF!</v>
      </c>
      <c r="C26" s="103">
        <v>123.28</v>
      </c>
    </row>
    <row r="27" spans="2:3" x14ac:dyDescent="0.3">
      <c r="B27" s="118" t="e">
        <f>B26+(VALUE(('CERTIFICADO '!#REF!/43)/1440))</f>
        <v>#REF!</v>
      </c>
      <c r="C27" s="103">
        <v>123.37</v>
      </c>
    </row>
    <row r="28" spans="2:3" x14ac:dyDescent="0.3">
      <c r="B28" s="118" t="e">
        <f>B27+(VALUE(('CERTIFICADO '!#REF!/43)/1440))</f>
        <v>#REF!</v>
      </c>
      <c r="C28" s="103">
        <v>123.47</v>
      </c>
    </row>
    <row r="29" spans="2:3" x14ac:dyDescent="0.3">
      <c r="B29" s="118" t="e">
        <f>B28+(VALUE(('CERTIFICADO '!#REF!/43)/1440))</f>
        <v>#REF!</v>
      </c>
      <c r="C29" s="103">
        <v>123.65</v>
      </c>
    </row>
    <row r="30" spans="2:3" x14ac:dyDescent="0.3">
      <c r="B30" s="118" t="e">
        <f>B29+(VALUE(('CERTIFICADO '!#REF!/43)/1440))</f>
        <v>#REF!</v>
      </c>
      <c r="C30" s="103">
        <v>123.52</v>
      </c>
    </row>
    <row r="31" spans="2:3" x14ac:dyDescent="0.3">
      <c r="B31" s="118" t="e">
        <f>B30+(VALUE(('CERTIFICADO '!#REF!/43)/1440))</f>
        <v>#REF!</v>
      </c>
      <c r="C31" s="103">
        <v>123.14</v>
      </c>
    </row>
    <row r="32" spans="2:3" x14ac:dyDescent="0.3">
      <c r="B32" s="118" t="e">
        <f>B31+(VALUE(('CERTIFICADO '!#REF!/43)/1440))</f>
        <v>#REF!</v>
      </c>
      <c r="C32" s="103">
        <v>123.34</v>
      </c>
    </row>
    <row r="33" spans="2:3" x14ac:dyDescent="0.3">
      <c r="B33" s="118" t="e">
        <f>B32+(VALUE(('CERTIFICADO '!#REF!/43)/1440))</f>
        <v>#REF!</v>
      </c>
      <c r="C33" s="103">
        <v>123.09</v>
      </c>
    </row>
    <row r="34" spans="2:3" x14ac:dyDescent="0.3">
      <c r="B34" s="118" t="e">
        <f>B33+(VALUE(('CERTIFICADO '!#REF!/43)/1440))</f>
        <v>#REF!</v>
      </c>
      <c r="C34" s="103">
        <v>123.19</v>
      </c>
    </row>
    <row r="35" spans="2:3" x14ac:dyDescent="0.3">
      <c r="B35" s="118" t="e">
        <f>B34+(VALUE(('CERTIFICADO '!#REF!/43)/1440))</f>
        <v>#REF!</v>
      </c>
      <c r="C35" s="103">
        <v>123.53</v>
      </c>
    </row>
    <row r="36" spans="2:3" x14ac:dyDescent="0.3">
      <c r="B36" s="118" t="e">
        <f>B35+(VALUE(('CERTIFICADO '!#REF!/43)/1440))</f>
        <v>#REF!</v>
      </c>
      <c r="C36" s="103">
        <v>123.77</v>
      </c>
    </row>
    <row r="37" spans="2:3" x14ac:dyDescent="0.3">
      <c r="B37" s="118" t="e">
        <f>B36+(VALUE(('CERTIFICADO '!#REF!/43)/1440))</f>
        <v>#REF!</v>
      </c>
      <c r="C37" s="103">
        <v>123.63</v>
      </c>
    </row>
    <row r="38" spans="2:3" x14ac:dyDescent="0.3">
      <c r="B38" s="118" t="e">
        <f>B37+(VALUE(('CERTIFICADO '!#REF!/43)/1440))</f>
        <v>#REF!</v>
      </c>
      <c r="C38" s="103">
        <v>123.49</v>
      </c>
    </row>
    <row r="39" spans="2:3" x14ac:dyDescent="0.3">
      <c r="B39" s="118" t="e">
        <f>B38+(VALUE(('CERTIFICADO '!#REF!/43)/1440))</f>
        <v>#REF!</v>
      </c>
      <c r="C39" s="103">
        <v>123.22</v>
      </c>
    </row>
    <row r="40" spans="2:3" x14ac:dyDescent="0.3">
      <c r="B40" s="118" t="e">
        <f>B39+(VALUE(('CERTIFICADO '!#REF!/43)/1440))</f>
        <v>#REF!</v>
      </c>
      <c r="C40" s="103">
        <v>123.4</v>
      </c>
    </row>
    <row r="41" spans="2:3" x14ac:dyDescent="0.3">
      <c r="B41" s="118" t="e">
        <f>B40+(VALUE(('CERTIFICADO '!#REF!/43)/1440))</f>
        <v>#REF!</v>
      </c>
      <c r="C41" s="103">
        <v>123.68</v>
      </c>
    </row>
    <row r="42" spans="2:3" x14ac:dyDescent="0.3">
      <c r="B42" s="118" t="e">
        <f>B41+(VALUE(('CERTIFICADO '!#REF!/43)/1440))</f>
        <v>#REF!</v>
      </c>
      <c r="C42" s="103">
        <v>123.24</v>
      </c>
    </row>
    <row r="43" spans="2:3" x14ac:dyDescent="0.3">
      <c r="B43" s="118" t="e">
        <f>B42+(VALUE(('CERTIFICADO '!#REF!/43)/1440))</f>
        <v>#REF!</v>
      </c>
      <c r="C43" s="103">
        <v>119.43</v>
      </c>
    </row>
    <row r="44" spans="2:3" x14ac:dyDescent="0.3">
      <c r="B44" s="118" t="e">
        <f>B43+(VALUE(('CERTIFICADO '!#REF!/43)/1440))</f>
        <v>#REF!</v>
      </c>
      <c r="C44" s="103">
        <v>115.22</v>
      </c>
    </row>
    <row r="45" spans="2:3" x14ac:dyDescent="0.3">
      <c r="B45" s="118" t="e">
        <f>B44+(VALUE(('CERTIFICADO '!#REF!/43)/1440))</f>
        <v>#REF!</v>
      </c>
      <c r="C45" s="103">
        <v>111.7</v>
      </c>
    </row>
    <row r="46" spans="2:3" x14ac:dyDescent="0.3">
      <c r="B46" s="118" t="e">
        <f>B45+(VALUE(('CERTIFICADO '!#REF!/43)/1440))</f>
        <v>#REF!</v>
      </c>
      <c r="C46" s="103">
        <v>107.1</v>
      </c>
    </row>
    <row r="50" spans="2:3" x14ac:dyDescent="0.3">
      <c r="B50" s="214"/>
      <c r="C50" s="226" t="s">
        <v>158</v>
      </c>
    </row>
    <row r="51" spans="2:3" x14ac:dyDescent="0.3">
      <c r="B51" s="214"/>
      <c r="C51" s="226"/>
    </row>
    <row r="52" spans="2:3" x14ac:dyDescent="0.3">
      <c r="B52" s="101">
        <v>0.4777777777777778</v>
      </c>
      <c r="C52" s="105">
        <v>0</v>
      </c>
    </row>
    <row r="53" spans="2:3" x14ac:dyDescent="0.3">
      <c r="B53" s="101">
        <v>0.47847222222222224</v>
      </c>
      <c r="C53" s="105">
        <v>0.96</v>
      </c>
    </row>
    <row r="54" spans="2:3" x14ac:dyDescent="0.3">
      <c r="B54" s="101">
        <v>0.47916666666666669</v>
      </c>
      <c r="C54" s="105">
        <v>1.53</v>
      </c>
    </row>
    <row r="55" spans="2:3" x14ac:dyDescent="0.3">
      <c r="B55" s="101">
        <v>0.47986111111111113</v>
      </c>
      <c r="C55" s="103">
        <v>1.93</v>
      </c>
    </row>
    <row r="56" spans="2:3" x14ac:dyDescent="0.3">
      <c r="B56" s="102">
        <v>0.48055555555555557</v>
      </c>
      <c r="C56" s="103">
        <v>1.95</v>
      </c>
    </row>
    <row r="57" spans="2:3" x14ac:dyDescent="0.3">
      <c r="B57" s="102">
        <v>0.48125000000000001</v>
      </c>
      <c r="C57" s="103">
        <v>1.97</v>
      </c>
    </row>
    <row r="58" spans="2:3" x14ac:dyDescent="0.3">
      <c r="B58" s="102">
        <v>0.48194444444444445</v>
      </c>
      <c r="C58" s="103">
        <v>1.94</v>
      </c>
    </row>
    <row r="59" spans="2:3" x14ac:dyDescent="0.3">
      <c r="B59" s="102">
        <v>0.4826388888888889</v>
      </c>
      <c r="C59" s="103">
        <v>1.96</v>
      </c>
    </row>
    <row r="60" spans="2:3" x14ac:dyDescent="0.3">
      <c r="B60" s="102">
        <v>0.48333333333333334</v>
      </c>
      <c r="C60" s="103">
        <v>1.99</v>
      </c>
    </row>
    <row r="61" spans="2:3" x14ac:dyDescent="0.3">
      <c r="B61" s="102">
        <v>0.48402777777777778</v>
      </c>
      <c r="C61" s="103">
        <v>1.98</v>
      </c>
    </row>
    <row r="62" spans="2:3" x14ac:dyDescent="0.3">
      <c r="B62" s="102">
        <v>0.48472222222222222</v>
      </c>
      <c r="C62" s="103">
        <v>2.0099999999999998</v>
      </c>
    </row>
    <row r="63" spans="2:3" x14ac:dyDescent="0.3">
      <c r="B63" s="102">
        <v>0.48541666666666666</v>
      </c>
      <c r="C63" s="103">
        <v>1.93</v>
      </c>
    </row>
    <row r="64" spans="2:3" x14ac:dyDescent="0.3">
      <c r="B64" s="102">
        <v>0.4861111111111111</v>
      </c>
      <c r="C64" s="103">
        <v>2.02</v>
      </c>
    </row>
    <row r="65" spans="2:3" x14ac:dyDescent="0.3">
      <c r="B65" s="102">
        <v>0.48680555555555555</v>
      </c>
      <c r="C65" s="103">
        <v>1.94</v>
      </c>
    </row>
    <row r="66" spans="2:3" x14ac:dyDescent="0.3">
      <c r="B66" s="102">
        <v>0.48749999999999999</v>
      </c>
      <c r="C66" s="103">
        <v>2.0299999999999998</v>
      </c>
    </row>
    <row r="67" spans="2:3" x14ac:dyDescent="0.3">
      <c r="B67" s="102">
        <v>0.48819444444444443</v>
      </c>
      <c r="C67" s="103">
        <v>1.95</v>
      </c>
    </row>
    <row r="68" spans="2:3" x14ac:dyDescent="0.3">
      <c r="B68" s="102">
        <v>0.48888888888888887</v>
      </c>
      <c r="C68" s="103">
        <v>1.96</v>
      </c>
    </row>
    <row r="69" spans="2:3" x14ac:dyDescent="0.3">
      <c r="B69" s="102">
        <v>0.48958333333333331</v>
      </c>
      <c r="C69" s="103">
        <v>1.97</v>
      </c>
    </row>
    <row r="70" spans="2:3" x14ac:dyDescent="0.3">
      <c r="B70" s="102">
        <v>0.49027777777777776</v>
      </c>
      <c r="C70" s="103">
        <v>1.98</v>
      </c>
    </row>
    <row r="71" spans="2:3" x14ac:dyDescent="0.3">
      <c r="B71" s="102">
        <v>0.4909722222222222</v>
      </c>
      <c r="C71" s="103">
        <v>1.99</v>
      </c>
    </row>
    <row r="72" spans="2:3" x14ac:dyDescent="0.3">
      <c r="B72" s="102">
        <v>0.49166666666666664</v>
      </c>
      <c r="C72" s="103">
        <v>2</v>
      </c>
    </row>
    <row r="73" spans="2:3" x14ac:dyDescent="0.3">
      <c r="B73" s="102">
        <v>0.49236111111111114</v>
      </c>
      <c r="C73" s="103">
        <v>2.0099999999999998</v>
      </c>
    </row>
    <row r="74" spans="2:3" x14ac:dyDescent="0.3">
      <c r="B74" s="102">
        <v>0.49305555555555558</v>
      </c>
      <c r="C74" s="103">
        <v>2.0299999999999998</v>
      </c>
    </row>
    <row r="75" spans="2:3" x14ac:dyDescent="0.3">
      <c r="B75" s="102">
        <v>0.49375000000000002</v>
      </c>
      <c r="C75" s="103">
        <v>1.92</v>
      </c>
    </row>
    <row r="76" spans="2:3" x14ac:dyDescent="0.3">
      <c r="B76" s="102">
        <v>0.49444444444444446</v>
      </c>
      <c r="C76" s="103">
        <v>1.94</v>
      </c>
    </row>
    <row r="77" spans="2:3" x14ac:dyDescent="0.3">
      <c r="B77" s="102">
        <v>0.49513888888888891</v>
      </c>
      <c r="C77" s="103">
        <v>1.96</v>
      </c>
    </row>
    <row r="78" spans="2:3" x14ac:dyDescent="0.3">
      <c r="B78" s="102">
        <v>0.49583333333333335</v>
      </c>
      <c r="C78" s="103">
        <v>1.98</v>
      </c>
    </row>
    <row r="79" spans="2:3" x14ac:dyDescent="0.3">
      <c r="B79" s="102">
        <v>0.49652777777777779</v>
      </c>
      <c r="C79" s="103">
        <v>1.99</v>
      </c>
    </row>
    <row r="80" spans="2:3" x14ac:dyDescent="0.3">
      <c r="B80" s="102">
        <v>0.49722222222222223</v>
      </c>
      <c r="C80" s="103">
        <v>2</v>
      </c>
    </row>
    <row r="81" spans="2:3" x14ac:dyDescent="0.3">
      <c r="B81" s="102">
        <v>0.49791666666666667</v>
      </c>
      <c r="C81" s="103">
        <v>2.02</v>
      </c>
    </row>
    <row r="82" spans="2:3" x14ac:dyDescent="0.3">
      <c r="B82" s="102">
        <v>0.49861111111111112</v>
      </c>
      <c r="C82" s="103">
        <v>2.0299999999999998</v>
      </c>
    </row>
    <row r="83" spans="2:3" x14ac:dyDescent="0.3">
      <c r="B83" s="102">
        <v>0.49930555555555556</v>
      </c>
      <c r="C83" s="103">
        <v>1.93</v>
      </c>
    </row>
    <row r="84" spans="2:3" x14ac:dyDescent="0.3">
      <c r="B84" s="102">
        <v>0.5</v>
      </c>
      <c r="C84" s="103">
        <v>1.95</v>
      </c>
    </row>
    <row r="85" spans="2:3" x14ac:dyDescent="0.3">
      <c r="B85" s="102">
        <v>0.50069444444444444</v>
      </c>
      <c r="C85" s="103">
        <v>1.97</v>
      </c>
    </row>
    <row r="86" spans="2:3" x14ac:dyDescent="0.3">
      <c r="B86" s="102">
        <v>0.50138888888888888</v>
      </c>
      <c r="C86" s="103">
        <v>1.99</v>
      </c>
    </row>
    <row r="87" spans="2:3" x14ac:dyDescent="0.3">
      <c r="B87" s="102">
        <v>0.50208333333333333</v>
      </c>
      <c r="C87" s="103">
        <v>1.92</v>
      </c>
    </row>
    <row r="88" spans="2:3" x14ac:dyDescent="0.3">
      <c r="B88" s="102">
        <v>0.50277777777777777</v>
      </c>
      <c r="C88" s="103">
        <v>1.94</v>
      </c>
    </row>
    <row r="89" spans="2:3" x14ac:dyDescent="0.3">
      <c r="B89" s="102">
        <v>0.50347222222222221</v>
      </c>
      <c r="C89" s="103">
        <v>1.96</v>
      </c>
    </row>
    <row r="90" spans="2:3" x14ac:dyDescent="0.3">
      <c r="B90" s="102">
        <v>0.50416666666666665</v>
      </c>
      <c r="C90" s="103">
        <v>1.98</v>
      </c>
    </row>
    <row r="91" spans="2:3" x14ac:dyDescent="0.3">
      <c r="B91" s="102">
        <v>0.50486111111111109</v>
      </c>
      <c r="C91" s="103">
        <v>2.0099999999999998</v>
      </c>
    </row>
    <row r="92" spans="2:3" x14ac:dyDescent="0.3">
      <c r="B92" s="102">
        <v>0.50555555555555554</v>
      </c>
      <c r="C92" s="103">
        <v>1.97</v>
      </c>
    </row>
    <row r="93" spans="2:3" x14ac:dyDescent="0.3">
      <c r="B93" s="102">
        <v>0.50624999999999998</v>
      </c>
      <c r="C93" s="103">
        <v>0.56999999999999995</v>
      </c>
    </row>
    <row r="94" spans="2:3" x14ac:dyDescent="0.3">
      <c r="B94" s="102">
        <v>0.50694444444444442</v>
      </c>
      <c r="C94" s="103">
        <v>0.24</v>
      </c>
    </row>
    <row r="95" spans="2:3" x14ac:dyDescent="0.3">
      <c r="B95" s="102">
        <v>0.50763888888888886</v>
      </c>
      <c r="C95" s="103">
        <v>0</v>
      </c>
    </row>
  </sheetData>
  <mergeCells count="2">
    <mergeCell ref="B50:B51"/>
    <mergeCell ref="C50:C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CERTIFICADO </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2026-01-07T13:55:10Z</cp:lastPrinted>
  <dcterms:created xsi:type="dcterms:W3CDTF">2012-07-25T22:15:54Z</dcterms:created>
  <dcterms:modified xsi:type="dcterms:W3CDTF">2026-08-03T14:49:01Z</dcterms:modified>
</cp:coreProperties>
</file>