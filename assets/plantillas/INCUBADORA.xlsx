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C281799-F53C-4883-A813-A3E183859C4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20" l="1"/>
  <c r="D13" i="20" s="1"/>
  <c r="Q13" i="20" s="1"/>
  <c r="D22" i="20"/>
  <c r="Q22" i="20" s="1"/>
  <c r="F21" i="21"/>
  <c r="F22" i="21"/>
  <c r="F23" i="21"/>
  <c r="F24" i="21"/>
  <c r="F20" i="21"/>
  <c r="F13" i="21"/>
  <c r="F14" i="21"/>
  <c r="F15" i="21"/>
  <c r="F16" i="21"/>
  <c r="F12" i="21"/>
  <c r="F5" i="21"/>
  <c r="F6" i="21"/>
  <c r="F7" i="21"/>
  <c r="F8" i="21"/>
  <c r="F4" i="21"/>
  <c r="F13" i="20" l="1"/>
  <c r="D5" i="20"/>
  <c r="D6" i="20" s="1"/>
  <c r="D7" i="20" s="1"/>
  <c r="D8" i="20" s="1"/>
  <c r="D26" i="20"/>
  <c r="D25" i="20"/>
  <c r="D24" i="20"/>
  <c r="D23" i="20"/>
  <c r="Q4" i="20"/>
  <c r="N46" i="31"/>
  <c r="I46" i="31"/>
  <c r="K46" i="31"/>
  <c r="F46" i="31"/>
  <c r="M31" i="31"/>
  <c r="I18" i="31"/>
  <c r="I19" i="31"/>
  <c r="I20" i="31"/>
  <c r="I21" i="31"/>
  <c r="I17" i="31"/>
  <c r="I13" i="31"/>
  <c r="I12" i="31"/>
  <c r="I11" i="31"/>
  <c r="I10" i="31"/>
  <c r="I9" i="31"/>
  <c r="I8" i="31"/>
  <c r="I7" i="31"/>
  <c r="I6" i="31"/>
  <c r="I5" i="31"/>
  <c r="R1" i="31"/>
  <c r="B10" i="23"/>
  <c r="M32" i="31" s="1"/>
  <c r="B9" i="23"/>
  <c r="Q23" i="20" l="1"/>
  <c r="D103" i="31" s="1"/>
  <c r="Q5" i="20"/>
  <c r="D83" i="31" s="1"/>
  <c r="D14" i="20"/>
  <c r="G21" i="21"/>
  <c r="G22" i="21"/>
  <c r="G23" i="21"/>
  <c r="G24" i="21"/>
  <c r="D21" i="21"/>
  <c r="I21" i="21" s="1"/>
  <c r="D22" i="21"/>
  <c r="D23" i="21"/>
  <c r="I23" i="21" s="1"/>
  <c r="D24" i="21"/>
  <c r="I24" i="21" s="1"/>
  <c r="C21" i="21"/>
  <c r="C22" i="21"/>
  <c r="C23" i="21"/>
  <c r="C24" i="21"/>
  <c r="G20" i="21"/>
  <c r="D20" i="21"/>
  <c r="I20" i="21" s="1"/>
  <c r="C20" i="21"/>
  <c r="B21" i="21"/>
  <c r="B22" i="21"/>
  <c r="B23" i="21"/>
  <c r="B24" i="21"/>
  <c r="B20" i="21"/>
  <c r="I22" i="21"/>
  <c r="G16" i="21"/>
  <c r="I16" i="21"/>
  <c r="D16" i="21"/>
  <c r="C16" i="21"/>
  <c r="G15" i="21"/>
  <c r="I15" i="21"/>
  <c r="D15" i="21"/>
  <c r="C15" i="21"/>
  <c r="G14" i="21"/>
  <c r="D14" i="21"/>
  <c r="C14" i="21"/>
  <c r="G13" i="21"/>
  <c r="D13" i="21"/>
  <c r="C13" i="21"/>
  <c r="G12" i="21"/>
  <c r="D12" i="21"/>
  <c r="C12" i="21"/>
  <c r="B13" i="21"/>
  <c r="B14" i="21"/>
  <c r="B15" i="21"/>
  <c r="B16" i="21"/>
  <c r="B12" i="21"/>
  <c r="G7" i="21"/>
  <c r="G8" i="21"/>
  <c r="I7" i="21"/>
  <c r="I8" i="21"/>
  <c r="D8" i="21"/>
  <c r="D7" i="21"/>
  <c r="C7" i="21"/>
  <c r="C8" i="21"/>
  <c r="B5" i="21"/>
  <c r="B6" i="21"/>
  <c r="B7" i="21"/>
  <c r="B8" i="21"/>
  <c r="B4" i="21"/>
  <c r="G5" i="21"/>
  <c r="G6" i="21"/>
  <c r="G4" i="21"/>
  <c r="D5" i="21"/>
  <c r="D6" i="21"/>
  <c r="D4" i="21"/>
  <c r="C5" i="21"/>
  <c r="C6" i="21"/>
  <c r="C4" i="21"/>
  <c r="S26" i="20"/>
  <c r="F106" i="31" s="1"/>
  <c r="S25" i="20"/>
  <c r="F105" i="31" s="1"/>
  <c r="S24" i="20"/>
  <c r="F104" i="31" s="1"/>
  <c r="S23" i="20"/>
  <c r="F103" i="31" s="1"/>
  <c r="S22" i="20"/>
  <c r="F102" i="31" s="1"/>
  <c r="S13" i="20"/>
  <c r="F92" i="31" s="1"/>
  <c r="S5" i="20"/>
  <c r="F83" i="31" s="1"/>
  <c r="S6" i="20"/>
  <c r="F84" i="31" s="1"/>
  <c r="S7" i="20"/>
  <c r="F85" i="31" s="1"/>
  <c r="S8" i="20"/>
  <c r="F86" i="31" s="1"/>
  <c r="S4" i="20"/>
  <c r="F82" i="31" s="1"/>
  <c r="D102" i="31"/>
  <c r="D92" i="31"/>
  <c r="D82" i="31"/>
  <c r="Q14" i="20" l="1"/>
  <c r="D93" i="31" s="1"/>
  <c r="F14" i="20"/>
  <c r="S14" i="20" s="1"/>
  <c r="F93" i="31" s="1"/>
  <c r="Q24" i="20"/>
  <c r="D104" i="31" s="1"/>
  <c r="D15" i="20"/>
  <c r="Q6" i="20"/>
  <c r="D84" i="31" s="1"/>
  <c r="J8" i="21"/>
  <c r="K8" i="21" s="1"/>
  <c r="M86" i="31" s="1"/>
  <c r="J7" i="21"/>
  <c r="K7" i="21" s="1"/>
  <c r="M85" i="31" s="1"/>
  <c r="J15" i="21"/>
  <c r="K15" i="21" s="1"/>
  <c r="M95" i="31" s="1"/>
  <c r="J16" i="21"/>
  <c r="K16" i="21" s="1"/>
  <c r="M96" i="31" s="1"/>
  <c r="J21" i="21"/>
  <c r="K21" i="21" s="1"/>
  <c r="J23" i="21"/>
  <c r="K23" i="21" s="1"/>
  <c r="J22" i="21"/>
  <c r="K22" i="21" s="1"/>
  <c r="J24" i="21"/>
  <c r="K24" i="21" s="1"/>
  <c r="J20" i="21"/>
  <c r="K20" i="21" s="1"/>
  <c r="Q15" i="20" l="1"/>
  <c r="D94" i="31" s="1"/>
  <c r="F15" i="20"/>
  <c r="S15" i="20" s="1"/>
  <c r="F94" i="31" s="1"/>
  <c r="Q26" i="20"/>
  <c r="D106" i="31" s="1"/>
  <c r="Q25" i="20"/>
  <c r="D105" i="31" s="1"/>
  <c r="Q7" i="20"/>
  <c r="D85" i="31" s="1"/>
  <c r="D16" i="20"/>
  <c r="L24" i="21"/>
  <c r="J106" i="31" s="1"/>
  <c r="M106" i="31"/>
  <c r="L8" i="21"/>
  <c r="L20" i="21"/>
  <c r="J102" i="31" s="1"/>
  <c r="M102" i="31"/>
  <c r="L22" i="21"/>
  <c r="J104" i="31" s="1"/>
  <c r="M104" i="31"/>
  <c r="L16" i="21"/>
  <c r="L23" i="21"/>
  <c r="J105" i="31" s="1"/>
  <c r="M105" i="31"/>
  <c r="L7" i="21"/>
  <c r="L21" i="21"/>
  <c r="J103" i="31" s="1"/>
  <c r="M103" i="31"/>
  <c r="L15" i="21"/>
  <c r="U24" i="20"/>
  <c r="H104" i="31" s="1"/>
  <c r="U23" i="20"/>
  <c r="H103" i="31" s="1"/>
  <c r="U22" i="20"/>
  <c r="H102" i="31" s="1"/>
  <c r="U14" i="20"/>
  <c r="H93" i="31" s="1"/>
  <c r="U13" i="20"/>
  <c r="H92" i="31" s="1"/>
  <c r="U6" i="20"/>
  <c r="H84" i="31" s="1"/>
  <c r="U5" i="20"/>
  <c r="H83" i="31" s="1"/>
  <c r="U4" i="20"/>
  <c r="H82" i="31" s="1"/>
  <c r="Q16" i="20" l="1"/>
  <c r="D95" i="31" s="1"/>
  <c r="F16" i="20"/>
  <c r="S16" i="20" s="1"/>
  <c r="F95" i="31" s="1"/>
  <c r="U15" i="20"/>
  <c r="H94" i="31" s="1"/>
  <c r="U25" i="20"/>
  <c r="H105" i="31" s="1"/>
  <c r="U26" i="20"/>
  <c r="H106" i="31" s="1"/>
  <c r="U7" i="20"/>
  <c r="H85" i="31" s="1"/>
  <c r="Q8" i="20"/>
  <c r="D17" i="20"/>
  <c r="I13" i="21"/>
  <c r="I14" i="21"/>
  <c r="R5" i="25"/>
  <c r="R6" i="25"/>
  <c r="R4" i="25"/>
  <c r="O6" i="25"/>
  <c r="O5" i="25"/>
  <c r="T4" i="25"/>
  <c r="O4" i="25"/>
  <c r="H5" i="25"/>
  <c r="H6" i="25"/>
  <c r="H4" i="25"/>
  <c r="B71" i="31"/>
  <c r="U16" i="20" l="1"/>
  <c r="H95" i="31" s="1"/>
  <c r="Q17" i="20"/>
  <c r="D96" i="31" s="1"/>
  <c r="F17" i="20"/>
  <c r="S17" i="20" s="1"/>
  <c r="F96" i="31" s="1"/>
  <c r="D86" i="31"/>
  <c r="U8" i="20"/>
  <c r="H86" i="31" s="1"/>
  <c r="J13" i="21"/>
  <c r="K13" i="21" s="1"/>
  <c r="J14" i="21"/>
  <c r="K14" i="21" s="1"/>
  <c r="S6" i="25"/>
  <c r="S4" i="25"/>
  <c r="S5" i="25"/>
  <c r="U4" i="25" s="1"/>
  <c r="U17" i="20" l="1"/>
  <c r="H96" i="31" s="1"/>
  <c r="L14" i="21"/>
  <c r="M94" i="31"/>
  <c r="L13" i="21"/>
  <c r="M93" i="31"/>
  <c r="I12" i="21"/>
  <c r="J12" i="21" s="1"/>
  <c r="K12" i="21" s="1"/>
  <c r="M92" i="31" s="1"/>
  <c r="L12" i="21" l="1"/>
  <c r="J4" i="25" l="1"/>
  <c r="O74" i="31" l="1"/>
  <c r="O110" i="31" s="1"/>
  <c r="R74" i="31"/>
  <c r="R110" i="31" s="1"/>
  <c r="O38" i="31"/>
  <c r="R38" i="31"/>
  <c r="C444" i="29"/>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I4" i="25"/>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E6" i="25"/>
  <c r="I6" i="25" s="1"/>
  <c r="E5" i="25"/>
  <c r="I5" i="25" s="1"/>
  <c r="F166" i="29" l="1"/>
  <c r="D406" i="29"/>
  <c r="D407" i="29" s="1"/>
  <c r="F286" i="29"/>
  <c r="F406" i="29"/>
  <c r="K4" i="25"/>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I5" i="21"/>
  <c r="J5" i="21" s="1"/>
  <c r="K5" i="21" s="1"/>
  <c r="M83" i="31" s="1"/>
  <c r="I6" i="21"/>
  <c r="J6" i="21" s="1"/>
  <c r="K6" i="21" s="1"/>
  <c r="M84" i="31" s="1"/>
  <c r="I4" i="21"/>
  <c r="J4" i="21" s="1"/>
  <c r="K4" i="21" s="1"/>
  <c r="M82" i="31" s="1"/>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L4" i="21"/>
  <c r="L5" i="21"/>
  <c r="L6" i="2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E297" i="29"/>
  <c r="C294" i="29"/>
  <c r="E294" i="29"/>
  <c r="F297" i="29" s="1"/>
  <c r="C375" i="29"/>
  <c r="C376" i="29" s="1"/>
  <c r="K374" i="29" s="1"/>
  <c r="A380" i="29" s="1"/>
  <c r="D374" i="29"/>
  <c r="E334" i="29"/>
  <c r="F337" i="29" s="1"/>
  <c r="J334" i="29"/>
  <c r="E337" i="29"/>
  <c r="C340" i="29"/>
  <c r="D340" i="29" s="1"/>
  <c r="E340" i="29" s="1"/>
  <c r="C334" i="29"/>
  <c r="J335" i="29"/>
  <c r="J295" i="29" l="1"/>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K438" i="29" s="1"/>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358" i="29" l="1"/>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<sst xmlns="http://schemas.openxmlformats.org/spreadsheetml/2006/main" count="1116" uniqueCount="194">
  <si>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</si>
  <si>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</si>
  <si>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</si>
  <si>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</si>
  <si>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</si>
  <si>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</si>
  <si>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</si>
  <si>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</si>
  <si>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</si>
  <si>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</si>
  <si>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</si>
  <si>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</si>
  <si>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</si>
  <si>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</si>
  <si>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</si>
  <si>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</si>
  <si>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</si>
  <si>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</si>
  <si>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</si>
  <si>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</si>
  <si>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</si>
  <si>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</si>
  <si>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</si>
  <si>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</si>
  <si>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</si>
  <si>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</si>
  <si>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</si>
  <si>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</si>
  <si>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</si>
  <si>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</si>
  <si>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</si>
  <si>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</si>
  <si>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</si>
  <si>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</si>
  <si>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</si>
  <si>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</si>
  <si>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</si>
  <si>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</si>
  <si>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</si>
  <si>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</si>
  <si>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</si>
  <si>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</si>
  <si>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</si>
  <si>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</si>
  <si>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</si>
  <si>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</si>
  <si>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</si>
  <si>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</si>
  <si>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</si>
  <si>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</si>
  <si>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</si>
  <si>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</si>
  <si>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</si>
  <si>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</si>
  <si>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</si>
  <si>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</si>
  <si>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</si>
  <si>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</si>
  <si>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</si>
  <si>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</si>
  <si>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</si>
  <si>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</si>
  <si>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</si>
  <si>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</si>
  <si>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</si>
  <si>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</si>
  <si>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</si>
  <si>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</si>
  <si>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</si>
  <si>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</si>
  <si>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</si>
  <si>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</si>
  <si>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</si>
  <si>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</si>
  <si>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</si>
  <si>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</si>
  <si>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</si>
  <si>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</si>
  <si>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</si>
  <si>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</si>
  <si>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</si>
  <si>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</si>
  <si>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</si>
  <si>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</si>
  <si>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</si>
  <si>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</si>
  <si>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</si>
  <si>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</si>
  <si>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</si>
  <si>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</si>
  <si>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</si>
  <si>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</si>
  <si>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</si>
  <si>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</si>
  <si>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</si>
  <si>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</si>
  <si>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</si>
  <si>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</si>
  <si>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</si>
  <si>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</si>
  <si>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</si>
  <si>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</si>
  <si>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</si>
  <si>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</si>
  <si>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</si>
  <si>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</si>
  <si>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</si>
  <si>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</si>
  <si>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</si>
  <si>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</si>
  <si>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</si>
  <si>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</si>
  <si>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</si>
  <si>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</si>
  <si>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</si>
  <si>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</si>
  <si>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</si>
  <si>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</si>
  <si>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</si>
  <si>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</si>
  <si>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</si>
  <si>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</si>
  <si>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</si>
  <si>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</si>
  <si>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</si>
  <si>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</si>
  <si>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</si>
  <si>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</si>
  <si>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</si>
  <si>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</si>
  <si>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</si>
  <si>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</si>
  <si>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Calibración de temperatura sensor de piel</t>
  </si>
  <si>
    <t>Intervalo de medición (°C):</t>
  </si>
  <si>
    <t>Resolución (°C):</t>
  </si>
  <si>
    <t>°C= Grados Celsius</t>
  </si>
  <si>
    <t>Incertidumbre Expandida ±</t>
  </si>
  <si>
    <t>T1</t>
  </si>
  <si>
    <t>T2</t>
  </si>
  <si>
    <t>T5</t>
  </si>
  <si>
    <t>T3</t>
  </si>
  <si>
    <t>T4</t>
  </si>
  <si>
    <t>Error             (°C)</t>
  </si>
  <si>
    <t>Patrón          (°C)</t>
  </si>
  <si>
    <t>Temperatura (°C)</t>
  </si>
  <si>
    <t>Calibración de humedad</t>
  </si>
  <si>
    <t>Intervalo de medición (%hr):</t>
  </si>
  <si>
    <t>Resolución (%hr):</t>
  </si>
  <si>
    <t>Patrón          (%hr)</t>
  </si>
  <si>
    <t>Error             (%hr)</t>
  </si>
  <si>
    <t>Humedad (%hr)</t>
  </si>
  <si>
    <t>H1</t>
  </si>
  <si>
    <t>H2</t>
  </si>
  <si>
    <t>H3</t>
  </si>
  <si>
    <t>H4</t>
  </si>
  <si>
    <t>H5</t>
  </si>
  <si>
    <t>Kelvin= °C+ 273,15</t>
  </si>
  <si>
    <t>EBP                   (°C)</t>
  </si>
  <si>
    <t>* EBP= Equipo bajo prueba</t>
  </si>
  <si>
    <t>EBP                   (%hr)</t>
  </si>
  <si>
    <t>%hr= Porcentaje de humedad relativa</t>
  </si>
  <si>
    <t>CALIBRACIÓN DE TEMPERATURA AMBIENTE</t>
  </si>
  <si>
    <t>CORRECCIÓN CALIBRACIÓN DE TEMPERATURA AMBIENTE</t>
  </si>
  <si>
    <t>CALIBRACIÓN DE HUMEDAD</t>
  </si>
  <si>
    <t>CORRECCIÓN CALIBRACIÓN DE HUMEDAD</t>
  </si>
  <si>
    <t>CALIBRACIÓN SENSOR DE PIEL</t>
  </si>
  <si>
    <t>CORRECCIÓN CALIBRACIÓN SENSOR DE PIEL</t>
  </si>
  <si>
    <t>FUENTES DE INCERTIDUMBRE TEMPERATURA AMBIENTE</t>
  </si>
  <si>
    <t>FUENTES DE INCERTIDUMBRE TEMPERATURA SENSOR DE PIEL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</si>
  <si>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</si>
  <si>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</si>
  <si>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</si>
  <si>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</si>
  <si>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</si>
  <si>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</si>
  <si>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</si>
  <si>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</si>
  <si>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</si>
  <si>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</si>
  <si>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</si>
  <si>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</si>
  <si>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</si>
  <si>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</si>
  <si>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Datalogger de Temperatura 4 Sondas</t>
  </si>
  <si>
    <t>319239_A     319239_B    319240_A     319240_B  319241_A     319241_B  319241_A     319242_B</t>
  </si>
  <si>
    <t>H12F-J164747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</si>
  <si>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</si>
  <si>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</si>
  <si>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</si>
  <si>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</si>
  <si>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</si>
  <si>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incubadoras BTM-P-007.</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</si>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</sst>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9.9978637043366805E-2"/>
        <bgColor indexed="64"/>
      </patternFill>
    </fill>
    <fill>
      <patternFill patternType="solid">
        <fgColor theme="2" tint="-0.249977111117893"/>
        <bgColor indexed="64"/>
      </patternFill>
    </fill>
  </fills>
  <borders count="3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92D050"/>
      </left>
      <right style="thin">
        <color rgb="FF92D050"/>
      </right>
      <top style="thin">
        <color rgb="FF92D05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1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11" fillId="0" borderId="30" xfId="0" applyFont="1" applyBorder="1" applyAlignment="1">
      <alignment vertical="top"/>
    </xf>
    <xf numFmtId="0" fontId="11" fillId="0" borderId="10" xfId="0" applyFont="1" applyBorder="1" applyAlignment="1">
      <alignment vertical="top"/>
    </xf>
    <xf numFmtId="0" fontId="11" fillId="0" borderId="0" xfId="0" applyFont="1" applyAlignment="1">
      <alignment vertical="top"/>
    </xf>
    <xf numFmtId="0" fontId="11" fillId="0" borderId="8" xfId="0" applyFont="1" applyBorder="1" applyAlignment="1">
      <alignment vertical="top"/>
    </xf>
    <xf numFmtId="0" fontId="11" fillId="0" borderId="15" xfId="0" applyFont="1" applyBorder="1" applyAlignment="1">
      <alignment vertical="top"/>
    </xf>
    <xf numFmtId="0" fontId="11" fillId="0" borderId="0" xfId="0" applyFont="1" applyAlignment="1">
      <alignment horizontal="center" vertical="center"/>
    </xf>
    <xf numFmtId="0" fontId="11" fillId="0" borderId="14" xfId="0" applyFont="1" applyBorder="1" applyAlignment="1">
      <alignment horizontal="right" vertical="center"/>
    </xf>
    <xf numFmtId="0" fontId="11" fillId="0" borderId="32" xfId="0" applyFont="1" applyBorder="1" applyAlignment="1">
      <alignment vertical="center"/>
    </xf>
    <xf numFmtId="0" fontId="11" fillId="0" borderId="29" xfId="0" applyFont="1" applyBorder="1" applyAlignment="1">
      <alignment vertical="center"/>
    </xf>
    <xf numFmtId="0" fontId="11" fillId="0" borderId="31" xfId="0" applyFont="1" applyBorder="1" applyAlignment="1">
      <alignment horizontal="right" vertical="center"/>
    </xf>
    <xf numFmtId="0" fontId="25" fillId="0" borderId="0" xfId="0" applyFont="1"/>
    <xf numFmtId="0" fontId="11" fillId="0" borderId="0" xfId="0" applyFont="1" applyAlignment="1">
      <alignment horizontal="center"/>
    </xf>
    <xf numFmtId="164" fontId="11" fillId="0" borderId="0" xfId="0" applyNumberFormat="1"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33" xfId="0" applyFont="1" applyFill="1" applyBorder="1" applyAlignment="1">
      <alignment horizontal="center" vertical="center" wrapText="1"/>
    </xf>
    <xf numFmtId="0" fontId="27" fillId="2" borderId="33" xfId="0" applyFont="1" applyFill="1" applyBorder="1" applyAlignment="1">
      <alignment horizontal="center" vertical="center" wrapText="1"/>
    </xf>
    <xf numFmtId="49" fontId="27" fillId="2" borderId="33" xfId="0" applyNumberFormat="1" applyFont="1" applyFill="1" applyBorder="1" applyAlignment="1">
      <alignment horizontal="center" vertical="center" wrapText="1"/>
    </xf>
    <xf numFmtId="1" fontId="27" fillId="2" borderId="33"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0" borderId="0" xfId="0" applyFont="1" applyAlignment="1">
      <alignment horizontal="center"/>
    </xf>
    <xf numFmtId="0" fontId="11" fillId="0" borderId="5" xfId="0" applyFont="1" applyBorder="1" applyAlignment="1">
      <alignment horizontal="center"/>
    </xf>
    <xf numFmtId="164" fontId="11" fillId="0" borderId="5" xfId="0" applyNumberFormat="1" applyFont="1" applyBorder="1" applyAlignment="1">
      <alignment horizontal="center"/>
    </xf>
    <xf numFmtId="2" fontId="11" fillId="0" borderId="5" xfId="0" applyNumberFormat="1" applyFont="1" applyBorder="1" applyAlignment="1">
      <alignment horizontal="center"/>
    </xf>
    <xf numFmtId="0" fontId="15" fillId="0" borderId="0" xfId="0" applyFont="1" applyAlignment="1">
      <alignment horizontal="right"/>
    </xf>
    <xf numFmtId="0" fontId="11" fillId="0" borderId="0" xfId="0" applyFont="1" applyAlignment="1">
      <alignment horizontal="left"/>
    </xf>
    <xf numFmtId="0" fontId="15" fillId="0" borderId="0" xfId="0" applyFont="1" applyAlignment="1">
      <alignment horizontal="center"/>
    </xf>
    <xf numFmtId="0" fontId="15" fillId="0" borderId="5" xfId="0" applyFont="1" applyBorder="1" applyAlignment="1">
      <alignment horizontal="center" vertic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1" fillId="0" borderId="34" xfId="0" applyFont="1" applyBorder="1" applyAlignment="1">
      <alignment horizontal="center" vertical="center"/>
    </xf>
    <xf numFmtId="0" fontId="16" fillId="0" borderId="19" xfId="0" applyFont="1" applyBorder="1" applyAlignment="1">
      <alignment horizontal="center" vertical="center"/>
    </xf>
    <xf numFmtId="165" fontId="11" fillId="0" borderId="34"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34" xfId="0" applyFont="1" applyBorder="1" applyAlignment="1">
      <alignment horizont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25" fillId="0" borderId="19"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1" xfId="0" applyFont="1" applyFill="1" applyBorder="1" applyAlignment="1">
      <alignment horizontal="center"/>
    </xf>
    <xf numFmtId="0" fontId="11" fillId="12" borderId="3" xfId="0" applyFont="1" applyFill="1" applyBorder="1" applyAlignment="1">
      <alignment horizontal="center"/>
    </xf>
    <xf numFmtId="164" fontId="11" fillId="12" borderId="1" xfId="0" applyNumberFormat="1" applyFont="1" applyFill="1" applyBorder="1" applyAlignment="1">
      <alignment horizontal="center"/>
    </xf>
    <xf numFmtId="164" fontId="11" fillId="12" borderId="3" xfId="0" applyNumberFormat="1" applyFont="1" applyFill="1" applyBorder="1" applyAlignment="1">
      <alignment horizontal="center"/>
    </xf>
    <xf numFmtId="0" fontId="11" fillId="12" borderId="5" xfId="0" applyFont="1" applyFill="1" applyBorder="1" applyAlignment="1">
      <alignment horizontal="center"/>
    </xf>
    <xf numFmtId="0" fontId="15" fillId="12" borderId="5" xfId="0" applyFont="1" applyFill="1" applyBorder="1" applyAlignment="1">
      <alignment horizontal="center" vertical="center" wrapText="1"/>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1" fillId="15" borderId="5" xfId="0" applyFont="1" applyFill="1" applyBorder="1" applyAlignment="1">
      <alignment horizontal="center"/>
    </xf>
    <xf numFmtId="164" fontId="11" fillId="14" borderId="5" xfId="0" applyNumberFormat="1" applyFont="1" applyFill="1" applyBorder="1" applyAlignment="1">
      <alignment horizontal="center"/>
    </xf>
    <xf numFmtId="0" fontId="6"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259080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B278F5-E365-4DA6-A5A1-50B79230E995}">
  <we:reference id="wa200010725" version="1.0.0.1" store="es-ES" storeType="OMEX"/>
  <we:alternateReferences>
    <we:reference id="WA200010725" version="1.0.0.1" store="" storeType="OMEX"/>
  </we:alternateReferences>
  <we:properties>
    <we:property name="claude.fileId" value="&quot;b59f27fd-c260-4001-9cd8-c4f4c74c6ec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17" sqref="C17"/>
    </sheetView>
  </sheetViews>
  <sheetFormatPr baseColWidth="10" defaultColWidth="3.6640625" defaultRowHeight="12.75" customHeight="1" x14ac:dyDescent="0.3"/>
  <cols>
    <col min="1" max="1" width="25" style="1" customWidth="1"/>
    <col min="2" max="2" width="34.88671875" style="1" customWidth="1"/>
    <col min="3" max="3" width="11.5546875" style="1" customWidth="1"/>
    <col min="4" max="4" width="21.44140625" style="1" bestFit="1" customWidth="1"/>
    <col min="5" max="5" width="38.8867187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80" t="s">
        <v>104</v>
      </c>
      <c r="B1" s="181"/>
      <c r="C1" s="181"/>
      <c r="D1" s="181"/>
      <c r="E1" s="181"/>
      <c r="F1" s="181"/>
      <c r="G1" s="181"/>
      <c r="H1" s="182"/>
      <c r="I1"/>
      <c r="J1"/>
      <c r="K1"/>
      <c r="L1"/>
      <c r="M1"/>
      <c r="N1"/>
      <c r="O1" t="s">
        <v>116</v>
      </c>
      <c r="P1"/>
      <c r="Q1"/>
      <c r="R1"/>
      <c r="S1"/>
      <c r="T1"/>
      <c r="U1"/>
      <c r="V1"/>
      <c r="W1"/>
      <c r="X1"/>
      <c r="Y1"/>
      <c r="Z1"/>
      <c r="AA1"/>
      <c r="AB1"/>
      <c r="AC1"/>
      <c r="AD1"/>
      <c r="AE1"/>
    </row>
    <row r="2" spans="1:31" ht="14.4" x14ac:dyDescent="0.3">
      <c r="A2" s="118" t="s">
        <v>169</v>
      </c>
      <c r="B2" s="118" t="s">
        <v>170</v>
      </c>
      <c r="C2" s="118" t="s">
        <v>171</v>
      </c>
      <c r="D2" s="118" t="s">
        <v>172</v>
      </c>
      <c r="E2" s="118" t="s">
        <v>173</v>
      </c>
      <c r="F2" s="118" t="s">
        <v>174</v>
      </c>
      <c r="G2" s="118" t="s">
        <v>175</v>
      </c>
      <c r="H2" s="118" t="s">
        <v>176</v>
      </c>
      <c r="I2"/>
      <c r="J2"/>
      <c r="K2"/>
      <c r="L2"/>
      <c r="M2"/>
      <c r="N2"/>
      <c r="O2" t="s">
        <v>117</v>
      </c>
      <c r="P2"/>
      <c r="Q2"/>
      <c r="R2"/>
      <c r="S2"/>
      <c r="T2"/>
      <c r="U2"/>
      <c r="V2"/>
      <c r="W2"/>
      <c r="X2"/>
      <c r="Y2"/>
      <c r="Z2"/>
      <c r="AA2"/>
      <c r="AB2"/>
      <c r="AC2"/>
      <c r="AD2"/>
      <c r="AE2"/>
    </row>
    <row r="3" spans="1:31" ht="12.75" customHeight="1" x14ac:dyDescent="0.3">
      <c r="A3" s="119"/>
      <c r="B3" s="119"/>
      <c r="C3" s="120"/>
      <c r="D3" s="121"/>
      <c r="E3" s="122"/>
      <c r="F3" s="123"/>
      <c r="G3" s="124"/>
      <c r="H3" s="125"/>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83" t="s">
        <v>105</v>
      </c>
      <c r="B6" s="183"/>
      <c r="C6"/>
      <c r="D6" s="117" t="s">
        <v>103</v>
      </c>
      <c r="E6" s="117"/>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0" t="s">
        <v>177</v>
      </c>
      <c r="H7"/>
      <c r="I7"/>
      <c r="J7"/>
      <c r="K7"/>
      <c r="L7"/>
      <c r="M7"/>
      <c r="N7"/>
      <c r="O7"/>
      <c r="P7"/>
      <c r="Q7"/>
      <c r="R7"/>
      <c r="S7"/>
      <c r="T7"/>
      <c r="U7"/>
      <c r="V7"/>
      <c r="W7"/>
      <c r="X7"/>
      <c r="Y7"/>
      <c r="Z7"/>
      <c r="AA7"/>
      <c r="AB7"/>
      <c r="AC7"/>
      <c r="AD7"/>
      <c r="AE7"/>
    </row>
    <row r="8" spans="1:31" ht="12.75" customHeight="1" x14ac:dyDescent="0.3">
      <c r="A8" s="20" t="s">
        <v>178</v>
      </c>
      <c r="B8" s="89" t="s">
        <v>69</v>
      </c>
      <c r="C8"/>
      <c r="D8" s="20" t="s">
        <v>8</v>
      </c>
      <c r="E8" s="89" t="s">
        <v>179</v>
      </c>
      <c r="H8"/>
      <c r="I8"/>
      <c r="J8"/>
      <c r="K8"/>
      <c r="L8"/>
      <c r="M8"/>
      <c r="N8"/>
      <c r="O8"/>
      <c r="P8"/>
      <c r="Q8"/>
      <c r="R8"/>
      <c r="S8"/>
      <c r="T8"/>
      <c r="U8"/>
      <c r="V8"/>
      <c r="W8"/>
      <c r="X8"/>
      <c r="Y8"/>
      <c r="Z8"/>
      <c r="AA8"/>
      <c r="AB8"/>
      <c r="AC8"/>
      <c r="AD8"/>
      <c r="AE8"/>
    </row>
    <row r="9" spans="1:31" ht="12.75" customHeight="1" x14ac:dyDescent="0.3">
      <c r="A9" s="20" t="s">
        <v>109</v>
      </c>
      <c r="B9" s="92">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2">
        <f>H3</f>
        <v>0</v>
      </c>
      <c r="C10"/>
      <c r="D10" s="20" t="s">
        <v>5</v>
      </c>
      <c r="E10" s="91" t="s">
        <v>180</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1" t="s">
        <v>181</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182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7" t="s">
        <v>58</v>
      </c>
      <c r="B1" s="188"/>
      <c r="C1" s="188"/>
      <c r="D1" s="188"/>
      <c r="E1" s="188"/>
      <c r="F1" s="188"/>
      <c r="G1" s="188"/>
      <c r="H1" s="188"/>
      <c r="I1" s="188"/>
      <c r="J1" s="188"/>
      <c r="K1" s="189"/>
    </row>
    <row r="2" spans="1:11" ht="15" thickBot="1" x14ac:dyDescent="0.35">
      <c r="A2" s="31" t="s">
        <v>31</v>
      </c>
      <c r="B2" s="18" t="s">
        <v>30</v>
      </c>
      <c r="C2" t="str">
        <f>FIXED(A3,6)</f>
        <v>0,558728</v>
      </c>
      <c r="D2" t="str">
        <f>RIGHT(C2,1)</f>
        <v>8</v>
      </c>
      <c r="E2">
        <f>D2/1000000</f>
        <v>7.9999999999999996E-6</v>
      </c>
      <c r="F2" s="30">
        <f>A3-E2</f>
        <v>0.55871984416073539</v>
      </c>
      <c r="H2" t="str">
        <f>IF(C7=5,IF(AND(D3=0,D8=FALSE),J5,J6),J6)</f>
        <v>0,5587</v>
      </c>
      <c r="K2" s="27"/>
    </row>
    <row r="3" spans="1:11" ht="18.600000000000001" thickBot="1" x14ac:dyDescent="0.4">
      <c r="A3" s="29">
        <f>INCERTIDUMBRE!L5</f>
        <v>0.5587278441607354</v>
      </c>
      <c r="B3" s="28" t="str">
        <f>IF(A3&gt;=10,K37,IF(A3&gt;=1,K29,IF(A3&gt;=0.1,K21,IF(A3&gt;=0.01,K13,IF(A3&gt;=0.001,K5)))))</f>
        <v>0,56</v>
      </c>
      <c r="C3" t="s">
        <v>29</v>
      </c>
      <c r="D3">
        <f>D2+0</f>
        <v>8</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35</v>
      </c>
      <c r="D5" t="str">
        <f>LEFT(C5,1)</f>
        <v>3</v>
      </c>
      <c r="E5" s="30">
        <f>TRUNC(A3)</f>
        <v>0</v>
      </c>
      <c r="F5" s="14" t="str">
        <f>FIXED(A3-E5,G5)</f>
        <v>0,558727844160735</v>
      </c>
      <c r="G5">
        <f>ABS(E8-F8)</f>
        <v>15</v>
      </c>
      <c r="H5" t="str">
        <f>RIGHT(A3,G5)</f>
        <v>558727844160735</v>
      </c>
      <c r="I5">
        <v>5.0000000000000002E-5</v>
      </c>
      <c r="J5" s="14">
        <f>(A3-I5)</f>
        <v>0.5586778441607354</v>
      </c>
      <c r="K5" s="45" t="str">
        <f>IF(C7=5,IF(AND(D3=0,D8=FALSE),J5,J6),J6)</f>
        <v>0,5587</v>
      </c>
    </row>
    <row r="6" spans="1:11" hidden="1" x14ac:dyDescent="0.3">
      <c r="A6" s="31"/>
      <c r="C6" t="str">
        <f>RIGHT(C5,1)</f>
        <v>5</v>
      </c>
      <c r="D6">
        <f>D5+0</f>
        <v>3</v>
      </c>
      <c r="J6" t="str">
        <f>FIXED(A3,4)</f>
        <v>0,5587</v>
      </c>
      <c r="K6" s="27"/>
    </row>
    <row r="7" spans="1:11" hidden="1" x14ac:dyDescent="0.3">
      <c r="A7" s="31"/>
      <c r="C7">
        <f>C6+0</f>
        <v>5</v>
      </c>
      <c r="D7" t="s">
        <v>35</v>
      </c>
      <c r="E7" t="s">
        <v>34</v>
      </c>
      <c r="F7" t="s">
        <v>33</v>
      </c>
      <c r="K7" s="27"/>
    </row>
    <row r="8" spans="1:11" hidden="1" x14ac:dyDescent="0.3">
      <c r="A8" s="31"/>
      <c r="D8" t="b">
        <f>ISODD(D5)</f>
        <v>1</v>
      </c>
      <c r="E8">
        <f>LEN(A3)</f>
        <v>17</v>
      </c>
      <c r="F8">
        <f>LEN(E5)+1</f>
        <v>2</v>
      </c>
      <c r="K8" s="27"/>
    </row>
    <row r="9" spans="1:11" hidden="1" x14ac:dyDescent="0.3">
      <c r="A9" s="31"/>
      <c r="K9" s="27"/>
    </row>
    <row r="10" spans="1:11" hidden="1" x14ac:dyDescent="0.3">
      <c r="A10" s="184" t="s">
        <v>48</v>
      </c>
      <c r="B10" s="185"/>
      <c r="C10" s="185"/>
      <c r="D10" s="185"/>
      <c r="E10" s="185"/>
      <c r="F10" s="185"/>
      <c r="G10" s="185"/>
      <c r="H10" s="185"/>
      <c r="I10" s="185"/>
      <c r="J10" s="185"/>
      <c r="K10" s="186"/>
    </row>
    <row r="11" spans="1:11" hidden="1" x14ac:dyDescent="0.3">
      <c r="A11" s="42" t="str">
        <f>K5</f>
        <v>0,5587</v>
      </c>
      <c r="C11" t="str">
        <f>FIXED(A3,5)</f>
        <v>0,55873</v>
      </c>
      <c r="D11" t="str">
        <f>RIGHT(C11,1)</f>
        <v>3</v>
      </c>
      <c r="E11">
        <f>D11+0</f>
        <v>3</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87</v>
      </c>
      <c r="D13" t="str">
        <f>LEFT(C13,1)</f>
        <v>8</v>
      </c>
      <c r="E13" s="36">
        <f>TRUNC(A11)</f>
        <v>0</v>
      </c>
      <c r="F13" s="14" t="str">
        <f>FIXED(A11-E13,G13)</f>
        <v>0,5587</v>
      </c>
      <c r="G13">
        <f>ABS(E16-F16)</f>
        <v>4</v>
      </c>
      <c r="H13" t="str">
        <f>RIGHT(A11,G13)</f>
        <v>5587</v>
      </c>
      <c r="I13">
        <v>5.0000000000000001E-4</v>
      </c>
      <c r="J13" s="44">
        <f>(A11-I13)</f>
        <v>0.55820000000000003</v>
      </c>
      <c r="K13" s="43" t="str">
        <f>IF(C15=5,IF(AND(E11=0,D16=FALSE),J13,J14),J14)</f>
        <v>0,559</v>
      </c>
    </row>
    <row r="14" spans="1:11" hidden="1" x14ac:dyDescent="0.3">
      <c r="A14" s="31"/>
      <c r="C14" t="str">
        <f>RIGHT(C13,1)</f>
        <v>7</v>
      </c>
      <c r="D14">
        <f>D13+0</f>
        <v>8</v>
      </c>
      <c r="J14" t="str">
        <f>FIXED(A11,3)</f>
        <v>0,559</v>
      </c>
      <c r="K14" s="27"/>
    </row>
    <row r="15" spans="1:11" hidden="1" x14ac:dyDescent="0.3">
      <c r="A15" s="31"/>
      <c r="C15">
        <f>C14+0</f>
        <v>7</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84" t="s">
        <v>47</v>
      </c>
      <c r="B18" s="185"/>
      <c r="C18" s="185"/>
      <c r="D18" s="185"/>
      <c r="E18" s="185"/>
      <c r="F18" s="185"/>
      <c r="G18" s="185"/>
      <c r="H18" s="185"/>
      <c r="I18" s="185"/>
      <c r="J18" s="185"/>
      <c r="K18" s="186"/>
    </row>
    <row r="19" spans="1:11" hidden="1" x14ac:dyDescent="0.3">
      <c r="A19" s="42" t="str">
        <f>K13</f>
        <v>0,559</v>
      </c>
      <c r="C19" t="str">
        <f>FIXED(A11,4)</f>
        <v>0,5587</v>
      </c>
      <c r="D19" t="str">
        <f>RIGHT(C19,1)</f>
        <v>7</v>
      </c>
      <c r="E19">
        <f>D19+0</f>
        <v>7</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59</v>
      </c>
      <c r="D21" t="str">
        <f>LEFT(C21,1)</f>
        <v>5</v>
      </c>
      <c r="E21" s="36">
        <f>TRUNC(A19)</f>
        <v>0</v>
      </c>
      <c r="F21" s="14" t="str">
        <f>FIXED(A19-E21,G21)</f>
        <v>0,559</v>
      </c>
      <c r="G21">
        <f>ABS(E24-F24)</f>
        <v>3</v>
      </c>
      <c r="H21" t="str">
        <f>RIGHT(A19,G21)</f>
        <v>559</v>
      </c>
      <c r="I21">
        <v>5.0000000000000001E-3</v>
      </c>
      <c r="J21" s="3">
        <f>(A19-I21)</f>
        <v>0.55400000000000005</v>
      </c>
      <c r="K21" s="41" t="str">
        <f>IF(C23=5,IF(AND(E19=0,D24=FALSE),J21,J22),J22)</f>
        <v>0,56</v>
      </c>
    </row>
    <row r="22" spans="1:11" ht="18" hidden="1" x14ac:dyDescent="0.35">
      <c r="A22" s="31"/>
      <c r="C22" t="str">
        <f>RIGHT(C21,1)</f>
        <v>9</v>
      </c>
      <c r="D22">
        <f>D21+0</f>
        <v>5</v>
      </c>
      <c r="J22" t="str">
        <f>FIXED(A19,2)</f>
        <v>0,56</v>
      </c>
      <c r="K22" s="41"/>
    </row>
    <row r="23" spans="1:11" hidden="1" x14ac:dyDescent="0.3">
      <c r="A23" s="31"/>
      <c r="C23">
        <f>C22+0</f>
        <v>9</v>
      </c>
      <c r="D23" t="s">
        <v>35</v>
      </c>
      <c r="E23" t="s">
        <v>34</v>
      </c>
      <c r="F23" t="s">
        <v>33</v>
      </c>
      <c r="K23" s="27"/>
    </row>
    <row r="24" spans="1:11" hidden="1" x14ac:dyDescent="0.3">
      <c r="A24" s="31"/>
      <c r="D24" t="b">
        <f>ISODD(D21)</f>
        <v>1</v>
      </c>
      <c r="E24">
        <f>LEN(A19)</f>
        <v>5</v>
      </c>
      <c r="F24">
        <f>LEN(E21)+1</f>
        <v>2</v>
      </c>
      <c r="K24" s="27"/>
    </row>
    <row r="25" spans="1:11" hidden="1" x14ac:dyDescent="0.3">
      <c r="A25" s="31"/>
      <c r="K25" s="27"/>
    </row>
    <row r="26" spans="1:11" hidden="1" x14ac:dyDescent="0.3">
      <c r="A26" s="184" t="s">
        <v>46</v>
      </c>
      <c r="B26" s="185"/>
      <c r="C26" s="185"/>
      <c r="D26" s="185"/>
      <c r="E26" s="185"/>
      <c r="F26" s="185"/>
      <c r="G26" s="185"/>
      <c r="H26" s="185"/>
      <c r="I26" s="185"/>
      <c r="J26" s="185"/>
      <c r="K26" s="186"/>
    </row>
    <row r="27" spans="1:11" hidden="1" x14ac:dyDescent="0.3">
      <c r="A27" s="39" t="str">
        <f>K21</f>
        <v>0,56</v>
      </c>
      <c r="C27" t="str">
        <f>FIXED(A19,3)</f>
        <v>0,559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56</v>
      </c>
      <c r="D29" t="str">
        <f>LEFT(C29,1)</f>
        <v>5</v>
      </c>
      <c r="E29" s="36">
        <f>TRUNC(A27)</f>
        <v>0</v>
      </c>
      <c r="F29" s="14" t="str">
        <f>FIXED(A27-E29,G29)</f>
        <v>0,56</v>
      </c>
      <c r="G29">
        <f>ABS(E32-F32)</f>
        <v>2</v>
      </c>
      <c r="H29" t="str">
        <f>RIGHT(A27,G29)</f>
        <v>56</v>
      </c>
      <c r="I29">
        <v>0.05</v>
      </c>
      <c r="J29" s="3">
        <f>(A27-I29)</f>
        <v>0.51</v>
      </c>
      <c r="K29" s="41" t="str">
        <f>IF(C31=5,IF(AND(E27=0,D32=FALSE),J29,J30),J30)</f>
        <v>0,6</v>
      </c>
    </row>
    <row r="30" spans="1:11" hidden="1" x14ac:dyDescent="0.3">
      <c r="A30" s="31"/>
      <c r="C30" t="str">
        <f>RIGHT(C29,1)</f>
        <v>6</v>
      </c>
      <c r="D30">
        <f>D29+0</f>
        <v>5</v>
      </c>
      <c r="J30" t="str">
        <f>FIXED(A27,1)</f>
        <v>0,6</v>
      </c>
      <c r="K30" s="40"/>
    </row>
    <row r="31" spans="1:11" hidden="1" x14ac:dyDescent="0.3">
      <c r="A31" s="31"/>
      <c r="C31">
        <f>C30+0</f>
        <v>6</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84" t="s">
        <v>45</v>
      </c>
      <c r="B34" s="185"/>
      <c r="C34" s="185"/>
      <c r="D34" s="185"/>
      <c r="E34" s="185"/>
      <c r="F34" s="185"/>
      <c r="G34" s="185"/>
      <c r="H34" s="185"/>
      <c r="I34" s="185"/>
      <c r="J34" s="185"/>
      <c r="K34" s="186"/>
    </row>
    <row r="35" spans="1:11" hidden="1" x14ac:dyDescent="0.3">
      <c r="A35" s="39" t="str">
        <f>K29</f>
        <v>0,6</v>
      </c>
      <c r="C35" t="str">
        <f>FIXED(A27,2)</f>
        <v>0,56</v>
      </c>
      <c r="D35" t="str">
        <f>RIGHT(C35,1)</f>
        <v>6</v>
      </c>
      <c r="E35">
        <f>D35+0</f>
        <v>6</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,6</v>
      </c>
      <c r="D37" t="str">
        <f>RIGHT(E37,1)</f>
        <v>0</v>
      </c>
      <c r="E37" s="36">
        <f>TRUNC(A35)</f>
        <v>0</v>
      </c>
      <c r="F37" s="14" t="str">
        <f>FIXED(A35-E37,G37)</f>
        <v>0,6</v>
      </c>
      <c r="G37">
        <f>ABS(E40-F40)</f>
        <v>1</v>
      </c>
      <c r="H37" t="str">
        <f>RIGHT(A35,G37)</f>
        <v>6</v>
      </c>
      <c r="I37">
        <v>0.5</v>
      </c>
      <c r="J37" s="12">
        <f>(A35-I37)</f>
        <v>9.9999999999999978E-2</v>
      </c>
      <c r="K37" s="35" t="str">
        <f>IF(C39=5,IF(AND(E35=0,D40=FALSE),J37,J38),J38)</f>
        <v>1</v>
      </c>
    </row>
    <row r="38" spans="1:11" hidden="1" x14ac:dyDescent="0.3">
      <c r="A38" s="31"/>
      <c r="C38" t="str">
        <f>RIGHT(C37,1)</f>
        <v>6</v>
      </c>
      <c r="D38">
        <f>D37+0</f>
        <v>0</v>
      </c>
      <c r="J38" t="str">
        <f>FIXED(A35,0)</f>
        <v>1</v>
      </c>
      <c r="K38" s="34"/>
    </row>
    <row r="39" spans="1:11" hidden="1" x14ac:dyDescent="0.3">
      <c r="A39" s="31"/>
      <c r="C39">
        <f>C38+0</f>
        <v>6</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7" t="s">
        <v>57</v>
      </c>
      <c r="B41" s="188"/>
      <c r="C41" s="188"/>
      <c r="D41" s="188"/>
      <c r="E41" s="188"/>
      <c r="F41" s="188"/>
      <c r="G41" s="188"/>
      <c r="H41" s="188"/>
      <c r="I41" s="188"/>
      <c r="J41" s="188"/>
      <c r="K41" s="189"/>
    </row>
    <row r="42" spans="1:11" ht="15" thickBot="1" x14ac:dyDescent="0.35">
      <c r="A42" s="31" t="s">
        <v>31</v>
      </c>
      <c r="B42" s="18" t="s">
        <v>30</v>
      </c>
      <c r="C42" t="str">
        <f>FIXED(A43,6)</f>
        <v>0,558728</v>
      </c>
      <c r="D42" t="str">
        <f>RIGHT(C42,1)</f>
        <v>8</v>
      </c>
      <c r="E42">
        <f>D42/1000000</f>
        <v>7.9999999999999996E-6</v>
      </c>
      <c r="F42" s="30">
        <f>A43-E42</f>
        <v>0.55871984416073539</v>
      </c>
      <c r="H42" t="str">
        <f>IF(C47=5,IF(AND(D43=0,D48=FALSE),J45,J46),J46)</f>
        <v>0,5587</v>
      </c>
      <c r="K42" s="27"/>
    </row>
    <row r="43" spans="1:11" ht="18.600000000000001" thickBot="1" x14ac:dyDescent="0.4">
      <c r="A43" s="29">
        <f>INCERTIDUMBRE!L6</f>
        <v>0.5587278441607354</v>
      </c>
      <c r="B43" s="28" t="str">
        <f>IF(A43&gt;=10,K77,IF(A43&gt;=1,K69,IF(A43&gt;=0.1,K61,IF(A43&gt;=0.01,K53,IF(A43&gt;=0.001,K45)))))</f>
        <v>0,56</v>
      </c>
      <c r="C43" t="s">
        <v>29</v>
      </c>
      <c r="D43">
        <f>D42+0</f>
        <v>8</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35</v>
      </c>
      <c r="D45" t="str">
        <f>LEFT(C45,1)</f>
        <v>3</v>
      </c>
      <c r="E45" s="30">
        <f>TRUNC(A43)</f>
        <v>0</v>
      </c>
      <c r="F45" s="14" t="str">
        <f>FIXED(A43-E45,G45)</f>
        <v>0,558727844160735</v>
      </c>
      <c r="G45">
        <f>ABS(E48-F48)</f>
        <v>15</v>
      </c>
      <c r="H45" t="str">
        <f>RIGHT(A43,G45)</f>
        <v>558727844160735</v>
      </c>
      <c r="I45">
        <v>5.0000000000000002E-5</v>
      </c>
      <c r="J45" s="14">
        <f>(A43-I45)</f>
        <v>0.5586778441607354</v>
      </c>
      <c r="K45" s="45" t="str">
        <f>IF(C47=5,IF(AND(D43=0,D48=FALSE),J45,J46),J46)</f>
        <v>0,5587</v>
      </c>
    </row>
    <row r="46" spans="1:11" hidden="1" x14ac:dyDescent="0.3">
      <c r="A46" s="31"/>
      <c r="C46" t="str">
        <f>RIGHT(C45,1)</f>
        <v>5</v>
      </c>
      <c r="D46">
        <f>D45+0</f>
        <v>3</v>
      </c>
      <c r="J46" t="str">
        <f>FIXED(A43,4)</f>
        <v>0,5587</v>
      </c>
      <c r="K46" s="27"/>
    </row>
    <row r="47" spans="1:11" hidden="1" x14ac:dyDescent="0.3">
      <c r="A47" s="31"/>
      <c r="C47">
        <f>C46+0</f>
        <v>5</v>
      </c>
      <c r="D47" t="s">
        <v>35</v>
      </c>
      <c r="E47" t="s">
        <v>34</v>
      </c>
      <c r="F47" t="s">
        <v>33</v>
      </c>
      <c r="K47" s="27"/>
    </row>
    <row r="48" spans="1:11" hidden="1" x14ac:dyDescent="0.3">
      <c r="A48" s="31"/>
      <c r="D48" t="b">
        <f>ISODD(D45)</f>
        <v>1</v>
      </c>
      <c r="E48">
        <f>LEN(A43)</f>
        <v>17</v>
      </c>
      <c r="F48">
        <f>LEN(E45)+1</f>
        <v>2</v>
      </c>
      <c r="K48" s="27"/>
    </row>
    <row r="49" spans="1:11" hidden="1" x14ac:dyDescent="0.3">
      <c r="A49" s="31"/>
      <c r="K49" s="27"/>
    </row>
    <row r="50" spans="1:11" hidden="1" x14ac:dyDescent="0.3">
      <c r="A50" s="184" t="s">
        <v>48</v>
      </c>
      <c r="B50" s="185"/>
      <c r="C50" s="185"/>
      <c r="D50" s="185"/>
      <c r="E50" s="185"/>
      <c r="F50" s="185"/>
      <c r="G50" s="185"/>
      <c r="H50" s="185"/>
      <c r="I50" s="185"/>
      <c r="J50" s="185"/>
      <c r="K50" s="186"/>
    </row>
    <row r="51" spans="1:11" hidden="1" x14ac:dyDescent="0.3">
      <c r="A51" s="42" t="str">
        <f>K45</f>
        <v>0,5587</v>
      </c>
      <c r="C51" t="str">
        <f>FIXED(A43,5)</f>
        <v>0,55873</v>
      </c>
      <c r="D51" t="str">
        <f>RIGHT(C51,1)</f>
        <v>3</v>
      </c>
      <c r="E51">
        <f>D51+0</f>
        <v>3</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87</v>
      </c>
      <c r="D53" t="str">
        <f>LEFT(C53,1)</f>
        <v>8</v>
      </c>
      <c r="E53" s="36">
        <f>TRUNC(A51)</f>
        <v>0</v>
      </c>
      <c r="F53" s="14" t="str">
        <f>FIXED(A51-E53,G53)</f>
        <v>0,5587</v>
      </c>
      <c r="G53">
        <f>ABS(E56-F56)</f>
        <v>4</v>
      </c>
      <c r="H53" t="str">
        <f>RIGHT(A51,G53)</f>
        <v>5587</v>
      </c>
      <c r="I53">
        <v>5.0000000000000001E-4</v>
      </c>
      <c r="J53" s="44">
        <f>(A51-I53)</f>
        <v>0.55820000000000003</v>
      </c>
      <c r="K53" s="43" t="str">
        <f>IF(C55=5,IF(AND(E51=0,D56=FALSE),J53,J54),J54)</f>
        <v>0,559</v>
      </c>
    </row>
    <row r="54" spans="1:11" hidden="1" x14ac:dyDescent="0.3">
      <c r="A54" s="31"/>
      <c r="C54" t="str">
        <f>RIGHT(C53,1)</f>
        <v>7</v>
      </c>
      <c r="D54">
        <f>D53+0</f>
        <v>8</v>
      </c>
      <c r="J54" t="str">
        <f>FIXED(A51,3)</f>
        <v>0,559</v>
      </c>
      <c r="K54" s="27"/>
    </row>
    <row r="55" spans="1:11" hidden="1" x14ac:dyDescent="0.3">
      <c r="A55" s="31"/>
      <c r="C55">
        <f>C54+0</f>
        <v>7</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84" t="s">
        <v>47</v>
      </c>
      <c r="B58" s="185"/>
      <c r="C58" s="185"/>
      <c r="D58" s="185"/>
      <c r="E58" s="185"/>
      <c r="F58" s="185"/>
      <c r="G58" s="185"/>
      <c r="H58" s="185"/>
      <c r="I58" s="185"/>
      <c r="J58" s="185"/>
      <c r="K58" s="186"/>
    </row>
    <row r="59" spans="1:11" hidden="1" x14ac:dyDescent="0.3">
      <c r="A59" s="42" t="str">
        <f>K53</f>
        <v>0,559</v>
      </c>
      <c r="C59" t="str">
        <f>FIXED(A51,4)</f>
        <v>0,5587</v>
      </c>
      <c r="D59" t="str">
        <f>RIGHT(C59,1)</f>
        <v>7</v>
      </c>
      <c r="E59">
        <f>D59+0</f>
        <v>7</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59</v>
      </c>
      <c r="D61" t="str">
        <f>LEFT(C61,1)</f>
        <v>5</v>
      </c>
      <c r="E61" s="36">
        <f>TRUNC(A59)</f>
        <v>0</v>
      </c>
      <c r="F61" s="14" t="str">
        <f>FIXED(A59-E61,G61)</f>
        <v>0,559</v>
      </c>
      <c r="G61">
        <f>ABS(E64-F64)</f>
        <v>3</v>
      </c>
      <c r="H61" t="str">
        <f>RIGHT(A59,G61)</f>
        <v>559</v>
      </c>
      <c r="I61">
        <v>5.0000000000000001E-3</v>
      </c>
      <c r="J61" s="3">
        <f>(A59-I61)</f>
        <v>0.55400000000000005</v>
      </c>
      <c r="K61" s="41" t="str">
        <f>IF(C63=5,IF(AND(E59=0,D64=FALSE),J61,J62),J62)</f>
        <v>0,56</v>
      </c>
    </row>
    <row r="62" spans="1:11" ht="18" hidden="1" x14ac:dyDescent="0.35">
      <c r="A62" s="31"/>
      <c r="C62" t="str">
        <f>RIGHT(C61,1)</f>
        <v>9</v>
      </c>
      <c r="D62">
        <f>D61+0</f>
        <v>5</v>
      </c>
      <c r="J62" t="str">
        <f>FIXED(A59,2)</f>
        <v>0,56</v>
      </c>
      <c r="K62" s="41"/>
    </row>
    <row r="63" spans="1:11" hidden="1" x14ac:dyDescent="0.3">
      <c r="A63" s="31"/>
      <c r="C63">
        <f>C62+0</f>
        <v>9</v>
      </c>
      <c r="D63" t="s">
        <v>35</v>
      </c>
      <c r="E63" t="s">
        <v>34</v>
      </c>
      <c r="F63" t="s">
        <v>33</v>
      </c>
      <c r="K63" s="27"/>
    </row>
    <row r="64" spans="1:11" hidden="1" x14ac:dyDescent="0.3">
      <c r="A64" s="31"/>
      <c r="D64" t="b">
        <f>ISODD(D61)</f>
        <v>1</v>
      </c>
      <c r="E64">
        <f>LEN(A59)</f>
        <v>5</v>
      </c>
      <c r="F64">
        <f>LEN(E61)+1</f>
        <v>2</v>
      </c>
      <c r="K64" s="27"/>
    </row>
    <row r="65" spans="1:11" hidden="1" x14ac:dyDescent="0.3">
      <c r="A65" s="31"/>
      <c r="K65" s="27"/>
    </row>
    <row r="66" spans="1:11" hidden="1" x14ac:dyDescent="0.3">
      <c r="A66" s="184" t="s">
        <v>46</v>
      </c>
      <c r="B66" s="185"/>
      <c r="C66" s="185"/>
      <c r="D66" s="185"/>
      <c r="E66" s="185"/>
      <c r="F66" s="185"/>
      <c r="G66" s="185"/>
      <c r="H66" s="185"/>
      <c r="I66" s="185"/>
      <c r="J66" s="185"/>
      <c r="K66" s="186"/>
    </row>
    <row r="67" spans="1:11" hidden="1" x14ac:dyDescent="0.3">
      <c r="A67" s="39" t="str">
        <f>K61</f>
        <v>0,56</v>
      </c>
      <c r="C67" t="str">
        <f>FIXED(A59,3)</f>
        <v>0,559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56</v>
      </c>
      <c r="D69" t="str">
        <f>LEFT(C69,1)</f>
        <v>5</v>
      </c>
      <c r="E69" s="36">
        <f>TRUNC(A67)</f>
        <v>0</v>
      </c>
      <c r="F69" s="14" t="str">
        <f>FIXED(A67-E69,G69)</f>
        <v>0,56</v>
      </c>
      <c r="G69">
        <f>ABS(E72-F72)</f>
        <v>2</v>
      </c>
      <c r="H69" t="str">
        <f>RIGHT(A67,G69)</f>
        <v>56</v>
      </c>
      <c r="I69">
        <v>0.05</v>
      </c>
      <c r="J69" s="3">
        <f>(A67-I69)</f>
        <v>0.51</v>
      </c>
      <c r="K69" s="41" t="str">
        <f>IF(C71=5,IF(AND(E67=0,D72=FALSE),J69,J70),J70)</f>
        <v>0,6</v>
      </c>
    </row>
    <row r="70" spans="1:11" hidden="1" x14ac:dyDescent="0.3">
      <c r="A70" s="31"/>
      <c r="C70" t="str">
        <f>RIGHT(C69,1)</f>
        <v>6</v>
      </c>
      <c r="D70">
        <f>D69+0</f>
        <v>5</v>
      </c>
      <c r="J70" t="str">
        <f>FIXED(A67,1)</f>
        <v>0,6</v>
      </c>
      <c r="K70" s="40"/>
    </row>
    <row r="71" spans="1:11" hidden="1" x14ac:dyDescent="0.3">
      <c r="A71" s="31"/>
      <c r="C71">
        <f>C70+0</f>
        <v>6</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84" t="s">
        <v>45</v>
      </c>
      <c r="B74" s="185"/>
      <c r="C74" s="185"/>
      <c r="D74" s="185"/>
      <c r="E74" s="185"/>
      <c r="F74" s="185"/>
      <c r="G74" s="185"/>
      <c r="H74" s="185"/>
      <c r="I74" s="185"/>
      <c r="J74" s="185"/>
      <c r="K74" s="186"/>
    </row>
    <row r="75" spans="1:11" hidden="1" x14ac:dyDescent="0.3">
      <c r="A75" s="39" t="str">
        <f>K69</f>
        <v>0,6</v>
      </c>
      <c r="C75" t="str">
        <f>FIXED(A67,2)</f>
        <v>0,56</v>
      </c>
      <c r="D75" t="str">
        <f>RIGHT(C75,1)</f>
        <v>6</v>
      </c>
      <c r="E75">
        <f>D75+0</f>
        <v>6</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,6</v>
      </c>
      <c r="D77" t="str">
        <f>RIGHT(E77,1)</f>
        <v>0</v>
      </c>
      <c r="E77" s="36">
        <f>TRUNC(A75)</f>
        <v>0</v>
      </c>
      <c r="F77" s="14" t="str">
        <f>FIXED(A75-E77,G77)</f>
        <v>0,6</v>
      </c>
      <c r="G77">
        <f>ABS(E80-F80)</f>
        <v>1</v>
      </c>
      <c r="H77" t="str">
        <f>RIGHT(A75,G77)</f>
        <v>6</v>
      </c>
      <c r="I77">
        <v>0.5</v>
      </c>
      <c r="J77" s="12">
        <f>(A75-I77)</f>
        <v>9.9999999999999978E-2</v>
      </c>
      <c r="K77" s="35" t="str">
        <f>IF(C79=5,IF(AND(E75=0,D80=FALSE),J77,J78),J78)</f>
        <v>1</v>
      </c>
    </row>
    <row r="78" spans="1:11" hidden="1" x14ac:dyDescent="0.3">
      <c r="A78" s="31"/>
      <c r="C78" t="str">
        <f>RIGHT(C77,1)</f>
        <v>6</v>
      </c>
      <c r="D78">
        <f>D77+0</f>
        <v>0</v>
      </c>
      <c r="J78" t="str">
        <f>FIXED(A75,0)</f>
        <v>1</v>
      </c>
      <c r="K78" s="34"/>
    </row>
    <row r="79" spans="1:11" hidden="1" x14ac:dyDescent="0.3">
      <c r="A79" s="31"/>
      <c r="C79">
        <f>C78+0</f>
        <v>6</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7" t="s">
        <v>56</v>
      </c>
      <c r="B81" s="188"/>
      <c r="C81" s="188"/>
      <c r="D81" s="188"/>
      <c r="E81" s="188"/>
      <c r="F81" s="188"/>
      <c r="G81" s="188"/>
      <c r="H81" s="188"/>
      <c r="I81" s="188"/>
      <c r="J81" s="188"/>
      <c r="K81" s="189"/>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84" t="s">
        <v>48</v>
      </c>
      <c r="B90" s="185"/>
      <c r="C90" s="185"/>
      <c r="D90" s="185"/>
      <c r="E90" s="185"/>
      <c r="F90" s="185"/>
      <c r="G90" s="185"/>
      <c r="H90" s="185"/>
      <c r="I90" s="185"/>
      <c r="J90" s="185"/>
      <c r="K90" s="186"/>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84" t="s">
        <v>47</v>
      </c>
      <c r="B98" s="185"/>
      <c r="C98" s="185"/>
      <c r="D98" s="185"/>
      <c r="E98" s="185"/>
      <c r="F98" s="185"/>
      <c r="G98" s="185"/>
      <c r="H98" s="185"/>
      <c r="I98" s="185"/>
      <c r="J98" s="185"/>
      <c r="K98" s="186"/>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84" t="s">
        <v>46</v>
      </c>
      <c r="B106" s="185"/>
      <c r="C106" s="185"/>
      <c r="D106" s="185"/>
      <c r="E106" s="185"/>
      <c r="F106" s="185"/>
      <c r="G106" s="185"/>
      <c r="H106" s="185"/>
      <c r="I106" s="185"/>
      <c r="J106" s="185"/>
      <c r="K106" s="186"/>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84" t="s">
        <v>45</v>
      </c>
      <c r="B114" s="185"/>
      <c r="C114" s="185"/>
      <c r="D114" s="185"/>
      <c r="E114" s="185"/>
      <c r="F114" s="185"/>
      <c r="G114" s="185"/>
      <c r="H114" s="185"/>
      <c r="I114" s="185"/>
      <c r="J114" s="185"/>
      <c r="K114" s="186"/>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7" t="s">
        <v>55</v>
      </c>
      <c r="B122" s="188"/>
      <c r="C122" s="188"/>
      <c r="D122" s="188"/>
      <c r="E122" s="188"/>
      <c r="F122" s="188"/>
      <c r="G122" s="188"/>
      <c r="H122" s="188"/>
      <c r="I122" s="188"/>
      <c r="J122" s="188"/>
      <c r="K122" s="189"/>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84" t="s">
        <v>48</v>
      </c>
      <c r="B131" s="185"/>
      <c r="C131" s="185"/>
      <c r="D131" s="185"/>
      <c r="E131" s="185"/>
      <c r="F131" s="185"/>
      <c r="G131" s="185"/>
      <c r="H131" s="185"/>
      <c r="I131" s="185"/>
      <c r="J131" s="185"/>
      <c r="K131" s="186"/>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84" t="s">
        <v>47</v>
      </c>
      <c r="B139" s="185"/>
      <c r="C139" s="185"/>
      <c r="D139" s="185"/>
      <c r="E139" s="185"/>
      <c r="F139" s="185"/>
      <c r="G139" s="185"/>
      <c r="H139" s="185"/>
      <c r="I139" s="185"/>
      <c r="J139" s="185"/>
      <c r="K139" s="186"/>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84" t="s">
        <v>46</v>
      </c>
      <c r="B147" s="185"/>
      <c r="C147" s="185"/>
      <c r="D147" s="185"/>
      <c r="E147" s="185"/>
      <c r="F147" s="185"/>
      <c r="G147" s="185"/>
      <c r="H147" s="185"/>
      <c r="I147" s="185"/>
      <c r="J147" s="185"/>
      <c r="K147" s="186"/>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84" t="s">
        <v>45</v>
      </c>
      <c r="B155" s="185"/>
      <c r="C155" s="185"/>
      <c r="D155" s="185"/>
      <c r="E155" s="185"/>
      <c r="F155" s="185"/>
      <c r="G155" s="185"/>
      <c r="H155" s="185"/>
      <c r="I155" s="185"/>
      <c r="J155" s="185"/>
      <c r="K155" s="186"/>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7" t="s">
        <v>54</v>
      </c>
      <c r="B162" s="188"/>
      <c r="C162" s="188"/>
      <c r="D162" s="188"/>
      <c r="E162" s="188"/>
      <c r="F162" s="188"/>
      <c r="G162" s="188"/>
      <c r="H162" s="188"/>
      <c r="I162" s="188"/>
      <c r="J162" s="188"/>
      <c r="K162" s="189"/>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84" t="s">
        <v>48</v>
      </c>
      <c r="B171" s="185"/>
      <c r="C171" s="185"/>
      <c r="D171" s="185"/>
      <c r="E171" s="185"/>
      <c r="F171" s="185"/>
      <c r="G171" s="185"/>
      <c r="H171" s="185"/>
      <c r="I171" s="185"/>
      <c r="J171" s="185"/>
      <c r="K171" s="186"/>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84" t="s">
        <v>47</v>
      </c>
      <c r="B179" s="185"/>
      <c r="C179" s="185"/>
      <c r="D179" s="185"/>
      <c r="E179" s="185"/>
      <c r="F179" s="185"/>
      <c r="G179" s="185"/>
      <c r="H179" s="185"/>
      <c r="I179" s="185"/>
      <c r="J179" s="185"/>
      <c r="K179" s="186"/>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84" t="s">
        <v>46</v>
      </c>
      <c r="B187" s="185"/>
      <c r="C187" s="185"/>
      <c r="D187" s="185"/>
      <c r="E187" s="185"/>
      <c r="F187" s="185"/>
      <c r="G187" s="185"/>
      <c r="H187" s="185"/>
      <c r="I187" s="185"/>
      <c r="J187" s="185"/>
      <c r="K187" s="186"/>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84" t="s">
        <v>45</v>
      </c>
      <c r="B195" s="185"/>
      <c r="C195" s="185"/>
      <c r="D195" s="185"/>
      <c r="E195" s="185"/>
      <c r="F195" s="185"/>
      <c r="G195" s="185"/>
      <c r="H195" s="185"/>
      <c r="I195" s="185"/>
      <c r="J195" s="185"/>
      <c r="K195" s="186"/>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7" t="s">
        <v>54</v>
      </c>
      <c r="B202" s="188"/>
      <c r="C202" s="188"/>
      <c r="D202" s="188"/>
      <c r="E202" s="188"/>
      <c r="F202" s="188"/>
      <c r="G202" s="188"/>
      <c r="H202" s="188"/>
      <c r="I202" s="188"/>
      <c r="J202" s="188"/>
      <c r="K202" s="189"/>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84" t="s">
        <v>48</v>
      </c>
      <c r="B211" s="185"/>
      <c r="C211" s="185"/>
      <c r="D211" s="185"/>
      <c r="E211" s="185"/>
      <c r="F211" s="185"/>
      <c r="G211" s="185"/>
      <c r="H211" s="185"/>
      <c r="I211" s="185"/>
      <c r="J211" s="185"/>
      <c r="K211" s="186"/>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84" t="s">
        <v>47</v>
      </c>
      <c r="B219" s="185"/>
      <c r="C219" s="185"/>
      <c r="D219" s="185"/>
      <c r="E219" s="185"/>
      <c r="F219" s="185"/>
      <c r="G219" s="185"/>
      <c r="H219" s="185"/>
      <c r="I219" s="185"/>
      <c r="J219" s="185"/>
      <c r="K219" s="186"/>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84" t="s">
        <v>46</v>
      </c>
      <c r="B227" s="185"/>
      <c r="C227" s="185"/>
      <c r="D227" s="185"/>
      <c r="E227" s="185"/>
      <c r="F227" s="185"/>
      <c r="G227" s="185"/>
      <c r="H227" s="185"/>
      <c r="I227" s="185"/>
      <c r="J227" s="185"/>
      <c r="K227" s="186"/>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84" t="s">
        <v>45</v>
      </c>
      <c r="B235" s="185"/>
      <c r="C235" s="185"/>
      <c r="D235" s="185"/>
      <c r="E235" s="185"/>
      <c r="F235" s="185"/>
      <c r="G235" s="185"/>
      <c r="H235" s="185"/>
      <c r="I235" s="185"/>
      <c r="J235" s="185"/>
      <c r="K235" s="186"/>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7" t="s">
        <v>53</v>
      </c>
      <c r="B242" s="188"/>
      <c r="C242" s="188"/>
      <c r="D242" s="188"/>
      <c r="E242" s="188"/>
      <c r="F242" s="188"/>
      <c r="G242" s="188"/>
      <c r="H242" s="188"/>
      <c r="I242" s="188"/>
      <c r="J242" s="188"/>
      <c r="K242" s="189"/>
    </row>
    <row r="243" spans="1:11" ht="15" thickBot="1" x14ac:dyDescent="0.35">
      <c r="A243" s="31" t="s">
        <v>31</v>
      </c>
      <c r="B243" s="18" t="s">
        <v>30</v>
      </c>
      <c r="C243" t="str">
        <f>FIXED(A244,6)</f>
        <v>0,558728</v>
      </c>
      <c r="D243" t="str">
        <f>RIGHT(C243,1)</f>
        <v>8</v>
      </c>
      <c r="E243">
        <f>D243/1000000</f>
        <v>7.9999999999999996E-6</v>
      </c>
      <c r="F243" s="30">
        <f>A244-E243</f>
        <v>0.55871984416073539</v>
      </c>
      <c r="H243" t="str">
        <f>IF(C248=5,IF(AND(D244=0,D249=FALSE),J246,J247),J247)</f>
        <v>0,5587</v>
      </c>
      <c r="K243" s="27"/>
    </row>
    <row r="244" spans="1:11" ht="18.600000000000001" thickBot="1" x14ac:dyDescent="0.4">
      <c r="A244" s="29">
        <f>INCERTIDUMBRE!L12</f>
        <v>0.5587278441607354</v>
      </c>
      <c r="B244" s="28" t="str">
        <f>IF(A244&gt;=10,K278,IF(A244&gt;=1,K270,IF(A244&gt;=0.1,K262,IF(A244&gt;=0.01,K254,IF(A244&gt;=0.001,K246)))))</f>
        <v>0,56</v>
      </c>
      <c r="C244" t="s">
        <v>29</v>
      </c>
      <c r="D244">
        <f>D243+0</f>
        <v>8</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35</v>
      </c>
      <c r="D246" t="str">
        <f>LEFT(C246,1)</f>
        <v>3</v>
      </c>
      <c r="E246" s="30">
        <f>TRUNC(A244)</f>
        <v>0</v>
      </c>
      <c r="F246" s="14" t="str">
        <f>FIXED(A244-E246,G246)</f>
        <v>0,558727844160735</v>
      </c>
      <c r="G246">
        <f>ABS(E249-F249)</f>
        <v>15</v>
      </c>
      <c r="H246" t="str">
        <f>RIGHT(A244,G246)</f>
        <v>558727844160735</v>
      </c>
      <c r="I246">
        <v>5.0000000000000002E-5</v>
      </c>
      <c r="J246" s="14">
        <f>(A244-I246)</f>
        <v>0.5586778441607354</v>
      </c>
      <c r="K246" s="45" t="str">
        <f>IF(C248=5,IF(AND(D244=0,D249=FALSE),J246,J247),J247)</f>
        <v>0,5587</v>
      </c>
    </row>
    <row r="247" spans="1:11" hidden="1" x14ac:dyDescent="0.3">
      <c r="A247" s="31"/>
      <c r="C247" t="str">
        <f>RIGHT(C246,1)</f>
        <v>5</v>
      </c>
      <c r="D247">
        <f>D246+0</f>
        <v>3</v>
      </c>
      <c r="J247" t="str">
        <f>FIXED(A244,4)</f>
        <v>0,5587</v>
      </c>
      <c r="K247" s="27"/>
    </row>
    <row r="248" spans="1:11" hidden="1" x14ac:dyDescent="0.3">
      <c r="A248" s="31"/>
      <c r="C248">
        <f>C247+0</f>
        <v>5</v>
      </c>
      <c r="D248" t="s">
        <v>35</v>
      </c>
      <c r="E248" t="s">
        <v>34</v>
      </c>
      <c r="F248" t="s">
        <v>33</v>
      </c>
      <c r="K248" s="27"/>
    </row>
    <row r="249" spans="1:11" hidden="1" x14ac:dyDescent="0.3">
      <c r="A249" s="31"/>
      <c r="D249" t="b">
        <f>ISODD(D246)</f>
        <v>1</v>
      </c>
      <c r="E249">
        <f>LEN(A244)</f>
        <v>17</v>
      </c>
      <c r="F249">
        <f>LEN(E246)+1</f>
        <v>2</v>
      </c>
      <c r="K249" s="27"/>
    </row>
    <row r="250" spans="1:11" hidden="1" x14ac:dyDescent="0.3">
      <c r="A250" s="31"/>
      <c r="K250" s="27"/>
    </row>
    <row r="251" spans="1:11" hidden="1" x14ac:dyDescent="0.3">
      <c r="A251" s="184" t="s">
        <v>48</v>
      </c>
      <c r="B251" s="185"/>
      <c r="C251" s="185"/>
      <c r="D251" s="185"/>
      <c r="E251" s="185"/>
      <c r="F251" s="185"/>
      <c r="G251" s="185"/>
      <c r="H251" s="185"/>
      <c r="I251" s="185"/>
      <c r="J251" s="185"/>
      <c r="K251" s="186"/>
    </row>
    <row r="252" spans="1:11" hidden="1" x14ac:dyDescent="0.3">
      <c r="A252" s="42" t="str">
        <f>K246</f>
        <v>0,5587</v>
      </c>
      <c r="C252" t="str">
        <f>FIXED(A244,5)</f>
        <v>0,55873</v>
      </c>
      <c r="D252" t="str">
        <f>RIGHT(C252,1)</f>
        <v>3</v>
      </c>
      <c r="E252">
        <f>D252+0</f>
        <v>3</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87</v>
      </c>
      <c r="D254" t="str">
        <f>LEFT(C254,1)</f>
        <v>8</v>
      </c>
      <c r="E254" s="36">
        <f>TRUNC(A252)</f>
        <v>0</v>
      </c>
      <c r="F254" s="14" t="str">
        <f>FIXED(A252-E254,G254)</f>
        <v>0,5587</v>
      </c>
      <c r="G254">
        <f>ABS(E257-F257)</f>
        <v>4</v>
      </c>
      <c r="H254" t="str">
        <f>RIGHT(A252,G254)</f>
        <v>5587</v>
      </c>
      <c r="I254">
        <v>5.0000000000000001E-4</v>
      </c>
      <c r="J254" s="44">
        <f>(A252-I254)</f>
        <v>0.55820000000000003</v>
      </c>
      <c r="K254" s="43" t="str">
        <f>IF(C256=5,IF(AND(E252=0,D257=FALSE),J254,J255),J255)</f>
        <v>0,559</v>
      </c>
    </row>
    <row r="255" spans="1:11" hidden="1" x14ac:dyDescent="0.3">
      <c r="A255" s="31"/>
      <c r="C255" t="str">
        <f>RIGHT(C254,1)</f>
        <v>7</v>
      </c>
      <c r="D255">
        <f>D254+0</f>
        <v>8</v>
      </c>
      <c r="J255" t="str">
        <f>FIXED(A252,3)</f>
        <v>0,559</v>
      </c>
      <c r="K255" s="27"/>
    </row>
    <row r="256" spans="1:11" hidden="1" x14ac:dyDescent="0.3">
      <c r="A256" s="31"/>
      <c r="C256">
        <f>C255+0</f>
        <v>7</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84" t="s">
        <v>47</v>
      </c>
      <c r="B259" s="185"/>
      <c r="C259" s="185"/>
      <c r="D259" s="185"/>
      <c r="E259" s="185"/>
      <c r="F259" s="185"/>
      <c r="G259" s="185"/>
      <c r="H259" s="185"/>
      <c r="I259" s="185"/>
      <c r="J259" s="185"/>
      <c r="K259" s="186"/>
    </row>
    <row r="260" spans="1:11" hidden="1" x14ac:dyDescent="0.3">
      <c r="A260" s="42" t="str">
        <f>K254</f>
        <v>0,559</v>
      </c>
      <c r="C260" t="str">
        <f>FIXED(A252,4)</f>
        <v>0,5587</v>
      </c>
      <c r="D260" t="str">
        <f>RIGHT(C260,1)</f>
        <v>7</v>
      </c>
      <c r="E260">
        <f>D260+0</f>
        <v>7</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59</v>
      </c>
      <c r="D262" t="str">
        <f>LEFT(C262,1)</f>
        <v>5</v>
      </c>
      <c r="E262" s="36">
        <f>TRUNC(A260)</f>
        <v>0</v>
      </c>
      <c r="F262" s="14" t="str">
        <f>FIXED(A260-E262,G262)</f>
        <v>0,559</v>
      </c>
      <c r="G262">
        <f>ABS(E265-F265)</f>
        <v>3</v>
      </c>
      <c r="H262" t="str">
        <f>RIGHT(A260,G262)</f>
        <v>559</v>
      </c>
      <c r="I262">
        <v>5.0000000000000001E-3</v>
      </c>
      <c r="J262" s="3">
        <f>(A260-I262)</f>
        <v>0.55400000000000005</v>
      </c>
      <c r="K262" s="41" t="str">
        <f>IF(C264=5,IF(AND(E260=0,D265=FALSE),J262,J263),J263)</f>
        <v>0,56</v>
      </c>
    </row>
    <row r="263" spans="1:11" ht="18" hidden="1" x14ac:dyDescent="0.35">
      <c r="A263" s="31"/>
      <c r="C263" t="str">
        <f>RIGHT(C262,1)</f>
        <v>9</v>
      </c>
      <c r="D263">
        <f>D262+0</f>
        <v>5</v>
      </c>
      <c r="J263" t="str">
        <f>FIXED(A260,2)</f>
        <v>0,56</v>
      </c>
      <c r="K263" s="41"/>
    </row>
    <row r="264" spans="1:11" hidden="1" x14ac:dyDescent="0.3">
      <c r="A264" s="31"/>
      <c r="C264">
        <f>C263+0</f>
        <v>9</v>
      </c>
      <c r="D264" t="s">
        <v>35</v>
      </c>
      <c r="E264" t="s">
        <v>34</v>
      </c>
      <c r="F264" t="s">
        <v>33</v>
      </c>
      <c r="K264" s="27"/>
    </row>
    <row r="265" spans="1:11" hidden="1" x14ac:dyDescent="0.3">
      <c r="A265" s="31"/>
      <c r="D265" t="b">
        <f>ISODD(D262)</f>
        <v>1</v>
      </c>
      <c r="E265">
        <f>LEN(A260)</f>
        <v>5</v>
      </c>
      <c r="F265">
        <f>LEN(E262)+1</f>
        <v>2</v>
      </c>
      <c r="K265" s="27"/>
    </row>
    <row r="266" spans="1:11" hidden="1" x14ac:dyDescent="0.3">
      <c r="A266" s="31"/>
      <c r="K266" s="27"/>
    </row>
    <row r="267" spans="1:11" hidden="1" x14ac:dyDescent="0.3">
      <c r="A267" s="184" t="s">
        <v>46</v>
      </c>
      <c r="B267" s="185"/>
      <c r="C267" s="185"/>
      <c r="D267" s="185"/>
      <c r="E267" s="185"/>
      <c r="F267" s="185"/>
      <c r="G267" s="185"/>
      <c r="H267" s="185"/>
      <c r="I267" s="185"/>
      <c r="J267" s="185"/>
      <c r="K267" s="186"/>
    </row>
    <row r="268" spans="1:11" hidden="1" x14ac:dyDescent="0.3">
      <c r="A268" s="39" t="str">
        <f>K262</f>
        <v>0,56</v>
      </c>
      <c r="C268" t="str">
        <f>FIXED(A260,3)</f>
        <v>0,559</v>
      </c>
      <c r="D268" t="str">
        <f>RIGHT(C268,1)</f>
        <v>9</v>
      </c>
      <c r="E268">
        <f>D268+0</f>
        <v>9</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56</v>
      </c>
      <c r="D270" t="str">
        <f>LEFT(C270,1)</f>
        <v>5</v>
      </c>
      <c r="E270" s="36">
        <f>TRUNC(A268)</f>
        <v>0</v>
      </c>
      <c r="F270" s="14" t="str">
        <f>FIXED(A268-E270,G270)</f>
        <v>0,56</v>
      </c>
      <c r="G270">
        <f>ABS(E273-F273)</f>
        <v>2</v>
      </c>
      <c r="H270" t="str">
        <f>RIGHT(A268,G270)</f>
        <v>56</v>
      </c>
      <c r="I270">
        <v>0.05</v>
      </c>
      <c r="J270" s="3">
        <f>(A268-I270)</f>
        <v>0.51</v>
      </c>
      <c r="K270" s="41" t="str">
        <f>IF(C272=5,IF(AND(E268=0,D273=FALSE),J270,J271),J271)</f>
        <v>0,6</v>
      </c>
    </row>
    <row r="271" spans="1:11" hidden="1" x14ac:dyDescent="0.3">
      <c r="A271" s="31"/>
      <c r="C271" t="str">
        <f>RIGHT(C270,1)</f>
        <v>6</v>
      </c>
      <c r="D271">
        <f>D270+0</f>
        <v>5</v>
      </c>
      <c r="J271" t="str">
        <f>FIXED(A268,1)</f>
        <v>0,6</v>
      </c>
      <c r="K271" s="40"/>
    </row>
    <row r="272" spans="1:11" hidden="1" x14ac:dyDescent="0.3">
      <c r="A272" s="31"/>
      <c r="C272">
        <f>C271+0</f>
        <v>6</v>
      </c>
      <c r="D272" t="s">
        <v>35</v>
      </c>
      <c r="E272" t="s">
        <v>34</v>
      </c>
      <c r="F272" t="s">
        <v>33</v>
      </c>
      <c r="K272" s="27"/>
    </row>
    <row r="273" spans="1:11" hidden="1" x14ac:dyDescent="0.3">
      <c r="A273" s="31"/>
      <c r="D273" t="b">
        <f>ISODD(D270)</f>
        <v>1</v>
      </c>
      <c r="E273">
        <f>LEN(A268)</f>
        <v>4</v>
      </c>
      <c r="F273">
        <f>LEN(E270)+1</f>
        <v>2</v>
      </c>
      <c r="K273" s="27"/>
    </row>
    <row r="274" spans="1:11" hidden="1" x14ac:dyDescent="0.3">
      <c r="A274" s="31"/>
      <c r="K274" s="27"/>
    </row>
    <row r="275" spans="1:11" hidden="1" x14ac:dyDescent="0.3">
      <c r="A275" s="184" t="s">
        <v>45</v>
      </c>
      <c r="B275" s="185"/>
      <c r="C275" s="185"/>
      <c r="D275" s="185"/>
      <c r="E275" s="185"/>
      <c r="F275" s="185"/>
      <c r="G275" s="185"/>
      <c r="H275" s="185"/>
      <c r="I275" s="185"/>
      <c r="J275" s="185"/>
      <c r="K275" s="186"/>
    </row>
    <row r="276" spans="1:11" hidden="1" x14ac:dyDescent="0.3">
      <c r="A276" s="39" t="str">
        <f>K270</f>
        <v>0,6</v>
      </c>
      <c r="C276" t="str">
        <f>FIXED(A268,2)</f>
        <v>0,56</v>
      </c>
      <c r="D276" t="str">
        <f>RIGHT(C276,1)</f>
        <v>6</v>
      </c>
      <c r="E276">
        <f>D276+0</f>
        <v>6</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7" t="s">
        <v>52</v>
      </c>
      <c r="B282" s="188"/>
      <c r="C282" s="188"/>
      <c r="D282" s="188"/>
      <c r="E282" s="188"/>
      <c r="F282" s="188"/>
      <c r="G282" s="188"/>
      <c r="H282" s="188"/>
      <c r="I282" s="188"/>
      <c r="J282" s="188"/>
      <c r="K282" s="189"/>
    </row>
    <row r="283" spans="1:11" ht="15" thickBot="1" x14ac:dyDescent="0.35">
      <c r="A283" s="31" t="s">
        <v>31</v>
      </c>
      <c r="B283" s="18" t="s">
        <v>30</v>
      </c>
      <c r="C283" t="str">
        <f>FIXED(A284,6)</f>
        <v>0,558728</v>
      </c>
      <c r="D283" t="str">
        <f>RIGHT(C283,1)</f>
        <v>8</v>
      </c>
      <c r="E283">
        <f>D283/1000000</f>
        <v>7.9999999999999996E-6</v>
      </c>
      <c r="F283" s="30">
        <f>A284-E283</f>
        <v>0.55871984416073539</v>
      </c>
      <c r="H283" t="str">
        <f>IF(C288=5,IF(AND(D284=0,D289=FALSE),J286,J287),J287)</f>
        <v>0,5587</v>
      </c>
      <c r="K283" s="27"/>
    </row>
    <row r="284" spans="1:11" ht="18.600000000000001" thickBot="1" x14ac:dyDescent="0.4">
      <c r="A284" s="29">
        <f>INCERTIDUMBRE!L13</f>
        <v>0.5587278441607354</v>
      </c>
      <c r="B284" s="28" t="str">
        <f>IF(A284&gt;=10,K318,IF(A284&gt;=1,K310,IF(A284&gt;=0.1,K302,IF(A284&gt;=0.01,K294,IF(A284&gt;=0.001,K286)))))</f>
        <v>0,56</v>
      </c>
      <c r="C284" t="s">
        <v>29</v>
      </c>
      <c r="D284">
        <f>D283+0</f>
        <v>8</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35</v>
      </c>
      <c r="D286" t="str">
        <f>LEFT(C286,1)</f>
        <v>3</v>
      </c>
      <c r="E286" s="30">
        <f>TRUNC(A284)</f>
        <v>0</v>
      </c>
      <c r="F286" s="14" t="str">
        <f>FIXED(A284-E286,G286)</f>
        <v>0,558727844160735</v>
      </c>
      <c r="G286">
        <f>ABS(E289-F289)</f>
        <v>15</v>
      </c>
      <c r="H286" t="str">
        <f>RIGHT(A284,G286)</f>
        <v>558727844160735</v>
      </c>
      <c r="I286">
        <v>5.0000000000000002E-5</v>
      </c>
      <c r="J286" s="14">
        <f>(A284-I286)</f>
        <v>0.5586778441607354</v>
      </c>
      <c r="K286" s="45" t="str">
        <f>IF(C288=5,IF(AND(D284=0,D289=FALSE),J286,J287),J287)</f>
        <v>0,5587</v>
      </c>
    </row>
    <row r="287" spans="1:11" hidden="1" x14ac:dyDescent="0.3">
      <c r="A287" s="31"/>
      <c r="C287" t="str">
        <f>RIGHT(C286,1)</f>
        <v>5</v>
      </c>
      <c r="D287">
        <f>D286+0</f>
        <v>3</v>
      </c>
      <c r="J287" t="str">
        <f>FIXED(A284,4)</f>
        <v>0,5587</v>
      </c>
      <c r="K287" s="27"/>
    </row>
    <row r="288" spans="1:11" hidden="1" x14ac:dyDescent="0.3">
      <c r="A288" s="31"/>
      <c r="C288">
        <f>C287+0</f>
        <v>5</v>
      </c>
      <c r="D288" t="s">
        <v>35</v>
      </c>
      <c r="E288" t="s">
        <v>34</v>
      </c>
      <c r="F288" t="s">
        <v>33</v>
      </c>
      <c r="K288" s="27"/>
    </row>
    <row r="289" spans="1:11" hidden="1" x14ac:dyDescent="0.3">
      <c r="A289" s="31"/>
      <c r="D289" t="b">
        <f>ISODD(D286)</f>
        <v>1</v>
      </c>
      <c r="E289">
        <f>LEN(A284)</f>
        <v>17</v>
      </c>
      <c r="F289">
        <f>LEN(E286)+1</f>
        <v>2</v>
      </c>
      <c r="K289" s="27"/>
    </row>
    <row r="290" spans="1:11" hidden="1" x14ac:dyDescent="0.3">
      <c r="A290" s="31"/>
      <c r="K290" s="27"/>
    </row>
    <row r="291" spans="1:11" hidden="1" x14ac:dyDescent="0.3">
      <c r="A291" s="184" t="s">
        <v>48</v>
      </c>
      <c r="B291" s="185"/>
      <c r="C291" s="185"/>
      <c r="D291" s="185"/>
      <c r="E291" s="185"/>
      <c r="F291" s="185"/>
      <c r="G291" s="185"/>
      <c r="H291" s="185"/>
      <c r="I291" s="185"/>
      <c r="J291" s="185"/>
      <c r="K291" s="186"/>
    </row>
    <row r="292" spans="1:11" hidden="1" x14ac:dyDescent="0.3">
      <c r="A292" s="42" t="str">
        <f>K286</f>
        <v>0,5587</v>
      </c>
      <c r="C292" t="str">
        <f>FIXED(A284,5)</f>
        <v>0,55873</v>
      </c>
      <c r="D292" t="str">
        <f>RIGHT(C292,1)</f>
        <v>3</v>
      </c>
      <c r="E292">
        <f>D292+0</f>
        <v>3</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87</v>
      </c>
      <c r="D294" t="str">
        <f>LEFT(C294,1)</f>
        <v>8</v>
      </c>
      <c r="E294" s="36">
        <f>TRUNC(A292)</f>
        <v>0</v>
      </c>
      <c r="F294" s="14" t="str">
        <f>FIXED(A292-E294,G294)</f>
        <v>0,5587</v>
      </c>
      <c r="G294">
        <f>ABS(E297-F297)</f>
        <v>4</v>
      </c>
      <c r="H294" t="str">
        <f>RIGHT(A292,G294)</f>
        <v>5587</v>
      </c>
      <c r="I294">
        <v>5.0000000000000001E-4</v>
      </c>
      <c r="J294" s="44">
        <f>(A292-I294)</f>
        <v>0.55820000000000003</v>
      </c>
      <c r="K294" s="43" t="str">
        <f>IF(C296=5,IF(AND(E292=0,D297=FALSE),J294,J295),J295)</f>
        <v>0,559</v>
      </c>
    </row>
    <row r="295" spans="1:11" hidden="1" x14ac:dyDescent="0.3">
      <c r="A295" s="31"/>
      <c r="C295" t="str">
        <f>RIGHT(C294,1)</f>
        <v>7</v>
      </c>
      <c r="D295">
        <f>D294+0</f>
        <v>8</v>
      </c>
      <c r="J295" t="str">
        <f>FIXED(A292,3)</f>
        <v>0,559</v>
      </c>
      <c r="K295" s="27"/>
    </row>
    <row r="296" spans="1:11" hidden="1" x14ac:dyDescent="0.3">
      <c r="A296" s="31"/>
      <c r="C296">
        <f>C295+0</f>
        <v>7</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84" t="s">
        <v>47</v>
      </c>
      <c r="B299" s="185"/>
      <c r="C299" s="185"/>
      <c r="D299" s="185"/>
      <c r="E299" s="185"/>
      <c r="F299" s="185"/>
      <c r="G299" s="185"/>
      <c r="H299" s="185"/>
      <c r="I299" s="185"/>
      <c r="J299" s="185"/>
      <c r="K299" s="186"/>
    </row>
    <row r="300" spans="1:11" hidden="1" x14ac:dyDescent="0.3">
      <c r="A300" s="42" t="str">
        <f>K294</f>
        <v>0,559</v>
      </c>
      <c r="C300" t="str">
        <f>FIXED(A292,4)</f>
        <v>0,5587</v>
      </c>
      <c r="D300" t="str">
        <f>RIGHT(C300,1)</f>
        <v>7</v>
      </c>
      <c r="E300">
        <f>D300+0</f>
        <v>7</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59</v>
      </c>
      <c r="D302" t="str">
        <f>LEFT(C302,1)</f>
        <v>5</v>
      </c>
      <c r="E302" s="36">
        <f>TRUNC(A300)</f>
        <v>0</v>
      </c>
      <c r="F302" s="14" t="str">
        <f>FIXED(A300-E302,G302)</f>
        <v>0,559</v>
      </c>
      <c r="G302">
        <f>ABS(E305-F305)</f>
        <v>3</v>
      </c>
      <c r="H302" t="str">
        <f>RIGHT(A300,G302)</f>
        <v>559</v>
      </c>
      <c r="I302">
        <v>5.0000000000000001E-3</v>
      </c>
      <c r="J302" s="3">
        <f>(A300-I302)</f>
        <v>0.55400000000000005</v>
      </c>
      <c r="K302" s="41" t="str">
        <f>IF(C304=5,IF(AND(E300=0,D305=FALSE),J302,J303),J303)</f>
        <v>0,56</v>
      </c>
    </row>
    <row r="303" spans="1:11" ht="18" hidden="1" x14ac:dyDescent="0.35">
      <c r="A303" s="31"/>
      <c r="C303" t="str">
        <f>RIGHT(C302,1)</f>
        <v>9</v>
      </c>
      <c r="D303">
        <f>D302+0</f>
        <v>5</v>
      </c>
      <c r="J303" t="str">
        <f>FIXED(A300,2)</f>
        <v>0,56</v>
      </c>
      <c r="K303" s="41"/>
    </row>
    <row r="304" spans="1:11" hidden="1" x14ac:dyDescent="0.3">
      <c r="A304" s="31"/>
      <c r="C304">
        <f>C303+0</f>
        <v>9</v>
      </c>
      <c r="D304" t="s">
        <v>35</v>
      </c>
      <c r="E304" t="s">
        <v>34</v>
      </c>
      <c r="F304" t="s">
        <v>33</v>
      </c>
      <c r="K304" s="27"/>
    </row>
    <row r="305" spans="1:11" hidden="1" x14ac:dyDescent="0.3">
      <c r="A305" s="31"/>
      <c r="D305" t="b">
        <f>ISODD(D302)</f>
        <v>1</v>
      </c>
      <c r="E305">
        <f>LEN(A300)</f>
        <v>5</v>
      </c>
      <c r="F305">
        <f>LEN(E302)+1</f>
        <v>2</v>
      </c>
      <c r="K305" s="27"/>
    </row>
    <row r="306" spans="1:11" hidden="1" x14ac:dyDescent="0.3">
      <c r="A306" s="31"/>
      <c r="K306" s="27"/>
    </row>
    <row r="307" spans="1:11" hidden="1" x14ac:dyDescent="0.3">
      <c r="A307" s="184" t="s">
        <v>46</v>
      </c>
      <c r="B307" s="185"/>
      <c r="C307" s="185"/>
      <c r="D307" s="185"/>
      <c r="E307" s="185"/>
      <c r="F307" s="185"/>
      <c r="G307" s="185"/>
      <c r="H307" s="185"/>
      <c r="I307" s="185"/>
      <c r="J307" s="185"/>
      <c r="K307" s="186"/>
    </row>
    <row r="308" spans="1:11" hidden="1" x14ac:dyDescent="0.3">
      <c r="A308" s="39" t="str">
        <f>K302</f>
        <v>0,56</v>
      </c>
      <c r="C308" t="str">
        <f>FIXED(A300,3)</f>
        <v>0,559</v>
      </c>
      <c r="D308" t="str">
        <f>RIGHT(C308,1)</f>
        <v>9</v>
      </c>
      <c r="E308">
        <f>D308+0</f>
        <v>9</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56</v>
      </c>
      <c r="D310" t="str">
        <f>LEFT(C310,1)</f>
        <v>5</v>
      </c>
      <c r="E310" s="36">
        <f>TRUNC(A308)</f>
        <v>0</v>
      </c>
      <c r="F310" s="14" t="str">
        <f>FIXED(A308-E310,G310)</f>
        <v>0,56</v>
      </c>
      <c r="G310">
        <f>ABS(E313-F313)</f>
        <v>2</v>
      </c>
      <c r="H310" t="str">
        <f>RIGHT(A308,G310)</f>
        <v>56</v>
      </c>
      <c r="I310">
        <v>0.05</v>
      </c>
      <c r="J310" s="3">
        <f>(A308-I310)</f>
        <v>0.51</v>
      </c>
      <c r="K310" s="41" t="str">
        <f>IF(C312=5,IF(AND(E308=0,D313=FALSE),J310,J311),J311)</f>
        <v>0,6</v>
      </c>
    </row>
    <row r="311" spans="1:11" hidden="1" x14ac:dyDescent="0.3">
      <c r="A311" s="31"/>
      <c r="C311" t="str">
        <f>RIGHT(C310,1)</f>
        <v>6</v>
      </c>
      <c r="D311">
        <f>D310+0</f>
        <v>5</v>
      </c>
      <c r="J311" t="str">
        <f>FIXED(A308,1)</f>
        <v>0,6</v>
      </c>
      <c r="K311" s="40"/>
    </row>
    <row r="312" spans="1:11" hidden="1" x14ac:dyDescent="0.3">
      <c r="A312" s="31"/>
      <c r="C312">
        <f>C311+0</f>
        <v>6</v>
      </c>
      <c r="D312" t="s">
        <v>35</v>
      </c>
      <c r="E312" t="s">
        <v>34</v>
      </c>
      <c r="F312" t="s">
        <v>33</v>
      </c>
      <c r="K312" s="27"/>
    </row>
    <row r="313" spans="1:11" hidden="1" x14ac:dyDescent="0.3">
      <c r="A313" s="31"/>
      <c r="D313" t="b">
        <f>ISODD(D310)</f>
        <v>1</v>
      </c>
      <c r="E313">
        <f>LEN(A308)</f>
        <v>4</v>
      </c>
      <c r="F313">
        <f>LEN(E310)+1</f>
        <v>2</v>
      </c>
      <c r="K313" s="27"/>
    </row>
    <row r="314" spans="1:11" hidden="1" x14ac:dyDescent="0.3">
      <c r="A314" s="31"/>
      <c r="K314" s="27"/>
    </row>
    <row r="315" spans="1:11" hidden="1" x14ac:dyDescent="0.3">
      <c r="A315" s="184" t="s">
        <v>45</v>
      </c>
      <c r="B315" s="185"/>
      <c r="C315" s="185"/>
      <c r="D315" s="185"/>
      <c r="E315" s="185"/>
      <c r="F315" s="185"/>
      <c r="G315" s="185"/>
      <c r="H315" s="185"/>
      <c r="I315" s="185"/>
      <c r="J315" s="185"/>
      <c r="K315" s="186"/>
    </row>
    <row r="316" spans="1:11" hidden="1" x14ac:dyDescent="0.3">
      <c r="A316" s="39" t="str">
        <f>K310</f>
        <v>0,6</v>
      </c>
      <c r="C316" t="str">
        <f>FIXED(A308,2)</f>
        <v>0,56</v>
      </c>
      <c r="D316" t="str">
        <f>RIGHT(C316,1)</f>
        <v>6</v>
      </c>
      <c r="E316">
        <f>D316+0</f>
        <v>6</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7" t="s">
        <v>51</v>
      </c>
      <c r="B322" s="188"/>
      <c r="C322" s="188"/>
      <c r="D322" s="188"/>
      <c r="E322" s="188"/>
      <c r="F322" s="188"/>
      <c r="G322" s="188"/>
      <c r="H322" s="188"/>
      <c r="I322" s="188"/>
      <c r="J322" s="188"/>
      <c r="K322" s="189"/>
    </row>
    <row r="323" spans="1:11" ht="15" thickBot="1" x14ac:dyDescent="0.35">
      <c r="A323" s="31" t="s">
        <v>31</v>
      </c>
      <c r="B323" s="18" t="s">
        <v>30</v>
      </c>
      <c r="C323" t="str">
        <f>FIXED(A324,6)</f>
        <v>0,558728</v>
      </c>
      <c r="D323" t="str">
        <f>RIGHT(C323,1)</f>
        <v>8</v>
      </c>
      <c r="E323">
        <f>D323/1000000</f>
        <v>7.9999999999999996E-6</v>
      </c>
      <c r="F323" s="30">
        <f>A324-E323</f>
        <v>0.55871984416073539</v>
      </c>
      <c r="H323" t="str">
        <f>IF(C328=5,IF(AND(D324=0,D329=FALSE),J326,J327),J327)</f>
        <v>0,5587</v>
      </c>
      <c r="K323" s="27"/>
    </row>
    <row r="324" spans="1:11" ht="18.600000000000001" thickBot="1" x14ac:dyDescent="0.4">
      <c r="A324" s="29">
        <f>INCERTIDUMBRE!L14</f>
        <v>0.5587278441607354</v>
      </c>
      <c r="B324" s="28" t="str">
        <f>IF(A324&gt;=10,K358,IF(A324&gt;=1,K350,IF(A324&gt;=0.1,K342,IF(A324&gt;=0.01,K334,IF(A324&gt;=0.001,K326)))))</f>
        <v>0,56</v>
      </c>
      <c r="C324" t="s">
        <v>29</v>
      </c>
      <c r="D324">
        <f>D323+0</f>
        <v>8</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35</v>
      </c>
      <c r="D326" t="str">
        <f>LEFT(C326,1)</f>
        <v>3</v>
      </c>
      <c r="E326" s="30">
        <f>TRUNC(A324)</f>
        <v>0</v>
      </c>
      <c r="F326" s="14" t="str">
        <f>FIXED(A324-E326,G326)</f>
        <v>0,558727844160735</v>
      </c>
      <c r="G326">
        <f>ABS(E329-F329)</f>
        <v>15</v>
      </c>
      <c r="H326" t="str">
        <f>RIGHT(A324,G326)</f>
        <v>558727844160735</v>
      </c>
      <c r="I326">
        <v>5.0000000000000002E-5</v>
      </c>
      <c r="J326" s="14">
        <f>(A324-I326)</f>
        <v>0.5586778441607354</v>
      </c>
      <c r="K326" s="45" t="str">
        <f>IF(C328=5,IF(AND(D324=0,D329=FALSE),J326,J327),J327)</f>
        <v>0,5587</v>
      </c>
    </row>
    <row r="327" spans="1:11" hidden="1" x14ac:dyDescent="0.3">
      <c r="A327" s="31"/>
      <c r="C327" t="str">
        <f>RIGHT(C326,1)</f>
        <v>5</v>
      </c>
      <c r="D327">
        <f>D326+0</f>
        <v>3</v>
      </c>
      <c r="J327" t="str">
        <f>FIXED(A324,4)</f>
        <v>0,5587</v>
      </c>
      <c r="K327" s="27"/>
    </row>
    <row r="328" spans="1:11" hidden="1" x14ac:dyDescent="0.3">
      <c r="A328" s="31"/>
      <c r="C328">
        <f>C327+0</f>
        <v>5</v>
      </c>
      <c r="D328" t="s">
        <v>35</v>
      </c>
      <c r="E328" t="s">
        <v>34</v>
      </c>
      <c r="F328" t="s">
        <v>33</v>
      </c>
      <c r="K328" s="27"/>
    </row>
    <row r="329" spans="1:11" hidden="1" x14ac:dyDescent="0.3">
      <c r="A329" s="31"/>
      <c r="D329" t="b">
        <f>ISODD(D326)</f>
        <v>1</v>
      </c>
      <c r="E329">
        <f>LEN(A324)</f>
        <v>17</v>
      </c>
      <c r="F329">
        <f>LEN(E326)+1</f>
        <v>2</v>
      </c>
      <c r="K329" s="27"/>
    </row>
    <row r="330" spans="1:11" hidden="1" x14ac:dyDescent="0.3">
      <c r="A330" s="31"/>
      <c r="K330" s="27"/>
    </row>
    <row r="331" spans="1:11" hidden="1" x14ac:dyDescent="0.3">
      <c r="A331" s="184" t="s">
        <v>48</v>
      </c>
      <c r="B331" s="185"/>
      <c r="C331" s="185"/>
      <c r="D331" s="185"/>
      <c r="E331" s="185"/>
      <c r="F331" s="185"/>
      <c r="G331" s="185"/>
      <c r="H331" s="185"/>
      <c r="I331" s="185"/>
      <c r="J331" s="185"/>
      <c r="K331" s="186"/>
    </row>
    <row r="332" spans="1:11" hidden="1" x14ac:dyDescent="0.3">
      <c r="A332" s="42" t="str">
        <f>K326</f>
        <v>0,5587</v>
      </c>
      <c r="C332" t="str">
        <f>FIXED(A324,5)</f>
        <v>0,55873</v>
      </c>
      <c r="D332" t="str">
        <f>RIGHT(C332,1)</f>
        <v>3</v>
      </c>
      <c r="E332">
        <f>D332+0</f>
        <v>3</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87</v>
      </c>
      <c r="D334" t="str">
        <f>LEFT(C334,1)</f>
        <v>8</v>
      </c>
      <c r="E334" s="36">
        <f>TRUNC(A332)</f>
        <v>0</v>
      </c>
      <c r="F334" s="14" t="str">
        <f>FIXED(A332-E334,G334)</f>
        <v>0,5587</v>
      </c>
      <c r="G334">
        <f>ABS(E337-F337)</f>
        <v>4</v>
      </c>
      <c r="H334" t="str">
        <f>RIGHT(A332,G334)</f>
        <v>5587</v>
      </c>
      <c r="I334">
        <v>5.0000000000000001E-4</v>
      </c>
      <c r="J334" s="44">
        <f>(A332-I334)</f>
        <v>0.55820000000000003</v>
      </c>
      <c r="K334" s="43" t="str">
        <f>IF(C336=5,IF(AND(E332=0,D337=FALSE),J334,J335),J335)</f>
        <v>0,559</v>
      </c>
    </row>
    <row r="335" spans="1:11" hidden="1" x14ac:dyDescent="0.3">
      <c r="A335" s="31"/>
      <c r="C335" t="str">
        <f>RIGHT(C334,1)</f>
        <v>7</v>
      </c>
      <c r="D335">
        <f>D334+0</f>
        <v>8</v>
      </c>
      <c r="J335" t="str">
        <f>FIXED(A332,3)</f>
        <v>0,559</v>
      </c>
      <c r="K335" s="27"/>
    </row>
    <row r="336" spans="1:11" hidden="1" x14ac:dyDescent="0.3">
      <c r="A336" s="31"/>
      <c r="C336">
        <f>C335+0</f>
        <v>7</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84" t="s">
        <v>47</v>
      </c>
      <c r="B339" s="185"/>
      <c r="C339" s="185"/>
      <c r="D339" s="185"/>
      <c r="E339" s="185"/>
      <c r="F339" s="185"/>
      <c r="G339" s="185"/>
      <c r="H339" s="185"/>
      <c r="I339" s="185"/>
      <c r="J339" s="185"/>
      <c r="K339" s="186"/>
    </row>
    <row r="340" spans="1:11" hidden="1" x14ac:dyDescent="0.3">
      <c r="A340" s="42" t="str">
        <f>K334</f>
        <v>0,559</v>
      </c>
      <c r="C340" t="str">
        <f>FIXED(A332,4)</f>
        <v>0,5587</v>
      </c>
      <c r="D340" t="str">
        <f>RIGHT(C340,1)</f>
        <v>7</v>
      </c>
      <c r="E340">
        <f>D340+0</f>
        <v>7</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59</v>
      </c>
      <c r="D342" t="str">
        <f>LEFT(C342,1)</f>
        <v>5</v>
      </c>
      <c r="E342" s="36">
        <f>TRUNC(A340)</f>
        <v>0</v>
      </c>
      <c r="F342" s="14" t="str">
        <f>FIXED(A340-E342,G342)</f>
        <v>0,559</v>
      </c>
      <c r="G342">
        <f>ABS(E345-F345)</f>
        <v>3</v>
      </c>
      <c r="H342" t="str">
        <f>RIGHT(A340,G342)</f>
        <v>559</v>
      </c>
      <c r="I342">
        <v>5.0000000000000001E-3</v>
      </c>
      <c r="J342" s="3">
        <f>(A340-I342)</f>
        <v>0.55400000000000005</v>
      </c>
      <c r="K342" s="41" t="str">
        <f>IF(C344=5,IF(AND(E340=0,D345=FALSE),J342,J343),J343)</f>
        <v>0,56</v>
      </c>
    </row>
    <row r="343" spans="1:11" ht="18" hidden="1" x14ac:dyDescent="0.35">
      <c r="A343" s="31"/>
      <c r="C343" t="str">
        <f>RIGHT(C342,1)</f>
        <v>9</v>
      </c>
      <c r="D343">
        <f>D342+0</f>
        <v>5</v>
      </c>
      <c r="J343" t="str">
        <f>FIXED(A340,2)</f>
        <v>0,56</v>
      </c>
      <c r="K343" s="41"/>
    </row>
    <row r="344" spans="1:11" hidden="1" x14ac:dyDescent="0.3">
      <c r="A344" s="31"/>
      <c r="C344">
        <f>C343+0</f>
        <v>9</v>
      </c>
      <c r="D344" t="s">
        <v>35</v>
      </c>
      <c r="E344" t="s">
        <v>34</v>
      </c>
      <c r="F344" t="s">
        <v>33</v>
      </c>
      <c r="K344" s="27"/>
    </row>
    <row r="345" spans="1:11" hidden="1" x14ac:dyDescent="0.3">
      <c r="A345" s="31"/>
      <c r="D345" t="b">
        <f>ISODD(D342)</f>
        <v>1</v>
      </c>
      <c r="E345">
        <f>LEN(A340)</f>
        <v>5</v>
      </c>
      <c r="F345">
        <f>LEN(E342)+1</f>
        <v>2</v>
      </c>
      <c r="K345" s="27"/>
    </row>
    <row r="346" spans="1:11" hidden="1" x14ac:dyDescent="0.3">
      <c r="A346" s="31"/>
      <c r="K346" s="27"/>
    </row>
    <row r="347" spans="1:11" hidden="1" x14ac:dyDescent="0.3">
      <c r="A347" s="184" t="s">
        <v>46</v>
      </c>
      <c r="B347" s="185"/>
      <c r="C347" s="185"/>
      <c r="D347" s="185"/>
      <c r="E347" s="185"/>
      <c r="F347" s="185"/>
      <c r="G347" s="185"/>
      <c r="H347" s="185"/>
      <c r="I347" s="185"/>
      <c r="J347" s="185"/>
      <c r="K347" s="186"/>
    </row>
    <row r="348" spans="1:11" hidden="1" x14ac:dyDescent="0.3">
      <c r="A348" s="39" t="str">
        <f>K342</f>
        <v>0,56</v>
      </c>
      <c r="C348" t="str">
        <f>FIXED(A340,3)</f>
        <v>0,559</v>
      </c>
      <c r="D348" t="str">
        <f>RIGHT(C348,1)</f>
        <v>9</v>
      </c>
      <c r="E348">
        <f>D348+0</f>
        <v>9</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56</v>
      </c>
      <c r="D350" t="str">
        <f>LEFT(C350,1)</f>
        <v>5</v>
      </c>
      <c r="E350" s="36">
        <f>TRUNC(A348)</f>
        <v>0</v>
      </c>
      <c r="F350" s="14" t="str">
        <f>FIXED(A348-E350,G350)</f>
        <v>0,56</v>
      </c>
      <c r="G350">
        <f>ABS(E353-F353)</f>
        <v>2</v>
      </c>
      <c r="H350" t="str">
        <f>RIGHT(A348,G350)</f>
        <v>56</v>
      </c>
      <c r="I350">
        <v>0.05</v>
      </c>
      <c r="J350" s="3">
        <f>(A348-I350)</f>
        <v>0.51</v>
      </c>
      <c r="K350" s="41" t="str">
        <f>IF(C352=5,IF(AND(E348=0,D353=FALSE),J350,J351),J351)</f>
        <v>0,6</v>
      </c>
    </row>
    <row r="351" spans="1:11" hidden="1" x14ac:dyDescent="0.3">
      <c r="A351" s="31"/>
      <c r="C351" t="str">
        <f>RIGHT(C350,1)</f>
        <v>6</v>
      </c>
      <c r="D351">
        <f>D350+0</f>
        <v>5</v>
      </c>
      <c r="J351" t="str">
        <f>FIXED(A348,1)</f>
        <v>0,6</v>
      </c>
      <c r="K351" s="40"/>
    </row>
    <row r="352" spans="1:11" hidden="1" x14ac:dyDescent="0.3">
      <c r="A352" s="31"/>
      <c r="C352">
        <f>C351+0</f>
        <v>6</v>
      </c>
      <c r="D352" t="s">
        <v>35</v>
      </c>
      <c r="E352" t="s">
        <v>34</v>
      </c>
      <c r="F352" t="s">
        <v>33</v>
      </c>
      <c r="K352" s="27"/>
    </row>
    <row r="353" spans="1:11" hidden="1" x14ac:dyDescent="0.3">
      <c r="A353" s="31"/>
      <c r="D353" t="b">
        <f>ISODD(D350)</f>
        <v>1</v>
      </c>
      <c r="E353">
        <f>LEN(A348)</f>
        <v>4</v>
      </c>
      <c r="F353">
        <f>LEN(E350)+1</f>
        <v>2</v>
      </c>
      <c r="K353" s="27"/>
    </row>
    <row r="354" spans="1:11" hidden="1" x14ac:dyDescent="0.3">
      <c r="A354" s="31"/>
      <c r="K354" s="27"/>
    </row>
    <row r="355" spans="1:11" hidden="1" x14ac:dyDescent="0.3">
      <c r="A355" s="184" t="s">
        <v>45</v>
      </c>
      <c r="B355" s="185"/>
      <c r="C355" s="185"/>
      <c r="D355" s="185"/>
      <c r="E355" s="185"/>
      <c r="F355" s="185"/>
      <c r="G355" s="185"/>
      <c r="H355" s="185"/>
      <c r="I355" s="185"/>
      <c r="J355" s="185"/>
      <c r="K355" s="186"/>
    </row>
    <row r="356" spans="1:11" hidden="1" x14ac:dyDescent="0.3">
      <c r="A356" s="39" t="str">
        <f>K350</f>
        <v>0,6</v>
      </c>
      <c r="C356" t="str">
        <f>FIXED(A348,2)</f>
        <v>0,56</v>
      </c>
      <c r="D356" t="str">
        <f>RIGHT(C356,1)</f>
        <v>6</v>
      </c>
      <c r="E356">
        <f>D356+0</f>
        <v>6</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7" t="s">
        <v>50</v>
      </c>
      <c r="B362" s="188"/>
      <c r="C362" s="188"/>
      <c r="D362" s="188"/>
      <c r="E362" s="188"/>
      <c r="F362" s="188"/>
      <c r="G362" s="188"/>
      <c r="H362" s="188"/>
      <c r="I362" s="188"/>
      <c r="J362" s="188"/>
      <c r="K362" s="189"/>
    </row>
    <row r="363" spans="1:11" ht="15" thickBot="1" x14ac:dyDescent="0.35">
      <c r="A363" s="31" t="s">
        <v>31</v>
      </c>
      <c r="B363" s="18" t="s">
        <v>30</v>
      </c>
      <c r="C363" t="str">
        <f>FIXED(A364,6)</f>
        <v>0,558728</v>
      </c>
      <c r="D363" t="str">
        <f>RIGHT(C363,1)</f>
        <v>8</v>
      </c>
      <c r="E363">
        <f>D363/1000000</f>
        <v>7.9999999999999996E-6</v>
      </c>
      <c r="F363" s="30">
        <f>A364-E363</f>
        <v>0.55871984416073539</v>
      </c>
      <c r="H363" t="str">
        <f>IF(C368=5,IF(AND(D364=0,D369=FALSE),J366,J367),J367)</f>
        <v>0,5587</v>
      </c>
      <c r="K363" s="27"/>
    </row>
    <row r="364" spans="1:11" ht="18.600000000000001" thickBot="1" x14ac:dyDescent="0.4">
      <c r="A364" s="29">
        <f>INCERTIDUMBRE!L15</f>
        <v>0.5587278441607354</v>
      </c>
      <c r="B364" s="28" t="str">
        <f>IF(A364&gt;=10,K398,IF(A364&gt;=1,K390,IF(A364&gt;=0.1,K382,IF(A364&gt;=0.01,K374,IF(A364&gt;=0.001,K366)))))</f>
        <v>0,56</v>
      </c>
      <c r="C364" t="s">
        <v>29</v>
      </c>
      <c r="D364">
        <f>D363+0</f>
        <v>8</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35</v>
      </c>
      <c r="D366" t="str">
        <f>LEFT(C366,1)</f>
        <v>3</v>
      </c>
      <c r="E366" s="30">
        <f>TRUNC(A364)</f>
        <v>0</v>
      </c>
      <c r="F366" s="14" t="str">
        <f>FIXED(A364-E366,G366)</f>
        <v>0,558727844160735</v>
      </c>
      <c r="G366">
        <f>ABS(E369-F369)</f>
        <v>15</v>
      </c>
      <c r="H366" t="str">
        <f>RIGHT(A364,G366)</f>
        <v>558727844160735</v>
      </c>
      <c r="I366">
        <v>5.0000000000000002E-5</v>
      </c>
      <c r="J366" s="14">
        <f>(A364-I366)</f>
        <v>0.5586778441607354</v>
      </c>
      <c r="K366" s="45" t="str">
        <f>IF(C368=5,IF(AND(D364=0,D369=FALSE),J366,J367),J367)</f>
        <v>0,5587</v>
      </c>
    </row>
    <row r="367" spans="1:11" hidden="1" x14ac:dyDescent="0.3">
      <c r="A367" s="31"/>
      <c r="C367" t="str">
        <f>RIGHT(C366,1)</f>
        <v>5</v>
      </c>
      <c r="D367">
        <f>D366+0</f>
        <v>3</v>
      </c>
      <c r="J367" t="str">
        <f>FIXED(A364,4)</f>
        <v>0,5587</v>
      </c>
      <c r="K367" s="27"/>
    </row>
    <row r="368" spans="1:11" hidden="1" x14ac:dyDescent="0.3">
      <c r="A368" s="31"/>
      <c r="C368">
        <f>C367+0</f>
        <v>5</v>
      </c>
      <c r="D368" t="s">
        <v>35</v>
      </c>
      <c r="E368" t="s">
        <v>34</v>
      </c>
      <c r="F368" t="s">
        <v>33</v>
      </c>
      <c r="K368" s="27"/>
    </row>
    <row r="369" spans="1:11" hidden="1" x14ac:dyDescent="0.3">
      <c r="A369" s="31"/>
      <c r="D369" t="b">
        <f>ISODD(D366)</f>
        <v>1</v>
      </c>
      <c r="E369">
        <f>LEN(A364)</f>
        <v>17</v>
      </c>
      <c r="F369">
        <f>LEN(E366)+1</f>
        <v>2</v>
      </c>
      <c r="K369" s="27"/>
    </row>
    <row r="370" spans="1:11" hidden="1" x14ac:dyDescent="0.3">
      <c r="A370" s="31"/>
      <c r="K370" s="27"/>
    </row>
    <row r="371" spans="1:11" hidden="1" x14ac:dyDescent="0.3">
      <c r="A371" s="184" t="s">
        <v>48</v>
      </c>
      <c r="B371" s="185"/>
      <c r="C371" s="185"/>
      <c r="D371" s="185"/>
      <c r="E371" s="185"/>
      <c r="F371" s="185"/>
      <c r="G371" s="185"/>
      <c r="H371" s="185"/>
      <c r="I371" s="185"/>
      <c r="J371" s="185"/>
      <c r="K371" s="186"/>
    </row>
    <row r="372" spans="1:11" hidden="1" x14ac:dyDescent="0.3">
      <c r="A372" s="42" t="str">
        <f>K366</f>
        <v>0,5587</v>
      </c>
      <c r="C372" t="str">
        <f>FIXED(A364,5)</f>
        <v>0,55873</v>
      </c>
      <c r="D372" t="str">
        <f>RIGHT(C372,1)</f>
        <v>3</v>
      </c>
      <c r="E372">
        <f>D372+0</f>
        <v>3</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87</v>
      </c>
      <c r="D374" t="str">
        <f>LEFT(C374,1)</f>
        <v>8</v>
      </c>
      <c r="E374" s="36">
        <f>TRUNC(A372)</f>
        <v>0</v>
      </c>
      <c r="F374" s="14" t="str">
        <f>FIXED(A372-E374,G374)</f>
        <v>0,5587</v>
      </c>
      <c r="G374">
        <f>ABS(E377-F377)</f>
        <v>4</v>
      </c>
      <c r="H374" t="str">
        <f>RIGHT(A372,G374)</f>
        <v>5587</v>
      </c>
      <c r="I374">
        <v>5.0000000000000001E-4</v>
      </c>
      <c r="J374" s="44">
        <f>(A372-I374)</f>
        <v>0.55820000000000003</v>
      </c>
      <c r="K374" s="43" t="str">
        <f>IF(C376=5,IF(AND(E372=0,D377=FALSE),J374,J375),J375)</f>
        <v>0,559</v>
      </c>
    </row>
    <row r="375" spans="1:11" hidden="1" x14ac:dyDescent="0.3">
      <c r="A375" s="31"/>
      <c r="C375" t="str">
        <f>RIGHT(C374,1)</f>
        <v>7</v>
      </c>
      <c r="D375">
        <f>D374+0</f>
        <v>8</v>
      </c>
      <c r="J375" t="str">
        <f>FIXED(A372,3)</f>
        <v>0,559</v>
      </c>
      <c r="K375" s="27"/>
    </row>
    <row r="376" spans="1:11" hidden="1" x14ac:dyDescent="0.3">
      <c r="A376" s="31"/>
      <c r="C376">
        <f>C375+0</f>
        <v>7</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84" t="s">
        <v>47</v>
      </c>
      <c r="B379" s="185"/>
      <c r="C379" s="185"/>
      <c r="D379" s="185"/>
      <c r="E379" s="185"/>
      <c r="F379" s="185"/>
      <c r="G379" s="185"/>
      <c r="H379" s="185"/>
      <c r="I379" s="185"/>
      <c r="J379" s="185"/>
      <c r="K379" s="186"/>
    </row>
    <row r="380" spans="1:11" hidden="1" x14ac:dyDescent="0.3">
      <c r="A380" s="42" t="str">
        <f>K374</f>
        <v>0,559</v>
      </c>
      <c r="C380" t="str">
        <f>FIXED(A372,4)</f>
        <v>0,5587</v>
      </c>
      <c r="D380" t="str">
        <f>RIGHT(C380,1)</f>
        <v>7</v>
      </c>
      <c r="E380">
        <f>D380+0</f>
        <v>7</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59</v>
      </c>
      <c r="D382" t="str">
        <f>LEFT(C382,1)</f>
        <v>5</v>
      </c>
      <c r="E382" s="36">
        <f>TRUNC(A380)</f>
        <v>0</v>
      </c>
      <c r="F382" s="14" t="str">
        <f>FIXED(A380-E382,G382)</f>
        <v>0,559</v>
      </c>
      <c r="G382">
        <f>ABS(E385-F385)</f>
        <v>3</v>
      </c>
      <c r="H382" t="str">
        <f>RIGHT(A380,G382)</f>
        <v>559</v>
      </c>
      <c r="I382">
        <v>5.0000000000000001E-3</v>
      </c>
      <c r="J382" s="3">
        <f>(A380-I382)</f>
        <v>0.55400000000000005</v>
      </c>
      <c r="K382" s="41" t="str">
        <f>IF(C384=5,IF(AND(E380=0,D385=FALSE),J382,J383),J383)</f>
        <v>0,56</v>
      </c>
    </row>
    <row r="383" spans="1:11" ht="18" hidden="1" x14ac:dyDescent="0.35">
      <c r="A383" s="31"/>
      <c r="C383" t="str">
        <f>RIGHT(C382,1)</f>
        <v>9</v>
      </c>
      <c r="D383">
        <f>D382+0</f>
        <v>5</v>
      </c>
      <c r="J383" t="str">
        <f>FIXED(A380,2)</f>
        <v>0,56</v>
      </c>
      <c r="K383" s="41"/>
    </row>
    <row r="384" spans="1:11" hidden="1" x14ac:dyDescent="0.3">
      <c r="A384" s="31"/>
      <c r="C384">
        <f>C383+0</f>
        <v>9</v>
      </c>
      <c r="D384" t="s">
        <v>35</v>
      </c>
      <c r="E384" t="s">
        <v>34</v>
      </c>
      <c r="F384" t="s">
        <v>33</v>
      </c>
      <c r="K384" s="27"/>
    </row>
    <row r="385" spans="1:11" hidden="1" x14ac:dyDescent="0.3">
      <c r="A385" s="31"/>
      <c r="D385" t="b">
        <f>ISODD(D382)</f>
        <v>1</v>
      </c>
      <c r="E385">
        <f>LEN(A380)</f>
        <v>5</v>
      </c>
      <c r="F385">
        <f>LEN(E382)+1</f>
        <v>2</v>
      </c>
      <c r="K385" s="27"/>
    </row>
    <row r="386" spans="1:11" hidden="1" x14ac:dyDescent="0.3">
      <c r="A386" s="31"/>
      <c r="K386" s="27"/>
    </row>
    <row r="387" spans="1:11" hidden="1" x14ac:dyDescent="0.3">
      <c r="A387" s="184" t="s">
        <v>46</v>
      </c>
      <c r="B387" s="185"/>
      <c r="C387" s="185"/>
      <c r="D387" s="185"/>
      <c r="E387" s="185"/>
      <c r="F387" s="185"/>
      <c r="G387" s="185"/>
      <c r="H387" s="185"/>
      <c r="I387" s="185"/>
      <c r="J387" s="185"/>
      <c r="K387" s="186"/>
    </row>
    <row r="388" spans="1:11" hidden="1" x14ac:dyDescent="0.3">
      <c r="A388" s="39" t="str">
        <f>K382</f>
        <v>0,56</v>
      </c>
      <c r="C388" t="str">
        <f>FIXED(A380,3)</f>
        <v>0,559</v>
      </c>
      <c r="D388" t="str">
        <f>RIGHT(C388,1)</f>
        <v>9</v>
      </c>
      <c r="E388">
        <f>D388+0</f>
        <v>9</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56</v>
      </c>
      <c r="D390" t="str">
        <f>LEFT(C390,1)</f>
        <v>5</v>
      </c>
      <c r="E390" s="36">
        <f>TRUNC(A388)</f>
        <v>0</v>
      </c>
      <c r="F390" s="14" t="str">
        <f>FIXED(A388-E390,G390)</f>
        <v>0,56</v>
      </c>
      <c r="G390">
        <f>ABS(E393-F393)</f>
        <v>2</v>
      </c>
      <c r="H390" t="str">
        <f>RIGHT(A388,G390)</f>
        <v>56</v>
      </c>
      <c r="I390">
        <v>0.05</v>
      </c>
      <c r="J390" s="3">
        <f>(A388-I390)</f>
        <v>0.51</v>
      </c>
      <c r="K390" s="41" t="str">
        <f>IF(C392=5,IF(AND(E388=0,D393=FALSE),J390,J391),J391)</f>
        <v>0,6</v>
      </c>
    </row>
    <row r="391" spans="1:11" hidden="1" x14ac:dyDescent="0.3">
      <c r="A391" s="31"/>
      <c r="C391" t="str">
        <f>RIGHT(C390,1)</f>
        <v>6</v>
      </c>
      <c r="D391">
        <f>D390+0</f>
        <v>5</v>
      </c>
      <c r="J391" t="str">
        <f>FIXED(A388,1)</f>
        <v>0,6</v>
      </c>
      <c r="K391" s="40"/>
    </row>
    <row r="392" spans="1:11" hidden="1" x14ac:dyDescent="0.3">
      <c r="A392" s="31"/>
      <c r="C392">
        <f>C391+0</f>
        <v>6</v>
      </c>
      <c r="D392" t="s">
        <v>35</v>
      </c>
      <c r="E392" t="s">
        <v>34</v>
      </c>
      <c r="F392" t="s">
        <v>33</v>
      </c>
      <c r="K392" s="27"/>
    </row>
    <row r="393" spans="1:11" hidden="1" x14ac:dyDescent="0.3">
      <c r="A393" s="31"/>
      <c r="D393" t="b">
        <f>ISODD(D390)</f>
        <v>1</v>
      </c>
      <c r="E393">
        <f>LEN(A388)</f>
        <v>4</v>
      </c>
      <c r="F393">
        <f>LEN(E390)+1</f>
        <v>2</v>
      </c>
      <c r="K393" s="27"/>
    </row>
    <row r="394" spans="1:11" hidden="1" x14ac:dyDescent="0.3">
      <c r="A394" s="31"/>
      <c r="K394" s="27"/>
    </row>
    <row r="395" spans="1:11" hidden="1" x14ac:dyDescent="0.3">
      <c r="A395" s="184" t="s">
        <v>45</v>
      </c>
      <c r="B395" s="185"/>
      <c r="C395" s="185"/>
      <c r="D395" s="185"/>
      <c r="E395" s="185"/>
      <c r="F395" s="185"/>
      <c r="G395" s="185"/>
      <c r="H395" s="185"/>
      <c r="I395" s="185"/>
      <c r="J395" s="185"/>
      <c r="K395" s="186"/>
    </row>
    <row r="396" spans="1:11" hidden="1" x14ac:dyDescent="0.3">
      <c r="A396" s="39" t="str">
        <f>K390</f>
        <v>0,6</v>
      </c>
      <c r="C396" t="str">
        <f>FIXED(A388,2)</f>
        <v>0,56</v>
      </c>
      <c r="D396" t="str">
        <f>RIGHT(C396,1)</f>
        <v>6</v>
      </c>
      <c r="E396">
        <f>D396+0</f>
        <v>6</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,6</v>
      </c>
      <c r="D398" t="str">
        <f>RIGHT(E398,1)</f>
        <v>0</v>
      </c>
      <c r="E398" s="36">
        <f>TRUNC(A396)</f>
        <v>0</v>
      </c>
      <c r="F398" s="14" t="str">
        <f>FIXED(A396-E398,G398)</f>
        <v>0,6</v>
      </c>
      <c r="G398">
        <f>ABS(E401-F401)</f>
        <v>1</v>
      </c>
      <c r="H398" t="str">
        <f>RIGHT(A396,G398)</f>
        <v>6</v>
      </c>
      <c r="I398">
        <v>0.5</v>
      </c>
      <c r="J398" s="12">
        <f>(A396-I398)</f>
        <v>9.9999999999999978E-2</v>
      </c>
      <c r="K398" s="35" t="str">
        <f>IF(C400=5,IF(AND(E396=0,D401=FALSE),J398,J399),J399)</f>
        <v>1</v>
      </c>
    </row>
    <row r="399" spans="1:11" hidden="1" x14ac:dyDescent="0.3">
      <c r="A399" s="31"/>
      <c r="C399" t="str">
        <f>RIGHT(C398,1)</f>
        <v>6</v>
      </c>
      <c r="D399">
        <f>D398+0</f>
        <v>0</v>
      </c>
      <c r="J399" t="str">
        <f>FIXED(A396,0)</f>
        <v>1</v>
      </c>
      <c r="K399" s="34"/>
    </row>
    <row r="400" spans="1:11" hidden="1" x14ac:dyDescent="0.3">
      <c r="A400" s="31"/>
      <c r="C400">
        <f>C399+0</f>
        <v>6</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7" t="s">
        <v>49</v>
      </c>
      <c r="B402" s="188"/>
      <c r="C402" s="188"/>
      <c r="D402" s="188"/>
      <c r="E402" s="188"/>
      <c r="F402" s="188"/>
      <c r="G402" s="188"/>
      <c r="H402" s="188"/>
      <c r="I402" s="188"/>
      <c r="J402" s="188"/>
      <c r="K402" s="189"/>
    </row>
    <row r="403" spans="1:11" ht="15" thickBot="1" x14ac:dyDescent="0.35">
      <c r="A403" s="31" t="s">
        <v>31</v>
      </c>
      <c r="B403" s="18" t="s">
        <v>30</v>
      </c>
      <c r="C403" t="str">
        <f>FIXED(A404,6)</f>
        <v>0,558728</v>
      </c>
      <c r="D403" t="str">
        <f>RIGHT(C403,1)</f>
        <v>8</v>
      </c>
      <c r="E403">
        <f>D403/1000000</f>
        <v>7.9999999999999996E-6</v>
      </c>
      <c r="F403" s="30">
        <f>A404-E403</f>
        <v>0.55871984416073539</v>
      </c>
      <c r="H403" t="str">
        <f>IF(C408=5,IF(AND(D404=0,D409=FALSE),J406,J407),J407)</f>
        <v>0,5587</v>
      </c>
      <c r="K403" s="27"/>
    </row>
    <row r="404" spans="1:11" ht="18.600000000000001" thickBot="1" x14ac:dyDescent="0.4">
      <c r="A404" s="29">
        <f>INCERTIDUMBRE!L16</f>
        <v>0.5587278441607354</v>
      </c>
      <c r="B404" s="28" t="str">
        <f>IF(A404&gt;=10,K438,IF(A404&gt;=1,K430,IF(A404&gt;=0.1,K422,IF(A404&gt;=0.01,K414,IF(A404&gt;=0.001,K406)))))</f>
        <v>0,56</v>
      </c>
      <c r="C404" t="s">
        <v>29</v>
      </c>
      <c r="D404">
        <f>D403+0</f>
        <v>8</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35</v>
      </c>
      <c r="D406" t="str">
        <f>LEFT(C406,1)</f>
        <v>3</v>
      </c>
      <c r="E406" s="30">
        <f>TRUNC(A404)</f>
        <v>0</v>
      </c>
      <c r="F406" s="14" t="str">
        <f>FIXED(A404-E406,G406)</f>
        <v>0,558727844160735</v>
      </c>
      <c r="G406">
        <f>ABS(E409-F409)</f>
        <v>15</v>
      </c>
      <c r="H406" t="str">
        <f>RIGHT(A404,G406)</f>
        <v>558727844160735</v>
      </c>
      <c r="I406">
        <v>5.0000000000000002E-5</v>
      </c>
      <c r="J406" s="14">
        <f>(A404-I406)</f>
        <v>0.5586778441607354</v>
      </c>
      <c r="K406" s="45" t="str">
        <f>IF(C408=5,IF(AND(D404=0,D409=FALSE),J406,J407),J407)</f>
        <v>0,5587</v>
      </c>
    </row>
    <row r="407" spans="1:11" hidden="1" x14ac:dyDescent="0.3">
      <c r="A407" s="31"/>
      <c r="C407" t="str">
        <f>RIGHT(C406,1)</f>
        <v>5</v>
      </c>
      <c r="D407">
        <f>D406+0</f>
        <v>3</v>
      </c>
      <c r="J407" t="str">
        <f>FIXED(A404,4)</f>
        <v>0,5587</v>
      </c>
      <c r="K407" s="27"/>
    </row>
    <row r="408" spans="1:11" hidden="1" x14ac:dyDescent="0.3">
      <c r="A408" s="31"/>
      <c r="C408">
        <f>C407+0</f>
        <v>5</v>
      </c>
      <c r="D408" t="s">
        <v>35</v>
      </c>
      <c r="E408" t="s">
        <v>34</v>
      </c>
      <c r="F408" t="s">
        <v>33</v>
      </c>
      <c r="K408" s="27"/>
    </row>
    <row r="409" spans="1:11" hidden="1" x14ac:dyDescent="0.3">
      <c r="A409" s="31"/>
      <c r="D409" t="b">
        <f>ISODD(D406)</f>
        <v>1</v>
      </c>
      <c r="E409">
        <f>LEN(A404)</f>
        <v>17</v>
      </c>
      <c r="F409">
        <f>LEN(E406)+1</f>
        <v>2</v>
      </c>
      <c r="K409" s="27"/>
    </row>
    <row r="410" spans="1:11" hidden="1" x14ac:dyDescent="0.3">
      <c r="A410" s="31"/>
      <c r="K410" s="27"/>
    </row>
    <row r="411" spans="1:11" hidden="1" x14ac:dyDescent="0.3">
      <c r="A411" s="184" t="s">
        <v>48</v>
      </c>
      <c r="B411" s="185"/>
      <c r="C411" s="185"/>
      <c r="D411" s="185"/>
      <c r="E411" s="185"/>
      <c r="F411" s="185"/>
      <c r="G411" s="185"/>
      <c r="H411" s="185"/>
      <c r="I411" s="185"/>
      <c r="J411" s="185"/>
      <c r="K411" s="186"/>
    </row>
    <row r="412" spans="1:11" hidden="1" x14ac:dyDescent="0.3">
      <c r="A412" s="42" t="str">
        <f>K406</f>
        <v>0,5587</v>
      </c>
      <c r="C412" t="str">
        <f>FIXED(A404,5)</f>
        <v>0,55873</v>
      </c>
      <c r="D412" t="str">
        <f>RIGHT(C412,1)</f>
        <v>3</v>
      </c>
      <c r="E412">
        <f>D412+0</f>
        <v>3</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87</v>
      </c>
      <c r="D414" t="str">
        <f>LEFT(C414,1)</f>
        <v>8</v>
      </c>
      <c r="E414" s="36">
        <f>TRUNC(A412)</f>
        <v>0</v>
      </c>
      <c r="F414" s="14" t="str">
        <f>FIXED(A412-E414,G414)</f>
        <v>0,5587</v>
      </c>
      <c r="G414">
        <f>ABS(E417-F417)</f>
        <v>4</v>
      </c>
      <c r="H414" t="str">
        <f>RIGHT(A412,G414)</f>
        <v>5587</v>
      </c>
      <c r="I414">
        <v>5.0000000000000001E-4</v>
      </c>
      <c r="J414" s="44">
        <f>(A412-I414)</f>
        <v>0.55820000000000003</v>
      </c>
      <c r="K414" s="43" t="str">
        <f>IF(C416=5,IF(AND(E412=0,D417=FALSE),J414,J415),J415)</f>
        <v>0,559</v>
      </c>
    </row>
    <row r="415" spans="1:11" hidden="1" x14ac:dyDescent="0.3">
      <c r="A415" s="31"/>
      <c r="C415" t="str">
        <f>RIGHT(C414,1)</f>
        <v>7</v>
      </c>
      <c r="D415">
        <f>D414+0</f>
        <v>8</v>
      </c>
      <c r="J415" t="str">
        <f>FIXED(A412,3)</f>
        <v>0,559</v>
      </c>
      <c r="K415" s="27"/>
    </row>
    <row r="416" spans="1:11" hidden="1" x14ac:dyDescent="0.3">
      <c r="A416" s="31"/>
      <c r="C416">
        <f>C415+0</f>
        <v>7</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84" t="s">
        <v>47</v>
      </c>
      <c r="B419" s="185"/>
      <c r="C419" s="185"/>
      <c r="D419" s="185"/>
      <c r="E419" s="185"/>
      <c r="F419" s="185"/>
      <c r="G419" s="185"/>
      <c r="H419" s="185"/>
      <c r="I419" s="185"/>
      <c r="J419" s="185"/>
      <c r="K419" s="186"/>
    </row>
    <row r="420" spans="1:11" hidden="1" x14ac:dyDescent="0.3">
      <c r="A420" s="42" t="str">
        <f>K414</f>
        <v>0,559</v>
      </c>
      <c r="C420" t="str">
        <f>FIXED(A412,4)</f>
        <v>0,5587</v>
      </c>
      <c r="D420" t="str">
        <f>RIGHT(C420,1)</f>
        <v>7</v>
      </c>
      <c r="E420">
        <f>D420+0</f>
        <v>7</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59</v>
      </c>
      <c r="D422" t="str">
        <f>LEFT(C422,1)</f>
        <v>5</v>
      </c>
      <c r="E422" s="36">
        <f>TRUNC(A420)</f>
        <v>0</v>
      </c>
      <c r="F422" s="14" t="str">
        <f>FIXED(A420-E422,G422)</f>
        <v>0,559</v>
      </c>
      <c r="G422">
        <f>ABS(E425-F425)</f>
        <v>3</v>
      </c>
      <c r="H422" t="str">
        <f>RIGHT(A420,G422)</f>
        <v>559</v>
      </c>
      <c r="I422">
        <v>5.0000000000000001E-3</v>
      </c>
      <c r="J422" s="3">
        <f>(A420-I422)</f>
        <v>0.55400000000000005</v>
      </c>
      <c r="K422" s="41" t="str">
        <f>IF(C424=5,IF(AND(E420=0,D425=FALSE),J422,J423),J423)</f>
        <v>0,56</v>
      </c>
    </row>
    <row r="423" spans="1:11" ht="18" hidden="1" x14ac:dyDescent="0.35">
      <c r="A423" s="31"/>
      <c r="C423" t="str">
        <f>RIGHT(C422,1)</f>
        <v>9</v>
      </c>
      <c r="D423">
        <f>D422+0</f>
        <v>5</v>
      </c>
      <c r="J423" t="str">
        <f>FIXED(A420,2)</f>
        <v>0,56</v>
      </c>
      <c r="K423" s="41"/>
    </row>
    <row r="424" spans="1:11" hidden="1" x14ac:dyDescent="0.3">
      <c r="A424" s="31"/>
      <c r="C424">
        <f>C423+0</f>
        <v>9</v>
      </c>
      <c r="D424" t="s">
        <v>35</v>
      </c>
      <c r="E424" t="s">
        <v>34</v>
      </c>
      <c r="F424" t="s">
        <v>33</v>
      </c>
      <c r="K424" s="27"/>
    </row>
    <row r="425" spans="1:11" hidden="1" x14ac:dyDescent="0.3">
      <c r="A425" s="31"/>
      <c r="D425" t="b">
        <f>ISODD(D422)</f>
        <v>1</v>
      </c>
      <c r="E425">
        <f>LEN(A420)</f>
        <v>5</v>
      </c>
      <c r="F425">
        <f>LEN(E422)+1</f>
        <v>2</v>
      </c>
      <c r="K425" s="27"/>
    </row>
    <row r="426" spans="1:11" hidden="1" x14ac:dyDescent="0.3">
      <c r="A426" s="31"/>
      <c r="K426" s="27"/>
    </row>
    <row r="427" spans="1:11" hidden="1" x14ac:dyDescent="0.3">
      <c r="A427" s="184" t="s">
        <v>46</v>
      </c>
      <c r="B427" s="185"/>
      <c r="C427" s="185"/>
      <c r="D427" s="185"/>
      <c r="E427" s="185"/>
      <c r="F427" s="185"/>
      <c r="G427" s="185"/>
      <c r="H427" s="185"/>
      <c r="I427" s="185"/>
      <c r="J427" s="185"/>
      <c r="K427" s="186"/>
    </row>
    <row r="428" spans="1:11" hidden="1" x14ac:dyDescent="0.3">
      <c r="A428" s="39" t="str">
        <f>K422</f>
        <v>0,56</v>
      </c>
      <c r="C428" t="str">
        <f>FIXED(A420,3)</f>
        <v>0,559</v>
      </c>
      <c r="D428" t="str">
        <f>RIGHT(C428,1)</f>
        <v>9</v>
      </c>
      <c r="E428">
        <f>D428+0</f>
        <v>9</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56</v>
      </c>
      <c r="D430" t="str">
        <f>LEFT(C430,1)</f>
        <v>5</v>
      </c>
      <c r="E430" s="36">
        <f>TRUNC(A428)</f>
        <v>0</v>
      </c>
      <c r="F430" s="14" t="str">
        <f>FIXED(A428-E430,G430)</f>
        <v>0,56</v>
      </c>
      <c r="G430">
        <f>ABS(E433-F433)</f>
        <v>2</v>
      </c>
      <c r="H430" t="str">
        <f>RIGHT(A428,G430)</f>
        <v>56</v>
      </c>
      <c r="I430">
        <v>0.05</v>
      </c>
      <c r="J430" s="3">
        <f>(A428-I430)</f>
        <v>0.51</v>
      </c>
      <c r="K430" s="41" t="str">
        <f>IF(C432=5,IF(AND(E428=0,D433=FALSE),J430,J431),J431)</f>
        <v>0,6</v>
      </c>
    </row>
    <row r="431" spans="1:11" hidden="1" x14ac:dyDescent="0.3">
      <c r="A431" s="31"/>
      <c r="C431" t="str">
        <f>RIGHT(C430,1)</f>
        <v>6</v>
      </c>
      <c r="D431">
        <f>D430+0</f>
        <v>5</v>
      </c>
      <c r="J431" t="str">
        <f>FIXED(A428,1)</f>
        <v>0,6</v>
      </c>
      <c r="K431" s="40"/>
    </row>
    <row r="432" spans="1:11" hidden="1" x14ac:dyDescent="0.3">
      <c r="A432" s="31"/>
      <c r="C432">
        <f>C431+0</f>
        <v>6</v>
      </c>
      <c r="D432" t="s">
        <v>35</v>
      </c>
      <c r="E432" t="s">
        <v>34</v>
      </c>
      <c r="F432" t="s">
        <v>33</v>
      </c>
      <c r="K432" s="27"/>
    </row>
    <row r="433" spans="1:13" hidden="1" x14ac:dyDescent="0.3">
      <c r="A433" s="31"/>
      <c r="D433" t="b">
        <f>ISODD(D430)</f>
        <v>1</v>
      </c>
      <c r="E433">
        <f>LEN(A428)</f>
        <v>4</v>
      </c>
      <c r="F433">
        <f>LEN(E430)+1</f>
        <v>2</v>
      </c>
      <c r="K433" s="27"/>
    </row>
    <row r="434" spans="1:13" hidden="1" x14ac:dyDescent="0.3">
      <c r="A434" s="31"/>
      <c r="K434" s="27"/>
    </row>
    <row r="435" spans="1:13" hidden="1" x14ac:dyDescent="0.3">
      <c r="A435" s="184" t="s">
        <v>45</v>
      </c>
      <c r="B435" s="185"/>
      <c r="C435" s="185"/>
      <c r="D435" s="185"/>
      <c r="E435" s="185"/>
      <c r="F435" s="185"/>
      <c r="G435" s="185"/>
      <c r="H435" s="185"/>
      <c r="I435" s="185"/>
      <c r="J435" s="185"/>
      <c r="K435" s="186"/>
    </row>
    <row r="436" spans="1:13" hidden="1" x14ac:dyDescent="0.3">
      <c r="A436" s="39" t="str">
        <f>K430</f>
        <v>0,6</v>
      </c>
      <c r="C436" t="str">
        <f>FIXED(A428,2)</f>
        <v>0,56</v>
      </c>
      <c r="D436" t="str">
        <f>RIGHT(C436,1)</f>
        <v>6</v>
      </c>
      <c r="E436">
        <f>D436+0</f>
        <v>6</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,6</v>
      </c>
      <c r="D438" t="str">
        <f>RIGHT(E438,1)</f>
        <v>0</v>
      </c>
      <c r="E438" s="36">
        <f>TRUNC(A436)</f>
        <v>0</v>
      </c>
      <c r="F438" s="14" t="str">
        <f>FIXED(A436-E438,G438)</f>
        <v>0,6</v>
      </c>
      <c r="G438">
        <f>ABS(E441-F441)</f>
        <v>1</v>
      </c>
      <c r="H438" t="str">
        <f>RIGHT(A436,G438)</f>
        <v>6</v>
      </c>
      <c r="I438">
        <v>0.5</v>
      </c>
      <c r="J438" s="12">
        <f>(A436-I438)</f>
        <v>9.9999999999999978E-2</v>
      </c>
      <c r="K438" s="35" t="str">
        <f>IF(C440=5,IF(AND(E436=0,D441=FALSE),J438,J439),J439)</f>
        <v>1</v>
      </c>
    </row>
    <row r="439" spans="1:13" hidden="1" x14ac:dyDescent="0.3">
      <c r="A439" s="31"/>
      <c r="C439" t="str">
        <f>RIGHT(C438,1)</f>
        <v>6</v>
      </c>
      <c r="D439">
        <f>D438+0</f>
        <v>0</v>
      </c>
      <c r="J439" t="str">
        <f>FIXED(A436,0)</f>
        <v>1</v>
      </c>
      <c r="K439" s="34"/>
    </row>
    <row r="440" spans="1:13" hidden="1" x14ac:dyDescent="0.3">
      <c r="A440" s="31"/>
      <c r="C440">
        <f>C439+0</f>
        <v>6</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7" t="s">
        <v>32</v>
      </c>
      <c r="B442" s="188"/>
      <c r="C442" s="188"/>
      <c r="D442" s="188"/>
      <c r="E442" s="188"/>
      <c r="F442" s="188"/>
      <c r="G442" s="188"/>
      <c r="H442" s="188"/>
      <c r="I442" s="188"/>
      <c r="J442" s="188"/>
      <c r="K442" s="189"/>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84" t="s">
        <v>48</v>
      </c>
      <c r="D451" s="185"/>
      <c r="E451" s="185"/>
      <c r="F451" s="185"/>
      <c r="G451" s="185"/>
      <c r="H451" s="185"/>
      <c r="I451" s="185"/>
      <c r="J451" s="185"/>
      <c r="K451" s="185"/>
      <c r="L451" s="185"/>
      <c r="M451" s="186"/>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84" t="s">
        <v>47</v>
      </c>
      <c r="D459" s="185"/>
      <c r="E459" s="185"/>
      <c r="F459" s="185"/>
      <c r="G459" s="185"/>
      <c r="H459" s="185"/>
      <c r="I459" s="185"/>
      <c r="J459" s="185"/>
      <c r="K459" s="185"/>
      <c r="L459" s="185"/>
      <c r="M459" s="186"/>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84" t="s">
        <v>46</v>
      </c>
      <c r="D467" s="185"/>
      <c r="E467" s="185"/>
      <c r="F467" s="185"/>
      <c r="G467" s="185"/>
      <c r="H467" s="185"/>
      <c r="I467" s="185"/>
      <c r="J467" s="185"/>
      <c r="K467" s="185"/>
      <c r="L467" s="185"/>
      <c r="M467" s="186"/>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84" t="s">
        <v>45</v>
      </c>
      <c r="D475" s="185"/>
      <c r="E475" s="185"/>
      <c r="F475" s="185"/>
      <c r="G475" s="185"/>
      <c r="H475" s="185"/>
      <c r="I475" s="185"/>
      <c r="J475" s="185"/>
      <c r="K475" s="185"/>
      <c r="L475" s="185"/>
      <c r="M475" s="186"/>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3:U97"/>
  <sheetViews>
    <sheetView topLeftCell="A27" workbookViewId="0">
      <selection activeCell="G45" sqref="G45:M45"/>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3" spans="1:21"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row>
    <row r="4" spans="1:21" x14ac:dyDescent="0.3">
      <c r="C4" s="97">
        <v>24.713999999999999</v>
      </c>
      <c r="D4" s="97">
        <v>24.3</v>
      </c>
      <c r="E4" s="97">
        <f t="shared" ref="E4:E6" si="0">C4-D4</f>
        <v>0.41399999999999793</v>
      </c>
      <c r="F4" s="99">
        <v>0.28000000000000003</v>
      </c>
      <c r="G4" s="23">
        <v>2</v>
      </c>
      <c r="H4" s="6">
        <f>$K$9*D4^2-$K$10*D4+$K$11</f>
        <v>0.41399999999999626</v>
      </c>
      <c r="I4" s="6">
        <f>E4-H4</f>
        <v>1.6653345369377348E-15</v>
      </c>
      <c r="J4" s="6">
        <f>6-3-1</f>
        <v>2</v>
      </c>
      <c r="K4" s="6">
        <f>(SQRT(SUMSQ(I4:I14)/J4))</f>
        <v>1.7919013374855212E-15</v>
      </c>
      <c r="M4" s="97">
        <v>30.678999999999998</v>
      </c>
      <c r="N4" s="97">
        <v>42.2</v>
      </c>
      <c r="O4" s="97">
        <f t="shared" ref="O4:O6" si="1">M4-N4</f>
        <v>-11.521000000000004</v>
      </c>
      <c r="P4" s="99">
        <v>7.7000000000000002E-3</v>
      </c>
      <c r="Q4" s="23">
        <v>2</v>
      </c>
      <c r="R4" s="6">
        <f>$T$9*N4^2-$T$10*N4-$T$11</f>
        <v>-11.550976</v>
      </c>
      <c r="S4" s="6">
        <f>O4-R4</f>
        <v>2.9975999999996006E-2</v>
      </c>
      <c r="T4" s="6">
        <f>6-3-1</f>
        <v>2</v>
      </c>
      <c r="U4" s="6">
        <f>(SQRT(SUMSQ(S4:S14)/T4))</f>
        <v>9.8831104117076379E-2</v>
      </c>
    </row>
    <row r="5" spans="1:21" x14ac:dyDescent="0.3">
      <c r="C5" s="97">
        <v>30.474</v>
      </c>
      <c r="D5" s="97">
        <v>29.9</v>
      </c>
      <c r="E5" s="97">
        <f t="shared" si="0"/>
        <v>0.57400000000000162</v>
      </c>
      <c r="F5" s="99">
        <v>0.28000000000000003</v>
      </c>
      <c r="G5" s="23">
        <v>2</v>
      </c>
      <c r="H5" s="6">
        <f t="shared" ref="H5:H6" si="2">$K$9*D5^2-$K$10*D5+$K$11</f>
        <v>0.57400000000000007</v>
      </c>
      <c r="I5" s="6">
        <f>E5-H5</f>
        <v>1.5543122344752192E-15</v>
      </c>
      <c r="J5" s="3"/>
      <c r="K5" s="3"/>
      <c r="M5" s="97">
        <v>50.405000000000001</v>
      </c>
      <c r="N5" s="97">
        <v>59.9</v>
      </c>
      <c r="O5" s="97">
        <f t="shared" si="1"/>
        <v>-9.4949999999999974</v>
      </c>
      <c r="P5" s="99">
        <v>7.7000000000000002E-3</v>
      </c>
      <c r="Q5" s="23">
        <v>2</v>
      </c>
      <c r="R5" s="6">
        <f t="shared" ref="R5:R6" si="3">$T$9*N5^2-$T$10*N5-$T$11</f>
        <v>-9.5560090000000013</v>
      </c>
      <c r="S5" s="6">
        <f>O5-R5</f>
        <v>6.1009000000003866E-2</v>
      </c>
      <c r="T5" s="3"/>
      <c r="U5" s="3"/>
    </row>
    <row r="6" spans="1:21" x14ac:dyDescent="0.3">
      <c r="C6" s="97">
        <v>36.279000000000003</v>
      </c>
      <c r="D6" s="97">
        <v>35.5</v>
      </c>
      <c r="E6" s="97">
        <f t="shared" si="0"/>
        <v>0.77900000000000347</v>
      </c>
      <c r="F6" s="99">
        <v>0.3</v>
      </c>
      <c r="G6" s="23">
        <v>2</v>
      </c>
      <c r="H6" s="6">
        <f t="shared" si="2"/>
        <v>0.77900000000000236</v>
      </c>
      <c r="I6" s="6">
        <f>E6-H6</f>
        <v>1.1102230246251565E-15</v>
      </c>
      <c r="J6" s="3"/>
      <c r="K6" s="3"/>
      <c r="M6" s="97">
        <v>80.024000000000001</v>
      </c>
      <c r="N6" s="97">
        <v>84.5</v>
      </c>
      <c r="O6" s="97">
        <f t="shared" si="1"/>
        <v>-4.4759999999999991</v>
      </c>
      <c r="P6" s="99">
        <v>7.7000000000000002E-3</v>
      </c>
      <c r="Q6" s="23">
        <v>2</v>
      </c>
      <c r="R6" s="6">
        <f t="shared" si="3"/>
        <v>-4.5981250000000014</v>
      </c>
      <c r="S6" s="6">
        <f>O6-R6</f>
        <v>0.12212500000000226</v>
      </c>
      <c r="T6" s="3"/>
      <c r="U6" s="3"/>
    </row>
    <row r="7" spans="1:21" x14ac:dyDescent="0.3">
      <c r="C7" s="24"/>
      <c r="D7" s="97"/>
      <c r="E7" s="98"/>
      <c r="F7" s="99"/>
      <c r="G7" s="17"/>
      <c r="H7" s="6"/>
      <c r="I7" s="6"/>
      <c r="J7" s="3"/>
      <c r="K7" s="3"/>
    </row>
    <row r="8" spans="1:21" x14ac:dyDescent="0.3">
      <c r="C8" s="24"/>
      <c r="D8" s="97"/>
      <c r="E8" s="98"/>
      <c r="F8" s="99"/>
      <c r="G8" s="17"/>
      <c r="H8" s="6"/>
      <c r="I8" s="6"/>
      <c r="J8" s="3"/>
      <c r="K8" s="3"/>
    </row>
    <row r="9" spans="1:21" x14ac:dyDescent="0.3">
      <c r="C9" s="24"/>
      <c r="D9" s="97"/>
      <c r="E9" s="98"/>
      <c r="F9" s="99"/>
      <c r="G9" s="17"/>
      <c r="H9" s="6"/>
      <c r="I9" s="6"/>
      <c r="J9" s="3"/>
      <c r="K9" s="95">
        <v>7.1747448979589401E-4</v>
      </c>
      <c r="T9">
        <v>2.0999999999999999E-3</v>
      </c>
    </row>
    <row r="10" spans="1:21" x14ac:dyDescent="0.3">
      <c r="C10" s="24"/>
      <c r="D10" s="97"/>
      <c r="E10" s="98"/>
      <c r="F10" s="99"/>
      <c r="G10" s="17"/>
      <c r="H10" s="6"/>
      <c r="I10" s="6"/>
      <c r="J10" s="3"/>
      <c r="K10" s="100">
        <v>1.0315688775508199E-2</v>
      </c>
      <c r="T10">
        <v>0.1017</v>
      </c>
    </row>
    <row r="11" spans="1:21" x14ac:dyDescent="0.3">
      <c r="C11" s="22"/>
      <c r="D11" s="97"/>
      <c r="E11" s="98"/>
      <c r="F11" s="99"/>
      <c r="G11" s="17"/>
      <c r="H11" s="6"/>
      <c r="I11" s="6"/>
      <c r="J11" s="3"/>
      <c r="K11" s="100">
        <v>0.241009725765268</v>
      </c>
      <c r="T11">
        <v>10.999000000000001</v>
      </c>
    </row>
    <row r="12" spans="1:21" x14ac:dyDescent="0.3">
      <c r="C12" s="22"/>
      <c r="D12" s="97"/>
      <c r="E12" s="98"/>
      <c r="F12" s="99"/>
      <c r="G12" s="17"/>
      <c r="H12" s="6"/>
      <c r="I12" s="6"/>
      <c r="J12" s="3"/>
      <c r="K12" s="3"/>
    </row>
    <row r="13" spans="1:21" x14ac:dyDescent="0.3">
      <c r="C13" s="22"/>
      <c r="D13" s="97"/>
      <c r="E13" s="98"/>
      <c r="F13" s="99"/>
      <c r="G13" s="17"/>
      <c r="H13" s="6"/>
      <c r="I13" s="6"/>
      <c r="J13" s="3"/>
    </row>
    <row r="14" spans="1:21" x14ac:dyDescent="0.3">
      <c r="C14" s="22"/>
      <c r="D14" s="25"/>
      <c r="E14" s="6"/>
      <c r="F14" s="24"/>
      <c r="G14" s="17"/>
      <c r="H14" s="6"/>
      <c r="I14" s="6"/>
      <c r="J14" s="3"/>
    </row>
    <row r="15" spans="1:21" x14ac:dyDescent="0.3">
      <c r="E15" s="17"/>
    </row>
    <row r="16" spans="1:21" x14ac:dyDescent="0.3">
      <c r="K16" s="94"/>
    </row>
    <row r="17" spans="11:11" x14ac:dyDescent="0.3">
      <c r="K17" s="95"/>
    </row>
    <row r="34" spans="1:17" x14ac:dyDescent="0.3">
      <c r="B34" s="194" t="s">
        <v>13</v>
      </c>
      <c r="C34" s="194"/>
      <c r="D34" s="194"/>
      <c r="E34" s="194"/>
      <c r="F34" s="194"/>
      <c r="G34" s="194"/>
      <c r="H34" s="194"/>
      <c r="I34" s="194"/>
      <c r="J34" s="194"/>
      <c r="K34" s="194"/>
      <c r="L34" s="194"/>
      <c r="M34" s="194"/>
      <c r="N34" s="4"/>
      <c r="O34" s="4"/>
      <c r="P34" s="4"/>
      <c r="Q34" s="4"/>
    </row>
    <row r="35" spans="1:17" x14ac:dyDescent="0.3">
      <c r="B35" s="190" t="s">
        <v>12</v>
      </c>
      <c r="C35" s="190"/>
      <c r="D35" s="190"/>
      <c r="E35" s="190"/>
      <c r="F35" s="190"/>
      <c r="G35" s="191" t="s">
        <v>120</v>
      </c>
      <c r="H35" s="192"/>
      <c r="I35" s="192"/>
      <c r="J35" s="192"/>
      <c r="K35" s="192"/>
      <c r="L35" s="192"/>
      <c r="M35" s="193"/>
      <c r="N35" s="9"/>
      <c r="O35" s="9"/>
      <c r="P35" s="9"/>
      <c r="Q35" s="9"/>
    </row>
    <row r="36" spans="1:17" x14ac:dyDescent="0.3">
      <c r="B36" s="190" t="s">
        <v>7</v>
      </c>
      <c r="C36" s="190"/>
      <c r="D36" s="190"/>
      <c r="E36" s="190"/>
      <c r="F36" s="190"/>
      <c r="G36" s="191" t="s">
        <v>121</v>
      </c>
      <c r="H36" s="192"/>
      <c r="I36" s="192"/>
      <c r="J36" s="192"/>
      <c r="K36" s="192"/>
      <c r="L36" s="192"/>
      <c r="M36" s="193"/>
      <c r="N36" s="9"/>
      <c r="O36" s="9"/>
      <c r="P36" s="9"/>
      <c r="Q36" s="9"/>
    </row>
    <row r="37" spans="1:17" x14ac:dyDescent="0.3">
      <c r="B37" s="190" t="s">
        <v>6</v>
      </c>
      <c r="C37" s="190"/>
      <c r="D37" s="190"/>
      <c r="E37" s="190"/>
      <c r="F37" s="190"/>
      <c r="G37" s="191" t="s">
        <v>122</v>
      </c>
      <c r="H37" s="192"/>
      <c r="I37" s="192"/>
      <c r="J37" s="192"/>
      <c r="K37" s="192"/>
      <c r="L37" s="192"/>
      <c r="M37" s="193"/>
      <c r="N37" s="9"/>
      <c r="O37" s="9"/>
      <c r="P37" s="9"/>
      <c r="Q37" s="9"/>
    </row>
    <row r="38" spans="1:17" x14ac:dyDescent="0.3">
      <c r="B38" s="190" t="s">
        <v>4</v>
      </c>
      <c r="C38" s="190"/>
      <c r="D38" s="190"/>
      <c r="E38" s="190"/>
      <c r="F38" s="190"/>
      <c r="G38" s="191" t="s">
        <v>123</v>
      </c>
      <c r="H38" s="192"/>
      <c r="I38" s="192"/>
      <c r="J38" s="192"/>
      <c r="K38" s="192"/>
      <c r="L38" s="192"/>
      <c r="M38" s="193"/>
      <c r="N38" s="9"/>
      <c r="O38" s="9"/>
      <c r="P38" s="9"/>
      <c r="Q38" s="9"/>
    </row>
    <row r="39" spans="1:17" x14ac:dyDescent="0.3">
      <c r="B39" s="2" t="s">
        <v>11</v>
      </c>
      <c r="C39" s="2"/>
      <c r="D39" s="2"/>
      <c r="E39" s="2"/>
      <c r="F39" s="2"/>
      <c r="G39" s="195">
        <v>44986</v>
      </c>
      <c r="H39" s="195"/>
      <c r="I39" s="195"/>
      <c r="J39" s="195"/>
      <c r="K39" s="195"/>
      <c r="L39" s="195"/>
      <c r="M39" s="195"/>
      <c r="N39" s="10"/>
      <c r="O39" s="10"/>
      <c r="P39" s="10"/>
      <c r="Q39" s="10"/>
    </row>
    <row r="40" spans="1:17" x14ac:dyDescent="0.3">
      <c r="B40" s="190" t="s">
        <v>10</v>
      </c>
      <c r="C40" s="190"/>
      <c r="D40" s="190"/>
      <c r="E40" s="190"/>
      <c r="F40" s="190"/>
      <c r="G40" s="196">
        <v>242208</v>
      </c>
      <c r="H40" s="196"/>
      <c r="I40" s="196"/>
      <c r="J40" s="196"/>
      <c r="K40" s="196"/>
      <c r="L40" s="196"/>
      <c r="M40" s="196"/>
      <c r="N40" s="9"/>
      <c r="O40" s="9"/>
      <c r="P40" s="9"/>
      <c r="Q40" s="9"/>
    </row>
    <row r="41" spans="1:17" x14ac:dyDescent="0.3">
      <c r="B41" s="190" t="s">
        <v>124</v>
      </c>
      <c r="C41" s="190"/>
      <c r="D41" s="190"/>
      <c r="E41" s="190"/>
      <c r="F41" s="190"/>
      <c r="G41" s="191">
        <v>0.3</v>
      </c>
      <c r="H41" s="192"/>
      <c r="I41" s="192"/>
      <c r="J41" s="192"/>
      <c r="K41" s="192"/>
      <c r="L41" s="192"/>
      <c r="M41" s="193"/>
      <c r="N41" s="5"/>
      <c r="O41" s="5"/>
      <c r="P41" s="5"/>
      <c r="Q41" s="5"/>
    </row>
    <row r="42" spans="1:17" x14ac:dyDescent="0.3">
      <c r="A42">
        <v>1.8</v>
      </c>
      <c r="B42" s="190" t="s">
        <v>125</v>
      </c>
      <c r="C42" s="190"/>
      <c r="D42" s="190"/>
      <c r="E42" s="190"/>
      <c r="F42" s="190"/>
      <c r="G42" s="191">
        <v>1.8</v>
      </c>
      <c r="H42" s="192"/>
      <c r="I42" s="192"/>
      <c r="J42" s="192"/>
      <c r="K42" s="192"/>
      <c r="L42" s="192"/>
      <c r="M42" s="193"/>
      <c r="N42" s="5"/>
      <c r="O42" s="5"/>
      <c r="P42" s="5"/>
      <c r="Q42" s="5"/>
    </row>
    <row r="43" spans="1:17" x14ac:dyDescent="0.3">
      <c r="B43" s="2" t="s">
        <v>126</v>
      </c>
      <c r="C43" s="2"/>
      <c r="D43" s="2"/>
      <c r="E43" s="2"/>
      <c r="F43" s="2"/>
      <c r="G43" s="191">
        <v>0.4</v>
      </c>
      <c r="H43" s="192"/>
      <c r="I43" s="192"/>
      <c r="J43" s="192"/>
      <c r="K43" s="192"/>
      <c r="L43" s="192"/>
      <c r="M43" s="193"/>
      <c r="N43" s="5"/>
      <c r="O43" s="5"/>
      <c r="P43" s="5"/>
      <c r="Q43" s="5"/>
    </row>
    <row r="44" spans="1:17" x14ac:dyDescent="0.3">
      <c r="B44" s="2" t="s">
        <v>127</v>
      </c>
      <c r="C44" s="2"/>
      <c r="D44" s="2"/>
      <c r="E44" s="2"/>
      <c r="F44" s="2"/>
      <c r="G44" s="191">
        <v>1</v>
      </c>
      <c r="H44" s="192"/>
      <c r="I44" s="192"/>
      <c r="J44" s="192"/>
      <c r="K44" s="192"/>
      <c r="L44" s="192"/>
      <c r="M44" s="193"/>
    </row>
    <row r="45" spans="1:17" x14ac:dyDescent="0.3">
      <c r="B45" s="2" t="s">
        <v>128</v>
      </c>
      <c r="C45" s="2"/>
      <c r="D45" s="2"/>
      <c r="E45" s="2"/>
      <c r="F45" s="2"/>
      <c r="G45" s="191">
        <v>0.1</v>
      </c>
      <c r="H45" s="192"/>
      <c r="I45" s="192"/>
      <c r="J45" s="192"/>
      <c r="K45" s="192"/>
      <c r="L45" s="192"/>
      <c r="M45" s="193"/>
    </row>
    <row r="46" spans="1:17" x14ac:dyDescent="0.3">
      <c r="B46" s="2" t="s">
        <v>129</v>
      </c>
      <c r="C46" s="2"/>
      <c r="D46" s="2"/>
      <c r="E46" s="2"/>
      <c r="F46" s="2"/>
      <c r="G46" s="191">
        <v>0.1</v>
      </c>
      <c r="H46" s="192"/>
      <c r="I46" s="192"/>
      <c r="J46" s="192"/>
      <c r="K46" s="192"/>
      <c r="L46" s="192"/>
      <c r="M46" s="193"/>
    </row>
    <row r="47" spans="1:17" x14ac:dyDescent="0.3">
      <c r="B47" s="190" t="s">
        <v>9</v>
      </c>
      <c r="C47" s="190"/>
      <c r="D47" s="190"/>
      <c r="E47" s="190"/>
      <c r="F47" s="190"/>
      <c r="G47" s="191">
        <v>2</v>
      </c>
      <c r="H47" s="192"/>
      <c r="I47" s="192"/>
      <c r="J47" s="192"/>
      <c r="K47" s="192"/>
      <c r="L47" s="192"/>
      <c r="M47" s="193"/>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26"/>
      <c r="D88" s="126"/>
      <c r="E88" s="126"/>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3">
    <mergeCell ref="B40:F40"/>
    <mergeCell ref="G40:M40"/>
    <mergeCell ref="G42:M42"/>
    <mergeCell ref="G37:M37"/>
    <mergeCell ref="G35:M35"/>
    <mergeCell ref="B34:M34"/>
    <mergeCell ref="G38:M38"/>
    <mergeCell ref="G39:M39"/>
    <mergeCell ref="G36:M36"/>
    <mergeCell ref="B35:F35"/>
    <mergeCell ref="B36:F36"/>
    <mergeCell ref="B37:F37"/>
    <mergeCell ref="B38:F38"/>
    <mergeCell ref="C88:E88"/>
    <mergeCell ref="B41:F41"/>
    <mergeCell ref="G41:M41"/>
    <mergeCell ref="G43:M43"/>
    <mergeCell ref="B42:F42"/>
    <mergeCell ref="G44:M44"/>
    <mergeCell ref="G45:M45"/>
    <mergeCell ref="G46:M46"/>
    <mergeCell ref="B47:F47"/>
    <mergeCell ref="G47:M4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52"/>
  <sheetViews>
    <sheetView topLeftCell="A7" zoomScaleNormal="100" workbookViewId="0">
      <selection activeCell="Y17" sqref="Y17"/>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207" t="s">
        <v>161</v>
      </c>
      <c r="C2" s="207"/>
      <c r="D2" s="207"/>
      <c r="E2" s="207"/>
      <c r="F2" s="207"/>
      <c r="G2" s="207"/>
      <c r="H2"/>
      <c r="I2"/>
      <c r="J2"/>
      <c r="K2"/>
      <c r="L2"/>
      <c r="M2"/>
      <c r="N2"/>
      <c r="O2" s="204" t="s">
        <v>162</v>
      </c>
      <c r="P2" s="204"/>
      <c r="Q2" s="204"/>
      <c r="R2" s="204"/>
      <c r="S2" s="204"/>
      <c r="T2" s="204"/>
      <c r="U2" s="204"/>
      <c r="V2" s="204"/>
    </row>
    <row r="3" spans="1:22" ht="30" customHeight="1" thickBot="1" x14ac:dyDescent="0.35">
      <c r="A3"/>
      <c r="B3" s="133" t="s">
        <v>144</v>
      </c>
      <c r="C3" s="133"/>
      <c r="D3" s="133" t="s">
        <v>143</v>
      </c>
      <c r="E3" s="133"/>
      <c r="F3" s="133" t="s">
        <v>157</v>
      </c>
      <c r="G3" s="133"/>
      <c r="H3"/>
      <c r="I3" s="86"/>
      <c r="J3" s="111"/>
      <c r="K3" s="111"/>
      <c r="L3" s="111"/>
      <c r="M3" s="86"/>
      <c r="N3"/>
      <c r="O3" s="202" t="s">
        <v>144</v>
      </c>
      <c r="P3" s="202"/>
      <c r="Q3" s="202" t="s">
        <v>143</v>
      </c>
      <c r="R3" s="202"/>
      <c r="S3" s="202" t="s">
        <v>157</v>
      </c>
      <c r="T3" s="202"/>
      <c r="U3" s="202" t="s">
        <v>142</v>
      </c>
      <c r="V3" s="202"/>
    </row>
    <row r="4" spans="1:22" x14ac:dyDescent="0.3">
      <c r="A4"/>
      <c r="B4" s="127" t="s">
        <v>137</v>
      </c>
      <c r="C4" s="127"/>
      <c r="D4" s="128">
        <f ca="1">34.5 + RAND() * 0.5</f>
        <v>34.958038805348252</v>
      </c>
      <c r="E4" s="128"/>
      <c r="F4" s="205">
        <v>35</v>
      </c>
      <c r="G4" s="205"/>
      <c r="H4"/>
      <c r="I4" s="109" t="s">
        <v>137</v>
      </c>
      <c r="J4" s="101"/>
      <c r="K4" s="101"/>
      <c r="L4" s="101"/>
      <c r="M4" s="110" t="s">
        <v>138</v>
      </c>
      <c r="N4"/>
      <c r="O4" s="201" t="s">
        <v>137</v>
      </c>
      <c r="P4" s="201"/>
      <c r="Q4" s="203">
        <f ca="1">D4</f>
        <v>34.958038805348252</v>
      </c>
      <c r="R4" s="203"/>
      <c r="S4" s="201">
        <f>F4</f>
        <v>35</v>
      </c>
      <c r="T4" s="201"/>
      <c r="U4" s="203">
        <f ca="1">S4-Q4</f>
        <v>4.1961194651747746E-2</v>
      </c>
      <c r="V4" s="203"/>
    </row>
    <row r="5" spans="1:22" x14ac:dyDescent="0.3">
      <c r="A5"/>
      <c r="B5" s="127" t="s">
        <v>138</v>
      </c>
      <c r="C5" s="127"/>
      <c r="D5" s="128">
        <f ca="1">MAX(34.5, MIN(34.98, D4 + (RAND() * 0.4 - 0.2)))</f>
        <v>34.799878319692745</v>
      </c>
      <c r="E5" s="128"/>
      <c r="F5" s="205">
        <v>35</v>
      </c>
      <c r="G5" s="205"/>
      <c r="H5"/>
      <c r="I5" s="102"/>
      <c r="J5" s="103"/>
      <c r="K5" s="106" t="s">
        <v>139</v>
      </c>
      <c r="L5" s="103"/>
      <c r="M5" s="104"/>
      <c r="N5"/>
      <c r="O5" s="201" t="s">
        <v>138</v>
      </c>
      <c r="P5" s="201"/>
      <c r="Q5" s="203">
        <f t="shared" ref="Q5:Q8" ca="1" si="0">D5</f>
        <v>34.799878319692745</v>
      </c>
      <c r="R5" s="203"/>
      <c r="S5" s="201">
        <f t="shared" ref="S5:S8" si="1">F5</f>
        <v>35</v>
      </c>
      <c r="T5" s="201"/>
      <c r="U5" s="203">
        <f t="shared" ref="U5:U7" ca="1" si="2">S5-Q5</f>
        <v>0.20012168030725519</v>
      </c>
      <c r="V5" s="203"/>
    </row>
    <row r="6" spans="1:22" ht="15" thickBot="1" x14ac:dyDescent="0.35">
      <c r="A6"/>
      <c r="B6" s="127" t="s">
        <v>140</v>
      </c>
      <c r="C6" s="127"/>
      <c r="D6" s="128">
        <f ca="1">MAX(34.5, MIN(34.98, D5 + (RAND() * 0.4 - 0.2)))</f>
        <v>34.89750868899516</v>
      </c>
      <c r="E6" s="128"/>
      <c r="F6" s="205">
        <v>35</v>
      </c>
      <c r="G6" s="205"/>
      <c r="H6"/>
      <c r="I6" s="108" t="s">
        <v>140</v>
      </c>
      <c r="J6" s="105"/>
      <c r="K6" s="105"/>
      <c r="L6" s="105"/>
      <c r="M6" s="107" t="s">
        <v>141</v>
      </c>
      <c r="N6"/>
      <c r="O6" s="201" t="s">
        <v>140</v>
      </c>
      <c r="P6" s="201"/>
      <c r="Q6" s="203">
        <f t="shared" ca="1" si="0"/>
        <v>34.89750868899516</v>
      </c>
      <c r="R6" s="203"/>
      <c r="S6" s="201">
        <f t="shared" si="1"/>
        <v>35</v>
      </c>
      <c r="T6" s="201"/>
      <c r="U6" s="203">
        <f t="shared" ca="1" si="2"/>
        <v>0.10249131100484021</v>
      </c>
      <c r="V6" s="203"/>
    </row>
    <row r="7" spans="1:22" x14ac:dyDescent="0.3">
      <c r="A7"/>
      <c r="B7" s="127" t="s">
        <v>141</v>
      </c>
      <c r="C7" s="127"/>
      <c r="D7" s="128">
        <f ca="1">MAX(34.5, MIN(34.98, D6 + (RAND() * 0.4 - 0.2)))</f>
        <v>34.753359930080869</v>
      </c>
      <c r="E7" s="128"/>
      <c r="F7" s="205">
        <v>35</v>
      </c>
      <c r="G7" s="205"/>
      <c r="H7"/>
      <c r="I7" s="111"/>
      <c r="J7" s="111"/>
      <c r="K7" s="111"/>
      <c r="L7" s="111"/>
      <c r="M7"/>
      <c r="N7"/>
      <c r="O7" s="201" t="s">
        <v>141</v>
      </c>
      <c r="P7" s="201"/>
      <c r="Q7" s="203">
        <f t="shared" ca="1" si="0"/>
        <v>34.753359930080869</v>
      </c>
      <c r="R7" s="203"/>
      <c r="S7" s="201">
        <f t="shared" si="1"/>
        <v>35</v>
      </c>
      <c r="T7" s="201"/>
      <c r="U7" s="203">
        <f t="shared" ca="1" si="2"/>
        <v>0.24664006991913112</v>
      </c>
      <c r="V7" s="203"/>
    </row>
    <row r="8" spans="1:22" x14ac:dyDescent="0.3">
      <c r="A8"/>
      <c r="B8" s="127" t="s">
        <v>139</v>
      </c>
      <c r="C8" s="127"/>
      <c r="D8" s="128">
        <f ca="1">MAX(34.5, MIN(34.98, D7 + (RAND() * 0.4 - 0.2)))</f>
        <v>34.578399634218329</v>
      </c>
      <c r="E8" s="128"/>
      <c r="F8" s="205">
        <v>35</v>
      </c>
      <c r="G8" s="205"/>
      <c r="H8"/>
      <c r="I8" s="111"/>
      <c r="J8" s="111"/>
      <c r="K8" s="111"/>
      <c r="L8" s="111"/>
      <c r="M8" s="111"/>
      <c r="N8"/>
      <c r="O8" s="201" t="s">
        <v>139</v>
      </c>
      <c r="P8" s="201"/>
      <c r="Q8" s="203">
        <f t="shared" ca="1" si="0"/>
        <v>34.578399634218329</v>
      </c>
      <c r="R8" s="203"/>
      <c r="S8" s="201">
        <f t="shared" si="1"/>
        <v>35</v>
      </c>
      <c r="T8" s="201"/>
      <c r="U8" s="203">
        <f ca="1">S8-Q8</f>
        <v>0.42160036578167137</v>
      </c>
      <c r="V8" s="203"/>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x14ac:dyDescent="0.3">
      <c r="A11"/>
      <c r="B11" s="207" t="s">
        <v>165</v>
      </c>
      <c r="C11" s="207"/>
      <c r="D11" s="207"/>
      <c r="E11" s="207"/>
      <c r="F11" s="207"/>
      <c r="G11" s="207"/>
      <c r="H11"/>
      <c r="I11"/>
      <c r="J11"/>
      <c r="K11"/>
      <c r="L11"/>
      <c r="M11"/>
      <c r="N11"/>
      <c r="O11" s="204" t="s">
        <v>166</v>
      </c>
      <c r="P11" s="204"/>
      <c r="Q11" s="204"/>
      <c r="R11" s="204"/>
      <c r="S11" s="204"/>
      <c r="T11" s="204"/>
      <c r="U11" s="204"/>
      <c r="V11" s="204"/>
    </row>
    <row r="12" spans="1:22" ht="25.95" customHeight="1" thickBot="1" x14ac:dyDescent="0.35">
      <c r="A12"/>
      <c r="B12" s="133" t="s">
        <v>144</v>
      </c>
      <c r="C12" s="133"/>
      <c r="D12" s="133" t="s">
        <v>143</v>
      </c>
      <c r="E12" s="133"/>
      <c r="F12" s="133" t="s">
        <v>157</v>
      </c>
      <c r="G12" s="133"/>
      <c r="H12"/>
      <c r="I12" s="86"/>
      <c r="J12" s="111"/>
      <c r="K12" s="111"/>
      <c r="L12" s="111"/>
      <c r="M12" s="86"/>
      <c r="N12"/>
      <c r="O12" s="202" t="s">
        <v>144</v>
      </c>
      <c r="P12" s="202"/>
      <c r="Q12" s="202" t="s">
        <v>143</v>
      </c>
      <c r="R12" s="202"/>
      <c r="S12" s="202" t="s">
        <v>157</v>
      </c>
      <c r="T12" s="202"/>
      <c r="U12" s="202" t="s">
        <v>142</v>
      </c>
      <c r="V12" s="202"/>
    </row>
    <row r="13" spans="1:22" x14ac:dyDescent="0.3">
      <c r="A13"/>
      <c r="B13" s="127" t="s">
        <v>137</v>
      </c>
      <c r="C13" s="127"/>
      <c r="D13" s="206">
        <f ca="1">D4</f>
        <v>34.958038805348252</v>
      </c>
      <c r="E13" s="206"/>
      <c r="F13" s="128">
        <f ca="1">D13 + RAND() * 0.5</f>
        <v>35.306954102394677</v>
      </c>
      <c r="G13" s="128"/>
      <c r="H13"/>
      <c r="I13" s="109" t="s">
        <v>137</v>
      </c>
      <c r="J13" s="101"/>
      <c r="K13" s="101"/>
      <c r="L13" s="101"/>
      <c r="M13" s="110" t="s">
        <v>138</v>
      </c>
      <c r="N13"/>
      <c r="O13" s="201" t="s">
        <v>137</v>
      </c>
      <c r="P13" s="201"/>
      <c r="Q13" s="203">
        <f ca="1">D13</f>
        <v>34.958038805348252</v>
      </c>
      <c r="R13" s="203"/>
      <c r="S13" s="203">
        <f ca="1">F13</f>
        <v>35.306954102394677</v>
      </c>
      <c r="T13" s="203"/>
      <c r="U13" s="203">
        <f ca="1">S13-Q13</f>
        <v>0.34891529704642466</v>
      </c>
      <c r="V13" s="203"/>
    </row>
    <row r="14" spans="1:22" customFormat="1" x14ac:dyDescent="0.3">
      <c r="B14" s="127" t="s">
        <v>138</v>
      </c>
      <c r="C14" s="127"/>
      <c r="D14" s="206">
        <f t="shared" ref="D14:D17" ca="1" si="3">D5</f>
        <v>34.799878319692745</v>
      </c>
      <c r="E14" s="206"/>
      <c r="F14" s="128">
        <f ca="1">MAX(D14, MIN(D14 + 0.5, F13 + (RAND() * 0.4 - 0.2)))</f>
        <v>35.299878319692745</v>
      </c>
      <c r="G14" s="128"/>
      <c r="I14" s="102"/>
      <c r="J14" s="103"/>
      <c r="K14" s="106" t="s">
        <v>139</v>
      </c>
      <c r="L14" s="103"/>
      <c r="M14" s="104"/>
      <c r="O14" s="201" t="s">
        <v>138</v>
      </c>
      <c r="P14" s="201"/>
      <c r="Q14" s="203">
        <f t="shared" ref="Q14:Q17" ca="1" si="4">D14</f>
        <v>34.799878319692745</v>
      </c>
      <c r="R14" s="203"/>
      <c r="S14" s="203">
        <f t="shared" ref="S14:S17" ca="1" si="5">F14</f>
        <v>35.299878319692745</v>
      </c>
      <c r="T14" s="203"/>
      <c r="U14" s="203">
        <f t="shared" ref="U14:U16" ca="1" si="6">S14-Q14</f>
        <v>0.5</v>
      </c>
      <c r="V14" s="203"/>
    </row>
    <row r="15" spans="1:22" customFormat="1" ht="15" thickBot="1" x14ac:dyDescent="0.35">
      <c r="B15" s="127" t="s">
        <v>140</v>
      </c>
      <c r="C15" s="127"/>
      <c r="D15" s="206">
        <f t="shared" ca="1" si="3"/>
        <v>34.89750868899516</v>
      </c>
      <c r="E15" s="206"/>
      <c r="F15" s="128">
        <f ca="1">MAX(D15, MIN(D15 + 0.5, F13 + (RAND() * 0.4 - 0.2)))</f>
        <v>35.356590248828603</v>
      </c>
      <c r="G15" s="128"/>
      <c r="I15" s="108" t="s">
        <v>140</v>
      </c>
      <c r="J15" s="105"/>
      <c r="K15" s="105"/>
      <c r="L15" s="105"/>
      <c r="M15" s="107" t="s">
        <v>141</v>
      </c>
      <c r="O15" s="201" t="s">
        <v>140</v>
      </c>
      <c r="P15" s="201"/>
      <c r="Q15" s="203">
        <f t="shared" ca="1" si="4"/>
        <v>34.89750868899516</v>
      </c>
      <c r="R15" s="203"/>
      <c r="S15" s="203">
        <f t="shared" ca="1" si="5"/>
        <v>35.356590248828603</v>
      </c>
      <c r="T15" s="203"/>
      <c r="U15" s="203">
        <f t="shared" ca="1" si="6"/>
        <v>0.45908155983344301</v>
      </c>
      <c r="V15" s="203"/>
    </row>
    <row r="16" spans="1:22" customFormat="1" x14ac:dyDescent="0.3">
      <c r="B16" s="127" t="s">
        <v>141</v>
      </c>
      <c r="C16" s="127"/>
      <c r="D16" s="206">
        <f t="shared" ca="1" si="3"/>
        <v>34.753359930080869</v>
      </c>
      <c r="E16" s="206"/>
      <c r="F16" s="128">
        <f ca="1">MAX(D16, MIN(D16 + 0.5, F13 + (RAND() * 0.4 - 0.2)))</f>
        <v>35.253359930080869</v>
      </c>
      <c r="G16" s="128"/>
      <c r="I16" s="111"/>
      <c r="J16" s="111"/>
      <c r="K16" s="111"/>
      <c r="L16" s="111"/>
      <c r="O16" s="201" t="s">
        <v>141</v>
      </c>
      <c r="P16" s="201"/>
      <c r="Q16" s="203">
        <f t="shared" ca="1" si="4"/>
        <v>34.753359930080869</v>
      </c>
      <c r="R16" s="203"/>
      <c r="S16" s="203">
        <f t="shared" ca="1" si="5"/>
        <v>35.253359930080869</v>
      </c>
      <c r="T16" s="203"/>
      <c r="U16" s="203">
        <f t="shared" ca="1" si="6"/>
        <v>0.5</v>
      </c>
      <c r="V16" s="203"/>
    </row>
    <row r="17" spans="2:22" customFormat="1" x14ac:dyDescent="0.3">
      <c r="B17" s="127" t="s">
        <v>139</v>
      </c>
      <c r="C17" s="127"/>
      <c r="D17" s="206">
        <f t="shared" ca="1" si="3"/>
        <v>34.578399634218329</v>
      </c>
      <c r="E17" s="206"/>
      <c r="F17" s="128">
        <f ca="1">MAX(D17, MIN(D17 + 0.5, F13 + (RAND() * 0.4 - 0.2)))</f>
        <v>35.078399634218329</v>
      </c>
      <c r="G17" s="128"/>
      <c r="I17" s="111"/>
      <c r="J17" s="111"/>
      <c r="K17" s="111"/>
      <c r="L17" s="111"/>
      <c r="M17" s="111"/>
      <c r="O17" s="201" t="s">
        <v>139</v>
      </c>
      <c r="P17" s="201"/>
      <c r="Q17" s="203">
        <f t="shared" ca="1" si="4"/>
        <v>34.578399634218329</v>
      </c>
      <c r="R17" s="203"/>
      <c r="S17" s="203">
        <f t="shared" ca="1" si="5"/>
        <v>35.078399634218329</v>
      </c>
      <c r="T17" s="203"/>
      <c r="U17" s="203">
        <f ca="1">S17-Q17</f>
        <v>0.5</v>
      </c>
      <c r="V17" s="203"/>
    </row>
    <row r="18" spans="2:22" customFormat="1" x14ac:dyDescent="0.3">
      <c r="B18" s="112"/>
      <c r="C18" s="112"/>
      <c r="D18" s="112"/>
      <c r="E18" s="112"/>
      <c r="F18" s="112"/>
      <c r="G18" s="112"/>
      <c r="I18" s="111"/>
      <c r="J18" s="111"/>
      <c r="K18" s="111"/>
      <c r="L18" s="111"/>
      <c r="M18" s="111"/>
      <c r="O18" s="114"/>
      <c r="P18" s="114"/>
      <c r="Q18" s="114"/>
      <c r="R18" s="114"/>
      <c r="S18" s="114"/>
      <c r="T18" s="114"/>
      <c r="U18" s="115"/>
      <c r="V18" s="115"/>
    </row>
    <row r="19" spans="2:22" customFormat="1" x14ac:dyDescent="0.3">
      <c r="B19" s="112"/>
      <c r="C19" s="112"/>
      <c r="D19" s="112"/>
      <c r="E19" s="112"/>
      <c r="F19" s="112"/>
      <c r="G19" s="112"/>
      <c r="I19" s="111"/>
      <c r="J19" s="111"/>
      <c r="K19" s="111"/>
      <c r="L19" s="111"/>
      <c r="M19" s="111"/>
      <c r="O19" s="114"/>
      <c r="P19" s="114"/>
      <c r="Q19" s="114"/>
      <c r="R19" s="114"/>
      <c r="S19" s="114"/>
      <c r="T19" s="114"/>
      <c r="U19" s="115"/>
      <c r="V19" s="115"/>
    </row>
    <row r="20" spans="2:22" customFormat="1" x14ac:dyDescent="0.3">
      <c r="B20" s="207" t="s">
        <v>163</v>
      </c>
      <c r="C20" s="207"/>
      <c r="D20" s="207"/>
      <c r="E20" s="207"/>
      <c r="F20" s="207"/>
      <c r="G20" s="207"/>
      <c r="O20" s="204" t="s">
        <v>164</v>
      </c>
      <c r="P20" s="204"/>
      <c r="Q20" s="204"/>
      <c r="R20" s="204"/>
      <c r="S20" s="204"/>
      <c r="T20" s="204"/>
      <c r="U20" s="204"/>
      <c r="V20" s="204"/>
    </row>
    <row r="21" spans="2:22" customFormat="1" ht="28.2" customHeight="1" thickBot="1" x14ac:dyDescent="0.35">
      <c r="B21" s="133" t="s">
        <v>150</v>
      </c>
      <c r="C21" s="133"/>
      <c r="D21" s="133" t="s">
        <v>148</v>
      </c>
      <c r="E21" s="133"/>
      <c r="F21" s="133" t="s">
        <v>159</v>
      </c>
      <c r="G21" s="133"/>
      <c r="O21" s="202" t="s">
        <v>150</v>
      </c>
      <c r="P21" s="202"/>
      <c r="Q21" s="202" t="s">
        <v>148</v>
      </c>
      <c r="R21" s="202"/>
      <c r="S21" s="202" t="s">
        <v>159</v>
      </c>
      <c r="T21" s="202"/>
      <c r="U21" s="202" t="s">
        <v>149</v>
      </c>
      <c r="V21" s="202"/>
    </row>
    <row r="22" spans="2:22" customFormat="1" ht="14.4" customHeight="1" x14ac:dyDescent="0.3">
      <c r="B22" s="127" t="s">
        <v>151</v>
      </c>
      <c r="C22" s="127"/>
      <c r="D22" s="128">
        <f ca="1">76.5 + (82.5 - 76.5) * RAND()</f>
        <v>77.636968905110038</v>
      </c>
      <c r="E22" s="128"/>
      <c r="F22" s="205">
        <v>80</v>
      </c>
      <c r="G22" s="205"/>
      <c r="I22" s="109" t="s">
        <v>137</v>
      </c>
      <c r="J22" s="101"/>
      <c r="K22" s="101"/>
      <c r="L22" s="101"/>
      <c r="M22" s="110" t="s">
        <v>138</v>
      </c>
      <c r="O22" s="197" t="s">
        <v>151</v>
      </c>
      <c r="P22" s="198"/>
      <c r="Q22" s="199">
        <f ca="1">D22</f>
        <v>77.636968905110038</v>
      </c>
      <c r="R22" s="200"/>
      <c r="S22" s="201">
        <f>F22</f>
        <v>80</v>
      </c>
      <c r="T22" s="201"/>
      <c r="U22" s="199">
        <f ca="1">S22-Q22</f>
        <v>2.363031094889962</v>
      </c>
      <c r="V22" s="200"/>
    </row>
    <row r="23" spans="2:22" customFormat="1" x14ac:dyDescent="0.3">
      <c r="B23" s="127" t="s">
        <v>152</v>
      </c>
      <c r="C23" s="127"/>
      <c r="D23" s="128">
        <f ca="1">D22 + (RAND() * 2 - 1)</f>
        <v>78.021497827007153</v>
      </c>
      <c r="E23" s="128"/>
      <c r="F23" s="205">
        <v>80</v>
      </c>
      <c r="G23" s="205"/>
      <c r="I23" s="102"/>
      <c r="J23" s="103"/>
      <c r="K23" s="106" t="s">
        <v>139</v>
      </c>
      <c r="L23" s="103"/>
      <c r="M23" s="104"/>
      <c r="O23" s="197" t="s">
        <v>152</v>
      </c>
      <c r="P23" s="198"/>
      <c r="Q23" s="199">
        <f t="shared" ref="Q23:Q26" ca="1" si="7">D23</f>
        <v>78.021497827007153</v>
      </c>
      <c r="R23" s="200"/>
      <c r="S23" s="201">
        <f t="shared" ref="S23:S26" si="8">F23</f>
        <v>80</v>
      </c>
      <c r="T23" s="201"/>
      <c r="U23" s="199">
        <f t="shared" ref="U23:U26" ca="1" si="9">S23-Q23</f>
        <v>1.9785021729928474</v>
      </c>
      <c r="V23" s="200"/>
    </row>
    <row r="24" spans="2:22" customFormat="1" ht="15" thickBot="1" x14ac:dyDescent="0.35">
      <c r="B24" s="127" t="s">
        <v>153</v>
      </c>
      <c r="C24" s="127"/>
      <c r="D24" s="128">
        <f ca="1">D22 + (RAND() * 2 - 1)</f>
        <v>77.262444882822237</v>
      </c>
      <c r="E24" s="128"/>
      <c r="F24" s="205">
        <v>80</v>
      </c>
      <c r="G24" s="205"/>
      <c r="I24" s="108" t="s">
        <v>140</v>
      </c>
      <c r="J24" s="105"/>
      <c r="K24" s="105"/>
      <c r="L24" s="105"/>
      <c r="M24" s="107" t="s">
        <v>141</v>
      </c>
      <c r="O24" s="197" t="s">
        <v>153</v>
      </c>
      <c r="P24" s="198"/>
      <c r="Q24" s="199">
        <f t="shared" ca="1" si="7"/>
        <v>77.262444882822237</v>
      </c>
      <c r="R24" s="200"/>
      <c r="S24" s="201">
        <f t="shared" si="8"/>
        <v>80</v>
      </c>
      <c r="T24" s="201"/>
      <c r="U24" s="199">
        <f t="shared" ca="1" si="9"/>
        <v>2.737555117177763</v>
      </c>
      <c r="V24" s="200"/>
    </row>
    <row r="25" spans="2:22" customFormat="1" x14ac:dyDescent="0.3">
      <c r="B25" s="127" t="s">
        <v>154</v>
      </c>
      <c r="C25" s="127"/>
      <c r="D25" s="128">
        <f ca="1">D22 + (RAND() * 2 - 1)</f>
        <v>77.484788936974553</v>
      </c>
      <c r="E25" s="128"/>
      <c r="F25" s="205">
        <v>80</v>
      </c>
      <c r="G25" s="205"/>
      <c r="O25" s="197" t="s">
        <v>154</v>
      </c>
      <c r="P25" s="198"/>
      <c r="Q25" s="199">
        <f t="shared" ca="1" si="7"/>
        <v>77.484788936974553</v>
      </c>
      <c r="R25" s="200"/>
      <c r="S25" s="201">
        <f t="shared" si="8"/>
        <v>80</v>
      </c>
      <c r="T25" s="201"/>
      <c r="U25" s="199">
        <f t="shared" ca="1" si="9"/>
        <v>2.5152110630254469</v>
      </c>
      <c r="V25" s="200"/>
    </row>
    <row r="26" spans="2:22" customFormat="1" x14ac:dyDescent="0.3">
      <c r="B26" s="127" t="s">
        <v>155</v>
      </c>
      <c r="C26" s="127"/>
      <c r="D26" s="128">
        <f ca="1">D22 + (RAND() * 2 - 1)</f>
        <v>77.272304163500294</v>
      </c>
      <c r="E26" s="128"/>
      <c r="F26" s="205">
        <v>80</v>
      </c>
      <c r="G26" s="205"/>
      <c r="O26" s="197" t="s">
        <v>155</v>
      </c>
      <c r="P26" s="198"/>
      <c r="Q26" s="199">
        <f t="shared" ca="1" si="7"/>
        <v>77.272304163500294</v>
      </c>
      <c r="R26" s="200"/>
      <c r="S26" s="201">
        <f t="shared" si="8"/>
        <v>80</v>
      </c>
      <c r="T26" s="201"/>
      <c r="U26" s="199">
        <f t="shared" ca="1" si="9"/>
        <v>2.7276958364997057</v>
      </c>
      <c r="V26" s="200"/>
    </row>
    <row r="27" spans="2:22" x14ac:dyDescent="0.3">
      <c r="B27"/>
      <c r="C27"/>
      <c r="D27"/>
      <c r="E27"/>
      <c r="F27"/>
    </row>
    <row r="28" spans="2:22" customFormat="1" x14ac:dyDescent="0.3"/>
    <row r="29" spans="2:22" customFormat="1" x14ac:dyDescent="0.3"/>
    <row r="30" spans="2:22" customFormat="1" x14ac:dyDescent="0.3"/>
    <row r="31" spans="2:22" customFormat="1" x14ac:dyDescent="0.3"/>
    <row r="32" spans="2:2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ht="30" customHeight="1" x14ac:dyDescent="0.3"/>
    <row r="47" customFormat="1" x14ac:dyDescent="0.3"/>
    <row r="48" customFormat="1" x14ac:dyDescent="0.3"/>
    <row r="49" customFormat="1" x14ac:dyDescent="0.3"/>
    <row r="50" customFormat="1" x14ac:dyDescent="0.3"/>
    <row r="51" customFormat="1" x14ac:dyDescent="0.3"/>
    <row r="52" customFormat="1" x14ac:dyDescent="0.3"/>
  </sheetData>
  <sheetProtection formatCells="0" formatColumns="0" formatRows="0"/>
  <mergeCells count="132">
    <mergeCell ref="F15:G15"/>
    <mergeCell ref="B2:G2"/>
    <mergeCell ref="B11:G11"/>
    <mergeCell ref="B12:C12"/>
    <mergeCell ref="D12:E12"/>
    <mergeCell ref="F12:G12"/>
    <mergeCell ref="B8:C8"/>
    <mergeCell ref="D8:E8"/>
    <mergeCell ref="F8:G8"/>
    <mergeCell ref="B6:C6"/>
    <mergeCell ref="D6:E6"/>
    <mergeCell ref="F6:G6"/>
    <mergeCell ref="B4:C4"/>
    <mergeCell ref="D4:E4"/>
    <mergeCell ref="F4:G4"/>
    <mergeCell ref="B3:C3"/>
    <mergeCell ref="D3:E3"/>
    <mergeCell ref="F3:G3"/>
    <mergeCell ref="B5:C5"/>
    <mergeCell ref="D5:E5"/>
    <mergeCell ref="F5:G5"/>
    <mergeCell ref="B7:C7"/>
    <mergeCell ref="D7:E7"/>
    <mergeCell ref="F7:G7"/>
    <mergeCell ref="B14:C14"/>
    <mergeCell ref="D14:E14"/>
    <mergeCell ref="F14:G14"/>
    <mergeCell ref="B13:C13"/>
    <mergeCell ref="D13:E13"/>
    <mergeCell ref="F13:G13"/>
    <mergeCell ref="B23:C23"/>
    <mergeCell ref="D23:E23"/>
    <mergeCell ref="F23:G23"/>
    <mergeCell ref="B22:C22"/>
    <mergeCell ref="D22:E22"/>
    <mergeCell ref="F22:G22"/>
    <mergeCell ref="B21:C21"/>
    <mergeCell ref="D21:E21"/>
    <mergeCell ref="F21:G21"/>
    <mergeCell ref="B20:G20"/>
    <mergeCell ref="B17:C17"/>
    <mergeCell ref="D17:E17"/>
    <mergeCell ref="F17:G17"/>
    <mergeCell ref="B16:C16"/>
    <mergeCell ref="D16:E16"/>
    <mergeCell ref="F16:G16"/>
    <mergeCell ref="B15:C15"/>
    <mergeCell ref="D15:E15"/>
    <mergeCell ref="B26:C26"/>
    <mergeCell ref="D26:E26"/>
    <mergeCell ref="F26:G26"/>
    <mergeCell ref="B25:C25"/>
    <mergeCell ref="D25:E25"/>
    <mergeCell ref="F25:G25"/>
    <mergeCell ref="B24:C24"/>
    <mergeCell ref="D24:E24"/>
    <mergeCell ref="F24:G24"/>
    <mergeCell ref="O4:P4"/>
    <mergeCell ref="Q4:R4"/>
    <mergeCell ref="S4:T4"/>
    <mergeCell ref="U4:V4"/>
    <mergeCell ref="O2:V2"/>
    <mergeCell ref="O3:P3"/>
    <mergeCell ref="Q3:R3"/>
    <mergeCell ref="S3:T3"/>
    <mergeCell ref="U3:V3"/>
    <mergeCell ref="O7:P7"/>
    <mergeCell ref="Q7:R7"/>
    <mergeCell ref="S7:T7"/>
    <mergeCell ref="U7:V7"/>
    <mergeCell ref="O6:P6"/>
    <mergeCell ref="Q6:R6"/>
    <mergeCell ref="S6:T6"/>
    <mergeCell ref="U6:V6"/>
    <mergeCell ref="O5:P5"/>
    <mergeCell ref="Q5:R5"/>
    <mergeCell ref="S5:T5"/>
    <mergeCell ref="U5:V5"/>
    <mergeCell ref="O11:V11"/>
    <mergeCell ref="O12:P12"/>
    <mergeCell ref="Q12:R12"/>
    <mergeCell ref="S12:T12"/>
    <mergeCell ref="U12:V12"/>
    <mergeCell ref="O8:P8"/>
    <mergeCell ref="Q8:R8"/>
    <mergeCell ref="S8:T8"/>
    <mergeCell ref="U8:V8"/>
    <mergeCell ref="O15:P15"/>
    <mergeCell ref="Q15:R15"/>
    <mergeCell ref="S15:T15"/>
    <mergeCell ref="U15:V15"/>
    <mergeCell ref="O14:P14"/>
    <mergeCell ref="Q14:R14"/>
    <mergeCell ref="S14:T14"/>
    <mergeCell ref="U14:V14"/>
    <mergeCell ref="O13:P13"/>
    <mergeCell ref="Q13:R13"/>
    <mergeCell ref="S13:T13"/>
    <mergeCell ref="U13:V13"/>
    <mergeCell ref="O17:P17"/>
    <mergeCell ref="Q17:R17"/>
    <mergeCell ref="S17:T17"/>
    <mergeCell ref="U17:V17"/>
    <mergeCell ref="O16:P16"/>
    <mergeCell ref="Q16:R16"/>
    <mergeCell ref="S16:T16"/>
    <mergeCell ref="U16:V16"/>
    <mergeCell ref="O20:V20"/>
    <mergeCell ref="O26:P26"/>
    <mergeCell ref="Q26:R26"/>
    <mergeCell ref="S26:T26"/>
    <mergeCell ref="U26:V26"/>
    <mergeCell ref="O25:P25"/>
    <mergeCell ref="Q25:R25"/>
    <mergeCell ref="S25:T25"/>
    <mergeCell ref="U25:V25"/>
    <mergeCell ref="O24:P24"/>
    <mergeCell ref="Q24:R24"/>
    <mergeCell ref="S24:T24"/>
    <mergeCell ref="U24:V24"/>
    <mergeCell ref="O23:P23"/>
    <mergeCell ref="Q23:R23"/>
    <mergeCell ref="S23:T23"/>
    <mergeCell ref="U23:V23"/>
    <mergeCell ref="O22:P22"/>
    <mergeCell ref="Q22:R22"/>
    <mergeCell ref="S22:T22"/>
    <mergeCell ref="U22:V22"/>
    <mergeCell ref="O21:P21"/>
    <mergeCell ref="Q21:R21"/>
    <mergeCell ref="S21:T21"/>
    <mergeCell ref="U21:V2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3" zoomScaleNormal="100" workbookViewId="0">
      <selection activeCell="D20" sqref="D2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208" t="s">
        <v>167</v>
      </c>
      <c r="C2" s="209"/>
      <c r="D2" s="209"/>
      <c r="E2" s="209"/>
      <c r="F2" s="209"/>
      <c r="G2" s="209"/>
      <c r="H2" s="209"/>
      <c r="I2" s="209"/>
      <c r="J2" s="209"/>
      <c r="K2" s="209"/>
      <c r="L2" s="210"/>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t="str">
        <f>MEDIDA!B4</f>
        <v>T1</v>
      </c>
      <c r="C4" s="8">
        <f>PATRON!$G$41/2</f>
        <v>0.15</v>
      </c>
      <c r="D4" s="8">
        <f>PATRON!$G$43/SQRT(3)</f>
        <v>0.23094010767585033</v>
      </c>
      <c r="E4" s="8">
        <v>0</v>
      </c>
      <c r="F4" s="96">
        <f>0.1/SQRT(12)</f>
        <v>2.8867513459481291E-2</v>
      </c>
      <c r="G4" s="96">
        <f>PATRON!$G$45/SQRT(12)</f>
        <v>2.8867513459481291E-2</v>
      </c>
      <c r="H4" s="96">
        <v>0</v>
      </c>
      <c r="I4" s="8">
        <f>SQRT(SUMSQ(C4:H4))</f>
        <v>0.27838821814150111</v>
      </c>
      <c r="J4" s="15">
        <f>I4^4/(C4^4/200+D4^4/200+E4^4/200+F4^4/200+G4^4/200+H4^4/3)</f>
        <v>358.35922933499074</v>
      </c>
      <c r="K4" s="11">
        <f>TINV(0.0455,J4)</f>
        <v>2.007009664025154</v>
      </c>
      <c r="L4" s="8">
        <f>I4*K4</f>
        <v>0.5587278441607354</v>
      </c>
    </row>
    <row r="5" spans="1:12" x14ac:dyDescent="0.3">
      <c r="A5" s="52"/>
      <c r="B5" s="7" t="str">
        <f>MEDIDA!B5</f>
        <v>T2</v>
      </c>
      <c r="C5" s="8">
        <f>PATRON!$G$41/2</f>
        <v>0.15</v>
      </c>
      <c r="D5" s="8">
        <f>PATRON!$G$43/SQRT(3)</f>
        <v>0.23094010767585033</v>
      </c>
      <c r="E5" s="8">
        <v>0</v>
      </c>
      <c r="F5" s="96">
        <f t="shared" ref="F5:F8" si="0">0.1/SQRT(12)</f>
        <v>2.8867513459481291E-2</v>
      </c>
      <c r="G5" s="96">
        <f>PATRON!$G$45/SQRT(12)</f>
        <v>2.8867513459481291E-2</v>
      </c>
      <c r="H5" s="96">
        <v>0</v>
      </c>
      <c r="I5" s="8">
        <f>SQRT(SUMSQ(C5:H5))</f>
        <v>0.27838821814150111</v>
      </c>
      <c r="J5" s="15">
        <f>I5^4/(C5^4/200+D5^4/200+E5^4/200+F5^4/200+G5^4/200+H5^4/3)</f>
        <v>358.35922933499074</v>
      </c>
      <c r="K5" s="11">
        <f>TINV(0.0455,J5)</f>
        <v>2.007009664025154</v>
      </c>
      <c r="L5" s="8">
        <f>I5*K5</f>
        <v>0.5587278441607354</v>
      </c>
    </row>
    <row r="6" spans="1:12" x14ac:dyDescent="0.3">
      <c r="A6" s="52"/>
      <c r="B6" s="7" t="str">
        <f>MEDIDA!B6</f>
        <v>T3</v>
      </c>
      <c r="C6" s="8">
        <f>PATRON!$G$41/2</f>
        <v>0.15</v>
      </c>
      <c r="D6" s="8">
        <f>PATRON!$G$43/SQRT(3)</f>
        <v>0.23094010767585033</v>
      </c>
      <c r="E6" s="8">
        <v>0</v>
      </c>
      <c r="F6" s="96">
        <f t="shared" si="0"/>
        <v>2.8867513459481291E-2</v>
      </c>
      <c r="G6" s="96">
        <f>PATRON!$G$45/SQRT(12)</f>
        <v>2.8867513459481291E-2</v>
      </c>
      <c r="H6" s="96">
        <v>0</v>
      </c>
      <c r="I6" s="8">
        <f>SQRT(SUMSQ(C6:H6))</f>
        <v>0.27838821814150111</v>
      </c>
      <c r="J6" s="15">
        <f>I6^4/(C6^4/200+D6^4/200+E6^4/200+F6^4/200+G6^4/200+H6^4/3)</f>
        <v>358.35922933499074</v>
      </c>
      <c r="K6" s="11">
        <f t="shared" ref="K6:K8" si="1">TINV(0.0455,J6)</f>
        <v>2.007009664025154</v>
      </c>
      <c r="L6" s="8">
        <f t="shared" ref="L6:L8" si="2">I6*K6</f>
        <v>0.5587278441607354</v>
      </c>
    </row>
    <row r="7" spans="1:12" x14ac:dyDescent="0.3">
      <c r="A7" s="52"/>
      <c r="B7" s="7" t="str">
        <f>MEDIDA!B7</f>
        <v>T4</v>
      </c>
      <c r="C7" s="8">
        <f>PATRON!$G$41/2</f>
        <v>0.15</v>
      </c>
      <c r="D7" s="8">
        <f>PATRON!$G$43/SQRT(3)</f>
        <v>0.23094010767585033</v>
      </c>
      <c r="E7" s="8">
        <v>0</v>
      </c>
      <c r="F7" s="96">
        <f t="shared" si="0"/>
        <v>2.8867513459481291E-2</v>
      </c>
      <c r="G7" s="96">
        <f>PATRON!$G$45/SQRT(12)</f>
        <v>2.8867513459481291E-2</v>
      </c>
      <c r="H7" s="96">
        <v>0</v>
      </c>
      <c r="I7" s="8">
        <f t="shared" ref="I7:I8" si="3">SQRT(SUMSQ(C7:H7))</f>
        <v>0.27838821814150111</v>
      </c>
      <c r="J7" s="15">
        <f t="shared" ref="J7:J8" si="4">I7^4/(C7^4/200+D7^4/200+E7^4/200+F7^4/200+G7^4/200+H7^4/3)</f>
        <v>358.35922933499074</v>
      </c>
      <c r="K7" s="11">
        <f t="shared" si="1"/>
        <v>2.007009664025154</v>
      </c>
      <c r="L7" s="8">
        <f t="shared" si="2"/>
        <v>0.5587278441607354</v>
      </c>
    </row>
    <row r="8" spans="1:12" x14ac:dyDescent="0.3">
      <c r="A8" s="52"/>
      <c r="B8" s="7" t="str">
        <f>MEDIDA!B8</f>
        <v>T5</v>
      </c>
      <c r="C8" s="8">
        <f>PATRON!$G$41/2</f>
        <v>0.15</v>
      </c>
      <c r="D8" s="8">
        <f>PATRON!$G$43/SQRT(3)</f>
        <v>0.23094010767585033</v>
      </c>
      <c r="E8" s="8">
        <v>0</v>
      </c>
      <c r="F8" s="96">
        <f t="shared" si="0"/>
        <v>2.8867513459481291E-2</v>
      </c>
      <c r="G8" s="96">
        <f>PATRON!$G$45/SQRT(12)</f>
        <v>2.8867513459481291E-2</v>
      </c>
      <c r="H8" s="96">
        <v>0</v>
      </c>
      <c r="I8" s="8">
        <f t="shared" si="3"/>
        <v>0.27838821814150111</v>
      </c>
      <c r="J8" s="15">
        <f t="shared" si="4"/>
        <v>358.35922933499074</v>
      </c>
      <c r="K8" s="11">
        <f t="shared" si="1"/>
        <v>2.007009664025154</v>
      </c>
      <c r="L8" s="8">
        <f t="shared" si="2"/>
        <v>0.5587278441607354</v>
      </c>
    </row>
    <row r="10" spans="1:12" x14ac:dyDescent="0.3">
      <c r="B10" s="208" t="s">
        <v>168</v>
      </c>
      <c r="C10" s="209"/>
      <c r="D10" s="209"/>
      <c r="E10" s="209"/>
      <c r="F10" s="209"/>
      <c r="G10" s="209"/>
      <c r="H10" s="209"/>
      <c r="I10" s="209"/>
      <c r="J10" s="209"/>
      <c r="K10" s="209"/>
      <c r="L10" s="210"/>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str">
        <f>MEDIDA!B13</f>
        <v>T1</v>
      </c>
      <c r="C12" s="8">
        <f>PATRON!$G$41/2</f>
        <v>0.15</v>
      </c>
      <c r="D12" s="8">
        <f>PATRON!$G$43/SQRT(3)</f>
        <v>0.23094010767585033</v>
      </c>
      <c r="E12" s="8">
        <v>0</v>
      </c>
      <c r="F12" s="96">
        <f>0.1/SQRT(12)</f>
        <v>2.8867513459481291E-2</v>
      </c>
      <c r="G12" s="96">
        <f>PATRON!$G$45/SQRT(12)</f>
        <v>2.8867513459481291E-2</v>
      </c>
      <c r="H12" s="96">
        <v>0</v>
      </c>
      <c r="I12" s="8">
        <f>SQRT(SUMSQ(C12:H12))</f>
        <v>0.27838821814150111</v>
      </c>
      <c r="J12" s="15">
        <f>I12^4/(C12^4/200+D12^4/200+E12^4/200+F12^4/200+G12^4/200+H12^4/3)</f>
        <v>358.35922933499074</v>
      </c>
      <c r="K12" s="11">
        <f>TINV(0.0455,J12)</f>
        <v>2.007009664025154</v>
      </c>
      <c r="L12" s="8">
        <f>I12*K12</f>
        <v>0.5587278441607354</v>
      </c>
    </row>
    <row r="13" spans="1:12" x14ac:dyDescent="0.3">
      <c r="B13" s="7" t="str">
        <f>MEDIDA!B14</f>
        <v>T2</v>
      </c>
      <c r="C13" s="8">
        <f>PATRON!$G$41/2</f>
        <v>0.15</v>
      </c>
      <c r="D13" s="8">
        <f>PATRON!$G$43/SQRT(3)</f>
        <v>0.23094010767585033</v>
      </c>
      <c r="E13" s="8">
        <v>0</v>
      </c>
      <c r="F13" s="96">
        <f t="shared" ref="F13:F16" si="5">0.1/SQRT(12)</f>
        <v>2.8867513459481291E-2</v>
      </c>
      <c r="G13" s="96">
        <f>PATRON!$G$45/SQRT(12)</f>
        <v>2.8867513459481291E-2</v>
      </c>
      <c r="H13" s="96">
        <v>0</v>
      </c>
      <c r="I13" s="8">
        <f t="shared" ref="I13:I16" si="6">SQRT(SUMSQ(C13:H13))</f>
        <v>0.27838821814150111</v>
      </c>
      <c r="J13" s="15">
        <f t="shared" ref="J13:J16" si="7">I13^4/(C13^4/200+D13^4/200+E13^4/200+F13^4/200+G13^4/200+H13^4/3)</f>
        <v>358.35922933499074</v>
      </c>
      <c r="K13" s="11">
        <f t="shared" ref="K13:K16" si="8">TINV(0.0455,J13)</f>
        <v>2.007009664025154</v>
      </c>
      <c r="L13" s="8">
        <f t="shared" ref="L13:L16" si="9">I13*K13</f>
        <v>0.5587278441607354</v>
      </c>
    </row>
    <row r="14" spans="1:12" x14ac:dyDescent="0.3">
      <c r="B14" s="7" t="str">
        <f>MEDIDA!B15</f>
        <v>T3</v>
      </c>
      <c r="C14" s="8">
        <f>PATRON!$G$41/2</f>
        <v>0.15</v>
      </c>
      <c r="D14" s="8">
        <f>PATRON!$G$43/SQRT(3)</f>
        <v>0.23094010767585033</v>
      </c>
      <c r="E14" s="8">
        <v>0</v>
      </c>
      <c r="F14" s="96">
        <f t="shared" si="5"/>
        <v>2.8867513459481291E-2</v>
      </c>
      <c r="G14" s="96">
        <f>PATRON!$G$45/SQRT(12)</f>
        <v>2.8867513459481291E-2</v>
      </c>
      <c r="H14" s="96">
        <v>0</v>
      </c>
      <c r="I14" s="8">
        <f t="shared" si="6"/>
        <v>0.27838821814150111</v>
      </c>
      <c r="J14" s="15">
        <f t="shared" si="7"/>
        <v>358.35922933499074</v>
      </c>
      <c r="K14" s="11">
        <f t="shared" si="8"/>
        <v>2.007009664025154</v>
      </c>
      <c r="L14" s="8">
        <f t="shared" si="9"/>
        <v>0.5587278441607354</v>
      </c>
    </row>
    <row r="15" spans="1:12" x14ac:dyDescent="0.3">
      <c r="B15" s="7" t="str">
        <f>MEDIDA!B16</f>
        <v>T4</v>
      </c>
      <c r="C15" s="8">
        <f>PATRON!$G$41/2</f>
        <v>0.15</v>
      </c>
      <c r="D15" s="8">
        <f>PATRON!$G$43/SQRT(3)</f>
        <v>0.23094010767585033</v>
      </c>
      <c r="E15" s="8">
        <v>0</v>
      </c>
      <c r="F15" s="96">
        <f t="shared" si="5"/>
        <v>2.8867513459481291E-2</v>
      </c>
      <c r="G15" s="96">
        <f>PATRON!$G$45/SQRT(12)</f>
        <v>2.8867513459481291E-2</v>
      </c>
      <c r="H15" s="96">
        <v>0</v>
      </c>
      <c r="I15" s="8">
        <f t="shared" si="6"/>
        <v>0.27838821814150111</v>
      </c>
      <c r="J15" s="15">
        <f t="shared" si="7"/>
        <v>358.35922933499074</v>
      </c>
      <c r="K15" s="11">
        <f t="shared" si="8"/>
        <v>2.007009664025154</v>
      </c>
      <c r="L15" s="8">
        <f>I15*K15</f>
        <v>0.5587278441607354</v>
      </c>
    </row>
    <row r="16" spans="1:12" x14ac:dyDescent="0.3">
      <c r="B16" s="7" t="str">
        <f>MEDIDA!B17</f>
        <v>T5</v>
      </c>
      <c r="C16" s="8">
        <f>PATRON!$G$41/2</f>
        <v>0.15</v>
      </c>
      <c r="D16" s="8">
        <f>PATRON!$G$43/SQRT(3)</f>
        <v>0.23094010767585033</v>
      </c>
      <c r="E16" s="8">
        <v>0</v>
      </c>
      <c r="F16" s="96">
        <f t="shared" si="5"/>
        <v>2.8867513459481291E-2</v>
      </c>
      <c r="G16" s="96">
        <f>PATRON!$G$45/SQRT(12)</f>
        <v>2.8867513459481291E-2</v>
      </c>
      <c r="H16" s="96">
        <v>0</v>
      </c>
      <c r="I16" s="8">
        <f t="shared" si="6"/>
        <v>0.27838821814150111</v>
      </c>
      <c r="J16" s="15">
        <f t="shared" si="7"/>
        <v>358.35922933499074</v>
      </c>
      <c r="K16" s="11">
        <f t="shared" si="8"/>
        <v>2.007009664025154</v>
      </c>
      <c r="L16" s="8">
        <f t="shared" si="9"/>
        <v>0.5587278441607354</v>
      </c>
    </row>
    <row r="18" spans="2:12" x14ac:dyDescent="0.3">
      <c r="B18" s="208" t="s">
        <v>130</v>
      </c>
      <c r="C18" s="209"/>
      <c r="D18" s="209"/>
      <c r="E18" s="209"/>
      <c r="F18" s="209"/>
      <c r="G18" s="209"/>
      <c r="H18" s="209"/>
      <c r="I18" s="209"/>
      <c r="J18" s="209"/>
      <c r="K18" s="209"/>
      <c r="L18" s="210"/>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t="str">
        <f>MEDIDA!B22</f>
        <v>H1</v>
      </c>
      <c r="C20" s="8">
        <f>PATRON!$G$42/2</f>
        <v>0.9</v>
      </c>
      <c r="D20" s="116">
        <f>PATRON!$G$44/SQRT(3)</f>
        <v>0.57735026918962584</v>
      </c>
      <c r="E20" s="8">
        <v>0</v>
      </c>
      <c r="F20" s="96">
        <f>1/SQRT(12)</f>
        <v>0.28867513459481292</v>
      </c>
      <c r="G20" s="96">
        <f>PATRON!$G$46/SQRT(12)</f>
        <v>2.8867513459481291E-2</v>
      </c>
      <c r="H20" s="96">
        <v>0</v>
      </c>
      <c r="I20" s="8">
        <f>SQRT(SUMSQ(C20:H20))</f>
        <v>1.107925990308017</v>
      </c>
      <c r="J20" s="15">
        <f>I20^4/(C20^4/200+D20^4/200+E20^4/200+F20^4/200+G20^4/200+H20^4/3)</f>
        <v>389.26411819319412</v>
      </c>
      <c r="K20" s="11">
        <f>TINV(0.0455,J20)</f>
        <v>2.006449486726972</v>
      </c>
      <c r="L20" s="116">
        <f>I20*K20</f>
        <v>2.2229975345849926</v>
      </c>
    </row>
    <row r="21" spans="2:12" x14ac:dyDescent="0.3">
      <c r="B21" s="7" t="str">
        <f>MEDIDA!B23</f>
        <v>H2</v>
      </c>
      <c r="C21" s="8">
        <f>PATRON!$G$42/2</f>
        <v>0.9</v>
      </c>
      <c r="D21" s="116">
        <f>PATRON!$G$44/SQRT(3)</f>
        <v>0.57735026918962584</v>
      </c>
      <c r="E21" s="8">
        <v>0</v>
      </c>
      <c r="F21" s="96">
        <f t="shared" ref="F21:F24" si="10">1/SQRT(12)</f>
        <v>0.28867513459481292</v>
      </c>
      <c r="G21" s="96">
        <f>PATRON!$G$46/SQRT(12)</f>
        <v>2.8867513459481291E-2</v>
      </c>
      <c r="H21" s="96">
        <v>0</v>
      </c>
      <c r="I21" s="8">
        <f t="shared" ref="I21:I24" si="11">SQRT(SUMSQ(C21:H21))</f>
        <v>1.107925990308017</v>
      </c>
      <c r="J21" s="15">
        <f t="shared" ref="J21:J24" si="12">I21^4/(C21^4/200+D21^4/200+E21^4/200+F21^4/200+G21^4/200+H21^4/3)</f>
        <v>389.26411819319412</v>
      </c>
      <c r="K21" s="11">
        <f t="shared" ref="K21:K24" si="13">TINV(0.0455,J21)</f>
        <v>2.006449486726972</v>
      </c>
      <c r="L21" s="116">
        <f t="shared" ref="L21:L22" si="14">I21*K21</f>
        <v>2.2229975345849926</v>
      </c>
    </row>
    <row r="22" spans="2:12" x14ac:dyDescent="0.3">
      <c r="B22" s="7" t="str">
        <f>MEDIDA!B24</f>
        <v>H3</v>
      </c>
      <c r="C22" s="8">
        <f>PATRON!$G$42/2</f>
        <v>0.9</v>
      </c>
      <c r="D22" s="116">
        <f>PATRON!$G$44/SQRT(3)</f>
        <v>0.57735026918962584</v>
      </c>
      <c r="E22" s="8">
        <v>0</v>
      </c>
      <c r="F22" s="96">
        <f t="shared" si="10"/>
        <v>0.28867513459481292</v>
      </c>
      <c r="G22" s="96">
        <f>PATRON!$G$46/SQRT(12)</f>
        <v>2.8867513459481291E-2</v>
      </c>
      <c r="H22" s="96">
        <v>0</v>
      </c>
      <c r="I22" s="8">
        <f t="shared" si="11"/>
        <v>1.107925990308017</v>
      </c>
      <c r="J22" s="15">
        <f t="shared" si="12"/>
        <v>389.26411819319412</v>
      </c>
      <c r="K22" s="11">
        <f t="shared" si="13"/>
        <v>2.006449486726972</v>
      </c>
      <c r="L22" s="116">
        <f t="shared" si="14"/>
        <v>2.2229975345849926</v>
      </c>
    </row>
    <row r="23" spans="2:12" x14ac:dyDescent="0.3">
      <c r="B23" s="7" t="str">
        <f>MEDIDA!B25</f>
        <v>H4</v>
      </c>
      <c r="C23" s="8">
        <f>PATRON!$G$42/2</f>
        <v>0.9</v>
      </c>
      <c r="D23" s="116">
        <f>PATRON!$G$44/SQRT(3)</f>
        <v>0.57735026918962584</v>
      </c>
      <c r="E23" s="8">
        <v>0</v>
      </c>
      <c r="F23" s="96">
        <f t="shared" si="10"/>
        <v>0.28867513459481292</v>
      </c>
      <c r="G23" s="96">
        <f>PATRON!$G$46/SQRT(12)</f>
        <v>2.8867513459481291E-2</v>
      </c>
      <c r="H23" s="96">
        <v>0</v>
      </c>
      <c r="I23" s="8">
        <f t="shared" si="11"/>
        <v>1.107925990308017</v>
      </c>
      <c r="J23" s="15">
        <f t="shared" si="12"/>
        <v>389.26411819319412</v>
      </c>
      <c r="K23" s="11">
        <f t="shared" si="13"/>
        <v>2.006449486726972</v>
      </c>
      <c r="L23" s="116">
        <f>I23*K23</f>
        <v>2.2229975345849926</v>
      </c>
    </row>
    <row r="24" spans="2:12" x14ac:dyDescent="0.3">
      <c r="B24" s="7" t="str">
        <f>MEDIDA!B26</f>
        <v>H5</v>
      </c>
      <c r="C24" s="8">
        <f>PATRON!$G$42/2</f>
        <v>0.9</v>
      </c>
      <c r="D24" s="116">
        <f>PATRON!$G$44/SQRT(3)</f>
        <v>0.57735026918962584</v>
      </c>
      <c r="E24" s="8">
        <v>0</v>
      </c>
      <c r="F24" s="96">
        <f t="shared" si="10"/>
        <v>0.28867513459481292</v>
      </c>
      <c r="G24" s="96">
        <f>PATRON!$G$46/SQRT(12)</f>
        <v>2.8867513459481291E-2</v>
      </c>
      <c r="H24" s="96">
        <v>0</v>
      </c>
      <c r="I24" s="8">
        <f t="shared" si="11"/>
        <v>1.107925990308017</v>
      </c>
      <c r="J24" s="15">
        <f t="shared" si="12"/>
        <v>389.26411819319412</v>
      </c>
      <c r="K24" s="11">
        <f t="shared" si="13"/>
        <v>2.006449486726972</v>
      </c>
      <c r="L24" s="116">
        <f t="shared" ref="L24" si="15">I24*K24</f>
        <v>2.2229975345849926</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80" zoomScaleNormal="100" workbookViewId="0">
      <selection activeCell="R78" sqref="R78"/>
    </sheetView>
  </sheetViews>
  <sheetFormatPr baseColWidth="10" defaultColWidth="11.5546875" defaultRowHeight="14.4" x14ac:dyDescent="0.3"/>
  <cols>
    <col min="1" max="16" width="4.6640625" customWidth="1"/>
    <col min="17" max="17" width="4.109375" customWidth="1"/>
    <col min="18" max="18" width="4.6640625" customWidth="1"/>
    <col min="19" max="19" width="4.44140625" customWidth="1"/>
    <col min="20" max="24" width="5" customWidth="1"/>
    <col min="25" max="25" width="14.109375" customWidth="1"/>
  </cols>
  <sheetData>
    <row r="1" spans="1:27" ht="16.95" customHeight="1" x14ac:dyDescent="0.6">
      <c r="D1" s="54"/>
      <c r="E1" s="54"/>
      <c r="F1" s="55"/>
      <c r="G1" s="56"/>
      <c r="H1" s="57"/>
      <c r="I1" s="151"/>
      <c r="J1" s="151"/>
      <c r="K1" s="151"/>
      <c r="M1" s="63"/>
      <c r="O1" s="136" t="s">
        <v>80</v>
      </c>
      <c r="P1" s="136"/>
      <c r="Q1" s="136"/>
      <c r="R1" s="137">
        <f>INFORMACIÓN!G3</f>
        <v>0</v>
      </c>
      <c r="S1" s="137"/>
    </row>
    <row r="2" spans="1:27" ht="16.95" customHeight="1" x14ac:dyDescent="0.3">
      <c r="G2" s="153"/>
      <c r="H2" s="153"/>
      <c r="I2" s="153"/>
      <c r="J2" s="152"/>
      <c r="K2" s="152"/>
    </row>
    <row r="3" spans="1:27" ht="16.95" customHeight="1" x14ac:dyDescent="0.3">
      <c r="B3" s="82"/>
      <c r="C3" s="154" t="s">
        <v>71</v>
      </c>
      <c r="D3" s="154"/>
      <c r="E3" s="154"/>
      <c r="F3" s="154"/>
      <c r="G3" s="154"/>
      <c r="H3" s="154"/>
      <c r="I3" s="154"/>
      <c r="J3" s="154"/>
      <c r="K3" s="154"/>
      <c r="L3" s="154"/>
      <c r="M3" s="154"/>
      <c r="N3" s="154"/>
      <c r="O3" s="154"/>
      <c r="P3" s="154"/>
      <c r="Q3" s="154"/>
      <c r="R3" s="154"/>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6" t="s">
        <v>62</v>
      </c>
      <c r="D5" s="136"/>
      <c r="E5" s="136"/>
      <c r="F5" s="136"/>
      <c r="G5" s="136"/>
      <c r="H5" s="51"/>
      <c r="I5" s="142">
        <f>INFORMACIÓN!A3</f>
        <v>0</v>
      </c>
      <c r="J5" s="142"/>
      <c r="K5" s="142"/>
      <c r="L5" s="142"/>
      <c r="M5" s="142"/>
      <c r="N5" s="142"/>
      <c r="O5" s="142"/>
      <c r="P5" s="142"/>
      <c r="Q5" s="142"/>
      <c r="R5" s="142"/>
      <c r="S5"/>
      <c r="T5"/>
      <c r="U5"/>
      <c r="V5"/>
      <c r="W5"/>
      <c r="X5"/>
      <c r="Y5"/>
      <c r="Z5"/>
      <c r="AA5"/>
    </row>
    <row r="6" spans="1:27" s="53" customFormat="1" ht="16.95" customHeight="1" x14ac:dyDescent="0.3">
      <c r="B6" s="77"/>
      <c r="C6" s="136" t="s">
        <v>63</v>
      </c>
      <c r="D6" s="136"/>
      <c r="E6" s="136"/>
      <c r="F6" s="136"/>
      <c r="G6" s="136"/>
      <c r="H6" s="51"/>
      <c r="I6" s="142">
        <f>INFORMACIÓN!B3</f>
        <v>0</v>
      </c>
      <c r="J6" s="142"/>
      <c r="K6" s="142"/>
      <c r="L6" s="142"/>
      <c r="M6" s="142"/>
      <c r="N6" s="142"/>
      <c r="O6" s="142"/>
      <c r="P6" s="142"/>
      <c r="Q6" s="142"/>
      <c r="R6" s="142"/>
      <c r="S6"/>
      <c r="T6"/>
      <c r="U6"/>
      <c r="V6"/>
      <c r="W6"/>
      <c r="X6"/>
      <c r="Y6"/>
      <c r="Z6"/>
      <c r="AA6"/>
    </row>
    <row r="7" spans="1:27" s="53" customFormat="1" ht="16.95" customHeight="1" x14ac:dyDescent="0.3">
      <c r="B7" s="77"/>
      <c r="C7" s="136" t="s">
        <v>64</v>
      </c>
      <c r="D7" s="136"/>
      <c r="E7" s="136"/>
      <c r="F7" s="136"/>
      <c r="G7" s="136"/>
      <c r="H7" s="51"/>
      <c r="I7" s="142">
        <f>INFORMACIÓN!C3</f>
        <v>0</v>
      </c>
      <c r="J7" s="142"/>
      <c r="K7" s="142"/>
      <c r="L7" s="142"/>
      <c r="M7" s="142"/>
      <c r="N7" s="142"/>
      <c r="O7" s="142"/>
      <c r="P7" s="142"/>
      <c r="Q7" s="142"/>
      <c r="R7" s="142"/>
      <c r="S7"/>
      <c r="T7"/>
      <c r="U7"/>
      <c r="V7"/>
      <c r="W7"/>
      <c r="X7"/>
      <c r="Y7"/>
      <c r="Z7"/>
      <c r="AA7"/>
    </row>
    <row r="8" spans="1:27" s="53" customFormat="1" ht="16.95" customHeight="1" x14ac:dyDescent="0.3">
      <c r="B8" s="77"/>
      <c r="C8" s="136" t="s">
        <v>65</v>
      </c>
      <c r="D8" s="136"/>
      <c r="E8" s="136"/>
      <c r="F8" s="136"/>
      <c r="G8" s="136"/>
      <c r="H8" s="51"/>
      <c r="I8" s="155">
        <f>INFORMACIÓN!D3</f>
        <v>0</v>
      </c>
      <c r="J8" s="142"/>
      <c r="K8" s="142"/>
      <c r="L8" s="142"/>
      <c r="M8" s="142"/>
      <c r="N8" s="142"/>
      <c r="O8" s="142"/>
      <c r="P8" s="142"/>
      <c r="Q8" s="142"/>
      <c r="R8" s="142"/>
      <c r="S8"/>
      <c r="T8"/>
      <c r="U8"/>
      <c r="V8"/>
      <c r="W8"/>
      <c r="X8"/>
      <c r="Y8"/>
      <c r="Z8"/>
      <c r="AA8"/>
    </row>
    <row r="9" spans="1:27" s="53" customFormat="1" ht="16.95" customHeight="1" x14ac:dyDescent="0.3">
      <c r="B9" s="77"/>
      <c r="C9" s="136" t="s">
        <v>66</v>
      </c>
      <c r="D9" s="136"/>
      <c r="E9" s="136"/>
      <c r="F9" s="136"/>
      <c r="G9" s="136"/>
      <c r="H9" s="51"/>
      <c r="I9" s="155">
        <f>INFORMACIÓN!F3</f>
        <v>0</v>
      </c>
      <c r="J9" s="142"/>
      <c r="K9" s="142"/>
      <c r="L9" s="142"/>
      <c r="M9" s="142"/>
      <c r="N9" s="142"/>
      <c r="O9" s="142"/>
      <c r="P9" s="142"/>
      <c r="Q9" s="142"/>
      <c r="R9" s="142"/>
      <c r="S9"/>
      <c r="T9"/>
      <c r="U9"/>
      <c r="V9"/>
      <c r="W9"/>
      <c r="X9"/>
      <c r="Y9"/>
      <c r="Z9"/>
      <c r="AA9"/>
    </row>
    <row r="10" spans="1:27" s="53" customFormat="1" ht="16.95" customHeight="1" x14ac:dyDescent="0.3">
      <c r="B10" s="77"/>
      <c r="C10" s="136" t="s">
        <v>68</v>
      </c>
      <c r="D10" s="136"/>
      <c r="E10" s="136"/>
      <c r="F10" s="136"/>
      <c r="G10" s="136"/>
      <c r="H10" s="51"/>
      <c r="I10" s="156">
        <f>INFORMACIÓN!E3</f>
        <v>0</v>
      </c>
      <c r="J10" s="142"/>
      <c r="K10" s="142"/>
      <c r="L10" s="142"/>
      <c r="M10" s="142"/>
      <c r="N10" s="142"/>
      <c r="O10" s="142"/>
      <c r="P10" s="142"/>
      <c r="Q10" s="142"/>
      <c r="R10" s="142"/>
      <c r="S10"/>
      <c r="T10"/>
      <c r="U10"/>
      <c r="V10"/>
      <c r="W10"/>
      <c r="X10"/>
      <c r="Y10"/>
      <c r="Z10"/>
      <c r="AA10"/>
    </row>
    <row r="11" spans="1:27" s="53" customFormat="1" ht="16.95" customHeight="1" x14ac:dyDescent="0.3">
      <c r="B11" s="77"/>
      <c r="C11" s="136" t="s">
        <v>67</v>
      </c>
      <c r="D11" s="136"/>
      <c r="E11" s="136"/>
      <c r="F11" s="136"/>
      <c r="G11" s="136"/>
      <c r="H11" s="51"/>
      <c r="I11" s="142" t="str">
        <f>INFORMACIÓN!B8</f>
        <v>BUEN ESTADO</v>
      </c>
      <c r="J11" s="142"/>
      <c r="K11" s="142"/>
      <c r="L11" s="142"/>
      <c r="M11" s="142"/>
      <c r="N11" s="142"/>
      <c r="O11" s="142"/>
      <c r="P11" s="142"/>
      <c r="Q11" s="142"/>
      <c r="R11" s="142"/>
      <c r="S11"/>
      <c r="T11"/>
      <c r="U11"/>
      <c r="V11"/>
      <c r="W11"/>
      <c r="X11"/>
      <c r="Y11"/>
      <c r="Z11"/>
      <c r="AA11"/>
    </row>
    <row r="12" spans="1:27" s="53" customFormat="1" ht="16.95" customHeight="1" x14ac:dyDescent="0.3">
      <c r="B12" s="77"/>
      <c r="C12" s="136" t="s">
        <v>77</v>
      </c>
      <c r="D12" s="136"/>
      <c r="E12" s="136"/>
      <c r="F12" s="136"/>
      <c r="G12" s="136"/>
      <c r="H12" s="78"/>
      <c r="I12" s="140">
        <f>INFORMACIÓN!H3</f>
        <v>0</v>
      </c>
      <c r="J12" s="140"/>
      <c r="K12" s="140"/>
      <c r="L12" s="140"/>
      <c r="M12" s="140"/>
      <c r="N12" s="140"/>
      <c r="O12" s="140"/>
      <c r="P12" s="140"/>
      <c r="Q12" s="140"/>
      <c r="R12" s="140"/>
      <c r="S12"/>
      <c r="T12"/>
      <c r="U12"/>
      <c r="V12"/>
      <c r="W12"/>
      <c r="X12"/>
      <c r="Y12"/>
      <c r="Z12"/>
      <c r="AA12"/>
    </row>
    <row r="13" spans="1:27" s="53" customFormat="1" ht="16.95" customHeight="1" x14ac:dyDescent="0.3">
      <c r="B13" s="77"/>
      <c r="C13" s="136" t="s">
        <v>76</v>
      </c>
      <c r="D13" s="136"/>
      <c r="E13" s="136"/>
      <c r="F13" s="136"/>
      <c r="G13" s="136"/>
      <c r="H13" s="78"/>
      <c r="I13" s="140">
        <f>INFORMACIÓN!B9</f>
        <v>0</v>
      </c>
      <c r="J13" s="140"/>
      <c r="K13" s="140"/>
      <c r="L13" s="140"/>
      <c r="M13" s="140"/>
      <c r="N13" s="140"/>
      <c r="O13" s="140"/>
      <c r="P13" s="140"/>
      <c r="Q13" s="140"/>
      <c r="R13" s="140"/>
      <c r="S13"/>
      <c r="T13"/>
      <c r="U13"/>
      <c r="V13"/>
      <c r="W13"/>
      <c r="X13"/>
      <c r="Y13"/>
      <c r="Z13"/>
      <c r="AA13"/>
    </row>
    <row r="14" spans="1:27" ht="16.95" customHeight="1" x14ac:dyDescent="0.3"/>
    <row r="15" spans="1:27" ht="16.95" customHeight="1" x14ac:dyDescent="0.3">
      <c r="B15" s="63"/>
      <c r="C15" s="135" t="s">
        <v>70</v>
      </c>
      <c r="D15" s="135"/>
      <c r="E15" s="135"/>
      <c r="F15" s="135"/>
      <c r="G15" s="135"/>
      <c r="H15" s="135"/>
      <c r="I15" s="135"/>
      <c r="J15" s="135"/>
      <c r="K15" s="135"/>
      <c r="L15" s="135"/>
      <c r="M15" s="135"/>
      <c r="N15" s="135"/>
      <c r="O15" s="135"/>
      <c r="P15" s="135"/>
      <c r="Q15" s="135"/>
      <c r="R15" s="135"/>
    </row>
    <row r="16" spans="1:27" ht="16.95" customHeight="1" x14ac:dyDescent="0.3"/>
    <row r="17" spans="1:18" ht="16.95" customHeight="1" x14ac:dyDescent="0.3">
      <c r="B17" s="50"/>
      <c r="C17" s="139" t="s">
        <v>72</v>
      </c>
      <c r="D17" s="139"/>
      <c r="E17" s="139"/>
      <c r="F17" s="139"/>
      <c r="G17" s="139"/>
      <c r="H17" s="49"/>
      <c r="I17" s="143" t="str">
        <f>INFORMACIÓN!E7</f>
        <v xml:space="preserve">HOSPITAL DE ALTA COMPLEJIDAD DEL MAGDALENA CENTRO </v>
      </c>
      <c r="J17" s="143"/>
      <c r="K17" s="143"/>
      <c r="L17" s="143"/>
      <c r="M17" s="143"/>
      <c r="N17" s="143"/>
      <c r="O17" s="143"/>
      <c r="P17" s="143"/>
      <c r="Q17" s="143"/>
      <c r="R17" s="143"/>
    </row>
    <row r="18" spans="1:18" ht="16.95" customHeight="1" x14ac:dyDescent="0.3">
      <c r="B18" s="50"/>
      <c r="C18" s="139" t="s">
        <v>73</v>
      </c>
      <c r="D18" s="139"/>
      <c r="E18" s="139"/>
      <c r="F18" s="139"/>
      <c r="G18" s="139"/>
      <c r="H18" s="49"/>
      <c r="I18" s="143" t="str">
        <f>INFORMACIÓN!E8</f>
        <v>901.532.463-8</v>
      </c>
      <c r="J18" s="143"/>
      <c r="K18" s="143"/>
      <c r="L18" s="143"/>
      <c r="M18" s="143"/>
      <c r="N18" s="143"/>
      <c r="O18" s="143"/>
      <c r="P18" s="143"/>
      <c r="Q18" s="143"/>
      <c r="R18" s="143"/>
    </row>
    <row r="19" spans="1:18" ht="16.95" customHeight="1" x14ac:dyDescent="0.3">
      <c r="B19" s="50"/>
      <c r="C19" s="139" t="s">
        <v>90</v>
      </c>
      <c r="D19" s="139"/>
      <c r="E19" s="139"/>
      <c r="F19" s="139"/>
      <c r="G19" s="139"/>
      <c r="H19" s="49"/>
      <c r="I19" s="143">
        <f>INFORMACIÓN!E9</f>
        <v>3007835072</v>
      </c>
      <c r="J19" s="143"/>
      <c r="K19" s="143"/>
      <c r="L19" s="143"/>
      <c r="M19" s="143"/>
      <c r="N19" s="143"/>
      <c r="O19" s="143"/>
      <c r="P19" s="143"/>
      <c r="Q19" s="143"/>
      <c r="R19" s="143"/>
    </row>
    <row r="20" spans="1:18" ht="16.95" customHeight="1" x14ac:dyDescent="0.3">
      <c r="B20" s="50"/>
      <c r="C20" s="139" t="s">
        <v>74</v>
      </c>
      <c r="D20" s="139"/>
      <c r="E20" s="139"/>
      <c r="F20" s="139"/>
      <c r="G20" s="139"/>
      <c r="H20" s="49"/>
      <c r="I20" s="143" t="str">
        <f>INFORMACIÓN!E10</f>
        <v>CARRERA 15 ENTRE CALLE 18 y 19</v>
      </c>
      <c r="J20" s="143"/>
      <c r="K20" s="143"/>
      <c r="L20" s="143"/>
      <c r="M20" s="143"/>
      <c r="N20" s="143"/>
      <c r="O20" s="143"/>
      <c r="P20" s="143"/>
      <c r="Q20" s="143"/>
      <c r="R20" s="143"/>
    </row>
    <row r="21" spans="1:18" ht="16.95" customHeight="1" x14ac:dyDescent="0.3">
      <c r="B21" s="50"/>
      <c r="C21" s="139" t="s">
        <v>75</v>
      </c>
      <c r="D21" s="139"/>
      <c r="E21" s="139"/>
      <c r="F21" s="139"/>
      <c r="G21" s="139"/>
      <c r="H21" s="49"/>
      <c r="I21" s="143" t="str">
        <f>INFORMACIÓN!E11</f>
        <v>LA DORADA - CALDAS</v>
      </c>
      <c r="J21" s="143"/>
      <c r="K21" s="143"/>
      <c r="L21" s="143"/>
      <c r="M21" s="143"/>
      <c r="N21" s="143"/>
      <c r="O21" s="143"/>
      <c r="P21" s="143"/>
      <c r="Q21" s="143"/>
      <c r="R21" s="143"/>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8" t="s">
        <v>186</v>
      </c>
      <c r="D23" s="148"/>
      <c r="E23" s="148"/>
      <c r="F23" s="148"/>
      <c r="G23" s="148"/>
      <c r="H23" s="148"/>
      <c r="I23" s="148"/>
      <c r="J23" s="148"/>
      <c r="K23" s="148"/>
      <c r="L23" s="148"/>
      <c r="M23" s="148"/>
      <c r="N23" s="148"/>
      <c r="O23" s="148"/>
      <c r="P23" s="148"/>
      <c r="Q23" s="148"/>
      <c r="R23" s="148"/>
    </row>
    <row r="24" spans="1:18" ht="16.95" customHeight="1" x14ac:dyDescent="0.3">
      <c r="A24" s="76"/>
      <c r="B24" s="76"/>
      <c r="C24" s="149"/>
      <c r="D24" s="149"/>
      <c r="E24" s="149"/>
      <c r="F24" s="149"/>
      <c r="G24" s="149"/>
      <c r="H24" s="149"/>
      <c r="I24" s="149"/>
      <c r="J24" s="149"/>
      <c r="K24" s="149"/>
      <c r="L24" s="149"/>
      <c r="M24" s="149"/>
      <c r="N24" s="149"/>
      <c r="O24" s="149"/>
      <c r="P24" s="149"/>
      <c r="Q24" s="149"/>
      <c r="R24" s="149"/>
    </row>
    <row r="25" spans="1:18" ht="16.95" customHeight="1" x14ac:dyDescent="0.3">
      <c r="A25" s="76"/>
      <c r="B25" s="76"/>
      <c r="C25" s="149"/>
      <c r="D25" s="149"/>
      <c r="E25" s="149"/>
      <c r="F25" s="149"/>
      <c r="G25" s="149"/>
      <c r="H25" s="149"/>
      <c r="I25" s="149"/>
      <c r="J25" s="149"/>
      <c r="K25" s="149"/>
      <c r="L25" s="149"/>
      <c r="M25" s="149"/>
      <c r="N25" s="149"/>
      <c r="O25" s="149"/>
      <c r="P25" s="149"/>
      <c r="Q25" s="149"/>
      <c r="R25" s="149"/>
    </row>
    <row r="26" spans="1:18" ht="16.95" customHeight="1" x14ac:dyDescent="0.3">
      <c r="A26" s="76"/>
      <c r="B26" s="76"/>
      <c r="C26" s="149"/>
      <c r="D26" s="149"/>
      <c r="E26" s="149"/>
      <c r="F26" s="149"/>
      <c r="G26" s="149"/>
      <c r="H26" s="149"/>
      <c r="I26" s="149"/>
      <c r="J26" s="149"/>
      <c r="K26" s="149"/>
      <c r="L26" s="149"/>
      <c r="M26" s="149"/>
      <c r="N26" s="149"/>
      <c r="O26" s="149"/>
      <c r="P26" s="149"/>
      <c r="Q26" s="149"/>
      <c r="R26" s="149"/>
    </row>
    <row r="27" spans="1:18" ht="16.95" customHeight="1" x14ac:dyDescent="0.3">
      <c r="A27" s="76"/>
      <c r="B27" s="76"/>
      <c r="C27" s="149"/>
      <c r="D27" s="149"/>
      <c r="E27" s="149"/>
      <c r="F27" s="149"/>
      <c r="G27" s="149"/>
      <c r="H27" s="149"/>
      <c r="I27" s="149"/>
      <c r="J27" s="149"/>
      <c r="K27" s="149"/>
      <c r="L27" s="149"/>
      <c r="M27" s="149"/>
      <c r="N27" s="149"/>
      <c r="O27" s="149"/>
      <c r="P27" s="149"/>
      <c r="Q27" s="149"/>
      <c r="R27" s="149"/>
    </row>
    <row r="28" spans="1:18" ht="16.95" customHeight="1" x14ac:dyDescent="0.3">
      <c r="A28" s="76"/>
      <c r="B28" s="76"/>
      <c r="C28" s="150"/>
      <c r="D28" s="150"/>
      <c r="E28" s="150"/>
      <c r="F28" s="150"/>
      <c r="G28" s="150"/>
      <c r="H28" s="150"/>
      <c r="I28" s="150"/>
      <c r="J28" s="150"/>
      <c r="K28" s="150"/>
      <c r="L28" s="150"/>
      <c r="M28" s="150"/>
      <c r="N28" s="150"/>
      <c r="O28" s="150"/>
      <c r="P28" s="150"/>
      <c r="Q28" s="150"/>
      <c r="R28" s="150"/>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39" t="s">
        <v>78</v>
      </c>
      <c r="J31" s="139"/>
      <c r="K31" s="139"/>
      <c r="L31" s="139"/>
      <c r="M31" s="143" t="str">
        <f>INFORMACIÓN!B15</f>
        <v>ING. GABRIEL DURÁN</v>
      </c>
      <c r="N31" s="143"/>
      <c r="O31" s="143"/>
      <c r="P31" s="143"/>
      <c r="Q31" s="143"/>
      <c r="R31" s="143"/>
    </row>
    <row r="32" spans="1:18" ht="16.95" customHeight="1" x14ac:dyDescent="0.3">
      <c r="F32" s="50"/>
      <c r="G32" s="50"/>
      <c r="H32" s="50"/>
      <c r="I32" s="139" t="s">
        <v>79</v>
      </c>
      <c r="J32" s="139"/>
      <c r="K32" s="139"/>
      <c r="L32" s="139"/>
      <c r="M32" s="147">
        <f>INFORMACIÓN!B10</f>
        <v>0</v>
      </c>
      <c r="N32" s="147"/>
      <c r="O32" s="147"/>
      <c r="P32" s="62"/>
      <c r="Q32" s="62"/>
      <c r="R32" s="50"/>
    </row>
    <row r="33" spans="1:19" ht="16.95" customHeight="1" x14ac:dyDescent="0.3">
      <c r="I33" s="139" t="s">
        <v>83</v>
      </c>
      <c r="J33" s="139"/>
      <c r="K33" s="139"/>
      <c r="L33" s="139"/>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9" t="str">
        <f>O1</f>
        <v>CERTIFICADO N°:</v>
      </c>
      <c r="P38" s="139"/>
      <c r="Q38" s="139"/>
      <c r="R38" s="141">
        <f>R1</f>
        <v>0</v>
      </c>
      <c r="S38" s="141"/>
    </row>
    <row r="39" spans="1:19" ht="16.95" customHeight="1" x14ac:dyDescent="0.3"/>
    <row r="40" spans="1:19" ht="16.95" customHeight="1" x14ac:dyDescent="0.3">
      <c r="B40" s="146" t="s">
        <v>84</v>
      </c>
      <c r="C40" s="146"/>
      <c r="D40" s="146"/>
      <c r="E40" s="146"/>
      <c r="F40" s="146"/>
      <c r="G40" s="146"/>
      <c r="H40" s="146"/>
      <c r="I40" s="146"/>
      <c r="J40" s="146"/>
      <c r="K40" s="146"/>
      <c r="L40" s="146"/>
      <c r="M40" s="146"/>
      <c r="N40" s="146"/>
      <c r="O40" s="146"/>
      <c r="P40" s="146"/>
      <c r="Q40" s="146"/>
      <c r="R40" s="146"/>
      <c r="S40" s="146"/>
    </row>
    <row r="41" spans="1:19" ht="16.95" customHeight="1" x14ac:dyDescent="0.3">
      <c r="B41" s="144" t="s">
        <v>187</v>
      </c>
      <c r="C41" s="144"/>
      <c r="D41" s="144"/>
      <c r="E41" s="144"/>
      <c r="F41" s="144"/>
      <c r="G41" s="144"/>
      <c r="H41" s="144"/>
      <c r="I41" s="144"/>
      <c r="J41" s="144"/>
      <c r="K41" s="144"/>
      <c r="L41" s="144"/>
      <c r="M41" s="144"/>
      <c r="N41" s="144"/>
      <c r="O41" s="144"/>
      <c r="P41" s="144"/>
      <c r="Q41" s="144"/>
      <c r="R41" s="144"/>
      <c r="S41" s="144"/>
    </row>
    <row r="42" spans="1:19" ht="16.95" customHeight="1" x14ac:dyDescent="0.3">
      <c r="A42" s="85"/>
      <c r="B42" s="145"/>
      <c r="C42" s="145"/>
      <c r="D42" s="145"/>
      <c r="E42" s="145"/>
      <c r="F42" s="145"/>
      <c r="G42" s="145"/>
      <c r="H42" s="145"/>
      <c r="I42" s="145"/>
      <c r="J42" s="145"/>
      <c r="K42" s="145"/>
      <c r="L42" s="145"/>
      <c r="M42" s="145"/>
      <c r="N42" s="145"/>
      <c r="O42" s="145"/>
      <c r="P42" s="145"/>
      <c r="Q42" s="145"/>
      <c r="R42" s="145"/>
      <c r="S42" s="145"/>
    </row>
    <row r="43" spans="1:19" ht="16.95" customHeight="1" x14ac:dyDescent="0.3">
      <c r="A43" s="85"/>
      <c r="B43" s="145"/>
      <c r="C43" s="145"/>
      <c r="D43" s="145"/>
      <c r="E43" s="145"/>
      <c r="F43" s="145"/>
      <c r="G43" s="145"/>
      <c r="H43" s="145"/>
      <c r="I43" s="145"/>
      <c r="J43" s="145"/>
      <c r="K43" s="145"/>
      <c r="L43" s="145"/>
      <c r="M43" s="145"/>
      <c r="N43" s="145"/>
      <c r="O43" s="145"/>
      <c r="P43" s="145"/>
      <c r="Q43" s="145"/>
      <c r="R43" s="145"/>
      <c r="S43" s="145"/>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60" t="s">
        <v>85</v>
      </c>
      <c r="G45" s="161"/>
      <c r="H45" s="161"/>
      <c r="I45" s="161"/>
      <c r="J45" s="162"/>
      <c r="K45" s="169" t="s">
        <v>86</v>
      </c>
      <c r="L45" s="170"/>
      <c r="M45" s="170"/>
      <c r="N45" s="170"/>
      <c r="O45" s="171"/>
    </row>
    <row r="46" spans="1:19" ht="16.95" customHeight="1" x14ac:dyDescent="0.3">
      <c r="E46" s="74"/>
      <c r="F46" s="164">
        <f>AVERAGE(INFORMACIÓN!B11:B12)</f>
        <v>24.3</v>
      </c>
      <c r="G46" s="165"/>
      <c r="H46" s="70" t="s">
        <v>87</v>
      </c>
      <c r="I46" s="71">
        <f>ABS(INFORMACIÓN!B11-INFORMACIÓN!B12)</f>
        <v>0.39999999999999858</v>
      </c>
      <c r="J46" s="75"/>
      <c r="K46" s="166">
        <f>AVERAGE(INFORMACIÓN!B13:B14)</f>
        <v>61.5</v>
      </c>
      <c r="L46" s="167"/>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63" t="s">
        <v>188</v>
      </c>
      <c r="G48" s="163"/>
      <c r="H48" s="163"/>
      <c r="I48" s="163"/>
      <c r="J48" s="163"/>
      <c r="K48" s="168" t="s">
        <v>189</v>
      </c>
      <c r="L48" s="168"/>
      <c r="M48" s="168"/>
      <c r="N48" s="168"/>
      <c r="O48" s="168"/>
      <c r="P48" s="168"/>
    </row>
    <row r="49" spans="1:19" ht="13.2" customHeight="1" x14ac:dyDescent="0.3"/>
    <row r="50" spans="1:19" ht="16.95" customHeight="1" x14ac:dyDescent="0.3">
      <c r="B50" s="126" t="s">
        <v>88</v>
      </c>
      <c r="C50" s="126"/>
      <c r="D50" s="126"/>
      <c r="E50" s="126"/>
      <c r="F50" s="126"/>
      <c r="G50" s="126"/>
      <c r="H50" s="126"/>
      <c r="I50" s="126"/>
      <c r="J50" s="126"/>
      <c r="K50" s="126"/>
      <c r="L50" s="126"/>
      <c r="M50" s="126"/>
      <c r="N50" s="126"/>
      <c r="O50" s="126"/>
      <c r="P50" s="126"/>
      <c r="Q50" s="126"/>
      <c r="R50" s="126"/>
      <c r="S50" s="126"/>
    </row>
    <row r="51" spans="1:19" ht="16.95" customHeight="1" x14ac:dyDescent="0.3">
      <c r="B51" s="144" t="s">
        <v>190</v>
      </c>
      <c r="C51" s="144"/>
      <c r="D51" s="144"/>
      <c r="E51" s="144"/>
      <c r="F51" s="144"/>
      <c r="G51" s="144"/>
      <c r="H51" s="144"/>
      <c r="I51" s="144"/>
      <c r="J51" s="144"/>
      <c r="K51" s="144"/>
      <c r="L51" s="144"/>
      <c r="M51" s="144"/>
      <c r="N51" s="144"/>
      <c r="O51" s="144"/>
      <c r="P51" s="144"/>
      <c r="Q51" s="144"/>
      <c r="R51" s="144"/>
      <c r="S51" s="144"/>
    </row>
    <row r="52" spans="1:19" ht="16.95" customHeight="1" x14ac:dyDescent="0.3">
      <c r="A52" s="85"/>
      <c r="B52" s="145"/>
      <c r="C52" s="145"/>
      <c r="D52" s="145"/>
      <c r="E52" s="145"/>
      <c r="F52" s="145"/>
      <c r="G52" s="145"/>
      <c r="H52" s="145"/>
      <c r="I52" s="145"/>
      <c r="J52" s="145"/>
      <c r="K52" s="145"/>
      <c r="L52" s="145"/>
      <c r="M52" s="145"/>
      <c r="N52" s="145"/>
      <c r="O52" s="145"/>
      <c r="P52" s="145"/>
      <c r="Q52" s="145"/>
      <c r="R52" s="145"/>
      <c r="S52" s="145"/>
    </row>
    <row r="53" spans="1:19" ht="16.95" customHeight="1" x14ac:dyDescent="0.3">
      <c r="A53" s="85"/>
      <c r="B53" s="145"/>
      <c r="C53" s="145"/>
      <c r="D53" s="145"/>
      <c r="E53" s="145"/>
      <c r="F53" s="145"/>
      <c r="G53" s="145"/>
      <c r="H53" s="145"/>
      <c r="I53" s="145"/>
      <c r="J53" s="145"/>
      <c r="K53" s="145"/>
      <c r="L53" s="145"/>
      <c r="M53" s="145"/>
      <c r="N53" s="145"/>
      <c r="O53" s="145"/>
      <c r="P53" s="145"/>
      <c r="Q53" s="145"/>
      <c r="R53" s="145"/>
      <c r="S53" s="145"/>
    </row>
    <row r="54" spans="1:19" ht="16.95" customHeight="1" x14ac:dyDescent="0.3">
      <c r="A54" s="85"/>
      <c r="B54" s="145"/>
      <c r="C54" s="145"/>
      <c r="D54" s="145"/>
      <c r="E54" s="145"/>
      <c r="F54" s="145"/>
      <c r="G54" s="145"/>
      <c r="H54" s="145"/>
      <c r="I54" s="145"/>
      <c r="J54" s="145"/>
      <c r="K54" s="145"/>
      <c r="L54" s="145"/>
      <c r="M54" s="145"/>
      <c r="N54" s="145"/>
      <c r="O54" s="145"/>
      <c r="P54" s="145"/>
      <c r="Q54" s="145"/>
      <c r="R54" s="145"/>
      <c r="S54" s="145"/>
    </row>
    <row r="55" spans="1:19" ht="16.95" customHeight="1" x14ac:dyDescent="0.3">
      <c r="A55" s="85"/>
      <c r="B55" s="145"/>
      <c r="C55" s="145"/>
      <c r="D55" s="145"/>
      <c r="E55" s="145"/>
      <c r="F55" s="145"/>
      <c r="G55" s="145"/>
      <c r="H55" s="145"/>
      <c r="I55" s="145"/>
      <c r="J55" s="145"/>
      <c r="K55" s="145"/>
      <c r="L55" s="145"/>
      <c r="M55" s="145"/>
      <c r="N55" s="145"/>
      <c r="O55" s="145"/>
      <c r="P55" s="145"/>
      <c r="Q55" s="145"/>
      <c r="R55" s="145"/>
      <c r="S55" s="145"/>
    </row>
    <row r="56" spans="1:19" ht="16.95" customHeight="1" x14ac:dyDescent="0.3">
      <c r="A56" s="85"/>
      <c r="B56" s="145"/>
      <c r="C56" s="145"/>
      <c r="D56" s="145"/>
      <c r="E56" s="145"/>
      <c r="F56" s="145"/>
      <c r="G56" s="145"/>
      <c r="H56" s="145"/>
      <c r="I56" s="145"/>
      <c r="J56" s="145"/>
      <c r="K56" s="145"/>
      <c r="L56" s="145"/>
      <c r="M56" s="145"/>
      <c r="N56" s="145"/>
      <c r="O56" s="145"/>
      <c r="P56" s="145"/>
      <c r="Q56" s="145"/>
      <c r="R56" s="145"/>
      <c r="S56" s="145"/>
    </row>
    <row r="57" spans="1:19" ht="16.95" customHeight="1" x14ac:dyDescent="0.3">
      <c r="A57" s="85"/>
      <c r="B57" s="145"/>
      <c r="C57" s="145"/>
      <c r="D57" s="145"/>
      <c r="E57" s="145"/>
      <c r="F57" s="145"/>
      <c r="G57" s="145"/>
      <c r="H57" s="145"/>
      <c r="I57" s="145"/>
      <c r="J57" s="145"/>
      <c r="K57" s="145"/>
      <c r="L57" s="145"/>
      <c r="M57" s="145"/>
      <c r="N57" s="145"/>
      <c r="O57" s="145"/>
      <c r="P57" s="145"/>
      <c r="Q57" s="145"/>
      <c r="R57" s="145"/>
      <c r="S57" s="145"/>
    </row>
    <row r="58" spans="1:19" ht="16.95" customHeight="1" x14ac:dyDescent="0.3">
      <c r="A58" s="85"/>
      <c r="B58" s="145"/>
      <c r="C58" s="145"/>
      <c r="D58" s="145"/>
      <c r="E58" s="145"/>
      <c r="F58" s="145"/>
      <c r="G58" s="145"/>
      <c r="H58" s="145"/>
      <c r="I58" s="145"/>
      <c r="J58" s="145"/>
      <c r="K58" s="145"/>
      <c r="L58" s="145"/>
      <c r="M58" s="145"/>
      <c r="N58" s="145"/>
      <c r="O58" s="145"/>
      <c r="P58" s="145"/>
      <c r="Q58" s="145"/>
      <c r="R58" s="145"/>
      <c r="S58" s="145"/>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6" t="s">
        <v>89</v>
      </c>
      <c r="C60" s="146"/>
      <c r="D60" s="146"/>
      <c r="E60" s="146"/>
      <c r="F60" s="146"/>
      <c r="G60" s="146"/>
      <c r="H60" s="146"/>
      <c r="I60" s="146"/>
      <c r="J60" s="146"/>
      <c r="K60" s="146"/>
      <c r="L60" s="146"/>
      <c r="M60" s="146"/>
      <c r="N60" s="146"/>
      <c r="O60" s="146"/>
      <c r="P60" s="146"/>
      <c r="Q60" s="146"/>
      <c r="R60" s="146"/>
      <c r="S60" s="146"/>
    </row>
    <row r="61" spans="1:19" ht="16.95" customHeight="1" x14ac:dyDescent="0.3">
      <c r="B61" s="144" t="s">
        <v>191</v>
      </c>
      <c r="C61" s="144"/>
      <c r="D61" s="144"/>
      <c r="E61" s="144"/>
      <c r="F61" s="144"/>
      <c r="G61" s="144"/>
      <c r="H61" s="144"/>
      <c r="I61" s="144"/>
      <c r="J61" s="144"/>
      <c r="K61" s="144"/>
      <c r="L61" s="144"/>
      <c r="M61" s="144"/>
      <c r="N61" s="144"/>
      <c r="O61" s="144"/>
      <c r="P61" s="144"/>
      <c r="Q61" s="144"/>
      <c r="R61" s="144"/>
      <c r="S61" s="144"/>
    </row>
    <row r="62" spans="1:19" ht="16.95" customHeight="1" x14ac:dyDescent="0.3">
      <c r="A62" s="85"/>
      <c r="B62" s="145"/>
      <c r="C62" s="145"/>
      <c r="D62" s="145"/>
      <c r="E62" s="145"/>
      <c r="F62" s="145"/>
      <c r="G62" s="145"/>
      <c r="H62" s="145"/>
      <c r="I62" s="145"/>
      <c r="J62" s="145"/>
      <c r="K62" s="145"/>
      <c r="L62" s="145"/>
      <c r="M62" s="145"/>
      <c r="N62" s="145"/>
      <c r="O62" s="145"/>
      <c r="P62" s="145"/>
      <c r="Q62" s="145"/>
      <c r="R62" s="145"/>
      <c r="S62" s="145"/>
    </row>
    <row r="63" spans="1:19" ht="13.95" customHeight="1" x14ac:dyDescent="0.3"/>
    <row r="64" spans="1:19" ht="15" customHeight="1" x14ac:dyDescent="0.3">
      <c r="B64" s="146" t="s">
        <v>95</v>
      </c>
      <c r="C64" s="146"/>
      <c r="D64" s="146"/>
      <c r="E64" s="146"/>
      <c r="F64" s="146"/>
      <c r="G64" s="146"/>
      <c r="H64" s="146"/>
      <c r="I64" s="146"/>
      <c r="J64" s="146"/>
      <c r="K64" s="146"/>
      <c r="L64" s="146"/>
      <c r="M64" s="146"/>
      <c r="N64" s="146"/>
      <c r="O64" s="146"/>
      <c r="P64" s="146"/>
      <c r="Q64" s="146"/>
      <c r="R64" s="146"/>
      <c r="S64" s="146"/>
    </row>
    <row r="65" spans="1:19" ht="19.2" customHeight="1" x14ac:dyDescent="0.3">
      <c r="B65" s="144" t="s">
        <v>192</v>
      </c>
      <c r="C65" s="144"/>
      <c r="D65" s="144"/>
      <c r="E65" s="144"/>
      <c r="F65" s="144"/>
      <c r="G65" s="144"/>
      <c r="H65" s="144"/>
      <c r="I65" s="144"/>
      <c r="J65" s="144"/>
      <c r="K65" s="144"/>
      <c r="L65" s="144"/>
      <c r="M65" s="144"/>
      <c r="N65" s="144"/>
      <c r="O65" s="144"/>
      <c r="P65" s="144"/>
      <c r="Q65" s="144"/>
      <c r="R65" s="144"/>
      <c r="S65" s="144"/>
    </row>
    <row r="66" spans="1:19" ht="16.95" customHeight="1" x14ac:dyDescent="0.3">
      <c r="A66" s="85"/>
      <c r="B66" s="145"/>
      <c r="C66" s="145"/>
      <c r="D66" s="145"/>
      <c r="E66" s="145"/>
      <c r="F66" s="145"/>
      <c r="G66" s="145"/>
      <c r="H66" s="145"/>
      <c r="I66" s="145"/>
      <c r="J66" s="145"/>
      <c r="K66" s="145"/>
      <c r="L66" s="145"/>
      <c r="M66" s="145"/>
      <c r="N66" s="145"/>
      <c r="O66" s="145"/>
      <c r="P66" s="145"/>
      <c r="Q66" s="145"/>
      <c r="R66" s="145"/>
      <c r="S66" s="145"/>
    </row>
    <row r="67" spans="1:19" ht="16.95" customHeight="1" x14ac:dyDescent="0.3">
      <c r="A67" s="85"/>
      <c r="B67" s="145"/>
      <c r="C67" s="145"/>
      <c r="D67" s="145"/>
      <c r="E67" s="145"/>
      <c r="F67" s="145"/>
      <c r="G67" s="145"/>
      <c r="H67" s="145"/>
      <c r="I67" s="145"/>
      <c r="J67" s="145"/>
      <c r="K67" s="145"/>
      <c r="L67" s="145"/>
      <c r="M67" s="145"/>
      <c r="N67" s="145"/>
      <c r="O67" s="145"/>
      <c r="P67" s="145"/>
      <c r="Q67" s="145"/>
      <c r="R67" s="145"/>
      <c r="S67" s="145"/>
    </row>
    <row r="68" spans="1:19" ht="16.95" customHeight="1" x14ac:dyDescent="0.3">
      <c r="A68" s="85"/>
      <c r="B68" s="145"/>
      <c r="C68" s="145"/>
      <c r="D68" s="145"/>
      <c r="E68" s="145"/>
      <c r="F68" s="145"/>
      <c r="G68" s="145"/>
      <c r="H68" s="145"/>
      <c r="I68" s="145"/>
      <c r="J68" s="145"/>
      <c r="K68" s="145"/>
      <c r="L68" s="145"/>
      <c r="M68" s="145"/>
      <c r="N68" s="145"/>
      <c r="O68" s="145"/>
      <c r="P68" s="145"/>
      <c r="Q68" s="145"/>
      <c r="R68" s="145"/>
      <c r="S68" s="145"/>
    </row>
    <row r="69" spans="1:19" ht="16.95" customHeight="1" x14ac:dyDescent="0.3"/>
    <row r="70" spans="1:19" ht="16.95" customHeight="1" x14ac:dyDescent="0.3">
      <c r="B70" s="158" t="s">
        <v>91</v>
      </c>
      <c r="C70" s="158"/>
      <c r="D70" s="158"/>
      <c r="E70" s="158"/>
      <c r="F70" s="158"/>
      <c r="G70" s="158"/>
      <c r="H70" s="158" t="s">
        <v>92</v>
      </c>
      <c r="I70" s="158"/>
      <c r="J70" s="158"/>
      <c r="K70" s="158"/>
      <c r="L70" s="158"/>
      <c r="M70" s="158" t="s">
        <v>93</v>
      </c>
      <c r="N70" s="158"/>
      <c r="O70" s="158"/>
      <c r="P70" s="158" t="s">
        <v>94</v>
      </c>
      <c r="Q70" s="158"/>
      <c r="R70" s="158"/>
      <c r="S70" s="158"/>
    </row>
    <row r="71" spans="1:19" ht="16.95" customHeight="1" x14ac:dyDescent="0.3">
      <c r="B71" s="172" t="str">
        <f>PATRON!G35</f>
        <v>Datalogger de Temperatura y Humedad</v>
      </c>
      <c r="C71" s="172"/>
      <c r="D71" s="172"/>
      <c r="E71" s="172"/>
      <c r="F71" s="172"/>
      <c r="G71" s="172"/>
      <c r="H71" s="157" t="s">
        <v>185</v>
      </c>
      <c r="I71" s="157"/>
      <c r="J71" s="157"/>
      <c r="K71" s="157"/>
      <c r="L71" s="157"/>
      <c r="M71" s="159">
        <v>46085</v>
      </c>
      <c r="N71" s="159"/>
      <c r="O71" s="159"/>
      <c r="P71" s="157">
        <v>318690</v>
      </c>
      <c r="Q71" s="157"/>
      <c r="R71" s="157"/>
      <c r="S71" s="157"/>
    </row>
    <row r="72" spans="1:19" ht="49.8" customHeight="1" x14ac:dyDescent="0.3">
      <c r="B72" s="173" t="s">
        <v>183</v>
      </c>
      <c r="C72" s="174"/>
      <c r="D72" s="174"/>
      <c r="E72" s="174"/>
      <c r="F72" s="174"/>
      <c r="G72" s="175"/>
      <c r="H72" s="176">
        <v>230310997</v>
      </c>
      <c r="I72" s="176"/>
      <c r="J72" s="176"/>
      <c r="K72" s="176"/>
      <c r="L72" s="177"/>
      <c r="M72" s="178">
        <v>46055</v>
      </c>
      <c r="N72" s="178"/>
      <c r="O72" s="178"/>
      <c r="P72" s="179" t="s">
        <v>184</v>
      </c>
      <c r="Q72" s="179"/>
      <c r="R72" s="179"/>
      <c r="S72" s="179"/>
    </row>
    <row r="73" spans="1:19" ht="14.4" customHeight="1" x14ac:dyDescent="0.3"/>
    <row r="74" spans="1:19" ht="16.95" customHeight="1" x14ac:dyDescent="0.3">
      <c r="O74" s="139" t="str">
        <f>O1</f>
        <v>CERTIFICADO N°:</v>
      </c>
      <c r="P74" s="139"/>
      <c r="Q74" s="139"/>
      <c r="R74" s="141">
        <f>R1</f>
        <v>0</v>
      </c>
      <c r="S74" s="141"/>
    </row>
    <row r="75" spans="1:19" ht="16.95" customHeight="1" x14ac:dyDescent="0.3"/>
    <row r="76" spans="1:19" ht="16.95" customHeight="1" x14ac:dyDescent="0.3">
      <c r="B76" s="138" t="s">
        <v>96</v>
      </c>
      <c r="C76" s="138"/>
      <c r="D76" s="138"/>
      <c r="E76" s="138"/>
      <c r="F76" s="138"/>
      <c r="G76" s="138"/>
      <c r="H76" s="138"/>
      <c r="I76" s="138"/>
      <c r="J76" s="138"/>
      <c r="K76" s="138"/>
      <c r="L76" s="138"/>
      <c r="M76" s="138"/>
      <c r="N76" s="138"/>
      <c r="O76" s="138"/>
      <c r="P76" s="138"/>
      <c r="Q76" s="138"/>
      <c r="R76" s="138"/>
      <c r="S76" s="138"/>
    </row>
    <row r="77" spans="1:19" ht="16.649999999999999" customHeight="1" x14ac:dyDescent="0.3"/>
    <row r="78" spans="1:19" ht="16.2" customHeight="1" x14ac:dyDescent="0.3"/>
    <row r="79" spans="1:19" ht="16.95" customHeight="1" x14ac:dyDescent="0.3">
      <c r="B79" s="50" t="s">
        <v>131</v>
      </c>
      <c r="C79" s="50"/>
      <c r="D79" s="50"/>
      <c r="E79" s="50"/>
      <c r="F79" s="50"/>
      <c r="G79" s="50"/>
      <c r="H79" s="50"/>
      <c r="I79" s="130" t="s">
        <v>133</v>
      </c>
      <c r="J79" s="130"/>
      <c r="K79" s="130"/>
      <c r="L79" s="130"/>
      <c r="M79" s="130"/>
      <c r="N79" s="131">
        <v>35</v>
      </c>
      <c r="O79" s="131"/>
      <c r="P79" s="132" t="s">
        <v>134</v>
      </c>
      <c r="Q79" s="132"/>
      <c r="R79" s="132"/>
      <c r="S79" s="88">
        <v>0.1</v>
      </c>
    </row>
    <row r="80" spans="1:19" ht="16.95" customHeight="1" x14ac:dyDescent="0.3"/>
    <row r="81" spans="2:19" ht="27" customHeight="1" thickBot="1" x14ac:dyDescent="0.35">
      <c r="B81" s="133" t="s">
        <v>144</v>
      </c>
      <c r="C81" s="133"/>
      <c r="D81" s="133" t="s">
        <v>143</v>
      </c>
      <c r="E81" s="133"/>
      <c r="F81" s="133" t="s">
        <v>157</v>
      </c>
      <c r="G81" s="133"/>
      <c r="H81" s="133" t="s">
        <v>142</v>
      </c>
      <c r="I81" s="133"/>
      <c r="J81" s="133" t="s">
        <v>136</v>
      </c>
      <c r="K81" s="133"/>
      <c r="L81" s="133"/>
      <c r="M81" s="87" t="s">
        <v>14</v>
      </c>
      <c r="O81" s="86"/>
      <c r="P81" s="111" t="s">
        <v>135</v>
      </c>
      <c r="Q81" s="111"/>
      <c r="R81" s="111"/>
      <c r="S81" s="86"/>
    </row>
    <row r="82" spans="2:19" ht="16.2" customHeight="1" x14ac:dyDescent="0.3">
      <c r="B82" s="127" t="s">
        <v>137</v>
      </c>
      <c r="C82" s="127"/>
      <c r="D82" s="128">
        <f ca="1">MEDIDA!Q4</f>
        <v>34.958038805348252</v>
      </c>
      <c r="E82" s="128"/>
      <c r="F82" s="128">
        <f>MEDIDA!S4</f>
        <v>35</v>
      </c>
      <c r="G82" s="128"/>
      <c r="H82" s="128">
        <f ca="1">MEDIDA!U4</f>
        <v>4.1961194651747746E-2</v>
      </c>
      <c r="I82" s="128"/>
      <c r="J82" s="129">
        <v>0.64</v>
      </c>
      <c r="K82" s="127"/>
      <c r="L82" s="127"/>
      <c r="M82" s="93">
        <f>INCERTIDUMBRE!K4</f>
        <v>2.007009664025154</v>
      </c>
      <c r="O82" s="109" t="s">
        <v>137</v>
      </c>
      <c r="P82" s="101"/>
      <c r="Q82" s="101"/>
      <c r="R82" s="101"/>
      <c r="S82" s="110" t="s">
        <v>138</v>
      </c>
    </row>
    <row r="83" spans="2:19" ht="16.2" customHeight="1" x14ac:dyDescent="0.3">
      <c r="B83" s="127" t="s">
        <v>138</v>
      </c>
      <c r="C83" s="127"/>
      <c r="D83" s="128">
        <f ca="1">MEDIDA!Q5</f>
        <v>34.799878319692745</v>
      </c>
      <c r="E83" s="128"/>
      <c r="F83" s="128">
        <f>MEDIDA!S5</f>
        <v>35</v>
      </c>
      <c r="G83" s="128"/>
      <c r="H83" s="128">
        <f ca="1">MEDIDA!U5</f>
        <v>0.20012168030725519</v>
      </c>
      <c r="I83" s="128"/>
      <c r="J83" s="129">
        <v>0.64</v>
      </c>
      <c r="K83" s="127"/>
      <c r="L83" s="127"/>
      <c r="M83" s="93">
        <f>INCERTIDUMBRE!K5</f>
        <v>2.007009664025154</v>
      </c>
      <c r="O83" s="102"/>
      <c r="P83" s="103"/>
      <c r="Q83" s="106" t="s">
        <v>139</v>
      </c>
      <c r="R83" s="103"/>
      <c r="S83" s="104"/>
    </row>
    <row r="84" spans="2:19" ht="16.2" customHeight="1" thickBot="1" x14ac:dyDescent="0.35">
      <c r="B84" s="127" t="s">
        <v>140</v>
      </c>
      <c r="C84" s="127"/>
      <c r="D84" s="128">
        <f ca="1">MEDIDA!Q6</f>
        <v>34.89750868899516</v>
      </c>
      <c r="E84" s="128"/>
      <c r="F84" s="128">
        <f>MEDIDA!S6</f>
        <v>35</v>
      </c>
      <c r="G84" s="128"/>
      <c r="H84" s="128">
        <f ca="1">MEDIDA!U6</f>
        <v>0.10249131100484021</v>
      </c>
      <c r="I84" s="128"/>
      <c r="J84" s="129">
        <v>0.64</v>
      </c>
      <c r="K84" s="127"/>
      <c r="L84" s="127"/>
      <c r="M84" s="93">
        <f>INCERTIDUMBRE!K6</f>
        <v>2.007009664025154</v>
      </c>
      <c r="O84" s="108" t="s">
        <v>140</v>
      </c>
      <c r="P84" s="105"/>
      <c r="Q84" s="105"/>
      <c r="R84" s="105"/>
      <c r="S84" s="107" t="s">
        <v>141</v>
      </c>
    </row>
    <row r="85" spans="2:19" ht="16.2" customHeight="1" x14ac:dyDescent="0.3">
      <c r="B85" s="127" t="s">
        <v>141</v>
      </c>
      <c r="C85" s="127"/>
      <c r="D85" s="128">
        <f ca="1">MEDIDA!Q7</f>
        <v>34.753359930080869</v>
      </c>
      <c r="E85" s="128"/>
      <c r="F85" s="128">
        <f>MEDIDA!S7</f>
        <v>35</v>
      </c>
      <c r="G85" s="128"/>
      <c r="H85" s="128">
        <f ca="1">MEDIDA!U7</f>
        <v>0.24664006991913112</v>
      </c>
      <c r="I85" s="128"/>
      <c r="J85" s="129">
        <v>0.64</v>
      </c>
      <c r="K85" s="127"/>
      <c r="L85" s="127"/>
      <c r="M85" s="93">
        <f>INCERTIDUMBRE!K7</f>
        <v>2.007009664025154</v>
      </c>
      <c r="O85" s="111"/>
      <c r="P85" s="111"/>
      <c r="Q85" s="111"/>
      <c r="R85" s="111"/>
    </row>
    <row r="86" spans="2:19" ht="16.2" customHeight="1" x14ac:dyDescent="0.3">
      <c r="B86" s="127" t="s">
        <v>139</v>
      </c>
      <c r="C86" s="127"/>
      <c r="D86" s="128">
        <f ca="1">MEDIDA!Q8</f>
        <v>34.578399634218329</v>
      </c>
      <c r="E86" s="128"/>
      <c r="F86" s="128">
        <f>MEDIDA!S8</f>
        <v>35</v>
      </c>
      <c r="G86" s="128"/>
      <c r="H86" s="128">
        <f ca="1">MEDIDA!U8</f>
        <v>0.42160036578167137</v>
      </c>
      <c r="I86" s="128"/>
      <c r="J86" s="129">
        <v>0.64</v>
      </c>
      <c r="K86" s="127"/>
      <c r="L86" s="127"/>
      <c r="M86" s="93">
        <f>INCERTIDUMBRE!K8</f>
        <v>2.007009664025154</v>
      </c>
      <c r="O86" s="111" t="s">
        <v>158</v>
      </c>
      <c r="P86" s="111"/>
      <c r="Q86" s="111"/>
      <c r="R86" s="111"/>
      <c r="S86" s="111"/>
    </row>
    <row r="87" spans="2:19" ht="16.95" customHeight="1" x14ac:dyDescent="0.3"/>
    <row r="88" spans="2:19" ht="16.95" customHeight="1" x14ac:dyDescent="0.3"/>
    <row r="89" spans="2:19" ht="16.95" customHeight="1" x14ac:dyDescent="0.3">
      <c r="B89" s="50" t="s">
        <v>132</v>
      </c>
      <c r="C89" s="50"/>
      <c r="D89" s="50"/>
      <c r="E89" s="50"/>
      <c r="F89" s="50"/>
      <c r="G89" s="50"/>
      <c r="H89" s="50"/>
      <c r="I89" s="130" t="s">
        <v>133</v>
      </c>
      <c r="J89" s="130"/>
      <c r="K89" s="130"/>
      <c r="L89" s="130"/>
      <c r="M89" s="130"/>
      <c r="N89" s="131">
        <v>35</v>
      </c>
      <c r="O89" s="131"/>
      <c r="P89" s="132" t="s">
        <v>134</v>
      </c>
      <c r="Q89" s="132"/>
      <c r="R89" s="132"/>
      <c r="S89" s="88">
        <v>0.1</v>
      </c>
    </row>
    <row r="91" spans="2:19" ht="24.6" customHeight="1" thickBot="1" x14ac:dyDescent="0.35">
      <c r="B91" s="133" t="s">
        <v>144</v>
      </c>
      <c r="C91" s="133"/>
      <c r="D91" s="133" t="s">
        <v>143</v>
      </c>
      <c r="E91" s="133"/>
      <c r="F91" s="133" t="s">
        <v>157</v>
      </c>
      <c r="G91" s="133"/>
      <c r="H91" s="133" t="s">
        <v>142</v>
      </c>
      <c r="I91" s="133"/>
      <c r="J91" s="133" t="s">
        <v>136</v>
      </c>
      <c r="K91" s="133"/>
      <c r="L91" s="133"/>
      <c r="M91" s="87" t="s">
        <v>14</v>
      </c>
      <c r="O91" s="86"/>
      <c r="P91" s="111" t="s">
        <v>135</v>
      </c>
      <c r="Q91" s="111"/>
      <c r="R91" s="111"/>
      <c r="S91" s="86"/>
    </row>
    <row r="92" spans="2:19" ht="16.2" customHeight="1" x14ac:dyDescent="0.3">
      <c r="B92" s="127" t="s">
        <v>137</v>
      </c>
      <c r="C92" s="127"/>
      <c r="D92" s="128">
        <f ca="1">MEDIDA!Q13</f>
        <v>34.958038805348252</v>
      </c>
      <c r="E92" s="128"/>
      <c r="F92" s="128">
        <f ca="1">MEDIDA!S13</f>
        <v>35.306954102394677</v>
      </c>
      <c r="G92" s="128"/>
      <c r="H92" s="128">
        <f ca="1">MEDIDA!U13</f>
        <v>0.34891529704642466</v>
      </c>
      <c r="I92" s="128"/>
      <c r="J92" s="129">
        <v>0.64</v>
      </c>
      <c r="K92" s="127"/>
      <c r="L92" s="127"/>
      <c r="M92" s="93">
        <f>INCERTIDUMBRE!K12</f>
        <v>2.007009664025154</v>
      </c>
      <c r="O92" s="109" t="s">
        <v>137</v>
      </c>
      <c r="P92" s="101"/>
      <c r="Q92" s="101"/>
      <c r="R92" s="101"/>
      <c r="S92" s="110" t="s">
        <v>138</v>
      </c>
    </row>
    <row r="93" spans="2:19" ht="16.2" customHeight="1" x14ac:dyDescent="0.3">
      <c r="B93" s="127" t="s">
        <v>138</v>
      </c>
      <c r="C93" s="127"/>
      <c r="D93" s="128">
        <f ca="1">MEDIDA!Q14</f>
        <v>34.799878319692745</v>
      </c>
      <c r="E93" s="128"/>
      <c r="F93" s="128">
        <f ca="1">MEDIDA!S14</f>
        <v>35.299878319692745</v>
      </c>
      <c r="G93" s="128"/>
      <c r="H93" s="128">
        <f ca="1">MEDIDA!U14</f>
        <v>0.5</v>
      </c>
      <c r="I93" s="128"/>
      <c r="J93" s="129">
        <v>0.64</v>
      </c>
      <c r="K93" s="127"/>
      <c r="L93" s="127"/>
      <c r="M93" s="93">
        <f>INCERTIDUMBRE!K13</f>
        <v>2.007009664025154</v>
      </c>
      <c r="O93" s="102"/>
      <c r="P93" s="103"/>
      <c r="Q93" s="106" t="s">
        <v>139</v>
      </c>
      <c r="R93" s="103"/>
      <c r="S93" s="104"/>
    </row>
    <row r="94" spans="2:19" ht="16.2" customHeight="1" thickBot="1" x14ac:dyDescent="0.35">
      <c r="B94" s="127" t="s">
        <v>140</v>
      </c>
      <c r="C94" s="127"/>
      <c r="D94" s="128">
        <f ca="1">MEDIDA!Q15</f>
        <v>34.89750868899516</v>
      </c>
      <c r="E94" s="128"/>
      <c r="F94" s="128">
        <f ca="1">MEDIDA!S15</f>
        <v>35.356590248828603</v>
      </c>
      <c r="G94" s="128"/>
      <c r="H94" s="128">
        <f ca="1">MEDIDA!U15</f>
        <v>0.45908155983344301</v>
      </c>
      <c r="I94" s="128"/>
      <c r="J94" s="129">
        <v>0.64</v>
      </c>
      <c r="K94" s="127"/>
      <c r="L94" s="127"/>
      <c r="M94" s="93">
        <f>INCERTIDUMBRE!K14</f>
        <v>2.007009664025154</v>
      </c>
      <c r="O94" s="108" t="s">
        <v>140</v>
      </c>
      <c r="P94" s="105"/>
      <c r="Q94" s="105"/>
      <c r="R94" s="105"/>
      <c r="S94" s="107" t="s">
        <v>141</v>
      </c>
    </row>
    <row r="95" spans="2:19" ht="16.2" customHeight="1" x14ac:dyDescent="0.3">
      <c r="B95" s="127" t="s">
        <v>141</v>
      </c>
      <c r="C95" s="127"/>
      <c r="D95" s="128">
        <f ca="1">MEDIDA!Q16</f>
        <v>34.753359930080869</v>
      </c>
      <c r="E95" s="128"/>
      <c r="F95" s="128">
        <f ca="1">MEDIDA!S16</f>
        <v>35.253359930080869</v>
      </c>
      <c r="G95" s="128"/>
      <c r="H95" s="128">
        <f ca="1">MEDIDA!U16</f>
        <v>0.5</v>
      </c>
      <c r="I95" s="128"/>
      <c r="J95" s="129">
        <v>0.64</v>
      </c>
      <c r="K95" s="127"/>
      <c r="L95" s="127"/>
      <c r="M95" s="93">
        <f>INCERTIDUMBRE!K15</f>
        <v>2.007009664025154</v>
      </c>
    </row>
    <row r="96" spans="2:19" ht="16.2" customHeight="1" x14ac:dyDescent="0.3">
      <c r="B96" s="127" t="s">
        <v>139</v>
      </c>
      <c r="C96" s="127"/>
      <c r="D96" s="128">
        <f ca="1">MEDIDA!Q17</f>
        <v>34.578399634218329</v>
      </c>
      <c r="E96" s="128"/>
      <c r="F96" s="128">
        <f ca="1">MEDIDA!S17</f>
        <v>35.078399634218329</v>
      </c>
      <c r="G96" s="128"/>
      <c r="H96" s="128">
        <f ca="1">MEDIDA!U17</f>
        <v>0.5</v>
      </c>
      <c r="I96" s="128"/>
      <c r="J96" s="129">
        <v>0.64</v>
      </c>
      <c r="K96" s="127"/>
      <c r="L96" s="127"/>
      <c r="M96" s="93">
        <f>INCERTIDUMBRE!K16</f>
        <v>2.007009664025154</v>
      </c>
      <c r="O96" s="111" t="s">
        <v>158</v>
      </c>
    </row>
    <row r="98" spans="2:19" ht="16.2" customHeight="1" x14ac:dyDescent="0.3"/>
    <row r="99" spans="2:19" ht="16.95" customHeight="1" x14ac:dyDescent="0.3">
      <c r="B99" s="50" t="s">
        <v>145</v>
      </c>
      <c r="C99" s="50"/>
      <c r="D99" s="50"/>
      <c r="E99" s="50"/>
      <c r="F99" s="50"/>
      <c r="G99" s="50"/>
      <c r="H99" s="50"/>
      <c r="I99" s="130" t="s">
        <v>146</v>
      </c>
      <c r="J99" s="130"/>
      <c r="K99" s="130"/>
      <c r="L99" s="130"/>
      <c r="M99" s="130"/>
      <c r="N99" s="131">
        <v>80</v>
      </c>
      <c r="O99" s="131"/>
      <c r="P99" s="132" t="s">
        <v>147</v>
      </c>
      <c r="Q99" s="132"/>
      <c r="R99" s="132"/>
      <c r="S99" s="88">
        <v>1</v>
      </c>
    </row>
    <row r="100" spans="2:19" ht="16.95" customHeight="1" x14ac:dyDescent="0.3"/>
    <row r="101" spans="2:19" ht="28.2" customHeight="1" thickBot="1" x14ac:dyDescent="0.35">
      <c r="B101" s="133" t="s">
        <v>150</v>
      </c>
      <c r="C101" s="133"/>
      <c r="D101" s="133" t="s">
        <v>148</v>
      </c>
      <c r="E101" s="133"/>
      <c r="F101" s="133" t="s">
        <v>159</v>
      </c>
      <c r="G101" s="133"/>
      <c r="H101" s="133" t="s">
        <v>149</v>
      </c>
      <c r="I101" s="133"/>
      <c r="J101" s="133" t="s">
        <v>136</v>
      </c>
      <c r="K101" s="133"/>
      <c r="L101" s="133"/>
      <c r="M101" s="87" t="s">
        <v>14</v>
      </c>
      <c r="O101" s="111" t="s">
        <v>160</v>
      </c>
      <c r="P101" s="111"/>
      <c r="Q101" s="86"/>
      <c r="R101" s="86"/>
      <c r="S101" s="86"/>
    </row>
    <row r="102" spans="2:19" ht="16.2" customHeight="1" x14ac:dyDescent="0.3">
      <c r="B102" s="127" t="s">
        <v>151</v>
      </c>
      <c r="C102" s="127"/>
      <c r="D102" s="128">
        <f ca="1">MEDIDA!Q22</f>
        <v>77.636968905110038</v>
      </c>
      <c r="E102" s="128"/>
      <c r="F102" s="127">
        <f>MEDIDA!S22</f>
        <v>80</v>
      </c>
      <c r="G102" s="127"/>
      <c r="H102" s="128">
        <f ca="1">MEDIDA!U22</f>
        <v>2.363031094889962</v>
      </c>
      <c r="I102" s="128"/>
      <c r="J102" s="128">
        <f>INCERTIDUMBRE!L20</f>
        <v>2.2229975345849926</v>
      </c>
      <c r="K102" s="128"/>
      <c r="L102" s="128"/>
      <c r="M102" s="93">
        <f>INCERTIDUMBRE!K20</f>
        <v>2.006449486726972</v>
      </c>
      <c r="O102" s="109" t="s">
        <v>151</v>
      </c>
      <c r="P102" s="101"/>
      <c r="Q102" s="101"/>
      <c r="R102" s="101"/>
      <c r="S102" s="110" t="s">
        <v>152</v>
      </c>
    </row>
    <row r="103" spans="2:19" ht="16.2" customHeight="1" x14ac:dyDescent="0.3">
      <c r="B103" s="127" t="s">
        <v>152</v>
      </c>
      <c r="C103" s="127"/>
      <c r="D103" s="128">
        <f ca="1">MEDIDA!Q23</f>
        <v>78.021497827007153</v>
      </c>
      <c r="E103" s="128"/>
      <c r="F103" s="127">
        <f>MEDIDA!S23</f>
        <v>80</v>
      </c>
      <c r="G103" s="127"/>
      <c r="H103" s="128">
        <f ca="1">MEDIDA!U23</f>
        <v>1.9785021729928474</v>
      </c>
      <c r="I103" s="128"/>
      <c r="J103" s="128">
        <f>INCERTIDUMBRE!L21</f>
        <v>2.2229975345849926</v>
      </c>
      <c r="K103" s="128"/>
      <c r="L103" s="128"/>
      <c r="M103" s="93">
        <f>INCERTIDUMBRE!K21</f>
        <v>2.006449486726972</v>
      </c>
      <c r="O103" s="102"/>
      <c r="P103" s="103"/>
      <c r="Q103" s="106" t="s">
        <v>155</v>
      </c>
      <c r="R103" s="103"/>
      <c r="S103" s="104"/>
    </row>
    <row r="104" spans="2:19" ht="16.2" customHeight="1" thickBot="1" x14ac:dyDescent="0.35">
      <c r="B104" s="127" t="s">
        <v>153</v>
      </c>
      <c r="C104" s="127"/>
      <c r="D104" s="128">
        <f ca="1">MEDIDA!Q24</f>
        <v>77.262444882822237</v>
      </c>
      <c r="E104" s="128"/>
      <c r="F104" s="127">
        <f>MEDIDA!S24</f>
        <v>80</v>
      </c>
      <c r="G104" s="127"/>
      <c r="H104" s="128">
        <f ca="1">MEDIDA!U24</f>
        <v>2.737555117177763</v>
      </c>
      <c r="I104" s="128"/>
      <c r="J104" s="128">
        <f>INCERTIDUMBRE!L22</f>
        <v>2.2229975345849926</v>
      </c>
      <c r="K104" s="128"/>
      <c r="L104" s="128"/>
      <c r="M104" s="93">
        <f>INCERTIDUMBRE!K22</f>
        <v>2.006449486726972</v>
      </c>
      <c r="O104" s="108" t="s">
        <v>153</v>
      </c>
      <c r="P104" s="105"/>
      <c r="Q104" s="105"/>
      <c r="R104" s="105"/>
      <c r="S104" s="107" t="s">
        <v>154</v>
      </c>
    </row>
    <row r="105" spans="2:19" ht="16.2" customHeight="1" x14ac:dyDescent="0.3">
      <c r="B105" s="127" t="s">
        <v>154</v>
      </c>
      <c r="C105" s="127"/>
      <c r="D105" s="128">
        <f ca="1">MEDIDA!Q25</f>
        <v>77.484788936974553</v>
      </c>
      <c r="E105" s="128"/>
      <c r="F105" s="127">
        <f>MEDIDA!S25</f>
        <v>80</v>
      </c>
      <c r="G105" s="127"/>
      <c r="H105" s="128">
        <f ca="1">MEDIDA!U25</f>
        <v>2.5152110630254469</v>
      </c>
      <c r="I105" s="128"/>
      <c r="J105" s="128">
        <f>INCERTIDUMBRE!L23</f>
        <v>2.2229975345849926</v>
      </c>
      <c r="K105" s="128"/>
      <c r="L105" s="128"/>
      <c r="M105" s="93">
        <f>INCERTIDUMBRE!K23</f>
        <v>2.006449486726972</v>
      </c>
    </row>
    <row r="106" spans="2:19" ht="16.2" customHeight="1" x14ac:dyDescent="0.3">
      <c r="B106" s="127" t="s">
        <v>155</v>
      </c>
      <c r="C106" s="127"/>
      <c r="D106" s="128">
        <f ca="1">MEDIDA!Q26</f>
        <v>77.272304163500294</v>
      </c>
      <c r="E106" s="128"/>
      <c r="F106" s="127">
        <f>MEDIDA!S26</f>
        <v>80</v>
      </c>
      <c r="G106" s="127"/>
      <c r="H106" s="128">
        <f ca="1">MEDIDA!U26</f>
        <v>2.7276958364997057</v>
      </c>
      <c r="I106" s="128"/>
      <c r="J106" s="128">
        <f>INCERTIDUMBRE!L24</f>
        <v>2.2229975345849926</v>
      </c>
      <c r="K106" s="128"/>
      <c r="L106" s="128"/>
      <c r="M106" s="93">
        <f>INCERTIDUMBRE!K24</f>
        <v>2.006449486726972</v>
      </c>
      <c r="O106" s="111" t="s">
        <v>158</v>
      </c>
    </row>
    <row r="107" spans="2:19" ht="16.2" customHeight="1" x14ac:dyDescent="0.3">
      <c r="B107" s="112"/>
      <c r="C107" s="112"/>
      <c r="D107" s="112"/>
      <c r="E107" s="112"/>
      <c r="F107" s="112"/>
      <c r="G107" s="112"/>
      <c r="H107" s="113"/>
      <c r="I107" s="113"/>
      <c r="J107" s="112"/>
      <c r="K107" s="112"/>
      <c r="L107" s="112"/>
      <c r="M107" s="113"/>
    </row>
    <row r="108" spans="2:19" ht="16.2" customHeight="1" x14ac:dyDescent="0.3">
      <c r="B108" s="112"/>
      <c r="C108" s="112"/>
      <c r="D108" s="112"/>
      <c r="E108" s="112"/>
      <c r="F108" s="112"/>
      <c r="G108" s="112"/>
      <c r="H108" s="113"/>
      <c r="I108" s="113"/>
      <c r="J108" s="112"/>
      <c r="K108" s="112"/>
      <c r="L108" s="112"/>
      <c r="M108" s="113"/>
    </row>
    <row r="110" spans="2:19" x14ac:dyDescent="0.3">
      <c r="O110" s="126" t="str">
        <f>O74</f>
        <v>CERTIFICADO N°:</v>
      </c>
      <c r="P110" s="126"/>
      <c r="Q110" s="126"/>
      <c r="R110" s="126">
        <f>R74</f>
        <v>0</v>
      </c>
      <c r="S110" s="126"/>
    </row>
    <row r="113" spans="2:19" ht="16.95" customHeight="1" x14ac:dyDescent="0.3">
      <c r="B113" s="138" t="s">
        <v>97</v>
      </c>
      <c r="C113" s="138"/>
      <c r="D113" s="138"/>
      <c r="E113" s="138"/>
      <c r="F113" s="138"/>
      <c r="G113" s="138"/>
      <c r="H113" s="138"/>
      <c r="I113" s="138"/>
      <c r="J113" s="138"/>
      <c r="K113" s="138"/>
      <c r="L113" s="138"/>
      <c r="M113" s="138"/>
      <c r="N113" s="138"/>
      <c r="O113" s="138"/>
      <c r="P113" s="138"/>
      <c r="Q113" s="138"/>
      <c r="R113" s="138"/>
      <c r="S113" s="138"/>
    </row>
    <row r="114" spans="2:19" ht="16.95" customHeight="1" x14ac:dyDescent="0.3"/>
    <row r="115" spans="2:19" ht="16.95" customHeight="1" x14ac:dyDescent="0.3">
      <c r="B115" s="136" t="s">
        <v>98</v>
      </c>
      <c r="C115" s="136"/>
      <c r="D115" s="136"/>
      <c r="E115" s="136"/>
      <c r="F115" s="136"/>
      <c r="G115" s="136"/>
      <c r="I115" s="76" t="s">
        <v>99</v>
      </c>
      <c r="J115" s="76"/>
      <c r="K115" s="76"/>
      <c r="L115" s="76"/>
      <c r="M115" s="76"/>
      <c r="N115" s="76"/>
      <c r="O115" s="76"/>
      <c r="P115" s="76"/>
      <c r="Q115" s="76"/>
      <c r="R115" s="76"/>
      <c r="S115" s="76"/>
    </row>
    <row r="116" spans="2:19" ht="16.95" customHeight="1" x14ac:dyDescent="0.3">
      <c r="B116" s="137" t="s">
        <v>100</v>
      </c>
      <c r="C116" s="137"/>
      <c r="D116" s="137"/>
      <c r="E116" s="137"/>
      <c r="F116" s="137"/>
      <c r="G116" s="137"/>
      <c r="I116" s="76" t="s">
        <v>99</v>
      </c>
    </row>
    <row r="117" spans="2:19" ht="16.95" customHeight="1" x14ac:dyDescent="0.3">
      <c r="B117" s="136" t="s">
        <v>101</v>
      </c>
      <c r="C117" s="136"/>
      <c r="D117" s="136"/>
      <c r="E117" s="136"/>
      <c r="F117" s="136"/>
      <c r="G117" s="136"/>
      <c r="I117" s="76" t="s">
        <v>99</v>
      </c>
      <c r="J117" s="76"/>
      <c r="K117" s="76"/>
      <c r="L117" s="76"/>
      <c r="M117" s="76"/>
      <c r="N117" s="76"/>
      <c r="O117" s="76"/>
      <c r="P117" s="76"/>
      <c r="Q117" s="76"/>
      <c r="R117" s="76"/>
      <c r="S117" s="76"/>
    </row>
    <row r="118" spans="2:19" x14ac:dyDescent="0.3">
      <c r="B118" s="134" t="s">
        <v>102</v>
      </c>
      <c r="C118" s="134"/>
      <c r="D118" s="134"/>
      <c r="E118" s="134"/>
      <c r="F118" s="134"/>
      <c r="G118" s="134"/>
      <c r="I118" s="86" t="s">
        <v>156</v>
      </c>
      <c r="J118" s="86"/>
      <c r="K118" s="86"/>
      <c r="L118" s="86"/>
      <c r="M118" s="86"/>
      <c r="N118" s="86"/>
      <c r="O118" s="86"/>
      <c r="P118" s="86"/>
      <c r="Q118" s="86"/>
      <c r="R118" s="86"/>
      <c r="S118" s="86"/>
    </row>
    <row r="122" spans="2:19" ht="24" customHeight="1" x14ac:dyDescent="0.3">
      <c r="B122" s="135" t="s">
        <v>193</v>
      </c>
      <c r="C122" s="135"/>
      <c r="D122" s="135"/>
      <c r="E122" s="135"/>
      <c r="F122" s="135"/>
      <c r="G122" s="135"/>
      <c r="H122" s="135"/>
      <c r="I122" s="135"/>
      <c r="J122" s="135"/>
      <c r="K122" s="135"/>
      <c r="L122" s="135"/>
      <c r="M122" s="135"/>
      <c r="N122" s="135"/>
      <c r="O122" s="135"/>
      <c r="P122" s="135"/>
      <c r="Q122" s="135"/>
      <c r="R122" s="135"/>
      <c r="S122" s="135"/>
    </row>
    <row r="134" ht="16.2" customHeight="1" x14ac:dyDescent="0.3"/>
    <row r="139" ht="16.95" customHeight="1" x14ac:dyDescent="0.3"/>
    <row r="140" ht="24" customHeight="1" x14ac:dyDescent="0.3"/>
    <row r="144" ht="16.95" customHeight="1" x14ac:dyDescent="0.3"/>
    <row r="148" ht="24" customHeight="1" x14ac:dyDescent="0.3"/>
  </sheetData>
  <mergeCells count="179">
    <mergeCell ref="N79:O79"/>
    <mergeCell ref="I79:M79"/>
    <mergeCell ref="P79:R79"/>
    <mergeCell ref="D82:E82"/>
    <mergeCell ref="F82:G82"/>
    <mergeCell ref="H82:I82"/>
    <mergeCell ref="R38:S38"/>
    <mergeCell ref="O38:Q38"/>
    <mergeCell ref="B72:G72"/>
    <mergeCell ref="H72:L72"/>
    <mergeCell ref="M72:O72"/>
    <mergeCell ref="P72:S72"/>
    <mergeCell ref="B81:C81"/>
    <mergeCell ref="D81:E81"/>
    <mergeCell ref="F81:G81"/>
    <mergeCell ref="H81:I81"/>
    <mergeCell ref="J81:L81"/>
    <mergeCell ref="B82:C82"/>
    <mergeCell ref="J82:L82"/>
    <mergeCell ref="M31:R31"/>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B70:G70"/>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C15:R15"/>
    <mergeCell ref="C17:G17"/>
    <mergeCell ref="C18:G18"/>
    <mergeCell ref="I13:R13"/>
    <mergeCell ref="R74:S74"/>
    <mergeCell ref="O74:Q74"/>
    <mergeCell ref="B76:S76"/>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B122:S122"/>
    <mergeCell ref="B115:G115"/>
    <mergeCell ref="B116:G116"/>
    <mergeCell ref="B117:G117"/>
    <mergeCell ref="B113:S113"/>
    <mergeCell ref="P89:R89"/>
    <mergeCell ref="B93:C93"/>
    <mergeCell ref="D93:E93"/>
    <mergeCell ref="F93:G93"/>
    <mergeCell ref="H93:I93"/>
    <mergeCell ref="N89:O89"/>
    <mergeCell ref="D92:E92"/>
    <mergeCell ref="F92:G92"/>
    <mergeCell ref="H92:I92"/>
    <mergeCell ref="I89:M89"/>
    <mergeCell ref="J93:L93"/>
    <mergeCell ref="B94:C94"/>
    <mergeCell ref="D94:E94"/>
    <mergeCell ref="F94:G94"/>
    <mergeCell ref="H94:I94"/>
    <mergeCell ref="J94:L94"/>
    <mergeCell ref="B95:C95"/>
    <mergeCell ref="D95:E95"/>
    <mergeCell ref="F95:G95"/>
    <mergeCell ref="B118:G118"/>
    <mergeCell ref="B86:C86"/>
    <mergeCell ref="D86:E86"/>
    <mergeCell ref="F86:G86"/>
    <mergeCell ref="H86:I86"/>
    <mergeCell ref="B85:C85"/>
    <mergeCell ref="D85:E85"/>
    <mergeCell ref="F85:G85"/>
    <mergeCell ref="H85:I85"/>
    <mergeCell ref="B96:C96"/>
    <mergeCell ref="D96:E96"/>
    <mergeCell ref="F96:G96"/>
    <mergeCell ref="H96:I96"/>
    <mergeCell ref="B102:C102"/>
    <mergeCell ref="D102:E102"/>
    <mergeCell ref="F102:G102"/>
    <mergeCell ref="H102:I102"/>
    <mergeCell ref="B84:C84"/>
    <mergeCell ref="D84:E84"/>
    <mergeCell ref="F84:G84"/>
    <mergeCell ref="H84:I84"/>
    <mergeCell ref="B83:C83"/>
    <mergeCell ref="D83:E83"/>
    <mergeCell ref="F83:G83"/>
    <mergeCell ref="J84:L84"/>
    <mergeCell ref="J85:L85"/>
    <mergeCell ref="H83:I83"/>
    <mergeCell ref="J83:L83"/>
    <mergeCell ref="J86:L86"/>
    <mergeCell ref="B91:C91"/>
    <mergeCell ref="D91:E91"/>
    <mergeCell ref="F91:G91"/>
    <mergeCell ref="H91:I91"/>
    <mergeCell ref="J91:L91"/>
    <mergeCell ref="B92:C92"/>
    <mergeCell ref="J92:L92"/>
    <mergeCell ref="H95:I95"/>
    <mergeCell ref="J95:L95"/>
    <mergeCell ref="J96:L96"/>
    <mergeCell ref="I99:M99"/>
    <mergeCell ref="N99:O99"/>
    <mergeCell ref="P99:R99"/>
    <mergeCell ref="B101:C101"/>
    <mergeCell ref="D101:E101"/>
    <mergeCell ref="F101:G101"/>
    <mergeCell ref="H101:I101"/>
    <mergeCell ref="J101:L101"/>
    <mergeCell ref="J102:L102"/>
    <mergeCell ref="B103:C103"/>
    <mergeCell ref="D103:E103"/>
    <mergeCell ref="F103:G103"/>
    <mergeCell ref="H103:I103"/>
    <mergeCell ref="J103:L103"/>
    <mergeCell ref="B106:C106"/>
    <mergeCell ref="D106:E106"/>
    <mergeCell ref="F106:G106"/>
    <mergeCell ref="H106:I106"/>
    <mergeCell ref="J106:L106"/>
    <mergeCell ref="R110:S110"/>
    <mergeCell ref="O110:Q110"/>
    <mergeCell ref="B104:C104"/>
    <mergeCell ref="D104:E104"/>
    <mergeCell ref="F104:G104"/>
    <mergeCell ref="H104:I104"/>
    <mergeCell ref="J104:L104"/>
    <mergeCell ref="B105:C105"/>
    <mergeCell ref="D105:E105"/>
    <mergeCell ref="F105:G105"/>
    <mergeCell ref="H105:I105"/>
    <mergeCell ref="J105:L105"/>
  </mergeCells>
  <phoneticPr fontId="24" type="noConversion"/>
  <pageMargins left="0.51181102362204722" right="0.43307086614173229" top="1.6929133858267718" bottom="1.299212598425197" header="0.31496062992125984" footer="0.9055118110236221"/>
  <pageSetup paperSize="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2024-04-18T10:48:46Z</cp:lastPrinted>
  <dcterms:created xsi:type="dcterms:W3CDTF">2012-07-25T22:15:54Z</dcterms:created>
  <dcterms:modified xsi:type="dcterms:W3CDTF">2026-05-24T05:16:24Z</dcterms:modified>
</cp:coreProperties>
</file>