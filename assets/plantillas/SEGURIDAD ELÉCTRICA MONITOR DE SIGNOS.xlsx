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7D548DF-0073-4079-841A-8B9B30793EB2}"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1" i="31" l="1"/>
  <c r="I95" i="31"/>
  <c r="I93" i="31"/>
  <c r="H124" i="31" l="1"/>
  <c r="H125" i="31"/>
  <c r="H126" i="31"/>
  <c r="H127" i="31"/>
  <c r="H123" i="31"/>
  <c r="I111" i="31"/>
  <c r="I110" i="31"/>
  <c r="I109" i="31"/>
  <c r="I108" i="31"/>
  <c r="I102" i="31"/>
  <c r="I100" i="31"/>
  <c r="I87" i="31"/>
  <c r="I86" i="31"/>
  <c r="F80" i="31" l="1"/>
  <c r="N46" i="31" l="1"/>
  <c r="I46" i="31"/>
  <c r="K46" i="31"/>
  <c r="F46" i="31"/>
  <c r="M31" i="31"/>
  <c r="I18" i="31"/>
  <c r="I19" i="31"/>
  <c r="I20" i="31"/>
  <c r="I21" i="31"/>
  <c r="I13" i="31"/>
  <c r="I12" i="31"/>
  <c r="I11" i="31"/>
  <c r="I10" i="31"/>
  <c r="I9" i="31"/>
  <c r="I8" i="31"/>
  <c r="I7" i="31"/>
  <c r="I6" i="31"/>
  <c r="I5" i="31"/>
  <c r="R1" i="31"/>
  <c r="B10" i="23"/>
  <c r="M32" i="31" s="1"/>
  <c r="B9" i="23"/>
  <c r="O76" i="31" l="1"/>
  <c r="O118" i="31" s="1"/>
  <c r="R76" i="31"/>
  <c r="R118" i="31" s="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<sst xmlns="http://schemas.openxmlformats.org/spreadsheetml/2006/main" count="951" uniqueCount="141">
  <si>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</si>
  <si>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</si>
  <si>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</si>
  <si>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</si>
  <si>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</si>
  <si>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</si>
  <si>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</si>
  <si>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</si>
  <si>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</si>
  <si>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</si>
  <si>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</si>
  <si>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</si>
  <si>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</si>
  <si>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</si>
  <si>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</si>
  <si>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</si>
  <si>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</si>
  <si>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</si>
  <si>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</si>
  <si>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</si>
  <si>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</si>
  <si>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</si>
  <si>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</si>
  <si>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</si>
  <si>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</si>
  <si>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</si>
  <si>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</si>
  <si>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</si>
  <si>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</si>
  <si>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</si>
  <si>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</si>
  <si>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</si>
  <si>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</si>
  <si>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</si>
  <si>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</si>
  <si>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</si>
  <si>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</si>
  <si>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</si>
  <si>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</si>
  <si>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</si>
  <si>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</si>
  <si>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</si>
  <si>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</si>
  <si>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</si>
  <si>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</si>
  <si>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</si>
  <si>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</si>
  <si>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</si>
  <si>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</si>
  <si>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</si>
  <si>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</si>
  <si>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</si>
  <si>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</si>
  <si>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</si>
  <si>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</si>
  <si>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</si>
  <si>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</si>
  <si>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</si>
  <si>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</si>
  <si>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</si>
  <si>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</si>
  <si>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</si>
  <si>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</si>
  <si>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</si>
  <si>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</si>
  <si>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</si>
  <si>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</si>
  <si>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</si>
  <si>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</si>
  <si>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</si>
  <si>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</si>
  <si>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</si>
  <si>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</si>
  <si>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</si>
  <si>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</si>
  <si>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</si>
  <si>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</si>
  <si>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</si>
  <si>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</si>
  <si>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</si>
  <si>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</si>
  <si>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</si>
  <si>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</si>
  <si>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</si>
  <si>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</si>
  <si>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</si>
  <si>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</si>
  <si>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</si>
  <si>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</si>
  <si>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</si>
  <si>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</si>
  <si>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</si>
  <si>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</si>
  <si>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</si>
  <si>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</si>
  <si>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</si>
  <si>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</si>
  <si>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</si>
  <si>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</si>
  <si>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</si>
  <si>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Toma corriente:</t>
  </si>
  <si>
    <t>Buen estado</t>
  </si>
  <si>
    <t>Etiquetado:</t>
  </si>
  <si>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</si>
  <si>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</si>
  <si>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</si>
  <si>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</si>
  <si>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</si>
  <si>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</si>
  <si>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</si>
  <si>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</si>
  <si>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</si>
  <si>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</si>
  <si>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</si>
  <si>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</si>
  <si>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</si>
  <si>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</si>
  <si>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</si>
  <si>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PRUEBA DE FUGA DE CHASÍS POLARIDAD INVERSA</t>
  </si>
  <si>
    <t>Analizador de Seguridad Eléctrica</t>
  </si>
  <si>
    <t>PRUEBA DE FUGA DE CABLE A TIERRA</t>
  </si>
  <si>
    <t>RA----Gnd</t>
  </si>
  <si>
    <t>RL----Gnd</t>
  </si>
  <si>
    <t>LA----Gnd</t>
  </si>
  <si>
    <t>LL----Gnd</t>
  </si>
  <si>
    <t>V1/V6 ---- Gnd</t>
  </si>
  <si>
    <t>PRUEBA DE FUGA DE PACIENTE</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</si>
  <si>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</si>
  <si>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</si>
  <si>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</si>
  <si>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</si>
  <si>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</si>
  <si>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</si>
  <si>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</si>
  <si>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</si>
  <si>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</si>
  <si>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HOSPITAL DE ALTA COMPLEJIDAD DEL MAGDALENA CENTRO</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</si>
  <si>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</si>
  <si>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</si>
  <si>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Consumo de Corriente (A):</t>
  </si>
  <si>
    <t>Resistencia a tierra (Ω):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</si>
</sst>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3"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1">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12" fillId="0" borderId="0" xfId="0" applyFont="1" applyAlignment="1">
      <alignment horizontal="right"/>
    </xf>
    <xf numFmtId="165" fontId="7" fillId="0" borderId="0" xfId="0" applyNumberFormat="1" applyFont="1" applyAlignment="1">
      <alignment horizontal="left" vertical="center"/>
    </xf>
    <xf numFmtId="0" fontId="12" fillId="0" borderId="0" xfId="0" applyFont="1" applyAlignment="1">
      <alignment horizontal="left"/>
    </xf>
    <xf numFmtId="0" fontId="3" fillId="0" borderId="24" xfId="0" applyFont="1" applyBorder="1" applyAlignment="1">
      <alignment horizontal="center"/>
    </xf>
    <xf numFmtId="0" fontId="7" fillId="0" borderId="0" xfId="0" applyFont="1" applyAlignment="1">
      <alignment horizontal="left" vertic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3" fillId="0" borderId="0" xfId="0" applyFont="1" applyAlignment="1">
      <alignment horizontal="center" vertic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12" fillId="0" borderId="0" xfId="0" applyFont="1" applyAlignment="1">
      <alignment horizontal="right" vertical="center"/>
    </xf>
    <xf numFmtId="0" fontId="12"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0" fontId="12" fillId="0" borderId="17" xfId="0" applyFont="1" applyBorder="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8" fillId="0" borderId="0" xfId="0" applyFont="1" applyAlignment="1">
      <alignment horizontal="center"/>
    </xf>
    <xf numFmtId="0" fontId="11" fillId="0" borderId="0" xfId="0" applyFont="1" applyAlignment="1">
      <alignment horizontal="center" vertical="center"/>
    </xf>
    <xf numFmtId="0" fontId="8" fillId="0" borderId="4" xfId="0" applyFont="1" applyBorder="1" applyAlignment="1">
      <alignment horizontal="center" vertical="center"/>
    </xf>
    <xf numFmtId="164" fontId="8" fillId="0" borderId="4" xfId="0" applyNumberFormat="1" applyFont="1" applyBorder="1" applyAlignment="1">
      <alignment horizontal="center" vertical="center"/>
    </xf>
    <xf numFmtId="0" fontId="8" fillId="0" borderId="4" xfId="0" applyFont="1" applyBorder="1" applyAlignment="1">
      <alignment horizontal="center" vertical="center" wrapText="1"/>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0" fontId="11" fillId="0" borderId="4" xfId="0" applyFont="1" applyBorder="1" applyAlignment="1">
      <alignment horizontal="center" vertical="center"/>
    </xf>
    <xf numFmtId="164" fontId="8" fillId="0" borderId="4" xfId="0" applyNumberFormat="1" applyFont="1" applyBorder="1" applyAlignment="1">
      <alignment horizont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11" fillId="0" borderId="4" xfId="0" applyFont="1" applyBorder="1" applyAlignment="1">
      <alignment horizontal="center"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xf>
    <xf numFmtId="0" fontId="8" fillId="0" borderId="4" xfId="0" applyFont="1" applyBorder="1" applyAlignment="1">
      <alignment horizontal="center" wrapText="1"/>
    </xf>
    <xf numFmtId="0" fontId="12" fillId="0" borderId="0" xfId="0" applyFont="1" applyAlignment="1">
      <alignment horizont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1" t="s">
        <v>69</v>
      </c>
      <c r="B1" s="162"/>
      <c r="C1" s="162"/>
      <c r="D1" s="162"/>
      <c r="E1" s="162"/>
      <c r="F1" s="162"/>
      <c r="G1" s="162"/>
      <c r="H1" s="163"/>
      <c r="I1"/>
      <c r="J1"/>
      <c r="K1"/>
      <c r="L1"/>
      <c r="M1"/>
      <c r="N1"/>
      <c r="O1" t="s">
        <v>81</v>
      </c>
      <c r="P1"/>
      <c r="Q1"/>
      <c r="R1"/>
      <c r="S1"/>
      <c r="T1"/>
      <c r="U1"/>
      <c r="V1"/>
      <c r="W1"/>
      <c r="X1"/>
      <c r="Y1"/>
      <c r="Z1"/>
      <c r="AA1"/>
      <c r="AB1"/>
      <c r="AC1"/>
      <c r="AD1"/>
      <c r="AE1"/>
    </row>
    <row r="2" spans="1:31" ht="14.4" x14ac:dyDescent="0.3">
      <c r="A2" s="74" t="s">
        <v>86</v>
      </c>
      <c r="B2" s="74" t="s">
        <v>87</v>
      </c>
      <c r="C2" s="74" t="s">
        <v>88</v>
      </c>
      <c r="D2" s="74" t="s">
        <v>89</v>
      </c>
      <c r="E2" s="74" t="s">
        <v>90</v>
      </c>
      <c r="F2" s="74" t="s">
        <v>91</v>
      </c>
      <c r="G2" s="74" t="s">
        <v>92</v>
      </c>
      <c r="H2" s="74" t="s">
        <v>93</v>
      </c>
      <c r="I2"/>
      <c r="J2"/>
      <c r="K2"/>
      <c r="L2"/>
      <c r="M2"/>
      <c r="N2"/>
      <c r="O2" t="s">
        <v>82</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41</v>
      </c>
      <c r="P4"/>
      <c r="Q4"/>
      <c r="R4"/>
      <c r="S4"/>
      <c r="T4"/>
      <c r="U4"/>
      <c r="V4"/>
      <c r="W4"/>
      <c r="X4"/>
      <c r="Y4"/>
      <c r="Z4"/>
      <c r="AA4"/>
      <c r="AB4"/>
      <c r="AC4"/>
      <c r="AD4"/>
      <c r="AE4"/>
    </row>
    <row r="5" spans="1:31" ht="12.75" customHeight="1" x14ac:dyDescent="0.3">
      <c r="A5"/>
      <c r="B5"/>
      <c r="C5"/>
      <c r="D5"/>
      <c r="E5"/>
      <c r="F5"/>
      <c r="H5"/>
      <c r="I5"/>
      <c r="J5"/>
      <c r="K5"/>
      <c r="L5"/>
      <c r="M5"/>
      <c r="N5"/>
      <c r="O5" t="s">
        <v>83</v>
      </c>
      <c r="P5"/>
      <c r="Q5"/>
      <c r="R5"/>
      <c r="S5"/>
      <c r="T5"/>
      <c r="U5"/>
      <c r="V5"/>
      <c r="W5"/>
      <c r="X5"/>
      <c r="Y5"/>
      <c r="Z5"/>
      <c r="AA5"/>
      <c r="AB5"/>
      <c r="AC5"/>
      <c r="AD5"/>
      <c r="AE5"/>
    </row>
    <row r="6" spans="1:31" ht="12.75" customHeight="1" x14ac:dyDescent="0.3">
      <c r="A6" s="164" t="s">
        <v>70</v>
      </c>
      <c r="B6" s="164"/>
      <c r="C6"/>
      <c r="D6" s="73" t="s">
        <v>68</v>
      </c>
      <c r="E6" s="73"/>
      <c r="H6"/>
      <c r="I6"/>
      <c r="J6"/>
      <c r="K6"/>
      <c r="L6"/>
      <c r="M6"/>
      <c r="N6"/>
      <c r="O6" t="s">
        <v>84</v>
      </c>
      <c r="P6"/>
      <c r="Q6"/>
      <c r="R6"/>
      <c r="S6"/>
      <c r="T6"/>
      <c r="U6"/>
      <c r="V6"/>
      <c r="W6"/>
      <c r="X6"/>
      <c r="Y6"/>
      <c r="Z6"/>
      <c r="AA6"/>
      <c r="AB6"/>
      <c r="AC6"/>
      <c r="AD6"/>
      <c r="AE6"/>
    </row>
    <row r="7" spans="1:31" ht="12.75" customHeight="1" x14ac:dyDescent="0.3">
      <c r="A7" s="7" t="s">
        <v>72</v>
      </c>
      <c r="B7" s="67" t="s">
        <v>81</v>
      </c>
      <c r="C7"/>
      <c r="D7" s="7" t="s">
        <v>71</v>
      </c>
      <c r="E7" s="68" t="s">
        <v>94</v>
      </c>
      <c r="H7"/>
      <c r="I7"/>
      <c r="J7"/>
      <c r="K7"/>
      <c r="L7"/>
      <c r="M7"/>
      <c r="N7"/>
      <c r="O7"/>
      <c r="P7"/>
      <c r="Q7"/>
      <c r="R7"/>
      <c r="S7"/>
      <c r="T7"/>
      <c r="U7"/>
      <c r="V7"/>
      <c r="W7"/>
      <c r="X7"/>
      <c r="Y7"/>
      <c r="Z7"/>
      <c r="AA7"/>
      <c r="AB7"/>
      <c r="AC7"/>
      <c r="AD7"/>
      <c r="AE7"/>
    </row>
    <row r="8" spans="1:31" ht="12.75" customHeight="1" x14ac:dyDescent="0.3">
      <c r="A8" s="7" t="s">
        <v>95</v>
      </c>
      <c r="B8" s="67" t="s">
        <v>41</v>
      </c>
      <c r="C8"/>
      <c r="D8" s="7" t="s">
        <v>2</v>
      </c>
      <c r="E8" s="67" t="s">
        <v>96</v>
      </c>
      <c r="H8"/>
      <c r="I8"/>
      <c r="J8"/>
      <c r="K8"/>
      <c r="L8"/>
      <c r="M8"/>
      <c r="N8"/>
      <c r="O8"/>
      <c r="P8"/>
      <c r="Q8"/>
      <c r="R8"/>
      <c r="S8"/>
      <c r="T8"/>
      <c r="U8"/>
      <c r="V8"/>
      <c r="W8"/>
      <c r="X8"/>
      <c r="Y8"/>
      <c r="Z8"/>
      <c r="AA8"/>
      <c r="AB8"/>
      <c r="AC8"/>
      <c r="AD8"/>
      <c r="AE8"/>
    </row>
    <row r="9" spans="1:31" ht="12.75" customHeight="1" x14ac:dyDescent="0.3">
      <c r="A9" s="7" t="s">
        <v>74</v>
      </c>
      <c r="B9" s="70">
        <f>H3</f>
        <v>0</v>
      </c>
      <c r="C9"/>
      <c r="D9" s="7" t="s">
        <v>73</v>
      </c>
      <c r="E9" s="67">
        <v>3007835072</v>
      </c>
      <c r="H9"/>
      <c r="I9"/>
      <c r="J9"/>
      <c r="K9"/>
      <c r="L9"/>
      <c r="M9"/>
      <c r="N9"/>
      <c r="O9"/>
      <c r="P9"/>
      <c r="Q9"/>
      <c r="R9"/>
      <c r="S9"/>
      <c r="T9"/>
      <c r="U9"/>
      <c r="V9"/>
      <c r="W9"/>
      <c r="X9"/>
      <c r="Y9"/>
      <c r="Z9"/>
      <c r="AA9"/>
      <c r="AB9"/>
      <c r="AC9"/>
      <c r="AD9"/>
      <c r="AE9"/>
    </row>
    <row r="10" spans="1:31" ht="12.75" customHeight="1" x14ac:dyDescent="0.3">
      <c r="A10" s="7" t="s">
        <v>75</v>
      </c>
      <c r="B10" s="70">
        <f>H3</f>
        <v>0</v>
      </c>
      <c r="C10"/>
      <c r="D10" s="7" t="s">
        <v>1</v>
      </c>
      <c r="E10" s="69" t="s">
        <v>97</v>
      </c>
      <c r="G10"/>
      <c r="H10"/>
      <c r="I10"/>
      <c r="J10"/>
      <c r="K10"/>
      <c r="L10"/>
      <c r="M10"/>
      <c r="N10"/>
      <c r="O10"/>
      <c r="P10"/>
      <c r="Q10"/>
      <c r="R10"/>
      <c r="S10"/>
      <c r="T10"/>
      <c r="U10"/>
      <c r="V10"/>
      <c r="W10"/>
      <c r="X10"/>
      <c r="Y10"/>
      <c r="Z10"/>
      <c r="AA10"/>
      <c r="AB10"/>
      <c r="AC10"/>
      <c r="AD10"/>
      <c r="AE10"/>
    </row>
    <row r="11" spans="1:31" ht="12.75" customHeight="1" x14ac:dyDescent="0.3">
      <c r="A11" s="7" t="s">
        <v>76</v>
      </c>
      <c r="B11" s="67">
        <v>24.1</v>
      </c>
      <c r="C11"/>
      <c r="D11" s="7" t="s">
        <v>0</v>
      </c>
      <c r="E11" s="69" t="s">
        <v>98</v>
      </c>
      <c r="G11"/>
      <c r="H11"/>
      <c r="I11"/>
      <c r="J11"/>
      <c r="K11"/>
      <c r="L11"/>
      <c r="M11"/>
      <c r="N11"/>
      <c r="O11"/>
      <c r="P11"/>
      <c r="Q11"/>
      <c r="R11"/>
      <c r="S11"/>
      <c r="T11"/>
      <c r="U11"/>
      <c r="V11"/>
      <c r="W11"/>
      <c r="X11"/>
      <c r="Y11"/>
      <c r="Z11"/>
      <c r="AA11"/>
      <c r="AB11"/>
      <c r="AC11"/>
      <c r="AD11"/>
      <c r="AE11"/>
    </row>
    <row r="12" spans="1:31" ht="12.75" customHeight="1" x14ac:dyDescent="0.3">
      <c r="A12" s="7" t="s">
        <v>77</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78</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79</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80</v>
      </c>
      <c r="B15" s="67" t="s">
        <v>99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8" t="s">
        <v>33</v>
      </c>
      <c r="B1" s="169"/>
      <c r="C1" s="169"/>
      <c r="D1" s="169"/>
      <c r="E1" s="169"/>
      <c r="F1" s="169"/>
      <c r="G1" s="169"/>
      <c r="H1" s="169"/>
      <c r="I1" s="169"/>
      <c r="J1" s="169"/>
      <c r="K1" s="170"/>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5" t="s">
        <v>23</v>
      </c>
      <c r="B10" s="166"/>
      <c r="C10" s="166"/>
      <c r="D10" s="166"/>
      <c r="E10" s="166"/>
      <c r="F10" s="166"/>
      <c r="G10" s="166"/>
      <c r="H10" s="166"/>
      <c r="I10" s="166"/>
      <c r="J10" s="166"/>
      <c r="K10" s="167"/>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5" t="s">
        <v>22</v>
      </c>
      <c r="B18" s="166"/>
      <c r="C18" s="166"/>
      <c r="D18" s="166"/>
      <c r="E18" s="166"/>
      <c r="F18" s="166"/>
      <c r="G18" s="166"/>
      <c r="H18" s="166"/>
      <c r="I18" s="166"/>
      <c r="J18" s="166"/>
      <c r="K18" s="167"/>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5" t="s">
        <v>21</v>
      </c>
      <c r="B26" s="166"/>
      <c r="C26" s="166"/>
      <c r="D26" s="166"/>
      <c r="E26" s="166"/>
      <c r="F26" s="166"/>
      <c r="G26" s="166"/>
      <c r="H26" s="166"/>
      <c r="I26" s="166"/>
      <c r="J26" s="166"/>
      <c r="K26" s="167"/>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5" t="s">
        <v>20</v>
      </c>
      <c r="B34" s="166"/>
      <c r="C34" s="166"/>
      <c r="D34" s="166"/>
      <c r="E34" s="166"/>
      <c r="F34" s="166"/>
      <c r="G34" s="166"/>
      <c r="H34" s="166"/>
      <c r="I34" s="166"/>
      <c r="J34" s="166"/>
      <c r="K34" s="167"/>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8" t="s">
        <v>32</v>
      </c>
      <c r="B41" s="169"/>
      <c r="C41" s="169"/>
      <c r="D41" s="169"/>
      <c r="E41" s="169"/>
      <c r="F41" s="169"/>
      <c r="G41" s="169"/>
      <c r="H41" s="169"/>
      <c r="I41" s="169"/>
      <c r="J41" s="169"/>
      <c r="K41" s="170"/>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5" t="s">
        <v>23</v>
      </c>
      <c r="B50" s="166"/>
      <c r="C50" s="166"/>
      <c r="D50" s="166"/>
      <c r="E50" s="166"/>
      <c r="F50" s="166"/>
      <c r="G50" s="166"/>
      <c r="H50" s="166"/>
      <c r="I50" s="166"/>
      <c r="J50" s="166"/>
      <c r="K50" s="167"/>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5" t="s">
        <v>22</v>
      </c>
      <c r="B58" s="166"/>
      <c r="C58" s="166"/>
      <c r="D58" s="166"/>
      <c r="E58" s="166"/>
      <c r="F58" s="166"/>
      <c r="G58" s="166"/>
      <c r="H58" s="166"/>
      <c r="I58" s="166"/>
      <c r="J58" s="166"/>
      <c r="K58" s="167"/>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5" t="s">
        <v>21</v>
      </c>
      <c r="B66" s="166"/>
      <c r="C66" s="166"/>
      <c r="D66" s="166"/>
      <c r="E66" s="166"/>
      <c r="F66" s="166"/>
      <c r="G66" s="166"/>
      <c r="H66" s="166"/>
      <c r="I66" s="166"/>
      <c r="J66" s="166"/>
      <c r="K66" s="167"/>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5" t="s">
        <v>20</v>
      </c>
      <c r="B74" s="166"/>
      <c r="C74" s="166"/>
      <c r="D74" s="166"/>
      <c r="E74" s="166"/>
      <c r="F74" s="166"/>
      <c r="G74" s="166"/>
      <c r="H74" s="166"/>
      <c r="I74" s="166"/>
      <c r="J74" s="166"/>
      <c r="K74" s="167"/>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8" t="s">
        <v>31</v>
      </c>
      <c r="B81" s="169"/>
      <c r="C81" s="169"/>
      <c r="D81" s="169"/>
      <c r="E81" s="169"/>
      <c r="F81" s="169"/>
      <c r="G81" s="169"/>
      <c r="H81" s="169"/>
      <c r="I81" s="169"/>
      <c r="J81" s="169"/>
      <c r="K81" s="170"/>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5" t="s">
        <v>23</v>
      </c>
      <c r="B90" s="166"/>
      <c r="C90" s="166"/>
      <c r="D90" s="166"/>
      <c r="E90" s="166"/>
      <c r="F90" s="166"/>
      <c r="G90" s="166"/>
      <c r="H90" s="166"/>
      <c r="I90" s="166"/>
      <c r="J90" s="166"/>
      <c r="K90" s="167"/>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5" t="s">
        <v>22</v>
      </c>
      <c r="B98" s="166"/>
      <c r="C98" s="166"/>
      <c r="D98" s="166"/>
      <c r="E98" s="166"/>
      <c r="F98" s="166"/>
      <c r="G98" s="166"/>
      <c r="H98" s="166"/>
      <c r="I98" s="166"/>
      <c r="J98" s="166"/>
      <c r="K98" s="167"/>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5" t="s">
        <v>21</v>
      </c>
      <c r="B106" s="166"/>
      <c r="C106" s="166"/>
      <c r="D106" s="166"/>
      <c r="E106" s="166"/>
      <c r="F106" s="166"/>
      <c r="G106" s="166"/>
      <c r="H106" s="166"/>
      <c r="I106" s="166"/>
      <c r="J106" s="166"/>
      <c r="K106" s="167"/>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5" t="s">
        <v>20</v>
      </c>
      <c r="B114" s="166"/>
      <c r="C114" s="166"/>
      <c r="D114" s="166"/>
      <c r="E114" s="166"/>
      <c r="F114" s="166"/>
      <c r="G114" s="166"/>
      <c r="H114" s="166"/>
      <c r="I114" s="166"/>
      <c r="J114" s="166"/>
      <c r="K114" s="167"/>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8" t="s">
        <v>30</v>
      </c>
      <c r="B122" s="169"/>
      <c r="C122" s="169"/>
      <c r="D122" s="169"/>
      <c r="E122" s="169"/>
      <c r="F122" s="169"/>
      <c r="G122" s="169"/>
      <c r="H122" s="169"/>
      <c r="I122" s="169"/>
      <c r="J122" s="169"/>
      <c r="K122" s="170"/>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5" t="s">
        <v>23</v>
      </c>
      <c r="B131" s="166"/>
      <c r="C131" s="166"/>
      <c r="D131" s="166"/>
      <c r="E131" s="166"/>
      <c r="F131" s="166"/>
      <c r="G131" s="166"/>
      <c r="H131" s="166"/>
      <c r="I131" s="166"/>
      <c r="J131" s="166"/>
      <c r="K131" s="167"/>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5" t="s">
        <v>22</v>
      </c>
      <c r="B139" s="166"/>
      <c r="C139" s="166"/>
      <c r="D139" s="166"/>
      <c r="E139" s="166"/>
      <c r="F139" s="166"/>
      <c r="G139" s="166"/>
      <c r="H139" s="166"/>
      <c r="I139" s="166"/>
      <c r="J139" s="166"/>
      <c r="K139" s="167"/>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5" t="s">
        <v>21</v>
      </c>
      <c r="B147" s="166"/>
      <c r="C147" s="166"/>
      <c r="D147" s="166"/>
      <c r="E147" s="166"/>
      <c r="F147" s="166"/>
      <c r="G147" s="166"/>
      <c r="H147" s="166"/>
      <c r="I147" s="166"/>
      <c r="J147" s="166"/>
      <c r="K147" s="167"/>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5" t="s">
        <v>20</v>
      </c>
      <c r="B155" s="166"/>
      <c r="C155" s="166"/>
      <c r="D155" s="166"/>
      <c r="E155" s="166"/>
      <c r="F155" s="166"/>
      <c r="G155" s="166"/>
      <c r="H155" s="166"/>
      <c r="I155" s="166"/>
      <c r="J155" s="166"/>
      <c r="K155" s="167"/>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8" t="s">
        <v>29</v>
      </c>
      <c r="B162" s="169"/>
      <c r="C162" s="169"/>
      <c r="D162" s="169"/>
      <c r="E162" s="169"/>
      <c r="F162" s="169"/>
      <c r="G162" s="169"/>
      <c r="H162" s="169"/>
      <c r="I162" s="169"/>
      <c r="J162" s="169"/>
      <c r="K162" s="170"/>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5" t="s">
        <v>23</v>
      </c>
      <c r="B171" s="166"/>
      <c r="C171" s="166"/>
      <c r="D171" s="166"/>
      <c r="E171" s="166"/>
      <c r="F171" s="166"/>
      <c r="G171" s="166"/>
      <c r="H171" s="166"/>
      <c r="I171" s="166"/>
      <c r="J171" s="166"/>
      <c r="K171" s="167"/>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5" t="s">
        <v>22</v>
      </c>
      <c r="B179" s="166"/>
      <c r="C179" s="166"/>
      <c r="D179" s="166"/>
      <c r="E179" s="166"/>
      <c r="F179" s="166"/>
      <c r="G179" s="166"/>
      <c r="H179" s="166"/>
      <c r="I179" s="166"/>
      <c r="J179" s="166"/>
      <c r="K179" s="167"/>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5" t="s">
        <v>21</v>
      </c>
      <c r="B187" s="166"/>
      <c r="C187" s="166"/>
      <c r="D187" s="166"/>
      <c r="E187" s="166"/>
      <c r="F187" s="166"/>
      <c r="G187" s="166"/>
      <c r="H187" s="166"/>
      <c r="I187" s="166"/>
      <c r="J187" s="166"/>
      <c r="K187" s="167"/>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5" t="s">
        <v>20</v>
      </c>
      <c r="B195" s="166"/>
      <c r="C195" s="166"/>
      <c r="D195" s="166"/>
      <c r="E195" s="166"/>
      <c r="F195" s="166"/>
      <c r="G195" s="166"/>
      <c r="H195" s="166"/>
      <c r="I195" s="166"/>
      <c r="J195" s="166"/>
      <c r="K195" s="167"/>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8" t="s">
        <v>29</v>
      </c>
      <c r="B202" s="169"/>
      <c r="C202" s="169"/>
      <c r="D202" s="169"/>
      <c r="E202" s="169"/>
      <c r="F202" s="169"/>
      <c r="G202" s="169"/>
      <c r="H202" s="169"/>
      <c r="I202" s="169"/>
      <c r="J202" s="169"/>
      <c r="K202" s="170"/>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5" t="s">
        <v>23</v>
      </c>
      <c r="B211" s="166"/>
      <c r="C211" s="166"/>
      <c r="D211" s="166"/>
      <c r="E211" s="166"/>
      <c r="F211" s="166"/>
      <c r="G211" s="166"/>
      <c r="H211" s="166"/>
      <c r="I211" s="166"/>
      <c r="J211" s="166"/>
      <c r="K211" s="167"/>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5" t="s">
        <v>22</v>
      </c>
      <c r="B219" s="166"/>
      <c r="C219" s="166"/>
      <c r="D219" s="166"/>
      <c r="E219" s="166"/>
      <c r="F219" s="166"/>
      <c r="G219" s="166"/>
      <c r="H219" s="166"/>
      <c r="I219" s="166"/>
      <c r="J219" s="166"/>
      <c r="K219" s="167"/>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5" t="s">
        <v>21</v>
      </c>
      <c r="B227" s="166"/>
      <c r="C227" s="166"/>
      <c r="D227" s="166"/>
      <c r="E227" s="166"/>
      <c r="F227" s="166"/>
      <c r="G227" s="166"/>
      <c r="H227" s="166"/>
      <c r="I227" s="166"/>
      <c r="J227" s="166"/>
      <c r="K227" s="167"/>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5" t="s">
        <v>20</v>
      </c>
      <c r="B235" s="166"/>
      <c r="C235" s="166"/>
      <c r="D235" s="166"/>
      <c r="E235" s="166"/>
      <c r="F235" s="166"/>
      <c r="G235" s="166"/>
      <c r="H235" s="166"/>
      <c r="I235" s="166"/>
      <c r="J235" s="166"/>
      <c r="K235" s="167"/>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8" t="s">
        <v>28</v>
      </c>
      <c r="B242" s="169"/>
      <c r="C242" s="169"/>
      <c r="D242" s="169"/>
      <c r="E242" s="169"/>
      <c r="F242" s="169"/>
      <c r="G242" s="169"/>
      <c r="H242" s="169"/>
      <c r="I242" s="169"/>
      <c r="J242" s="169"/>
      <c r="K242" s="170"/>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5" t="s">
        <v>23</v>
      </c>
      <c r="B251" s="166"/>
      <c r="C251" s="166"/>
      <c r="D251" s="166"/>
      <c r="E251" s="166"/>
      <c r="F251" s="166"/>
      <c r="G251" s="166"/>
      <c r="H251" s="166"/>
      <c r="I251" s="166"/>
      <c r="J251" s="166"/>
      <c r="K251" s="167"/>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5" t="s">
        <v>22</v>
      </c>
      <c r="B259" s="166"/>
      <c r="C259" s="166"/>
      <c r="D259" s="166"/>
      <c r="E259" s="166"/>
      <c r="F259" s="166"/>
      <c r="G259" s="166"/>
      <c r="H259" s="166"/>
      <c r="I259" s="166"/>
      <c r="J259" s="166"/>
      <c r="K259" s="167"/>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5" t="s">
        <v>21</v>
      </c>
      <c r="B267" s="166"/>
      <c r="C267" s="166"/>
      <c r="D267" s="166"/>
      <c r="E267" s="166"/>
      <c r="F267" s="166"/>
      <c r="G267" s="166"/>
      <c r="H267" s="166"/>
      <c r="I267" s="166"/>
      <c r="J267" s="166"/>
      <c r="K267" s="167"/>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5" t="s">
        <v>20</v>
      </c>
      <c r="B275" s="166"/>
      <c r="C275" s="166"/>
      <c r="D275" s="166"/>
      <c r="E275" s="166"/>
      <c r="F275" s="166"/>
      <c r="G275" s="166"/>
      <c r="H275" s="166"/>
      <c r="I275" s="166"/>
      <c r="J275" s="166"/>
      <c r="K275" s="167"/>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8" t="s">
        <v>27</v>
      </c>
      <c r="B282" s="169"/>
      <c r="C282" s="169"/>
      <c r="D282" s="169"/>
      <c r="E282" s="169"/>
      <c r="F282" s="169"/>
      <c r="G282" s="169"/>
      <c r="H282" s="169"/>
      <c r="I282" s="169"/>
      <c r="J282" s="169"/>
      <c r="K282" s="170"/>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5" t="s">
        <v>23</v>
      </c>
      <c r="B291" s="166"/>
      <c r="C291" s="166"/>
      <c r="D291" s="166"/>
      <c r="E291" s="166"/>
      <c r="F291" s="166"/>
      <c r="G291" s="166"/>
      <c r="H291" s="166"/>
      <c r="I291" s="166"/>
      <c r="J291" s="166"/>
      <c r="K291" s="167"/>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5" t="s">
        <v>22</v>
      </c>
      <c r="B299" s="166"/>
      <c r="C299" s="166"/>
      <c r="D299" s="166"/>
      <c r="E299" s="166"/>
      <c r="F299" s="166"/>
      <c r="G299" s="166"/>
      <c r="H299" s="166"/>
      <c r="I299" s="166"/>
      <c r="J299" s="166"/>
      <c r="K299" s="167"/>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5" t="s">
        <v>21</v>
      </c>
      <c r="B307" s="166"/>
      <c r="C307" s="166"/>
      <c r="D307" s="166"/>
      <c r="E307" s="166"/>
      <c r="F307" s="166"/>
      <c r="G307" s="166"/>
      <c r="H307" s="166"/>
      <c r="I307" s="166"/>
      <c r="J307" s="166"/>
      <c r="K307" s="167"/>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5" t="s">
        <v>20</v>
      </c>
      <c r="B315" s="166"/>
      <c r="C315" s="166"/>
      <c r="D315" s="166"/>
      <c r="E315" s="166"/>
      <c r="F315" s="166"/>
      <c r="G315" s="166"/>
      <c r="H315" s="166"/>
      <c r="I315" s="166"/>
      <c r="J315" s="166"/>
      <c r="K315" s="167"/>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8" t="s">
        <v>26</v>
      </c>
      <c r="B322" s="169"/>
      <c r="C322" s="169"/>
      <c r="D322" s="169"/>
      <c r="E322" s="169"/>
      <c r="F322" s="169"/>
      <c r="G322" s="169"/>
      <c r="H322" s="169"/>
      <c r="I322" s="169"/>
      <c r="J322" s="169"/>
      <c r="K322" s="170"/>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5" t="s">
        <v>23</v>
      </c>
      <c r="B331" s="166"/>
      <c r="C331" s="166"/>
      <c r="D331" s="166"/>
      <c r="E331" s="166"/>
      <c r="F331" s="166"/>
      <c r="G331" s="166"/>
      <c r="H331" s="166"/>
      <c r="I331" s="166"/>
      <c r="J331" s="166"/>
      <c r="K331" s="167"/>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5" t="s">
        <v>22</v>
      </c>
      <c r="B339" s="166"/>
      <c r="C339" s="166"/>
      <c r="D339" s="166"/>
      <c r="E339" s="166"/>
      <c r="F339" s="166"/>
      <c r="G339" s="166"/>
      <c r="H339" s="166"/>
      <c r="I339" s="166"/>
      <c r="J339" s="166"/>
      <c r="K339" s="167"/>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5" t="s">
        <v>21</v>
      </c>
      <c r="B347" s="166"/>
      <c r="C347" s="166"/>
      <c r="D347" s="166"/>
      <c r="E347" s="166"/>
      <c r="F347" s="166"/>
      <c r="G347" s="166"/>
      <c r="H347" s="166"/>
      <c r="I347" s="166"/>
      <c r="J347" s="166"/>
      <c r="K347" s="167"/>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5" t="s">
        <v>20</v>
      </c>
      <c r="B355" s="166"/>
      <c r="C355" s="166"/>
      <c r="D355" s="166"/>
      <c r="E355" s="166"/>
      <c r="F355" s="166"/>
      <c r="G355" s="166"/>
      <c r="H355" s="166"/>
      <c r="I355" s="166"/>
      <c r="J355" s="166"/>
      <c r="K355" s="167"/>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8" t="s">
        <v>25</v>
      </c>
      <c r="B362" s="169"/>
      <c r="C362" s="169"/>
      <c r="D362" s="169"/>
      <c r="E362" s="169"/>
      <c r="F362" s="169"/>
      <c r="G362" s="169"/>
      <c r="H362" s="169"/>
      <c r="I362" s="169"/>
      <c r="J362" s="169"/>
      <c r="K362" s="170"/>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5" t="s">
        <v>23</v>
      </c>
      <c r="B371" s="166"/>
      <c r="C371" s="166"/>
      <c r="D371" s="166"/>
      <c r="E371" s="166"/>
      <c r="F371" s="166"/>
      <c r="G371" s="166"/>
      <c r="H371" s="166"/>
      <c r="I371" s="166"/>
      <c r="J371" s="166"/>
      <c r="K371" s="167"/>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5" t="s">
        <v>22</v>
      </c>
      <c r="B379" s="166"/>
      <c r="C379" s="166"/>
      <c r="D379" s="166"/>
      <c r="E379" s="166"/>
      <c r="F379" s="166"/>
      <c r="G379" s="166"/>
      <c r="H379" s="166"/>
      <c r="I379" s="166"/>
      <c r="J379" s="166"/>
      <c r="K379" s="167"/>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5" t="s">
        <v>21</v>
      </c>
      <c r="B387" s="166"/>
      <c r="C387" s="166"/>
      <c r="D387" s="166"/>
      <c r="E387" s="166"/>
      <c r="F387" s="166"/>
      <c r="G387" s="166"/>
      <c r="H387" s="166"/>
      <c r="I387" s="166"/>
      <c r="J387" s="166"/>
      <c r="K387" s="167"/>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5" t="s">
        <v>20</v>
      </c>
      <c r="B395" s="166"/>
      <c r="C395" s="166"/>
      <c r="D395" s="166"/>
      <c r="E395" s="166"/>
      <c r="F395" s="166"/>
      <c r="G395" s="166"/>
      <c r="H395" s="166"/>
      <c r="I395" s="166"/>
      <c r="J395" s="166"/>
      <c r="K395" s="167"/>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8" t="s">
        <v>24</v>
      </c>
      <c r="B402" s="169"/>
      <c r="C402" s="169"/>
      <c r="D402" s="169"/>
      <c r="E402" s="169"/>
      <c r="F402" s="169"/>
      <c r="G402" s="169"/>
      <c r="H402" s="169"/>
      <c r="I402" s="169"/>
      <c r="J402" s="169"/>
      <c r="K402" s="170"/>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5" t="s">
        <v>23</v>
      </c>
      <c r="B411" s="166"/>
      <c r="C411" s="166"/>
      <c r="D411" s="166"/>
      <c r="E411" s="166"/>
      <c r="F411" s="166"/>
      <c r="G411" s="166"/>
      <c r="H411" s="166"/>
      <c r="I411" s="166"/>
      <c r="J411" s="166"/>
      <c r="K411" s="167"/>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5" t="s">
        <v>22</v>
      </c>
      <c r="B419" s="166"/>
      <c r="C419" s="166"/>
      <c r="D419" s="166"/>
      <c r="E419" s="166"/>
      <c r="F419" s="166"/>
      <c r="G419" s="166"/>
      <c r="H419" s="166"/>
      <c r="I419" s="166"/>
      <c r="J419" s="166"/>
      <c r="K419" s="167"/>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5" t="s">
        <v>21</v>
      </c>
      <c r="B427" s="166"/>
      <c r="C427" s="166"/>
      <c r="D427" s="166"/>
      <c r="E427" s="166"/>
      <c r="F427" s="166"/>
      <c r="G427" s="166"/>
      <c r="H427" s="166"/>
      <c r="I427" s="166"/>
      <c r="J427" s="166"/>
      <c r="K427" s="167"/>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5" t="s">
        <v>20</v>
      </c>
      <c r="B435" s="166"/>
      <c r="C435" s="166"/>
      <c r="D435" s="166"/>
      <c r="E435" s="166"/>
      <c r="F435" s="166"/>
      <c r="G435" s="166"/>
      <c r="H435" s="166"/>
      <c r="I435" s="166"/>
      <c r="J435" s="166"/>
      <c r="K435" s="167"/>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8" t="s">
        <v>7</v>
      </c>
      <c r="B442" s="169"/>
      <c r="C442" s="169"/>
      <c r="D442" s="169"/>
      <c r="E442" s="169"/>
      <c r="F442" s="169"/>
      <c r="G442" s="169"/>
      <c r="H442" s="169"/>
      <c r="I442" s="169"/>
      <c r="J442" s="169"/>
      <c r="K442" s="170"/>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5" t="s">
        <v>23</v>
      </c>
      <c r="D451" s="166"/>
      <c r="E451" s="166"/>
      <c r="F451" s="166"/>
      <c r="G451" s="166"/>
      <c r="H451" s="166"/>
      <c r="I451" s="166"/>
      <c r="J451" s="166"/>
      <c r="K451" s="166"/>
      <c r="L451" s="166"/>
      <c r="M451" s="167"/>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5" t="s">
        <v>22</v>
      </c>
      <c r="D459" s="166"/>
      <c r="E459" s="166"/>
      <c r="F459" s="166"/>
      <c r="G459" s="166"/>
      <c r="H459" s="166"/>
      <c r="I459" s="166"/>
      <c r="J459" s="166"/>
      <c r="K459" s="166"/>
      <c r="L459" s="166"/>
      <c r="M459" s="167"/>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5" t="s">
        <v>21</v>
      </c>
      <c r="D467" s="166"/>
      <c r="E467" s="166"/>
      <c r="F467" s="166"/>
      <c r="G467" s="166"/>
      <c r="H467" s="166"/>
      <c r="I467" s="166"/>
      <c r="J467" s="166"/>
      <c r="K467" s="166"/>
      <c r="L467" s="166"/>
      <c r="M467" s="167"/>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5" t="s">
        <v>20</v>
      </c>
      <c r="D475" s="166"/>
      <c r="E475" s="166"/>
      <c r="F475" s="166"/>
      <c r="G475" s="166"/>
      <c r="H475" s="166"/>
      <c r="I475" s="166"/>
      <c r="J475" s="166"/>
      <c r="K475" s="166"/>
      <c r="L475" s="166"/>
      <c r="M475" s="167"/>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6"/>
  <sheetViews>
    <sheetView tabSelected="1" view="pageLayout" zoomScaleNormal="100" workbookViewId="0">
      <selection activeCell="P123" sqref="P12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10"/>
      <c r="J1" s="110"/>
      <c r="K1" s="110"/>
      <c r="M1" s="43"/>
      <c r="O1" s="108" t="s">
        <v>52</v>
      </c>
      <c r="P1" s="108"/>
      <c r="Q1" s="108"/>
      <c r="R1" s="109">
        <f>INFORMACIÓN!G3</f>
        <v>0</v>
      </c>
      <c r="S1" s="109"/>
    </row>
    <row r="2" spans="1:27" ht="16.95" customHeight="1" x14ac:dyDescent="0.3">
      <c r="G2" s="112"/>
      <c r="H2" s="112"/>
      <c r="I2" s="112"/>
      <c r="J2" s="111"/>
      <c r="K2" s="111"/>
    </row>
    <row r="3" spans="1:27" ht="16.95" customHeight="1" x14ac:dyDescent="0.3">
      <c r="B3" s="62"/>
      <c r="C3" s="113" t="s">
        <v>43</v>
      </c>
      <c r="D3" s="113"/>
      <c r="E3" s="113"/>
      <c r="F3" s="113"/>
      <c r="G3" s="113"/>
      <c r="H3" s="113"/>
      <c r="I3" s="113"/>
      <c r="J3" s="113"/>
      <c r="K3" s="113"/>
      <c r="L3" s="113"/>
      <c r="M3" s="113"/>
      <c r="N3" s="113"/>
      <c r="O3" s="113"/>
      <c r="P3" s="113"/>
      <c r="Q3" s="113"/>
      <c r="R3" s="113"/>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08" t="s">
        <v>35</v>
      </c>
      <c r="D5" s="108"/>
      <c r="E5" s="108"/>
      <c r="F5" s="108"/>
      <c r="G5" s="108"/>
      <c r="H5" s="32"/>
      <c r="I5" s="98">
        <f>INFORMACIÓN!A3</f>
        <v>0</v>
      </c>
      <c r="J5" s="98"/>
      <c r="K5" s="98"/>
      <c r="L5" s="98"/>
      <c r="M5" s="98"/>
      <c r="N5" s="98"/>
      <c r="O5" s="98"/>
      <c r="P5" s="98"/>
      <c r="Q5" s="98"/>
      <c r="R5" s="98"/>
      <c r="S5"/>
      <c r="T5"/>
      <c r="U5"/>
      <c r="V5"/>
      <c r="W5"/>
      <c r="X5"/>
      <c r="Y5"/>
      <c r="Z5"/>
      <c r="AA5"/>
    </row>
    <row r="6" spans="1:27" s="33" customFormat="1" ht="16.95" customHeight="1" x14ac:dyDescent="0.3">
      <c r="B6" s="57"/>
      <c r="C6" s="108" t="s">
        <v>36</v>
      </c>
      <c r="D6" s="108"/>
      <c r="E6" s="108"/>
      <c r="F6" s="108"/>
      <c r="G6" s="108"/>
      <c r="H6" s="32"/>
      <c r="I6" s="98">
        <f>INFORMACIÓN!B3</f>
        <v>0</v>
      </c>
      <c r="J6" s="98"/>
      <c r="K6" s="98"/>
      <c r="L6" s="98"/>
      <c r="M6" s="98"/>
      <c r="N6" s="98"/>
      <c r="O6" s="98"/>
      <c r="P6" s="98"/>
      <c r="Q6" s="98"/>
      <c r="R6" s="98"/>
      <c r="S6"/>
      <c r="T6"/>
      <c r="U6"/>
      <c r="V6"/>
      <c r="W6"/>
      <c r="X6"/>
      <c r="Y6"/>
      <c r="Z6"/>
      <c r="AA6"/>
    </row>
    <row r="7" spans="1:27" s="33" customFormat="1" ht="16.95" customHeight="1" x14ac:dyDescent="0.3">
      <c r="B7" s="57"/>
      <c r="C7" s="108" t="s">
        <v>37</v>
      </c>
      <c r="D7" s="108"/>
      <c r="E7" s="108"/>
      <c r="F7" s="108"/>
      <c r="G7" s="108"/>
      <c r="H7" s="32"/>
      <c r="I7" s="98">
        <f>INFORMACIÓN!C3</f>
        <v>0</v>
      </c>
      <c r="J7" s="98"/>
      <c r="K7" s="98"/>
      <c r="L7" s="98"/>
      <c r="M7" s="98"/>
      <c r="N7" s="98"/>
      <c r="O7" s="98"/>
      <c r="P7" s="98"/>
      <c r="Q7" s="98"/>
      <c r="R7" s="98"/>
      <c r="S7"/>
      <c r="T7"/>
      <c r="U7"/>
      <c r="V7"/>
      <c r="W7"/>
      <c r="X7"/>
      <c r="Y7"/>
      <c r="Z7"/>
      <c r="AA7"/>
    </row>
    <row r="8" spans="1:27" s="33" customFormat="1" ht="16.95" customHeight="1" x14ac:dyDescent="0.3">
      <c r="B8" s="57"/>
      <c r="C8" s="108" t="s">
        <v>135</v>
      </c>
      <c r="D8" s="108"/>
      <c r="E8" s="108"/>
      <c r="F8" s="108"/>
      <c r="G8" s="108"/>
      <c r="H8" s="32"/>
      <c r="I8" s="114">
        <f>INFORMACIÓN!D3</f>
        <v>0</v>
      </c>
      <c r="J8" s="98"/>
      <c r="K8" s="98"/>
      <c r="L8" s="98"/>
      <c r="M8" s="98"/>
      <c r="N8" s="98"/>
      <c r="O8" s="98"/>
      <c r="P8" s="98"/>
      <c r="Q8" s="98"/>
      <c r="R8" s="98"/>
      <c r="S8"/>
      <c r="T8"/>
      <c r="U8"/>
      <c r="V8"/>
      <c r="W8"/>
      <c r="X8"/>
      <c r="Y8"/>
      <c r="Z8"/>
      <c r="AA8"/>
    </row>
    <row r="9" spans="1:27" s="33" customFormat="1" ht="16.95" customHeight="1" x14ac:dyDescent="0.3">
      <c r="B9" s="57"/>
      <c r="C9" s="108" t="s">
        <v>38</v>
      </c>
      <c r="D9" s="108"/>
      <c r="E9" s="108"/>
      <c r="F9" s="108"/>
      <c r="G9" s="108"/>
      <c r="H9" s="32"/>
      <c r="I9" s="114">
        <f>INFORMACIÓN!F3</f>
        <v>0</v>
      </c>
      <c r="J9" s="98"/>
      <c r="K9" s="98"/>
      <c r="L9" s="98"/>
      <c r="M9" s="98"/>
      <c r="N9" s="98"/>
      <c r="O9" s="98"/>
      <c r="P9" s="98"/>
      <c r="Q9" s="98"/>
      <c r="R9" s="98"/>
      <c r="S9"/>
      <c r="T9"/>
      <c r="U9"/>
      <c r="V9"/>
      <c r="W9"/>
      <c r="X9"/>
      <c r="Y9"/>
      <c r="Z9"/>
      <c r="AA9"/>
    </row>
    <row r="10" spans="1:27" s="33" customFormat="1" ht="16.95" customHeight="1" x14ac:dyDescent="0.3">
      <c r="B10" s="57"/>
      <c r="C10" s="108" t="s">
        <v>40</v>
      </c>
      <c r="D10" s="108"/>
      <c r="E10" s="108"/>
      <c r="F10" s="108"/>
      <c r="G10" s="108"/>
      <c r="H10" s="32"/>
      <c r="I10" s="115">
        <f>INFORMACIÓN!E3</f>
        <v>0</v>
      </c>
      <c r="J10" s="98"/>
      <c r="K10" s="98"/>
      <c r="L10" s="98"/>
      <c r="M10" s="98"/>
      <c r="N10" s="98"/>
      <c r="O10" s="98"/>
      <c r="P10" s="98"/>
      <c r="Q10" s="98"/>
      <c r="R10" s="98"/>
      <c r="S10"/>
      <c r="T10"/>
      <c r="U10"/>
      <c r="V10"/>
      <c r="W10"/>
      <c r="X10"/>
      <c r="Y10"/>
      <c r="Z10"/>
      <c r="AA10"/>
    </row>
    <row r="11" spans="1:27" s="33" customFormat="1" ht="16.95" customHeight="1" x14ac:dyDescent="0.3">
      <c r="B11" s="57"/>
      <c r="C11" s="108" t="s">
        <v>39</v>
      </c>
      <c r="D11" s="108"/>
      <c r="E11" s="108"/>
      <c r="F11" s="108"/>
      <c r="G11" s="108"/>
      <c r="H11" s="32"/>
      <c r="I11" s="98" t="str">
        <f>INFORMACIÓN!B8</f>
        <v>BUEN ESTADO</v>
      </c>
      <c r="J11" s="98"/>
      <c r="K11" s="98"/>
      <c r="L11" s="98"/>
      <c r="M11" s="98"/>
      <c r="N11" s="98"/>
      <c r="O11" s="98"/>
      <c r="P11" s="98"/>
      <c r="Q11" s="98"/>
      <c r="R11" s="98"/>
      <c r="S11"/>
      <c r="T11"/>
      <c r="U11"/>
      <c r="V11"/>
      <c r="W11"/>
      <c r="X11"/>
      <c r="Y11"/>
      <c r="Z11"/>
      <c r="AA11"/>
    </row>
    <row r="12" spans="1:27" s="33" customFormat="1" ht="16.95" customHeight="1" x14ac:dyDescent="0.3">
      <c r="B12" s="57"/>
      <c r="C12" s="108" t="s">
        <v>49</v>
      </c>
      <c r="D12" s="108"/>
      <c r="E12" s="108"/>
      <c r="F12" s="108"/>
      <c r="G12" s="108"/>
      <c r="H12" s="58"/>
      <c r="I12" s="95">
        <f>INFORMACIÓN!H3</f>
        <v>0</v>
      </c>
      <c r="J12" s="95"/>
      <c r="K12" s="95"/>
      <c r="L12" s="95"/>
      <c r="M12" s="95"/>
      <c r="N12" s="95"/>
      <c r="O12" s="95"/>
      <c r="P12" s="95"/>
      <c r="Q12" s="95"/>
      <c r="R12" s="95"/>
      <c r="S12"/>
      <c r="T12"/>
      <c r="U12"/>
      <c r="V12"/>
      <c r="W12"/>
      <c r="X12"/>
      <c r="Y12"/>
      <c r="Z12"/>
      <c r="AA12"/>
    </row>
    <row r="13" spans="1:27" s="33" customFormat="1" ht="16.95" customHeight="1" x14ac:dyDescent="0.3">
      <c r="B13" s="57"/>
      <c r="C13" s="108" t="s">
        <v>48</v>
      </c>
      <c r="D13" s="108"/>
      <c r="E13" s="108"/>
      <c r="F13" s="108"/>
      <c r="G13" s="108"/>
      <c r="H13" s="58"/>
      <c r="I13" s="95">
        <f>INFORMACIÓN!B9</f>
        <v>0</v>
      </c>
      <c r="J13" s="95"/>
      <c r="K13" s="95"/>
      <c r="L13" s="95"/>
      <c r="M13" s="95"/>
      <c r="N13" s="95"/>
      <c r="O13" s="95"/>
      <c r="P13" s="95"/>
      <c r="Q13" s="95"/>
      <c r="R13" s="95"/>
      <c r="S13"/>
      <c r="T13"/>
      <c r="U13"/>
      <c r="V13"/>
      <c r="W13"/>
      <c r="X13"/>
      <c r="Y13"/>
      <c r="Z13"/>
      <c r="AA13"/>
    </row>
    <row r="14" spans="1:27" ht="16.95" customHeight="1" x14ac:dyDescent="0.3"/>
    <row r="15" spans="1:27" ht="16.95" customHeight="1" x14ac:dyDescent="0.3">
      <c r="B15" s="43"/>
      <c r="C15" s="93" t="s">
        <v>42</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94" t="s">
        <v>44</v>
      </c>
      <c r="D17" s="94"/>
      <c r="E17" s="94"/>
      <c r="F17" s="94"/>
      <c r="G17" s="94"/>
      <c r="H17" s="30"/>
      <c r="I17" s="99" t="s">
        <v>136</v>
      </c>
      <c r="J17" s="99"/>
      <c r="K17" s="99"/>
      <c r="L17" s="99"/>
      <c r="M17" s="99"/>
      <c r="N17" s="99"/>
      <c r="O17" s="99"/>
      <c r="P17" s="99"/>
      <c r="Q17" s="99"/>
      <c r="R17" s="99"/>
    </row>
    <row r="18" spans="1:18" ht="16.95" customHeight="1" x14ac:dyDescent="0.3">
      <c r="B18" s="31"/>
      <c r="C18" s="94" t="s">
        <v>45</v>
      </c>
      <c r="D18" s="94"/>
      <c r="E18" s="94"/>
      <c r="F18" s="94"/>
      <c r="G18" s="94"/>
      <c r="H18" s="30"/>
      <c r="I18" s="99" t="str">
        <f>INFORMACIÓN!E8</f>
        <v>901.532.463-8</v>
      </c>
      <c r="J18" s="99"/>
      <c r="K18" s="99"/>
      <c r="L18" s="99"/>
      <c r="M18" s="99"/>
      <c r="N18" s="99"/>
      <c r="O18" s="99"/>
      <c r="P18" s="99"/>
      <c r="Q18" s="99"/>
      <c r="R18" s="99"/>
    </row>
    <row r="19" spans="1:18" ht="16.95" customHeight="1" x14ac:dyDescent="0.3">
      <c r="B19" s="31"/>
      <c r="C19" s="94" t="s">
        <v>62</v>
      </c>
      <c r="D19" s="94"/>
      <c r="E19" s="94"/>
      <c r="F19" s="94"/>
      <c r="G19" s="94"/>
      <c r="H19" s="30"/>
      <c r="I19" s="99">
        <f>INFORMACIÓN!E9</f>
        <v>3007835072</v>
      </c>
      <c r="J19" s="99"/>
      <c r="K19" s="99"/>
      <c r="L19" s="99"/>
      <c r="M19" s="99"/>
      <c r="N19" s="99"/>
      <c r="O19" s="99"/>
      <c r="P19" s="99"/>
      <c r="Q19" s="99"/>
      <c r="R19" s="99"/>
    </row>
    <row r="20" spans="1:18" ht="16.95" customHeight="1" x14ac:dyDescent="0.3">
      <c r="B20" s="31"/>
      <c r="C20" s="94" t="s">
        <v>46</v>
      </c>
      <c r="D20" s="94"/>
      <c r="E20" s="94"/>
      <c r="F20" s="94"/>
      <c r="G20" s="94"/>
      <c r="H20" s="30"/>
      <c r="I20" s="99" t="str">
        <f>INFORMACIÓN!E10</f>
        <v>CARRERA 15 ENTRE CALLE 18 y 19</v>
      </c>
      <c r="J20" s="99"/>
      <c r="K20" s="99"/>
      <c r="L20" s="99"/>
      <c r="M20" s="99"/>
      <c r="N20" s="99"/>
      <c r="O20" s="99"/>
      <c r="P20" s="99"/>
      <c r="Q20" s="99"/>
      <c r="R20" s="99"/>
    </row>
    <row r="21" spans="1:18" ht="16.95" customHeight="1" x14ac:dyDescent="0.3">
      <c r="B21" s="31"/>
      <c r="C21" s="94" t="s">
        <v>47</v>
      </c>
      <c r="D21" s="94"/>
      <c r="E21" s="94"/>
      <c r="F21" s="94"/>
      <c r="G21" s="94"/>
      <c r="H21" s="30"/>
      <c r="I21" s="99" t="str">
        <f>INFORMACIÓN!E11</f>
        <v>LA DORADA - CALDAS</v>
      </c>
      <c r="J21" s="99"/>
      <c r="K21" s="99"/>
      <c r="L21" s="99"/>
      <c r="M21" s="99"/>
      <c r="N21" s="99"/>
      <c r="O21" s="99"/>
      <c r="P21" s="99"/>
      <c r="Q21" s="99"/>
      <c r="R21" s="99"/>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05" t="s">
        <v>128</v>
      </c>
      <c r="D23" s="105"/>
      <c r="E23" s="105"/>
      <c r="F23" s="105"/>
      <c r="G23" s="105"/>
      <c r="H23" s="105"/>
      <c r="I23" s="105"/>
      <c r="J23" s="105"/>
      <c r="K23" s="105"/>
      <c r="L23" s="105"/>
      <c r="M23" s="105"/>
      <c r="N23" s="105"/>
      <c r="O23" s="105"/>
      <c r="P23" s="105"/>
      <c r="Q23" s="105"/>
      <c r="R23" s="105"/>
    </row>
    <row r="24" spans="1:18" ht="16.95" customHeight="1" x14ac:dyDescent="0.3">
      <c r="A24" s="56"/>
      <c r="B24" s="56"/>
      <c r="C24" s="106"/>
      <c r="D24" s="106"/>
      <c r="E24" s="106"/>
      <c r="F24" s="106"/>
      <c r="G24" s="106"/>
      <c r="H24" s="106"/>
      <c r="I24" s="106"/>
      <c r="J24" s="106"/>
      <c r="K24" s="106"/>
      <c r="L24" s="106"/>
      <c r="M24" s="106"/>
      <c r="N24" s="106"/>
      <c r="O24" s="106"/>
      <c r="P24" s="106"/>
      <c r="Q24" s="106"/>
      <c r="R24" s="106"/>
    </row>
    <row r="25" spans="1:18" ht="16.95" customHeight="1" x14ac:dyDescent="0.3">
      <c r="A25" s="56"/>
      <c r="B25" s="56"/>
      <c r="C25" s="106"/>
      <c r="D25" s="106"/>
      <c r="E25" s="106"/>
      <c r="F25" s="106"/>
      <c r="G25" s="106"/>
      <c r="H25" s="106"/>
      <c r="I25" s="106"/>
      <c r="J25" s="106"/>
      <c r="K25" s="106"/>
      <c r="L25" s="106"/>
      <c r="M25" s="106"/>
      <c r="N25" s="106"/>
      <c r="O25" s="106"/>
      <c r="P25" s="106"/>
      <c r="Q25" s="106"/>
      <c r="R25" s="106"/>
    </row>
    <row r="26" spans="1:18" ht="16.95" customHeight="1" x14ac:dyDescent="0.3">
      <c r="A26" s="56"/>
      <c r="B26" s="56"/>
      <c r="C26" s="106"/>
      <c r="D26" s="106"/>
      <c r="E26" s="106"/>
      <c r="F26" s="106"/>
      <c r="G26" s="106"/>
      <c r="H26" s="106"/>
      <c r="I26" s="106"/>
      <c r="J26" s="106"/>
      <c r="K26" s="106"/>
      <c r="L26" s="106"/>
      <c r="M26" s="106"/>
      <c r="N26" s="106"/>
      <c r="O26" s="106"/>
      <c r="P26" s="106"/>
      <c r="Q26" s="106"/>
      <c r="R26" s="106"/>
    </row>
    <row r="27" spans="1:18" ht="16.95" customHeight="1" x14ac:dyDescent="0.3">
      <c r="A27" s="56"/>
      <c r="B27" s="56"/>
      <c r="C27" s="106"/>
      <c r="D27" s="106"/>
      <c r="E27" s="106"/>
      <c r="F27" s="106"/>
      <c r="G27" s="106"/>
      <c r="H27" s="106"/>
      <c r="I27" s="106"/>
      <c r="J27" s="106"/>
      <c r="K27" s="106"/>
      <c r="L27" s="106"/>
      <c r="M27" s="106"/>
      <c r="N27" s="106"/>
      <c r="O27" s="106"/>
      <c r="P27" s="106"/>
      <c r="Q27" s="106"/>
      <c r="R27" s="106"/>
    </row>
    <row r="28" spans="1:18" ht="16.95" customHeight="1" x14ac:dyDescent="0.3">
      <c r="A28" s="56"/>
      <c r="B28" s="56"/>
      <c r="C28" s="107"/>
      <c r="D28" s="107"/>
      <c r="E28" s="107"/>
      <c r="F28" s="107"/>
      <c r="G28" s="107"/>
      <c r="H28" s="107"/>
      <c r="I28" s="107"/>
      <c r="J28" s="107"/>
      <c r="K28" s="107"/>
      <c r="L28" s="107"/>
      <c r="M28" s="107"/>
      <c r="N28" s="107"/>
      <c r="O28" s="107"/>
      <c r="P28" s="107"/>
      <c r="Q28" s="107"/>
      <c r="R28" s="107"/>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94" t="s">
        <v>50</v>
      </c>
      <c r="J31" s="94"/>
      <c r="K31" s="94"/>
      <c r="L31" s="94"/>
      <c r="M31" s="99" t="str">
        <f>INFORMACIÓN!B15</f>
        <v>ING. GABRIEL DURÁN</v>
      </c>
      <c r="N31" s="99"/>
      <c r="O31" s="99"/>
      <c r="P31" s="99"/>
      <c r="Q31" s="99"/>
      <c r="R31" s="99"/>
    </row>
    <row r="32" spans="1:18" ht="16.95" customHeight="1" x14ac:dyDescent="0.3">
      <c r="F32" s="31"/>
      <c r="G32" s="31"/>
      <c r="H32" s="31"/>
      <c r="I32" s="94" t="s">
        <v>51</v>
      </c>
      <c r="J32" s="94"/>
      <c r="K32" s="94"/>
      <c r="L32" s="94"/>
      <c r="M32" s="103">
        <f>INFORMACIÓN!B10</f>
        <v>0</v>
      </c>
      <c r="N32" s="103"/>
      <c r="O32" s="103"/>
      <c r="P32" s="42"/>
      <c r="Q32" s="42"/>
      <c r="R32" s="31"/>
    </row>
    <row r="33" spans="1:19" ht="16.95" customHeight="1" x14ac:dyDescent="0.3">
      <c r="I33" s="94" t="s">
        <v>55</v>
      </c>
      <c r="J33" s="94"/>
      <c r="K33" s="94"/>
      <c r="L33" s="94"/>
      <c r="M33" s="41">
        <v>4</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53</v>
      </c>
      <c r="D36" s="32"/>
      <c r="E36" s="32"/>
      <c r="F36" s="32"/>
      <c r="H36" s="31"/>
      <c r="J36" s="31"/>
      <c r="K36" s="31"/>
      <c r="L36" s="31"/>
      <c r="N36" s="42"/>
      <c r="O36" s="42"/>
    </row>
    <row r="37" spans="1:19" ht="13.2" customHeight="1" x14ac:dyDescent="0.3">
      <c r="B37" s="32"/>
      <c r="C37" s="56" t="s">
        <v>54</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94" t="str">
        <f>O1</f>
        <v>CERTIFICADO N°:</v>
      </c>
      <c r="P38" s="94"/>
      <c r="Q38" s="94"/>
      <c r="R38" s="96">
        <f>R1</f>
        <v>0</v>
      </c>
      <c r="S38" s="96"/>
    </row>
    <row r="39" spans="1:19" ht="16.95" customHeight="1" x14ac:dyDescent="0.3"/>
    <row r="40" spans="1:19" ht="16.95" customHeight="1" x14ac:dyDescent="0.3">
      <c r="B40" s="102" t="s">
        <v>56</v>
      </c>
      <c r="C40" s="102"/>
      <c r="D40" s="102"/>
      <c r="E40" s="102"/>
      <c r="F40" s="102"/>
      <c r="G40" s="102"/>
      <c r="H40" s="102"/>
      <c r="I40" s="102"/>
      <c r="J40" s="102"/>
      <c r="K40" s="102"/>
      <c r="L40" s="102"/>
      <c r="M40" s="102"/>
      <c r="N40" s="102"/>
      <c r="O40" s="102"/>
      <c r="P40" s="102"/>
      <c r="Q40" s="102"/>
      <c r="R40" s="102"/>
      <c r="S40" s="102"/>
    </row>
    <row r="41" spans="1:19" ht="16.95" customHeight="1" x14ac:dyDescent="0.3">
      <c r="B41" s="100" t="s">
        <v>129</v>
      </c>
      <c r="C41" s="100"/>
      <c r="D41" s="100"/>
      <c r="E41" s="100"/>
      <c r="F41" s="100"/>
      <c r="G41" s="100"/>
      <c r="H41" s="100"/>
      <c r="I41" s="100"/>
      <c r="J41" s="100"/>
      <c r="K41" s="100"/>
      <c r="L41" s="100"/>
      <c r="M41" s="100"/>
      <c r="N41" s="100"/>
      <c r="O41" s="100"/>
      <c r="P41" s="100"/>
      <c r="Q41" s="100"/>
      <c r="R41" s="100"/>
      <c r="S41" s="100"/>
    </row>
    <row r="42" spans="1:19" ht="16.95" customHeight="1" x14ac:dyDescent="0.3">
      <c r="A42" s="65"/>
      <c r="B42" s="101"/>
      <c r="C42" s="101"/>
      <c r="D42" s="101"/>
      <c r="E42" s="101"/>
      <c r="F42" s="101"/>
      <c r="G42" s="101"/>
      <c r="H42" s="101"/>
      <c r="I42" s="101"/>
      <c r="J42" s="101"/>
      <c r="K42" s="101"/>
      <c r="L42" s="101"/>
      <c r="M42" s="101"/>
      <c r="N42" s="101"/>
      <c r="O42" s="101"/>
      <c r="P42" s="101"/>
      <c r="Q42" s="101"/>
      <c r="R42" s="101"/>
      <c r="S42" s="101"/>
    </row>
    <row r="43" spans="1:19" ht="16.95" customHeight="1" x14ac:dyDescent="0.3">
      <c r="A43" s="65"/>
      <c r="B43" s="101"/>
      <c r="C43" s="101"/>
      <c r="D43" s="101"/>
      <c r="E43" s="101"/>
      <c r="F43" s="101"/>
      <c r="G43" s="101"/>
      <c r="H43" s="101"/>
      <c r="I43" s="101"/>
      <c r="J43" s="101"/>
      <c r="K43" s="101"/>
      <c r="L43" s="101"/>
      <c r="M43" s="101"/>
      <c r="N43" s="101"/>
      <c r="O43" s="101"/>
      <c r="P43" s="101"/>
      <c r="Q43" s="101"/>
      <c r="R43" s="101"/>
      <c r="S43" s="101"/>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17" t="s">
        <v>57</v>
      </c>
      <c r="G45" s="118"/>
      <c r="H45" s="118"/>
      <c r="I45" s="118"/>
      <c r="J45" s="119"/>
      <c r="K45" s="126" t="s">
        <v>58</v>
      </c>
      <c r="L45" s="127"/>
      <c r="M45" s="127"/>
      <c r="N45" s="127"/>
      <c r="O45" s="128"/>
    </row>
    <row r="46" spans="1:19" ht="16.95" customHeight="1" x14ac:dyDescent="0.3">
      <c r="E46" s="54"/>
      <c r="F46" s="121">
        <f>AVERAGE(INFORMACIÓN!B11:B12)</f>
        <v>24.3</v>
      </c>
      <c r="G46" s="122"/>
      <c r="H46" s="50" t="s">
        <v>59</v>
      </c>
      <c r="I46" s="51">
        <f>ABS(INFORMACIÓN!B11-INFORMACIÓN!B12)</f>
        <v>0.39999999999999858</v>
      </c>
      <c r="J46" s="55"/>
      <c r="K46" s="123">
        <f>AVERAGE(INFORMACIÓN!B13:B14)</f>
        <v>61.5</v>
      </c>
      <c r="L46" s="124"/>
      <c r="M46" s="50" t="s">
        <v>59</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20" t="s">
        <v>130</v>
      </c>
      <c r="G48" s="120"/>
      <c r="H48" s="120"/>
      <c r="I48" s="120"/>
      <c r="J48" s="120"/>
      <c r="K48" s="125" t="s">
        <v>131</v>
      </c>
      <c r="L48" s="125"/>
      <c r="M48" s="125"/>
      <c r="N48" s="125"/>
      <c r="O48" s="125"/>
      <c r="P48" s="125"/>
    </row>
    <row r="49" spans="1:19" ht="13.2" customHeight="1" x14ac:dyDescent="0.3"/>
    <row r="50" spans="1:19" ht="16.95" customHeight="1" x14ac:dyDescent="0.3">
      <c r="B50" s="104" t="s">
        <v>60</v>
      </c>
      <c r="C50" s="104"/>
      <c r="D50" s="104"/>
      <c r="E50" s="104"/>
      <c r="F50" s="104"/>
      <c r="G50" s="104"/>
      <c r="H50" s="104"/>
      <c r="I50" s="104"/>
      <c r="J50" s="104"/>
      <c r="K50" s="104"/>
      <c r="L50" s="104"/>
      <c r="M50" s="104"/>
      <c r="N50" s="104"/>
      <c r="O50" s="104"/>
      <c r="P50" s="104"/>
      <c r="Q50" s="104"/>
      <c r="R50" s="104"/>
      <c r="S50" s="104"/>
    </row>
    <row r="51" spans="1:19" ht="16.95" customHeight="1" x14ac:dyDescent="0.3">
      <c r="B51" s="100" t="s">
        <v>137</v>
      </c>
      <c r="C51" s="100"/>
      <c r="D51" s="100"/>
      <c r="E51" s="100"/>
      <c r="F51" s="100"/>
      <c r="G51" s="100"/>
      <c r="H51" s="100"/>
      <c r="I51" s="100"/>
      <c r="J51" s="100"/>
      <c r="K51" s="100"/>
      <c r="L51" s="100"/>
      <c r="M51" s="100"/>
      <c r="N51" s="100"/>
      <c r="O51" s="100"/>
      <c r="P51" s="100"/>
      <c r="Q51" s="100"/>
      <c r="R51" s="100"/>
      <c r="S51" s="100"/>
    </row>
    <row r="52" spans="1:19" ht="16.95" customHeight="1" x14ac:dyDescent="0.3">
      <c r="A52" s="65"/>
      <c r="B52" s="101"/>
      <c r="C52" s="101"/>
      <c r="D52" s="101"/>
      <c r="E52" s="101"/>
      <c r="F52" s="101"/>
      <c r="G52" s="101"/>
      <c r="H52" s="101"/>
      <c r="I52" s="101"/>
      <c r="J52" s="101"/>
      <c r="K52" s="101"/>
      <c r="L52" s="101"/>
      <c r="M52" s="101"/>
      <c r="N52" s="101"/>
      <c r="O52" s="101"/>
      <c r="P52" s="101"/>
      <c r="Q52" s="101"/>
      <c r="R52" s="101"/>
      <c r="S52" s="101"/>
    </row>
    <row r="53" spans="1:19" ht="16.95" customHeight="1" x14ac:dyDescent="0.3">
      <c r="A53" s="65"/>
      <c r="B53" s="101"/>
      <c r="C53" s="101"/>
      <c r="D53" s="101"/>
      <c r="E53" s="101"/>
      <c r="F53" s="101"/>
      <c r="G53" s="101"/>
      <c r="H53" s="101"/>
      <c r="I53" s="101"/>
      <c r="J53" s="101"/>
      <c r="K53" s="101"/>
      <c r="L53" s="101"/>
      <c r="M53" s="101"/>
      <c r="N53" s="101"/>
      <c r="O53" s="101"/>
      <c r="P53" s="101"/>
      <c r="Q53" s="101"/>
      <c r="R53" s="101"/>
      <c r="S53" s="101"/>
    </row>
    <row r="54" spans="1:19" ht="16.95" customHeight="1" x14ac:dyDescent="0.3">
      <c r="A54" s="65"/>
      <c r="B54" s="101"/>
      <c r="C54" s="101"/>
      <c r="D54" s="101"/>
      <c r="E54" s="101"/>
      <c r="F54" s="101"/>
      <c r="G54" s="101"/>
      <c r="H54" s="101"/>
      <c r="I54" s="101"/>
      <c r="J54" s="101"/>
      <c r="K54" s="101"/>
      <c r="L54" s="101"/>
      <c r="M54" s="101"/>
      <c r="N54" s="101"/>
      <c r="O54" s="101"/>
      <c r="P54" s="101"/>
      <c r="Q54" s="101"/>
      <c r="R54" s="101"/>
      <c r="S54" s="101"/>
    </row>
    <row r="55" spans="1:19" ht="16.95" customHeight="1" x14ac:dyDescent="0.3">
      <c r="A55" s="65"/>
      <c r="B55" s="101"/>
      <c r="C55" s="101"/>
      <c r="D55" s="101"/>
      <c r="E55" s="101"/>
      <c r="F55" s="101"/>
      <c r="G55" s="101"/>
      <c r="H55" s="101"/>
      <c r="I55" s="101"/>
      <c r="J55" s="101"/>
      <c r="K55" s="101"/>
      <c r="L55" s="101"/>
      <c r="M55" s="101"/>
      <c r="N55" s="101"/>
      <c r="O55" s="101"/>
      <c r="P55" s="101"/>
      <c r="Q55" s="101"/>
      <c r="R55" s="101"/>
      <c r="S55" s="101"/>
    </row>
    <row r="56" spans="1:19" ht="16.95" customHeight="1" x14ac:dyDescent="0.3">
      <c r="A56" s="65"/>
      <c r="B56" s="101"/>
      <c r="C56" s="101"/>
      <c r="D56" s="101"/>
      <c r="E56" s="101"/>
      <c r="F56" s="101"/>
      <c r="G56" s="101"/>
      <c r="H56" s="101"/>
      <c r="I56" s="101"/>
      <c r="J56" s="101"/>
      <c r="K56" s="101"/>
      <c r="L56" s="101"/>
      <c r="M56" s="101"/>
      <c r="N56" s="101"/>
      <c r="O56" s="101"/>
      <c r="P56" s="101"/>
      <c r="Q56" s="101"/>
      <c r="R56" s="101"/>
      <c r="S56" s="101"/>
    </row>
    <row r="57" spans="1:19" ht="16.95" customHeight="1" x14ac:dyDescent="0.3">
      <c r="A57" s="65"/>
      <c r="B57" s="101"/>
      <c r="C57" s="101"/>
      <c r="D57" s="101"/>
      <c r="E57" s="101"/>
      <c r="F57" s="101"/>
      <c r="G57" s="101"/>
      <c r="H57" s="101"/>
      <c r="I57" s="101"/>
      <c r="J57" s="101"/>
      <c r="K57" s="101"/>
      <c r="L57" s="101"/>
      <c r="M57" s="101"/>
      <c r="N57" s="101"/>
      <c r="O57" s="101"/>
      <c r="P57" s="101"/>
      <c r="Q57" s="101"/>
      <c r="R57" s="101"/>
      <c r="S57" s="101"/>
    </row>
    <row r="58" spans="1:19" ht="16.95" customHeight="1" x14ac:dyDescent="0.3">
      <c r="A58" s="65"/>
      <c r="B58" s="101"/>
      <c r="C58" s="101"/>
      <c r="D58" s="101"/>
      <c r="E58" s="101"/>
      <c r="F58" s="101"/>
      <c r="G58" s="101"/>
      <c r="H58" s="101"/>
      <c r="I58" s="101"/>
      <c r="J58" s="101"/>
      <c r="K58" s="101"/>
      <c r="L58" s="101"/>
      <c r="M58" s="101"/>
      <c r="N58" s="101"/>
      <c r="O58" s="101"/>
      <c r="P58" s="101"/>
      <c r="Q58" s="101"/>
      <c r="R58" s="101"/>
      <c r="S58" s="101"/>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02" t="s">
        <v>61</v>
      </c>
      <c r="C60" s="102"/>
      <c r="D60" s="102"/>
      <c r="E60" s="102"/>
      <c r="F60" s="102"/>
      <c r="G60" s="102"/>
      <c r="H60" s="102"/>
      <c r="I60" s="102"/>
      <c r="J60" s="102"/>
      <c r="K60" s="102"/>
      <c r="L60" s="102"/>
      <c r="M60" s="102"/>
      <c r="N60" s="102"/>
      <c r="O60" s="102"/>
      <c r="P60" s="102"/>
      <c r="Q60" s="102"/>
      <c r="R60" s="102"/>
      <c r="S60" s="102"/>
    </row>
    <row r="61" spans="1:19" ht="16.95" customHeight="1" x14ac:dyDescent="0.3">
      <c r="B61" s="100" t="s">
        <v>132</v>
      </c>
      <c r="C61" s="100"/>
      <c r="D61" s="100"/>
      <c r="E61" s="100"/>
      <c r="F61" s="100"/>
      <c r="G61" s="100"/>
      <c r="H61" s="100"/>
      <c r="I61" s="100"/>
      <c r="J61" s="100"/>
      <c r="K61" s="100"/>
      <c r="L61" s="100"/>
      <c r="M61" s="100"/>
      <c r="N61" s="100"/>
      <c r="O61" s="100"/>
      <c r="P61" s="100"/>
      <c r="Q61" s="100"/>
      <c r="R61" s="100"/>
      <c r="S61" s="100"/>
    </row>
    <row r="62" spans="1:19" ht="16.95" customHeight="1" x14ac:dyDescent="0.3">
      <c r="A62" s="65"/>
      <c r="B62" s="101"/>
      <c r="C62" s="101"/>
      <c r="D62" s="101"/>
      <c r="E62" s="101"/>
      <c r="F62" s="101"/>
      <c r="G62" s="101"/>
      <c r="H62" s="101"/>
      <c r="I62" s="101"/>
      <c r="J62" s="101"/>
      <c r="K62" s="101"/>
      <c r="L62" s="101"/>
      <c r="M62" s="101"/>
      <c r="N62" s="101"/>
      <c r="O62" s="101"/>
      <c r="P62" s="101"/>
      <c r="Q62" s="101"/>
      <c r="R62" s="101"/>
      <c r="S62" s="101"/>
    </row>
    <row r="63" spans="1:19" ht="13.95" customHeight="1" x14ac:dyDescent="0.3"/>
    <row r="64" spans="1:19" ht="15" customHeight="1" x14ac:dyDescent="0.3">
      <c r="B64" s="102" t="s">
        <v>138</v>
      </c>
      <c r="C64" s="102"/>
      <c r="D64" s="102"/>
      <c r="E64" s="102"/>
      <c r="F64" s="102"/>
      <c r="G64" s="102"/>
      <c r="H64" s="102"/>
      <c r="I64" s="102"/>
      <c r="J64" s="102"/>
      <c r="K64" s="102"/>
      <c r="L64" s="102"/>
      <c r="M64" s="102"/>
      <c r="N64" s="102"/>
      <c r="O64" s="102"/>
      <c r="P64" s="102"/>
      <c r="Q64" s="102"/>
      <c r="R64" s="102"/>
      <c r="S64" s="102"/>
    </row>
    <row r="65" spans="1:19" ht="19.2" customHeight="1" x14ac:dyDescent="0.3">
      <c r="B65" s="100" t="s">
        <v>133</v>
      </c>
      <c r="C65" s="100"/>
      <c r="D65" s="100"/>
      <c r="E65" s="100"/>
      <c r="F65" s="100"/>
      <c r="G65" s="100"/>
      <c r="H65" s="100"/>
      <c r="I65" s="100"/>
      <c r="J65" s="100"/>
      <c r="K65" s="100"/>
      <c r="L65" s="100"/>
      <c r="M65" s="100"/>
      <c r="N65" s="100"/>
      <c r="O65" s="100"/>
      <c r="P65" s="100"/>
      <c r="Q65" s="100"/>
      <c r="R65" s="100"/>
      <c r="S65" s="100"/>
    </row>
    <row r="66" spans="1:19" ht="16.95" customHeight="1" x14ac:dyDescent="0.3">
      <c r="A66" s="65"/>
      <c r="B66" s="101"/>
      <c r="C66" s="101"/>
      <c r="D66" s="101"/>
      <c r="E66" s="101"/>
      <c r="F66" s="101"/>
      <c r="G66" s="101"/>
      <c r="H66" s="101"/>
      <c r="I66" s="101"/>
      <c r="J66" s="101"/>
      <c r="K66" s="101"/>
      <c r="L66" s="101"/>
      <c r="M66" s="101"/>
      <c r="N66" s="101"/>
      <c r="O66" s="101"/>
      <c r="P66" s="101"/>
      <c r="Q66" s="101"/>
      <c r="R66" s="101"/>
      <c r="S66" s="101"/>
    </row>
    <row r="67" spans="1:19" ht="16.95" customHeight="1" x14ac:dyDescent="0.3">
      <c r="A67" s="65"/>
      <c r="B67" s="101"/>
      <c r="C67" s="101"/>
      <c r="D67" s="101"/>
      <c r="E67" s="101"/>
      <c r="F67" s="101"/>
      <c r="G67" s="101"/>
      <c r="H67" s="101"/>
      <c r="I67" s="101"/>
      <c r="J67" s="101"/>
      <c r="K67" s="101"/>
      <c r="L67" s="101"/>
      <c r="M67" s="101"/>
      <c r="N67" s="101"/>
      <c r="O67" s="101"/>
      <c r="P67" s="101"/>
      <c r="Q67" s="101"/>
      <c r="R67" s="101"/>
      <c r="S67" s="101"/>
    </row>
    <row r="68" spans="1:19" ht="16.95" customHeight="1" x14ac:dyDescent="0.3">
      <c r="A68" s="65"/>
      <c r="B68" s="101"/>
      <c r="C68" s="101"/>
      <c r="D68" s="101"/>
      <c r="E68" s="101"/>
      <c r="F68" s="101"/>
      <c r="G68" s="101"/>
      <c r="H68" s="101"/>
      <c r="I68" s="101"/>
      <c r="J68" s="101"/>
      <c r="K68" s="101"/>
      <c r="L68" s="101"/>
      <c r="M68" s="101"/>
      <c r="N68" s="101"/>
      <c r="O68" s="101"/>
      <c r="P68" s="101"/>
      <c r="Q68" s="101"/>
      <c r="R68" s="101"/>
      <c r="S68" s="101"/>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16" t="s">
        <v>63</v>
      </c>
      <c r="C71" s="116"/>
      <c r="D71" s="116"/>
      <c r="E71" s="116"/>
      <c r="F71" s="116"/>
      <c r="G71" s="116"/>
      <c r="H71" s="116" t="s">
        <v>64</v>
      </c>
      <c r="I71" s="116"/>
      <c r="J71" s="116"/>
      <c r="K71" s="116"/>
      <c r="L71" s="116"/>
      <c r="M71" s="116" t="s">
        <v>65</v>
      </c>
      <c r="N71" s="116"/>
      <c r="O71" s="116"/>
      <c r="P71" s="116" t="s">
        <v>66</v>
      </c>
      <c r="Q71" s="116"/>
      <c r="R71" s="116"/>
      <c r="S71" s="116"/>
    </row>
    <row r="72" spans="1:19" x14ac:dyDescent="0.3">
      <c r="B72" s="134" t="s">
        <v>119</v>
      </c>
      <c r="C72" s="134"/>
      <c r="D72" s="134"/>
      <c r="E72" s="134"/>
      <c r="F72" s="134"/>
      <c r="G72" s="134"/>
      <c r="H72" s="135">
        <v>953401</v>
      </c>
      <c r="I72" s="135"/>
      <c r="J72" s="135"/>
      <c r="K72" s="135"/>
      <c r="L72" s="135"/>
      <c r="M72" s="136">
        <v>45777</v>
      </c>
      <c r="N72" s="136"/>
      <c r="O72" s="136"/>
      <c r="P72" s="135" t="s">
        <v>127</v>
      </c>
      <c r="Q72" s="135"/>
      <c r="R72" s="135"/>
      <c r="S72" s="135"/>
    </row>
    <row r="73" spans="1:19" ht="14.4" customHeight="1" x14ac:dyDescent="0.3"/>
    <row r="74" spans="1:19" ht="14.4" customHeight="1" x14ac:dyDescent="0.3"/>
    <row r="75" spans="1:19" ht="16.95" customHeight="1" x14ac:dyDescent="0.3"/>
    <row r="76" spans="1:19" ht="16.95" customHeight="1" x14ac:dyDescent="0.3">
      <c r="O76" s="94" t="str">
        <f>O1</f>
        <v>CERTIFICADO N°:</v>
      </c>
      <c r="P76" s="94"/>
      <c r="Q76" s="94"/>
      <c r="R76" s="96">
        <f>R1</f>
        <v>0</v>
      </c>
      <c r="S76" s="96"/>
    </row>
    <row r="77" spans="1:19" ht="16.95" customHeight="1" x14ac:dyDescent="0.3"/>
    <row r="78" spans="1:19" ht="16.95" customHeight="1" x14ac:dyDescent="0.3">
      <c r="B78" s="97" t="s">
        <v>67</v>
      </c>
      <c r="C78" s="97"/>
      <c r="D78" s="97"/>
      <c r="E78" s="97"/>
      <c r="F78" s="97"/>
      <c r="G78" s="97"/>
      <c r="H78" s="97"/>
      <c r="I78" s="97"/>
      <c r="J78" s="97"/>
      <c r="K78" s="97"/>
      <c r="L78" s="97"/>
      <c r="M78" s="97"/>
      <c r="N78" s="97"/>
      <c r="O78" s="97"/>
      <c r="P78" s="97"/>
      <c r="Q78" s="97"/>
      <c r="R78" s="97"/>
      <c r="S78" s="97"/>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37" t="s">
        <v>139</v>
      </c>
      <c r="C80" s="137"/>
      <c r="D80" s="137"/>
      <c r="E80" s="137"/>
      <c r="F80" s="71">
        <f ca="1">RAND()*0.3+ 0.4</f>
        <v>0.64550395293378127</v>
      </c>
      <c r="G80" s="86"/>
      <c r="H80" s="88" t="s">
        <v>100</v>
      </c>
      <c r="I80" s="88"/>
      <c r="J80" s="88"/>
      <c r="K80" s="152" t="s">
        <v>101</v>
      </c>
      <c r="L80" s="153"/>
      <c r="M80" s="86"/>
      <c r="N80" s="147" t="s">
        <v>102</v>
      </c>
      <c r="O80" s="148"/>
      <c r="P80" s="149"/>
      <c r="Q80" s="150" t="s">
        <v>101</v>
      </c>
      <c r="R80" s="151"/>
      <c r="S80" s="86"/>
    </row>
    <row r="81" spans="2:19" x14ac:dyDescent="0.3">
      <c r="B81" s="89" t="s">
        <v>140</v>
      </c>
      <c r="C81" s="88"/>
      <c r="D81" s="88"/>
      <c r="E81" s="88"/>
      <c r="F81" s="84">
        <f ca="1">RAND()*0.1 + 0.01</f>
        <v>2.5844141004019786E-2</v>
      </c>
      <c r="G81" s="86"/>
      <c r="H81" s="88" t="s">
        <v>103</v>
      </c>
      <c r="I81" s="88"/>
      <c r="J81" s="88"/>
      <c r="K81" s="152" t="s">
        <v>101</v>
      </c>
      <c r="L81" s="153"/>
      <c r="M81" s="86"/>
      <c r="N81" s="147" t="s">
        <v>104</v>
      </c>
      <c r="O81" s="148"/>
      <c r="P81" s="149"/>
      <c r="Q81" s="150" t="s">
        <v>101</v>
      </c>
      <c r="R81" s="151"/>
      <c r="S81" s="86"/>
    </row>
    <row r="82" spans="2:19" ht="16.2" customHeight="1" x14ac:dyDescent="0.3"/>
    <row r="83" spans="2:19" x14ac:dyDescent="0.3">
      <c r="B83" s="130"/>
      <c r="C83" s="130"/>
      <c r="D83" s="130"/>
      <c r="E83" s="130"/>
      <c r="F83" s="130"/>
      <c r="G83" s="130"/>
      <c r="H83" s="130"/>
      <c r="I83" s="130"/>
      <c r="J83" s="130"/>
      <c r="K83" s="130"/>
      <c r="L83" s="130"/>
      <c r="M83" s="130"/>
      <c r="N83" s="130"/>
      <c r="O83" s="130"/>
      <c r="P83" s="130"/>
      <c r="Q83" s="130"/>
      <c r="R83" s="130"/>
      <c r="S83" s="130"/>
    </row>
    <row r="85" spans="2:19" ht="14.4" customHeight="1" x14ac:dyDescent="0.3">
      <c r="E85" s="146" t="s">
        <v>105</v>
      </c>
      <c r="F85" s="146"/>
      <c r="G85" s="146"/>
      <c r="H85" s="146"/>
      <c r="I85" s="138" t="s">
        <v>106</v>
      </c>
      <c r="J85" s="138"/>
      <c r="K85" s="140" t="s">
        <v>85</v>
      </c>
      <c r="L85" s="141"/>
      <c r="M85" s="141"/>
      <c r="N85" s="142"/>
      <c r="O85" s="66" t="s">
        <v>3</v>
      </c>
    </row>
    <row r="86" spans="2:19" x14ac:dyDescent="0.3">
      <c r="E86" s="154" t="s">
        <v>107</v>
      </c>
      <c r="F86" s="154"/>
      <c r="G86" s="154"/>
      <c r="H86" s="154"/>
      <c r="I86" s="139">
        <f ca="1">RAND()*1 + 121.5</f>
        <v>121.87791886427334</v>
      </c>
      <c r="J86" s="139"/>
      <c r="K86" s="143">
        <v>0.43</v>
      </c>
      <c r="L86" s="144"/>
      <c r="M86" s="144"/>
      <c r="N86" s="145"/>
      <c r="O86" s="71">
        <v>2</v>
      </c>
    </row>
    <row r="87" spans="2:19" x14ac:dyDescent="0.3">
      <c r="E87" s="154" t="s">
        <v>108</v>
      </c>
      <c r="F87" s="154"/>
      <c r="G87" s="154"/>
      <c r="H87" s="154"/>
      <c r="I87" s="139">
        <f ca="1">RAND()*1 + 121.5</f>
        <v>122.06493409668926</v>
      </c>
      <c r="J87" s="139"/>
      <c r="K87" s="143">
        <v>0.43</v>
      </c>
      <c r="L87" s="144"/>
      <c r="M87" s="144"/>
      <c r="N87" s="145"/>
      <c r="O87" s="71">
        <v>2</v>
      </c>
    </row>
    <row r="88" spans="2:19" x14ac:dyDescent="0.3">
      <c r="E88" s="154" t="s">
        <v>109</v>
      </c>
      <c r="F88" s="154"/>
      <c r="G88" s="154"/>
      <c r="H88" s="154"/>
      <c r="I88" s="139">
        <v>0</v>
      </c>
      <c r="J88" s="139"/>
      <c r="K88" s="143">
        <v>0.43</v>
      </c>
      <c r="L88" s="144"/>
      <c r="M88" s="144"/>
      <c r="N88" s="145"/>
      <c r="O88" s="71">
        <v>2</v>
      </c>
    </row>
    <row r="90" spans="2:19" x14ac:dyDescent="0.3">
      <c r="B90" s="130"/>
      <c r="C90" s="130"/>
      <c r="D90" s="130"/>
      <c r="E90" s="130"/>
      <c r="F90" s="130"/>
      <c r="G90" s="130"/>
      <c r="H90" s="130"/>
      <c r="I90" s="130"/>
      <c r="J90" s="130"/>
      <c r="K90" s="130"/>
      <c r="L90" s="130"/>
      <c r="M90" s="130"/>
      <c r="N90" s="130"/>
      <c r="O90" s="130"/>
      <c r="P90" s="130"/>
      <c r="Q90" s="130"/>
      <c r="R90" s="130"/>
      <c r="S90" s="130"/>
    </row>
    <row r="92" spans="2:19" x14ac:dyDescent="0.3">
      <c r="E92" s="146" t="s">
        <v>105</v>
      </c>
      <c r="F92" s="146"/>
      <c r="G92" s="146"/>
      <c r="H92" s="146"/>
      <c r="I92" s="138" t="s">
        <v>110</v>
      </c>
      <c r="J92" s="138"/>
      <c r="K92" s="140" t="s">
        <v>85</v>
      </c>
      <c r="L92" s="141"/>
      <c r="M92" s="141"/>
      <c r="N92" s="142"/>
      <c r="O92" s="66" t="s">
        <v>3</v>
      </c>
    </row>
    <row r="93" spans="2:19" x14ac:dyDescent="0.3">
      <c r="E93" s="131" t="s">
        <v>112</v>
      </c>
      <c r="F93" s="131"/>
      <c r="G93" s="131"/>
      <c r="H93" s="131"/>
      <c r="I93" s="131">
        <f ca="1">ROUND(RAND() * (60 - 40) + 40, 1)</f>
        <v>43</v>
      </c>
      <c r="J93" s="131"/>
      <c r="K93" s="150">
        <v>0.06</v>
      </c>
      <c r="L93" s="155"/>
      <c r="M93" s="155"/>
      <c r="N93" s="151"/>
      <c r="O93" s="90">
        <v>2</v>
      </c>
    </row>
    <row r="94" spans="2:19" x14ac:dyDescent="0.3">
      <c r="E94" s="131" t="s">
        <v>113</v>
      </c>
      <c r="F94" s="131"/>
      <c r="G94" s="131"/>
      <c r="H94" s="131"/>
      <c r="I94" s="131">
        <v>0</v>
      </c>
      <c r="J94" s="131"/>
      <c r="K94" s="150">
        <v>0.06</v>
      </c>
      <c r="L94" s="155"/>
      <c r="M94" s="155"/>
      <c r="N94" s="151"/>
      <c r="O94" s="90">
        <v>2</v>
      </c>
    </row>
    <row r="95" spans="2:19" x14ac:dyDescent="0.3">
      <c r="E95" s="133" t="s">
        <v>114</v>
      </c>
      <c r="F95" s="133"/>
      <c r="G95" s="133"/>
      <c r="H95" s="133"/>
      <c r="I95" s="131">
        <f ca="1">ROUND(RAND() * 20 + 90, 1)</f>
        <v>106.7</v>
      </c>
      <c r="J95" s="131"/>
      <c r="K95" s="150">
        <v>0.06</v>
      </c>
      <c r="L95" s="155"/>
      <c r="M95" s="155"/>
      <c r="N95" s="151"/>
      <c r="O95" s="90">
        <v>2</v>
      </c>
    </row>
    <row r="96" spans="2:19" x14ac:dyDescent="0.3">
      <c r="C96" s="91"/>
      <c r="D96" s="91"/>
      <c r="E96" s="91"/>
      <c r="F96" s="72"/>
      <c r="G96" s="72"/>
      <c r="H96" s="72"/>
      <c r="I96" s="72"/>
      <c r="J96" s="72"/>
      <c r="K96" s="87"/>
    </row>
    <row r="97" spans="2:19" x14ac:dyDescent="0.3">
      <c r="B97" s="130" t="s">
        <v>118</v>
      </c>
      <c r="C97" s="130"/>
      <c r="D97" s="130"/>
      <c r="E97" s="130"/>
      <c r="F97" s="130"/>
      <c r="G97" s="130"/>
      <c r="H97" s="130"/>
      <c r="I97" s="130"/>
      <c r="J97" s="130"/>
      <c r="K97" s="130"/>
      <c r="L97" s="130"/>
      <c r="M97" s="130"/>
      <c r="N97" s="130"/>
      <c r="O97" s="130"/>
      <c r="P97" s="130"/>
      <c r="Q97" s="130"/>
      <c r="R97" s="130"/>
      <c r="S97" s="130"/>
    </row>
    <row r="98" spans="2:19" x14ac:dyDescent="0.3">
      <c r="C98" s="82"/>
      <c r="D98" s="82"/>
      <c r="E98" s="82"/>
      <c r="F98" s="56"/>
      <c r="G98" s="56"/>
      <c r="H98" s="72"/>
      <c r="I98" s="72"/>
      <c r="J98" s="72"/>
      <c r="K98" s="87"/>
    </row>
    <row r="99" spans="2:19" x14ac:dyDescent="0.3">
      <c r="E99" s="146" t="s">
        <v>105</v>
      </c>
      <c r="F99" s="146"/>
      <c r="G99" s="146"/>
      <c r="H99" s="146"/>
      <c r="I99" s="138" t="s">
        <v>110</v>
      </c>
      <c r="J99" s="138"/>
      <c r="K99" s="140" t="s">
        <v>85</v>
      </c>
      <c r="L99" s="141"/>
      <c r="M99" s="141"/>
      <c r="N99" s="142"/>
      <c r="O99" s="66" t="s">
        <v>3</v>
      </c>
    </row>
    <row r="100" spans="2:19" x14ac:dyDescent="0.3">
      <c r="E100" s="131" t="s">
        <v>112</v>
      </c>
      <c r="F100" s="131"/>
      <c r="G100" s="131"/>
      <c r="H100" s="131"/>
      <c r="I100" s="132">
        <f ca="1">I93+(RAND()*5 - 2.5)</f>
        <v>44.280723357837608</v>
      </c>
      <c r="J100" s="132"/>
      <c r="K100" s="150">
        <v>0.06</v>
      </c>
      <c r="L100" s="155"/>
      <c r="M100" s="155"/>
      <c r="N100" s="151"/>
      <c r="O100" s="90">
        <v>2</v>
      </c>
    </row>
    <row r="101" spans="2:19" x14ac:dyDescent="0.3">
      <c r="E101" s="131" t="s">
        <v>113</v>
      </c>
      <c r="F101" s="131"/>
      <c r="G101" s="131"/>
      <c r="H101" s="131"/>
      <c r="I101" s="131">
        <v>0</v>
      </c>
      <c r="J101" s="131"/>
      <c r="K101" s="150">
        <v>0.06</v>
      </c>
      <c r="L101" s="155"/>
      <c r="M101" s="155"/>
      <c r="N101" s="151"/>
      <c r="O101" s="90">
        <v>2</v>
      </c>
    </row>
    <row r="102" spans="2:19" x14ac:dyDescent="0.3">
      <c r="E102" s="133" t="s">
        <v>114</v>
      </c>
      <c r="F102" s="133"/>
      <c r="G102" s="133"/>
      <c r="H102" s="133"/>
      <c r="I102" s="132">
        <f ca="1">I95+(RAND()*5 - 2.5)</f>
        <v>108.88141251263785</v>
      </c>
      <c r="J102" s="132"/>
      <c r="K102" s="150">
        <v>0.06</v>
      </c>
      <c r="L102" s="155"/>
      <c r="M102" s="155"/>
      <c r="N102" s="151"/>
      <c r="O102" s="90">
        <v>2</v>
      </c>
    </row>
    <row r="103" spans="2:19" x14ac:dyDescent="0.3">
      <c r="C103" s="92"/>
      <c r="D103" s="92"/>
      <c r="E103" s="92"/>
      <c r="F103" s="72"/>
      <c r="G103" s="72"/>
      <c r="H103" s="72"/>
      <c r="I103" s="72"/>
      <c r="J103" s="72"/>
      <c r="K103" s="87"/>
    </row>
    <row r="104" spans="2:19" x14ac:dyDescent="0.3">
      <c r="C104" s="129"/>
      <c r="D104" s="129"/>
      <c r="E104" s="129"/>
    </row>
    <row r="105" spans="2:19" ht="16.95" customHeight="1" x14ac:dyDescent="0.3">
      <c r="B105" s="130" t="s">
        <v>120</v>
      </c>
      <c r="C105" s="130"/>
      <c r="D105" s="130"/>
      <c r="E105" s="130"/>
      <c r="F105" s="130"/>
      <c r="G105" s="130"/>
      <c r="H105" s="130"/>
      <c r="I105" s="130"/>
      <c r="J105" s="130"/>
      <c r="K105" s="130"/>
      <c r="L105" s="130"/>
      <c r="M105" s="130"/>
      <c r="N105" s="130"/>
      <c r="O105" s="130"/>
      <c r="P105" s="130"/>
      <c r="Q105" s="130"/>
      <c r="R105" s="130"/>
      <c r="S105" s="130"/>
    </row>
    <row r="106" spans="2:19" x14ac:dyDescent="0.3">
      <c r="C106" s="129"/>
      <c r="D106" s="129"/>
      <c r="E106" s="129"/>
    </row>
    <row r="107" spans="2:19" ht="14.4" customHeight="1" x14ac:dyDescent="0.3">
      <c r="D107" s="146" t="s">
        <v>105</v>
      </c>
      <c r="E107" s="146"/>
      <c r="F107" s="146"/>
      <c r="G107" s="146"/>
      <c r="H107" s="146"/>
      <c r="I107" s="138" t="s">
        <v>110</v>
      </c>
      <c r="J107" s="138"/>
      <c r="K107" s="146" t="s">
        <v>85</v>
      </c>
      <c r="L107" s="146"/>
      <c r="M107" s="146"/>
      <c r="N107" s="146"/>
      <c r="O107" s="66" t="s">
        <v>3</v>
      </c>
    </row>
    <row r="108" spans="2:19" x14ac:dyDescent="0.3">
      <c r="D108" s="154" t="s">
        <v>111</v>
      </c>
      <c r="E108" s="154"/>
      <c r="F108" s="154"/>
      <c r="G108" s="154"/>
      <c r="H108" s="154"/>
      <c r="I108" s="159">
        <f ca="1">I93+(RAND()*5 - 2.5)</f>
        <v>42.261989032473267</v>
      </c>
      <c r="J108" s="160"/>
      <c r="K108" s="131">
        <v>0.06</v>
      </c>
      <c r="L108" s="131"/>
      <c r="M108" s="131"/>
      <c r="N108" s="131"/>
      <c r="O108" s="90">
        <v>2</v>
      </c>
    </row>
    <row r="109" spans="2:19" x14ac:dyDescent="0.3">
      <c r="D109" s="133" t="s">
        <v>115</v>
      </c>
      <c r="E109" s="133"/>
      <c r="F109" s="133"/>
      <c r="G109" s="133"/>
      <c r="H109" s="133"/>
      <c r="I109" s="159">
        <f ca="1">I95+(RAND()*5 - 2.5)</f>
        <v>105.37450308216454</v>
      </c>
      <c r="J109" s="160"/>
      <c r="K109" s="131">
        <v>0.06</v>
      </c>
      <c r="L109" s="131"/>
      <c r="M109" s="131"/>
      <c r="N109" s="131"/>
      <c r="O109" s="90">
        <v>2</v>
      </c>
    </row>
    <row r="110" spans="2:19" x14ac:dyDescent="0.3">
      <c r="D110" s="152" t="s">
        <v>116</v>
      </c>
      <c r="E110" s="156"/>
      <c r="F110" s="156"/>
      <c r="G110" s="156"/>
      <c r="H110" s="153"/>
      <c r="I110" s="159">
        <f ca="1">I93+(RAND()*5 - 2.5)</f>
        <v>41.445599451089002</v>
      </c>
      <c r="J110" s="160"/>
      <c r="K110" s="150">
        <v>0.06</v>
      </c>
      <c r="L110" s="155"/>
      <c r="M110" s="155"/>
      <c r="N110" s="151"/>
      <c r="O110" s="90">
        <v>2</v>
      </c>
    </row>
    <row r="111" spans="2:19" ht="14.4" customHeight="1" x14ac:dyDescent="0.3">
      <c r="D111" s="157" t="s">
        <v>117</v>
      </c>
      <c r="E111" s="157"/>
      <c r="F111" s="157"/>
      <c r="G111" s="157"/>
      <c r="H111" s="157"/>
      <c r="I111" s="159">
        <f ca="1">I95+(RAND()*5 - 2.5)</f>
        <v>108.93888418244387</v>
      </c>
      <c r="J111" s="160"/>
      <c r="K111" s="131">
        <v>0.06</v>
      </c>
      <c r="L111" s="131"/>
      <c r="M111" s="131"/>
      <c r="N111" s="131"/>
      <c r="O111" s="90">
        <v>2</v>
      </c>
    </row>
    <row r="118" spans="2:20" x14ac:dyDescent="0.3">
      <c r="O118" s="158" t="str">
        <f>O76</f>
        <v>CERTIFICADO N°:</v>
      </c>
      <c r="P118" s="158"/>
      <c r="Q118" s="158"/>
      <c r="R118" s="96">
        <f>R76</f>
        <v>0</v>
      </c>
      <c r="S118" s="96"/>
    </row>
    <row r="120" spans="2:20" x14ac:dyDescent="0.3">
      <c r="B120" s="130" t="s">
        <v>126</v>
      </c>
      <c r="C120" s="130"/>
      <c r="D120" s="130"/>
      <c r="E120" s="130"/>
      <c r="F120" s="130"/>
      <c r="G120" s="130"/>
      <c r="H120" s="130"/>
      <c r="I120" s="130"/>
      <c r="J120" s="130"/>
      <c r="K120" s="130"/>
      <c r="L120" s="130"/>
      <c r="M120" s="130"/>
      <c r="N120" s="130"/>
      <c r="O120" s="130"/>
      <c r="P120" s="130"/>
      <c r="Q120" s="130"/>
      <c r="R120" s="130"/>
      <c r="S120" s="130"/>
      <c r="T120" s="39"/>
    </row>
    <row r="122" spans="2:20" x14ac:dyDescent="0.3">
      <c r="E122" s="146" t="s">
        <v>105</v>
      </c>
      <c r="F122" s="146"/>
      <c r="G122" s="146"/>
      <c r="H122" s="138" t="s">
        <v>110</v>
      </c>
      <c r="I122" s="138"/>
      <c r="J122" s="146" t="s">
        <v>85</v>
      </c>
      <c r="K122" s="146"/>
      <c r="L122" s="146"/>
      <c r="M122" s="146"/>
      <c r="N122" s="66" t="s">
        <v>3</v>
      </c>
    </row>
    <row r="123" spans="2:20" x14ac:dyDescent="0.3">
      <c r="E123" s="154" t="s">
        <v>121</v>
      </c>
      <c r="F123" s="154"/>
      <c r="G123" s="154"/>
      <c r="H123" s="139">
        <f ca="1">RAND()*0.5 + 0.1</f>
        <v>0.4216692933499615</v>
      </c>
      <c r="I123" s="139"/>
      <c r="J123" s="131">
        <v>0.06</v>
      </c>
      <c r="K123" s="131"/>
      <c r="L123" s="131"/>
      <c r="M123" s="131"/>
      <c r="N123" s="90">
        <v>2</v>
      </c>
    </row>
    <row r="124" spans="2:20" x14ac:dyDescent="0.3">
      <c r="E124" s="154" t="s">
        <v>122</v>
      </c>
      <c r="F124" s="154"/>
      <c r="G124" s="154"/>
      <c r="H124" s="139">
        <f t="shared" ref="H124:H127" ca="1" si="0">RAND()*0.5 + 0.1</f>
        <v>0.25771619321664019</v>
      </c>
      <c r="I124" s="139"/>
      <c r="J124" s="131">
        <v>0.06</v>
      </c>
      <c r="K124" s="131"/>
      <c r="L124" s="131"/>
      <c r="M124" s="131"/>
      <c r="N124" s="90">
        <v>2</v>
      </c>
    </row>
    <row r="125" spans="2:20" x14ac:dyDescent="0.3">
      <c r="E125" s="154" t="s">
        <v>123</v>
      </c>
      <c r="F125" s="154"/>
      <c r="G125" s="154"/>
      <c r="H125" s="139">
        <f t="shared" ca="1" si="0"/>
        <v>0.13557159780923592</v>
      </c>
      <c r="I125" s="139"/>
      <c r="J125" s="131">
        <v>0.06</v>
      </c>
      <c r="K125" s="131"/>
      <c r="L125" s="131"/>
      <c r="M125" s="131"/>
      <c r="N125" s="90">
        <v>2</v>
      </c>
    </row>
    <row r="126" spans="2:20" x14ac:dyDescent="0.3">
      <c r="E126" s="154" t="s">
        <v>124</v>
      </c>
      <c r="F126" s="154"/>
      <c r="G126" s="154"/>
      <c r="H126" s="139">
        <f t="shared" ca="1" si="0"/>
        <v>0.18530862566096554</v>
      </c>
      <c r="I126" s="139"/>
      <c r="J126" s="131">
        <v>0.06</v>
      </c>
      <c r="K126" s="131"/>
      <c r="L126" s="131"/>
      <c r="M126" s="131"/>
      <c r="N126" s="90">
        <v>2</v>
      </c>
    </row>
    <row r="127" spans="2:20" x14ac:dyDescent="0.3">
      <c r="E127" s="154" t="s">
        <v>125</v>
      </c>
      <c r="F127" s="154"/>
      <c r="G127" s="154"/>
      <c r="H127" s="139">
        <f t="shared" ca="1" si="0"/>
        <v>0.48397005425747419</v>
      </c>
      <c r="I127" s="139"/>
      <c r="J127" s="131">
        <v>0.06</v>
      </c>
      <c r="K127" s="131"/>
      <c r="L127" s="131"/>
      <c r="M127" s="131"/>
      <c r="N127" s="90">
        <v>2</v>
      </c>
    </row>
    <row r="128" spans="2:20" ht="24" customHeight="1" x14ac:dyDescent="0.3"/>
    <row r="132" spans="2:19" ht="16.95" customHeight="1" x14ac:dyDescent="0.3"/>
    <row r="136" spans="2:19" x14ac:dyDescent="0.3">
      <c r="B136" s="93" t="s">
        <v>134</v>
      </c>
      <c r="C136" s="93"/>
      <c r="D136" s="93"/>
      <c r="E136" s="93"/>
      <c r="F136" s="93"/>
      <c r="G136" s="93"/>
      <c r="H136" s="93"/>
      <c r="I136" s="93"/>
      <c r="J136" s="93"/>
      <c r="K136" s="93"/>
      <c r="L136" s="93"/>
      <c r="M136" s="93"/>
      <c r="N136" s="93"/>
      <c r="O136" s="93"/>
      <c r="P136" s="93"/>
      <c r="Q136" s="93"/>
      <c r="R136" s="93"/>
      <c r="S136" s="93"/>
    </row>
  </sheetData>
  <mergeCells count="154">
    <mergeCell ref="B136:S136"/>
    <mergeCell ref="E125:G125"/>
    <mergeCell ref="H125:I125"/>
    <mergeCell ref="E126:G126"/>
    <mergeCell ref="H126:I126"/>
    <mergeCell ref="E127:G127"/>
    <mergeCell ref="H127:I127"/>
    <mergeCell ref="J125:M125"/>
    <mergeCell ref="J126:M126"/>
    <mergeCell ref="J127:M127"/>
    <mergeCell ref="E122:G122"/>
    <mergeCell ref="H122:I122"/>
    <mergeCell ref="E123:G123"/>
    <mergeCell ref="H123:I123"/>
    <mergeCell ref="E124:G124"/>
    <mergeCell ref="H124:I124"/>
    <mergeCell ref="B120:S120"/>
    <mergeCell ref="J122:M122"/>
    <mergeCell ref="J123:M123"/>
    <mergeCell ref="J124:M124"/>
    <mergeCell ref="D110:H110"/>
    <mergeCell ref="D111:H111"/>
    <mergeCell ref="K107:N107"/>
    <mergeCell ref="K108:N108"/>
    <mergeCell ref="K109:N109"/>
    <mergeCell ref="K110:N110"/>
    <mergeCell ref="K111:N111"/>
    <mergeCell ref="O118:Q118"/>
    <mergeCell ref="R118:S118"/>
    <mergeCell ref="I110:J110"/>
    <mergeCell ref="I111:J111"/>
    <mergeCell ref="I107:J107"/>
    <mergeCell ref="I108:J108"/>
    <mergeCell ref="I109:J109"/>
    <mergeCell ref="D107:H107"/>
    <mergeCell ref="D108:H108"/>
    <mergeCell ref="D109:H109"/>
    <mergeCell ref="E100:H100"/>
    <mergeCell ref="E101:H101"/>
    <mergeCell ref="E102:H102"/>
    <mergeCell ref="K99:N99"/>
    <mergeCell ref="K100:N100"/>
    <mergeCell ref="K101:N101"/>
    <mergeCell ref="K102:N102"/>
    <mergeCell ref="I101:J101"/>
    <mergeCell ref="I102:J102"/>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2026-05-05T16:24:53Z</dcterms:modified>
</cp:coreProperties>
</file>